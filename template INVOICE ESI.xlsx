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97B35EA-829E-4197-9A7D-6BBF96420C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odul 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7" i="1" l="1"/>
  <c r="O25" i="1" s="1"/>
  <c r="O27" i="1" s="1"/>
  <c r="O28" i="1" l="1"/>
</calcChain>
</file>

<file path=xl/sharedStrings.xml><?xml version="1.0" encoding="utf-8"?>
<sst xmlns="http://schemas.openxmlformats.org/spreadsheetml/2006/main" count="50" uniqueCount="47">
  <si>
    <t>INVOICE</t>
  </si>
  <si>
    <t>No. 024/INV/EDU/VI/2026</t>
  </si>
  <si>
    <t xml:space="preserve">Wisma Bumiputera Bandung Lantai VII Suite 707
</t>
  </si>
  <si>
    <t>Diterbitkan di     :</t>
  </si>
  <si>
    <t>Bandung</t>
  </si>
  <si>
    <t>Jl. Asia Afrika No.141-149 Bandung, West Java, 40261</t>
  </si>
  <si>
    <t>Tanggal Tagihan :</t>
  </si>
  <si>
    <t>30 Juni 2026</t>
  </si>
  <si>
    <t>Jatuh Tempo      :</t>
  </si>
  <si>
    <t>Kepada Yth :</t>
  </si>
  <si>
    <t xml:space="preserve">Pejabat Pengadaan Barang/Jasa
</t>
  </si>
  <si>
    <t>Pusat Asesmen Pendidikan</t>
  </si>
  <si>
    <t>BSKAP, Kemendikdasmen</t>
  </si>
  <si>
    <t>Di Jakarta</t>
  </si>
  <si>
    <t>No</t>
  </si>
  <si>
    <t>Deskripsi</t>
  </si>
  <si>
    <t>Kuantiti</t>
  </si>
  <si>
    <t>Harga Satuan</t>
  </si>
  <si>
    <t>Jumlah</t>
  </si>
  <si>
    <t>Pengembangan Kerangka Sistem dan Kisi-kisi</t>
  </si>
  <si>
    <t>(Asesmenpedia Kemitraan)</t>
  </si>
  <si>
    <t>Surat Perjanjian (Kontrak) nomor: 5315/F4/PBJ/2026</t>
  </si>
  <si>
    <t xml:space="preserve">Berita Acara Serah Terima nomor: </t>
  </si>
  <si>
    <t>5609/F4/PBJ/2026</t>
  </si>
  <si>
    <t>Terbilang :</t>
  </si>
  <si>
    <t>Subtotal</t>
  </si>
  <si>
    <t>:</t>
  </si>
  <si>
    <t>Sembilah puluh Delapan juta Dua ratus Tujuh ribu Seratus Tiga Puluh Sembilan Rupiah</t>
  </si>
  <si>
    <t>Diskon</t>
  </si>
  <si>
    <t>PPN (11%)</t>
  </si>
  <si>
    <t>Total</t>
  </si>
  <si>
    <t>Informasi Pembayaran</t>
  </si>
  <si>
    <t>Catatan</t>
  </si>
  <si>
    <t xml:space="preserve">1.	Invoice merupakan tagihan atas jasa sesuai kesepakatan.
</t>
  </si>
  <si>
    <t>2.	Pembayaran dilakukan sesuai tanggal jatuh tempo.</t>
  </si>
  <si>
    <t>4.	Ketentuan pajak mengikuti ketentuan yang berlaku.</t>
  </si>
  <si>
    <t>Mohon mencantumkan nomor invoice pada</t>
  </si>
  <si>
    <t>berita/keterangan transfer.</t>
  </si>
  <si>
    <t>Hormat Kami,</t>
  </si>
  <si>
    <t>Ucu Komarudin</t>
  </si>
  <si>
    <t>Direktur Utama</t>
  </si>
  <si>
    <t>PT. Edu Media Digital</t>
  </si>
  <si>
    <t>3.	Bukti pembayaran dapat dikirim ke 081312703928.</t>
  </si>
  <si>
    <t>Bank : Mandiri</t>
  </si>
  <si>
    <t>No. Rekening : 1300013844249</t>
  </si>
  <si>
    <t>Atas Nama : PT. Edu Sinergi Informatika</t>
  </si>
  <si>
    <t>Edu Sinergi Informatika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</si>
</sst>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\ mmmm\ yyyy"/>
  </numFmts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26"/>
      <color theme="1"/>
      <name val="Arial"/>
      <family val="2"/>
    </font>
    <font>
      <sz val="10"/>
      <color theme="1" tint="0.249977111117893"/>
      <name val="Arial"/>
      <family val="2"/>
    </font>
    <font>
      <b/>
      <sz val="10"/>
      <color theme="1" tint="0.249977111117893"/>
      <name val="Arial"/>
      <family val="2"/>
    </font>
    <font>
      <b/>
      <sz val="9"/>
      <color theme="1" tint="0.249977111117893"/>
      <name val="Arial"/>
      <family val="2"/>
    </font>
    <font>
      <sz val="9"/>
      <color theme="1" tint="0.249977111117893"/>
      <name val="Arial"/>
      <family val="2"/>
    </font>
    <font>
      <sz val="10"/>
      <color rgb="FFCC3300"/>
      <name val="Arial"/>
      <family val="2"/>
    </font>
    <font>
      <b/>
      <sz val="11"/>
      <color theme="1" tint="0.249977111117893"/>
      <name val="Arial"/>
      <family val="2"/>
    </font>
    <font>
      <b/>
      <sz val="11"/>
      <color rgb="FF374151"/>
      <name val="Arial"/>
      <family val="2"/>
    </font>
    <font>
      <sz val="10"/>
      <color rgb="FF374151"/>
      <name val="Arial"/>
      <family val="2"/>
    </font>
    <font>
      <b/>
      <sz val="10"/>
      <color rgb="FF374151"/>
      <name val="Arial"/>
      <family val="2"/>
    </font>
    <font>
      <sz val="11"/>
      <color rgb="FF374151"/>
      <name val="Arial"/>
      <family val="2"/>
    </font>
    <font>
      <sz val="9"/>
      <color rgb="FF374151"/>
      <name val="Arial"/>
      <family val="2"/>
    </font>
    <font>
      <b/>
      <sz val="12.5"/>
      <color theme="0"/>
      <name val="Arial"/>
      <family val="2"/>
    </font>
    <font>
      <sz val="10"/>
      <color theme="1"/>
      <name val="Arial"/>
      <family val="2"/>
    </font>
    <font>
      <sz val="8"/>
      <color theme="2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7415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/>
      <bottom/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2" tint="-0.24994659260841701"/>
      </left>
      <right/>
      <top style="thin">
        <color theme="0" tint="-0.34998626667073579"/>
      </top>
      <bottom style="thin">
        <color theme="2" tint="-0.24994659260841701"/>
      </bottom>
      <diagonal/>
    </border>
    <border>
      <left/>
      <right/>
      <top style="thin">
        <color theme="0" tint="-0.34998626667073579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0" tint="-0.34998626667073579"/>
      </top>
      <bottom style="thin">
        <color theme="2" tint="-0.24994659260841701"/>
      </bottom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  <border>
      <left/>
      <right/>
      <top style="medium">
        <color theme="0" tint="-0.149967955565050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3" fillId="2" borderId="0" xfId="0" applyFont="1" applyFill="1" applyAlignment="1">
      <alignment vertical="center"/>
    </xf>
    <xf numFmtId="0" fontId="2" fillId="2" borderId="0" xfId="0" applyFont="1" applyFill="1"/>
    <xf numFmtId="0" fontId="5" fillId="2" borderId="0" xfId="0" applyFont="1" applyFill="1"/>
    <xf numFmtId="0" fontId="6" fillId="2" borderId="0" xfId="0" applyFont="1" applyFill="1" applyAlignment="1">
      <alignment horizontal="right"/>
    </xf>
    <xf numFmtId="0" fontId="7" fillId="2" borderId="0" xfId="0" applyFont="1" applyFill="1"/>
    <xf numFmtId="0" fontId="5" fillId="2" borderId="0" xfId="0" applyFont="1" applyFill="1" applyAlignment="1">
      <alignment horizontal="left"/>
    </xf>
    <xf numFmtId="0" fontId="5" fillId="2" borderId="0" xfId="0" quotePrefix="1" applyFont="1" applyFill="1" applyAlignment="1">
      <alignment horizontal="right"/>
    </xf>
    <xf numFmtId="0" fontId="8" fillId="2" borderId="0" xfId="0" applyFont="1" applyFill="1"/>
    <xf numFmtId="0" fontId="9" fillId="2" borderId="0" xfId="0" applyFont="1" applyFill="1" applyAlignment="1">
      <alignment horizontal="left"/>
    </xf>
    <xf numFmtId="0" fontId="9" fillId="2" borderId="0" xfId="0" applyFont="1" applyFill="1"/>
    <xf numFmtId="0" fontId="10" fillId="3" borderId="1" xfId="0" applyFont="1" applyFill="1" applyBorder="1" applyAlignment="1">
      <alignment vertical="center"/>
    </xf>
    <xf numFmtId="0" fontId="2" fillId="3" borderId="1" xfId="0" applyFont="1" applyFill="1" applyBorder="1"/>
    <xf numFmtId="0" fontId="11" fillId="4" borderId="2" xfId="0" applyFont="1" applyFill="1" applyBorder="1" applyAlignment="1">
      <alignment vertical="center"/>
    </xf>
    <xf numFmtId="0" fontId="12" fillId="2" borderId="6" xfId="0" applyFont="1" applyFill="1" applyBorder="1" applyAlignment="1">
      <alignment horizontal="center" vertical="center"/>
    </xf>
    <xf numFmtId="0" fontId="13" fillId="2" borderId="7" xfId="0" applyFont="1" applyFill="1" applyBorder="1"/>
    <xf numFmtId="0" fontId="14" fillId="2" borderId="8" xfId="0" applyFont="1" applyFill="1" applyBorder="1"/>
    <xf numFmtId="0" fontId="14" fillId="2" borderId="9" xfId="0" applyFont="1" applyFill="1" applyBorder="1"/>
    <xf numFmtId="0" fontId="14" fillId="2" borderId="10" xfId="0" applyFont="1" applyFill="1" applyBorder="1" applyAlignment="1">
      <alignment horizontal="center" vertical="center"/>
    </xf>
    <xf numFmtId="0" fontId="13" fillId="2" borderId="11" xfId="0" applyFont="1" applyFill="1" applyBorder="1"/>
    <xf numFmtId="0" fontId="14" fillId="2" borderId="0" xfId="0" applyFont="1" applyFill="1"/>
    <xf numFmtId="0" fontId="14" fillId="2" borderId="12" xfId="0" applyFont="1" applyFill="1" applyBorder="1"/>
    <xf numFmtId="0" fontId="12" fillId="2" borderId="11" xfId="0" applyFont="1" applyFill="1" applyBorder="1"/>
    <xf numFmtId="0" fontId="12" fillId="2" borderId="12" xfId="0" applyFont="1" applyFill="1" applyBorder="1"/>
    <xf numFmtId="0" fontId="12" fillId="2" borderId="0" xfId="0" applyFont="1" applyFill="1"/>
    <xf numFmtId="0" fontId="15" fillId="2" borderId="11" xfId="0" applyFont="1" applyFill="1" applyBorder="1"/>
    <xf numFmtId="0" fontId="14" fillId="2" borderId="11" xfId="0" applyFont="1" applyFill="1" applyBorder="1"/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/>
    <xf numFmtId="0" fontId="14" fillId="2" borderId="15" xfId="0" applyFont="1" applyFill="1" applyBorder="1"/>
    <xf numFmtId="0" fontId="14" fillId="2" borderId="16" xfId="0" applyFont="1" applyFill="1" applyBorder="1"/>
    <xf numFmtId="0" fontId="12" fillId="2" borderId="14" xfId="0" applyFont="1" applyFill="1" applyBorder="1"/>
    <xf numFmtId="0" fontId="12" fillId="2" borderId="16" xfId="0" applyFont="1" applyFill="1" applyBorder="1"/>
    <xf numFmtId="0" fontId="12" fillId="2" borderId="15" xfId="0" applyFont="1" applyFill="1" applyBorder="1"/>
    <xf numFmtId="0" fontId="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2" fillId="2" borderId="17" xfId="0" applyFont="1" applyFill="1" applyBorder="1"/>
    <xf numFmtId="0" fontId="12" fillId="2" borderId="17" xfId="0" applyFont="1" applyFill="1" applyBorder="1" applyAlignment="1">
      <alignment horizontal="right"/>
    </xf>
    <xf numFmtId="0" fontId="12" fillId="2" borderId="18" xfId="0" applyFont="1" applyFill="1" applyBorder="1"/>
    <xf numFmtId="0" fontId="12" fillId="2" borderId="18" xfId="0" applyFont="1" applyFill="1" applyBorder="1" applyAlignment="1">
      <alignment horizontal="right"/>
    </xf>
    <xf numFmtId="0" fontId="16" fillId="5" borderId="19" xfId="0" applyFont="1" applyFill="1" applyBorder="1" applyAlignment="1">
      <alignment vertical="center"/>
    </xf>
    <xf numFmtId="0" fontId="16" fillId="5" borderId="20" xfId="0" applyFont="1" applyFill="1" applyBorder="1" applyAlignment="1">
      <alignment vertical="center"/>
    </xf>
    <xf numFmtId="0" fontId="16" fillId="5" borderId="20" xfId="0" applyFont="1" applyFill="1" applyBorder="1" applyAlignment="1">
      <alignment horizontal="right" vertical="center"/>
    </xf>
    <xf numFmtId="0" fontId="2" fillId="3" borderId="22" xfId="0" applyFont="1" applyFill="1" applyBorder="1" applyAlignment="1">
      <alignment horizontal="left" indent="1"/>
    </xf>
    <xf numFmtId="0" fontId="2" fillId="3" borderId="23" xfId="0" applyFont="1" applyFill="1" applyBorder="1"/>
    <xf numFmtId="0" fontId="2" fillId="3" borderId="24" xfId="0" applyFont="1" applyFill="1" applyBorder="1"/>
    <xf numFmtId="0" fontId="2" fillId="2" borderId="22" xfId="0" applyFont="1" applyFill="1" applyBorder="1" applyAlignment="1">
      <alignment horizontal="left" indent="1"/>
    </xf>
    <xf numFmtId="0" fontId="2" fillId="2" borderId="23" xfId="0" applyFont="1" applyFill="1" applyBorder="1" applyAlignment="1">
      <alignment horizontal="left" indent="1"/>
    </xf>
    <xf numFmtId="0" fontId="2" fillId="2" borderId="23" xfId="0" applyFont="1" applyFill="1" applyBorder="1"/>
    <xf numFmtId="0" fontId="2" fillId="2" borderId="24" xfId="0" applyFont="1" applyFill="1" applyBorder="1"/>
    <xf numFmtId="0" fontId="13" fillId="3" borderId="25" xfId="0" applyFont="1" applyFill="1" applyBorder="1" applyAlignment="1">
      <alignment horizontal="left" indent="1"/>
    </xf>
    <xf numFmtId="0" fontId="12" fillId="3" borderId="0" xfId="0" applyFont="1" applyFill="1"/>
    <xf numFmtId="0" fontId="17" fillId="3" borderId="0" xfId="0" applyFont="1" applyFill="1"/>
    <xf numFmtId="0" fontId="2" fillId="3" borderId="26" xfId="0" applyFont="1" applyFill="1" applyBorder="1"/>
    <xf numFmtId="0" fontId="13" fillId="2" borderId="25" xfId="0" applyFont="1" applyFill="1" applyBorder="1" applyAlignment="1">
      <alignment horizontal="left" indent="1"/>
    </xf>
    <xf numFmtId="0" fontId="14" fillId="2" borderId="0" xfId="0" applyFont="1" applyFill="1" applyAlignment="1">
      <alignment horizontal="left" indent="1"/>
    </xf>
    <xf numFmtId="0" fontId="2" fillId="2" borderId="26" xfId="0" applyFont="1" applyFill="1" applyBorder="1"/>
    <xf numFmtId="0" fontId="12" fillId="3" borderId="25" xfId="0" applyFont="1" applyFill="1" applyBorder="1" applyAlignment="1">
      <alignment horizontal="left" indent="1"/>
    </xf>
    <xf numFmtId="0" fontId="12" fillId="2" borderId="25" xfId="0" applyFont="1" applyFill="1" applyBorder="1" applyAlignment="1">
      <alignment horizontal="left" indent="1"/>
    </xf>
    <xf numFmtId="0" fontId="15" fillId="2" borderId="25" xfId="0" applyFont="1" applyFill="1" applyBorder="1" applyAlignment="1">
      <alignment horizontal="left" indent="1"/>
    </xf>
    <xf numFmtId="0" fontId="14" fillId="2" borderId="25" xfId="0" applyFont="1" applyFill="1" applyBorder="1" applyAlignment="1">
      <alignment horizontal="left" indent="1"/>
    </xf>
    <xf numFmtId="0" fontId="2" fillId="3" borderId="27" xfId="0" applyFont="1" applyFill="1" applyBorder="1" applyAlignment="1">
      <alignment horizontal="left" indent="1"/>
    </xf>
    <xf numFmtId="0" fontId="2" fillId="3" borderId="28" xfId="0" applyFont="1" applyFill="1" applyBorder="1"/>
    <xf numFmtId="0" fontId="2" fillId="3" borderId="29" xfId="0" applyFont="1" applyFill="1" applyBorder="1"/>
    <xf numFmtId="0" fontId="14" fillId="2" borderId="27" xfId="0" applyFont="1" applyFill="1" applyBorder="1" applyAlignment="1">
      <alignment horizontal="left" indent="1"/>
    </xf>
    <xf numFmtId="0" fontId="14" fillId="2" borderId="28" xfId="0" applyFont="1" applyFill="1" applyBorder="1" applyAlignment="1">
      <alignment horizontal="left" indent="1"/>
    </xf>
    <xf numFmtId="0" fontId="2" fillId="2" borderId="28" xfId="0" applyFont="1" applyFill="1" applyBorder="1"/>
    <xf numFmtId="0" fontId="2" fillId="2" borderId="29" xfId="0" applyFont="1" applyFill="1" applyBorder="1"/>
    <xf numFmtId="0" fontId="13" fillId="2" borderId="0" xfId="0" applyFont="1" applyFill="1"/>
    <xf numFmtId="0" fontId="18" fillId="2" borderId="30" xfId="0" applyFont="1" applyFill="1" applyBorder="1" applyAlignment="1">
      <alignment vertical="center"/>
    </xf>
    <xf numFmtId="0" fontId="2" fillId="2" borderId="30" xfId="0" applyFont="1" applyFill="1" applyBorder="1"/>
    <xf numFmtId="0" fontId="12" fillId="2" borderId="7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43" fontId="12" fillId="2" borderId="7" xfId="1" applyFont="1" applyFill="1" applyBorder="1" applyAlignment="1">
      <alignment horizontal="center"/>
    </xf>
    <xf numFmtId="43" fontId="12" fillId="2" borderId="8" xfId="1" applyFont="1" applyFill="1" applyBorder="1" applyAlignment="1">
      <alignment horizontal="center"/>
    </xf>
    <xf numFmtId="43" fontId="12" fillId="2" borderId="9" xfId="1" applyFont="1" applyFill="1" applyBorder="1" applyAlignment="1">
      <alignment horizontal="center"/>
    </xf>
    <xf numFmtId="43" fontId="12" fillId="2" borderId="7" xfId="0" applyNumberFormat="1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43" fontId="12" fillId="2" borderId="17" xfId="0" applyNumberFormat="1" applyFont="1" applyFill="1" applyBorder="1" applyAlignment="1">
      <alignment horizontal="center"/>
    </xf>
    <xf numFmtId="0" fontId="12" fillId="2" borderId="0" xfId="0" applyFont="1" applyFill="1" applyAlignment="1">
      <alignment horizontal="left" vertical="top" wrapText="1"/>
    </xf>
    <xf numFmtId="43" fontId="12" fillId="2" borderId="18" xfId="0" applyNumberFormat="1" applyFont="1" applyFill="1" applyBorder="1" applyAlignment="1">
      <alignment horizontal="center"/>
    </xf>
    <xf numFmtId="43" fontId="16" fillId="5" borderId="20" xfId="0" applyNumberFormat="1" applyFont="1" applyFill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4" fontId="9" fillId="2" borderId="0" xfId="0" applyNumberFormat="1" applyFont="1" applyFill="1" applyAlignment="1">
      <alignment horizont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133349</xdr:rowOff>
    </xdr:from>
    <xdr:to>
      <xdr:col>2</xdr:col>
      <xdr:colOff>128637</xdr:colOff>
      <xdr:row>2</xdr:row>
      <xdr:rowOff>52554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70A50C-7190-41B4-BDD3-5B4ED1910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133349"/>
          <a:ext cx="795387" cy="300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topLeftCell="A22" zoomScaleNormal="100" workbookViewId="0">
      <selection activeCell="X7" sqref="X7"/>
    </sheetView>
  </sheetViews>
  <sheetFormatPr defaultColWidth="5.7109375" defaultRowHeight="14.25" x14ac:dyDescent="0.2"/>
  <cols>
    <col min="1" max="1" width="5.7109375" style="2"/>
    <col min="2" max="2" width="4.28515625" style="2" customWidth="1"/>
    <col min="3" max="10" width="5.7109375" style="2"/>
    <col min="11" max="11" width="5.7109375" style="2" customWidth="1"/>
    <col min="12" max="15" width="5.7109375" style="2"/>
    <col min="16" max="18" width="5.85546875" style="2" customWidth="1"/>
    <col min="19" max="19" width="1.28515625" style="2" customWidth="1"/>
    <col min="20" max="16384" width="5.7109375" style="2"/>
  </cols>
  <sheetData>
    <row r="1" spans="1:18" ht="15" customHeight="1" x14ac:dyDescent="0.2">
      <c r="A1" s="85"/>
      <c r="B1" s="85"/>
      <c r="C1" s="86" t="s">
        <v>46</v>
      </c>
      <c r="D1" s="86"/>
      <c r="E1" s="86"/>
      <c r="F1" s="86"/>
      <c r="G1" s="86"/>
      <c r="H1" s="86"/>
      <c r="I1" s="86"/>
      <c r="J1" s="1"/>
      <c r="K1" s="1"/>
      <c r="L1" s="1"/>
      <c r="M1" s="1"/>
      <c r="N1" s="87" t="s">
        <v>0</v>
      </c>
      <c r="O1" s="87"/>
      <c r="P1" s="87"/>
      <c r="Q1" s="87"/>
      <c r="R1" s="87"/>
    </row>
    <row r="2" spans="1:18" ht="15" customHeight="1" x14ac:dyDescent="0.2">
      <c r="A2" s="85"/>
      <c r="B2" s="85"/>
      <c r="C2" s="86"/>
      <c r="D2" s="86"/>
      <c r="E2" s="86"/>
      <c r="F2" s="86"/>
      <c r="G2" s="86"/>
      <c r="H2" s="86"/>
      <c r="I2" s="86"/>
      <c r="J2" s="1"/>
      <c r="K2" s="1"/>
      <c r="L2" s="1"/>
      <c r="M2" s="1"/>
      <c r="N2" s="87"/>
      <c r="O2" s="87"/>
      <c r="P2" s="87"/>
      <c r="Q2" s="87"/>
      <c r="R2" s="87"/>
    </row>
    <row r="3" spans="1:18" ht="15" customHeight="1" x14ac:dyDescent="0.2">
      <c r="A3" s="85"/>
      <c r="B3" s="85"/>
      <c r="C3" s="86"/>
      <c r="D3" s="86"/>
      <c r="E3" s="86"/>
      <c r="F3" s="86"/>
      <c r="G3" s="86"/>
      <c r="H3" s="86"/>
      <c r="I3" s="86"/>
      <c r="J3" s="1"/>
      <c r="K3" s="1"/>
      <c r="L3" s="1"/>
      <c r="M3" s="1"/>
      <c r="N3" s="1"/>
      <c r="O3" s="3"/>
      <c r="P3" s="1"/>
      <c r="Q3" s="1"/>
      <c r="R3" s="4" t="s">
        <v>1</v>
      </c>
    </row>
    <row r="4" spans="1:18" x14ac:dyDescent="0.2">
      <c r="A4" s="5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6" t="s">
        <v>3</v>
      </c>
      <c r="N4" s="3"/>
      <c r="O4" s="3"/>
      <c r="P4" s="3"/>
      <c r="Q4" s="3"/>
      <c r="R4" s="7" t="s">
        <v>4</v>
      </c>
    </row>
    <row r="5" spans="1:18" x14ac:dyDescent="0.2">
      <c r="A5" s="8" t="s">
        <v>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6" t="s">
        <v>6</v>
      </c>
      <c r="N5" s="3"/>
      <c r="O5" s="3"/>
      <c r="P5" s="3"/>
      <c r="Q5" s="3"/>
      <c r="R5" s="7" t="s">
        <v>7</v>
      </c>
    </row>
    <row r="6" spans="1:18" ht="15" customHeight="1" x14ac:dyDescent="0.2">
      <c r="A6" s="8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9" t="s">
        <v>8</v>
      </c>
      <c r="N6" s="10"/>
      <c r="O6" s="10"/>
      <c r="P6" s="10"/>
      <c r="Q6" s="88">
        <v>46211</v>
      </c>
      <c r="R6" s="88"/>
    </row>
    <row r="7" spans="1:18" x14ac:dyDescent="0.2">
      <c r="A7" s="8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9" spans="1:18" ht="20.100000000000001" customHeight="1" thickBot="1" x14ac:dyDescent="0.25">
      <c r="A9" s="11" t="s">
        <v>9</v>
      </c>
      <c r="B9" s="12"/>
      <c r="C9" s="12"/>
      <c r="D9" s="12"/>
      <c r="E9" s="12"/>
      <c r="F9" s="12"/>
    </row>
    <row r="10" spans="1:18" ht="15.95" customHeight="1" x14ac:dyDescent="0.2">
      <c r="A10" s="3" t="s">
        <v>10</v>
      </c>
    </row>
    <row r="11" spans="1:18" ht="15.95" customHeight="1" x14ac:dyDescent="0.2">
      <c r="A11" s="3" t="s">
        <v>11</v>
      </c>
    </row>
    <row r="12" spans="1:18" ht="15.95" customHeight="1" x14ac:dyDescent="0.2">
      <c r="A12" s="3" t="s">
        <v>12</v>
      </c>
    </row>
    <row r="13" spans="1:18" ht="15.95" customHeight="1" x14ac:dyDescent="0.2">
      <c r="A13" s="3" t="s">
        <v>13</v>
      </c>
    </row>
    <row r="16" spans="1:18" ht="20.100000000000001" customHeight="1" x14ac:dyDescent="0.2">
      <c r="A16" s="13" t="s">
        <v>14</v>
      </c>
      <c r="B16" s="89" t="s">
        <v>15</v>
      </c>
      <c r="C16" s="90"/>
      <c r="D16" s="90"/>
      <c r="E16" s="90"/>
      <c r="F16" s="90"/>
      <c r="G16" s="90"/>
      <c r="H16" s="90"/>
      <c r="I16" s="91"/>
      <c r="J16" s="92" t="s">
        <v>16</v>
      </c>
      <c r="K16" s="92"/>
      <c r="L16" s="92" t="s">
        <v>17</v>
      </c>
      <c r="M16" s="92"/>
      <c r="N16" s="92"/>
      <c r="O16" s="92" t="s">
        <v>18</v>
      </c>
      <c r="P16" s="92"/>
      <c r="Q16" s="92"/>
      <c r="R16" s="92"/>
    </row>
    <row r="17" spans="1:19" x14ac:dyDescent="0.2">
      <c r="A17" s="14">
        <v>1</v>
      </c>
      <c r="B17" s="15" t="s">
        <v>19</v>
      </c>
      <c r="C17" s="16"/>
      <c r="D17" s="16"/>
      <c r="E17" s="16"/>
      <c r="F17" s="16"/>
      <c r="G17" s="16"/>
      <c r="H17" s="16"/>
      <c r="I17" s="17"/>
      <c r="J17" s="71">
        <v>1</v>
      </c>
      <c r="K17" s="72"/>
      <c r="L17" s="73">
        <v>88474900</v>
      </c>
      <c r="M17" s="74"/>
      <c r="N17" s="75"/>
      <c r="O17" s="76">
        <f>L17*J17</f>
        <v>88474900</v>
      </c>
      <c r="P17" s="77"/>
      <c r="Q17" s="77"/>
      <c r="R17" s="72"/>
    </row>
    <row r="18" spans="1:19" x14ac:dyDescent="0.2">
      <c r="A18" s="18"/>
      <c r="B18" s="19" t="s">
        <v>20</v>
      </c>
      <c r="C18" s="20"/>
      <c r="D18" s="20"/>
      <c r="E18" s="20"/>
      <c r="F18" s="20"/>
      <c r="G18" s="20"/>
      <c r="H18" s="20"/>
      <c r="I18" s="21"/>
      <c r="J18" s="22"/>
      <c r="K18" s="23"/>
      <c r="L18" s="22"/>
      <c r="M18" s="24"/>
      <c r="N18" s="23"/>
      <c r="O18" s="22"/>
      <c r="P18" s="24"/>
      <c r="Q18" s="24"/>
      <c r="R18" s="23"/>
    </row>
    <row r="19" spans="1:19" x14ac:dyDescent="0.2">
      <c r="A19" s="18"/>
      <c r="B19" s="25" t="s">
        <v>21</v>
      </c>
      <c r="C19" s="20"/>
      <c r="D19" s="20"/>
      <c r="E19" s="20"/>
      <c r="F19" s="20"/>
      <c r="G19" s="20"/>
      <c r="H19" s="20"/>
      <c r="I19" s="21"/>
      <c r="J19" s="22"/>
      <c r="K19" s="23"/>
      <c r="L19" s="22"/>
      <c r="M19" s="24"/>
      <c r="N19" s="23"/>
      <c r="O19" s="22"/>
      <c r="P19" s="24"/>
      <c r="Q19" s="24"/>
      <c r="R19" s="23"/>
    </row>
    <row r="20" spans="1:19" x14ac:dyDescent="0.2">
      <c r="A20" s="18"/>
      <c r="B20" s="25" t="s">
        <v>22</v>
      </c>
      <c r="C20" s="20"/>
      <c r="D20" s="20"/>
      <c r="E20" s="20"/>
      <c r="F20" s="20"/>
      <c r="G20" s="20"/>
      <c r="H20" s="20"/>
      <c r="I20" s="21"/>
      <c r="J20" s="22"/>
      <c r="K20" s="23"/>
      <c r="L20" s="22"/>
      <c r="M20" s="24"/>
      <c r="N20" s="23"/>
      <c r="O20" s="22"/>
      <c r="P20" s="24"/>
      <c r="Q20" s="24"/>
      <c r="R20" s="23"/>
    </row>
    <row r="21" spans="1:19" x14ac:dyDescent="0.2">
      <c r="A21" s="18"/>
      <c r="B21" s="25" t="s">
        <v>23</v>
      </c>
      <c r="C21" s="20"/>
      <c r="D21" s="20"/>
      <c r="E21" s="20"/>
      <c r="F21" s="20"/>
      <c r="G21" s="20"/>
      <c r="H21" s="20"/>
      <c r="I21" s="21"/>
      <c r="J21" s="22"/>
      <c r="K21" s="23"/>
      <c r="L21" s="22"/>
      <c r="M21" s="24"/>
      <c r="N21" s="23"/>
      <c r="O21" s="22"/>
      <c r="P21" s="24"/>
      <c r="Q21" s="24"/>
      <c r="R21" s="23"/>
    </row>
    <row r="22" spans="1:19" x14ac:dyDescent="0.2">
      <c r="A22" s="18"/>
      <c r="B22" s="26"/>
      <c r="C22" s="20"/>
      <c r="D22" s="20"/>
      <c r="E22" s="20"/>
      <c r="F22" s="20"/>
      <c r="G22" s="20"/>
      <c r="H22" s="20"/>
      <c r="I22" s="21"/>
      <c r="J22" s="22"/>
      <c r="K22" s="23"/>
      <c r="L22" s="22"/>
      <c r="M22" s="24"/>
      <c r="N22" s="23"/>
      <c r="O22" s="22"/>
      <c r="P22" s="24"/>
      <c r="Q22" s="24"/>
      <c r="R22" s="23"/>
    </row>
    <row r="23" spans="1:19" x14ac:dyDescent="0.2">
      <c r="A23" s="27"/>
      <c r="B23" s="28"/>
      <c r="C23" s="29"/>
      <c r="D23" s="29"/>
      <c r="E23" s="29"/>
      <c r="F23" s="29"/>
      <c r="G23" s="29"/>
      <c r="H23" s="29"/>
      <c r="I23" s="30"/>
      <c r="J23" s="31"/>
      <c r="K23" s="32"/>
      <c r="L23" s="31"/>
      <c r="M23" s="33"/>
      <c r="N23" s="32"/>
      <c r="O23" s="31"/>
      <c r="P23" s="33"/>
      <c r="Q23" s="33"/>
      <c r="R23" s="32"/>
    </row>
    <row r="24" spans="1:19" ht="3.75" customHeight="1" x14ac:dyDescent="0.2">
      <c r="A24" s="34"/>
      <c r="L24" s="78"/>
      <c r="M24" s="78"/>
      <c r="N24" s="78"/>
    </row>
    <row r="25" spans="1:19" ht="17.100000000000001" customHeight="1" x14ac:dyDescent="0.2">
      <c r="A25" s="35" t="s">
        <v>24</v>
      </c>
      <c r="L25" s="36" t="s">
        <v>25</v>
      </c>
      <c r="M25" s="36"/>
      <c r="N25" s="37" t="s">
        <v>26</v>
      </c>
      <c r="O25" s="79">
        <f>O17</f>
        <v>88474900</v>
      </c>
      <c r="P25" s="79"/>
      <c r="Q25" s="79"/>
      <c r="R25" s="79"/>
    </row>
    <row r="26" spans="1:19" ht="17.100000000000001" customHeight="1" x14ac:dyDescent="0.2">
      <c r="A26" s="80" t="s">
        <v>27</v>
      </c>
      <c r="B26" s="80"/>
      <c r="C26" s="80"/>
      <c r="D26" s="80"/>
      <c r="E26" s="80"/>
      <c r="F26" s="80"/>
      <c r="G26" s="80"/>
      <c r="H26" s="80"/>
      <c r="I26" s="80"/>
      <c r="J26" s="80"/>
      <c r="L26" s="38" t="s">
        <v>28</v>
      </c>
      <c r="M26" s="38"/>
      <c r="N26" s="39" t="s">
        <v>26</v>
      </c>
      <c r="O26" s="81">
        <v>0</v>
      </c>
      <c r="P26" s="81"/>
      <c r="Q26" s="81"/>
      <c r="R26" s="81">
        <v>0</v>
      </c>
    </row>
    <row r="27" spans="1:19" ht="17.100000000000001" customHeight="1" x14ac:dyDescent="0.2">
      <c r="A27" s="80"/>
      <c r="B27" s="80"/>
      <c r="C27" s="80"/>
      <c r="D27" s="80"/>
      <c r="E27" s="80"/>
      <c r="F27" s="80"/>
      <c r="G27" s="80"/>
      <c r="H27" s="80"/>
      <c r="I27" s="80"/>
      <c r="J27" s="80"/>
      <c r="L27" s="38" t="s">
        <v>29</v>
      </c>
      <c r="M27" s="38"/>
      <c r="N27" s="39" t="s">
        <v>26</v>
      </c>
      <c r="O27" s="81">
        <f>O25*11%</f>
        <v>9732239</v>
      </c>
      <c r="P27" s="81"/>
      <c r="Q27" s="81"/>
      <c r="R27" s="81"/>
    </row>
    <row r="28" spans="1:19" ht="21.75" customHeight="1" x14ac:dyDescent="0.2">
      <c r="A28" s="80"/>
      <c r="B28" s="80"/>
      <c r="C28" s="80"/>
      <c r="D28" s="80"/>
      <c r="E28" s="80"/>
      <c r="F28" s="80"/>
      <c r="G28" s="80"/>
      <c r="H28" s="80"/>
      <c r="I28" s="80"/>
      <c r="J28" s="80"/>
      <c r="L28" s="40" t="s">
        <v>30</v>
      </c>
      <c r="M28" s="41"/>
      <c r="N28" s="42" t="s">
        <v>26</v>
      </c>
      <c r="O28" s="82">
        <f>O25+O27</f>
        <v>98207139</v>
      </c>
      <c r="P28" s="83"/>
      <c r="Q28" s="83"/>
      <c r="R28" s="84"/>
    </row>
    <row r="30" spans="1:19" ht="15" thickBot="1" x14ac:dyDescent="0.25"/>
    <row r="31" spans="1:19" x14ac:dyDescent="0.2">
      <c r="A31" s="43"/>
      <c r="B31" s="44"/>
      <c r="C31" s="44"/>
      <c r="D31" s="44"/>
      <c r="E31" s="44"/>
      <c r="F31" s="44"/>
      <c r="G31" s="44"/>
      <c r="H31" s="44"/>
      <c r="I31" s="45"/>
      <c r="J31" s="46"/>
      <c r="K31" s="47"/>
      <c r="L31" s="48"/>
      <c r="M31" s="48"/>
      <c r="N31" s="48"/>
      <c r="O31" s="48"/>
      <c r="P31" s="48"/>
      <c r="Q31" s="48"/>
      <c r="R31" s="48"/>
      <c r="S31" s="49"/>
    </row>
    <row r="32" spans="1:19" x14ac:dyDescent="0.2">
      <c r="A32" s="50" t="s">
        <v>31</v>
      </c>
      <c r="B32" s="51"/>
      <c r="C32" s="51"/>
      <c r="D32" s="52"/>
      <c r="E32" s="52"/>
      <c r="F32" s="52"/>
      <c r="G32" s="52"/>
      <c r="H32" s="52"/>
      <c r="I32" s="53"/>
      <c r="J32" s="54" t="s">
        <v>32</v>
      </c>
      <c r="K32" s="55"/>
      <c r="S32" s="56"/>
    </row>
    <row r="33" spans="1:19" x14ac:dyDescent="0.2">
      <c r="A33" s="57"/>
      <c r="B33" s="51"/>
      <c r="C33" s="51"/>
      <c r="D33" s="52"/>
      <c r="E33" s="52"/>
      <c r="F33" s="52"/>
      <c r="G33" s="52"/>
      <c r="H33" s="52"/>
      <c r="I33" s="53"/>
      <c r="J33" s="58"/>
      <c r="K33" s="55"/>
      <c r="S33" s="56"/>
    </row>
    <row r="34" spans="1:19" x14ac:dyDescent="0.2">
      <c r="A34" s="57" t="s">
        <v>43</v>
      </c>
      <c r="B34" s="51"/>
      <c r="C34" s="51"/>
      <c r="D34" s="52"/>
      <c r="E34" s="52"/>
      <c r="F34" s="52"/>
      <c r="G34" s="52"/>
      <c r="H34" s="52"/>
      <c r="I34" s="53"/>
      <c r="J34" s="59" t="s">
        <v>33</v>
      </c>
      <c r="K34" s="55"/>
      <c r="S34" s="56"/>
    </row>
    <row r="35" spans="1:19" x14ac:dyDescent="0.2">
      <c r="A35" s="57" t="s">
        <v>44</v>
      </c>
      <c r="B35" s="51"/>
      <c r="C35" s="51"/>
      <c r="D35" s="52"/>
      <c r="E35" s="52"/>
      <c r="F35" s="52"/>
      <c r="G35" s="52"/>
      <c r="H35" s="52"/>
      <c r="I35" s="53"/>
      <c r="J35" s="59" t="s">
        <v>34</v>
      </c>
      <c r="K35" s="55"/>
      <c r="S35" s="56"/>
    </row>
    <row r="36" spans="1:19" x14ac:dyDescent="0.2">
      <c r="A36" s="57" t="s">
        <v>45</v>
      </c>
      <c r="B36" s="51"/>
      <c r="C36" s="51"/>
      <c r="D36" s="52"/>
      <c r="E36" s="52"/>
      <c r="F36" s="52"/>
      <c r="G36" s="52"/>
      <c r="H36" s="52"/>
      <c r="I36" s="53"/>
      <c r="J36" s="59" t="s">
        <v>42</v>
      </c>
      <c r="K36" s="55"/>
      <c r="S36" s="56"/>
    </row>
    <row r="37" spans="1:19" x14ac:dyDescent="0.2">
      <c r="A37" s="57"/>
      <c r="B37" s="51"/>
      <c r="C37" s="51"/>
      <c r="D37" s="52"/>
      <c r="E37" s="52"/>
      <c r="F37" s="52"/>
      <c r="G37" s="52"/>
      <c r="H37" s="52"/>
      <c r="I37" s="53"/>
      <c r="J37" s="59" t="s">
        <v>35</v>
      </c>
      <c r="K37" s="55"/>
      <c r="S37" s="56"/>
    </row>
    <row r="38" spans="1:19" x14ac:dyDescent="0.2">
      <c r="A38" s="57" t="s">
        <v>36</v>
      </c>
      <c r="B38" s="51"/>
      <c r="C38" s="51"/>
      <c r="D38" s="52"/>
      <c r="E38" s="52"/>
      <c r="F38" s="52"/>
      <c r="G38" s="52"/>
      <c r="H38" s="52"/>
      <c r="I38" s="53"/>
      <c r="J38" s="60"/>
      <c r="K38" s="55"/>
      <c r="S38" s="56"/>
    </row>
    <row r="39" spans="1:19" x14ac:dyDescent="0.2">
      <c r="A39" s="57" t="s">
        <v>37</v>
      </c>
      <c r="B39" s="51"/>
      <c r="C39" s="51"/>
      <c r="D39" s="52"/>
      <c r="E39" s="52"/>
      <c r="F39" s="52"/>
      <c r="G39" s="52"/>
      <c r="H39" s="52"/>
      <c r="I39" s="53"/>
      <c r="J39" s="60"/>
      <c r="K39" s="55"/>
      <c r="S39" s="56"/>
    </row>
    <row r="40" spans="1:19" ht="15" thickBot="1" x14ac:dyDescent="0.25">
      <c r="A40" s="61"/>
      <c r="B40" s="62"/>
      <c r="C40" s="62"/>
      <c r="D40" s="62"/>
      <c r="E40" s="62"/>
      <c r="F40" s="62"/>
      <c r="G40" s="62"/>
      <c r="H40" s="62"/>
      <c r="I40" s="63"/>
      <c r="J40" s="64"/>
      <c r="K40" s="65"/>
      <c r="L40" s="66"/>
      <c r="M40" s="66"/>
      <c r="N40" s="66"/>
      <c r="O40" s="66"/>
      <c r="P40" s="66"/>
      <c r="Q40" s="66"/>
      <c r="R40" s="66"/>
      <c r="S40" s="67"/>
    </row>
    <row r="42" spans="1:19" x14ac:dyDescent="0.2">
      <c r="M42" s="24" t="s">
        <v>38</v>
      </c>
    </row>
    <row r="49" spans="1:19" x14ac:dyDescent="0.2">
      <c r="M49" s="68" t="s">
        <v>39</v>
      </c>
    </row>
    <row r="50" spans="1:19" x14ac:dyDescent="0.2">
      <c r="M50" s="24" t="s">
        <v>40</v>
      </c>
    </row>
    <row r="51" spans="1:19" ht="27" customHeight="1" thickBot="1" x14ac:dyDescent="0.25"/>
    <row r="52" spans="1:19" x14ac:dyDescent="0.2">
      <c r="A52" s="69" t="s">
        <v>41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</row>
  </sheetData>
  <mergeCells count="17">
    <mergeCell ref="A26:J28"/>
    <mergeCell ref="O26:R26"/>
    <mergeCell ref="O27:R27"/>
    <mergeCell ref="O28:R28"/>
    <mergeCell ref="A1:B3"/>
    <mergeCell ref="C1:I3"/>
    <mergeCell ref="N1:R2"/>
    <mergeCell ref="Q6:R6"/>
    <mergeCell ref="B16:I16"/>
    <mergeCell ref="J16:K16"/>
    <mergeCell ref="L16:N16"/>
    <mergeCell ref="O16:R16"/>
    <mergeCell ref="J17:K17"/>
    <mergeCell ref="L17:N17"/>
    <mergeCell ref="O17:R17"/>
    <mergeCell ref="L24:N24"/>
    <mergeCell ref="O25:R25"/>
  </mergeCells>
  <pageMargins left="0.25" right="0.25" top="0.3" bottom="0.36" header="0.18" footer="0.2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2026-08-11T05:49:39Z</dcterms:created>
  <dcterms:modified xsi:type="dcterms:W3CDTF">2026-08-12T09:14:40Z</dcterms:modified>
</cp:coreProperties>
</file>