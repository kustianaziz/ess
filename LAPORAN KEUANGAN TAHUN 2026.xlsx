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ess\"/>
    </mc:Choice>
  </mc:AlternateContent>
  <xr:revisionPtr revIDLastSave="0" documentId="11_8485B99C19F15E6D043221FB00A8AB3421C2A8F6" xr6:coauthVersionLast="47" xr6:coauthVersionMax="47" xr10:uidLastSave="{00000000-0000-0000-0000-000000000000}"/>
  <bookViews>
    <workbookView xWindow="-110" yWindow="-110" windowWidth="19420" windowHeight="11500" tabRatio="807" firstSheet="2" activeTab="2" xr2:uid="{00000000-000D-0000-FFFF-FFFF00000000}"/>
  </bookViews>
  <sheets>
    <sheet name="Sheet1" sheetId="33" state="hidden" r:id="rId1"/>
    <sheet name="DASHBOARD" sheetId="35" r:id="rId2"/>
    <sheet name="NS" sheetId="23" r:id="rId3"/>
    <sheet name="KAS" sheetId="1" r:id="rId4"/>
    <sheet name="BANK 1" sheetId="10" r:id="rId5"/>
    <sheet name="BANK 2" sheetId="27" r:id="rId6"/>
    <sheet name="BANK 3" sheetId="29" r:id="rId7"/>
    <sheet name="BANK 4" sheetId="20" r:id="rId8"/>
    <sheet name="JURNAL PENYESUAIAN" sheetId="26" r:id="rId9"/>
    <sheet name="PERSEDIAAN STOK" sheetId="32" state="hidden" r:id="rId10"/>
    <sheet name="ASET" sheetId="25" r:id="rId11"/>
    <sheet name="LABA RUGI" sheetId="6" r:id="rId12"/>
    <sheet name="NERACA" sheetId="7" r:id="rId13"/>
    <sheet name="LPM" sheetId="24" r:id="rId14"/>
    <sheet name="PEREDARAN BRUTO" sheetId="36" r:id="rId15"/>
    <sheet name="LABA RUGI PAJAK" sheetId="30" r:id="rId16"/>
    <sheet name="NERACA PAJAK" sheetId="31" r:id="rId17"/>
    <sheet name="RASIO KEUANGAN" sheetId="28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</externalReferences>
  <definedNames>
    <definedName name="_" localSheetId="10">#REF!</definedName>
    <definedName name="_" localSheetId="5">#REF!</definedName>
    <definedName name="_" localSheetId="6">#REF!</definedName>
    <definedName name="_" localSheetId="7">#REF!</definedName>
    <definedName name="_" localSheetId="8">#REF!</definedName>
    <definedName name="_">#REF!</definedName>
    <definedName name="__________013" localSheetId="10">'[1]AN-K'!#REF!</definedName>
    <definedName name="__________013" localSheetId="5">'[1]AN-K'!#REF!</definedName>
    <definedName name="__________013" localSheetId="6">'[1]AN-K'!#REF!</definedName>
    <definedName name="__________013" localSheetId="7">'[1]AN-K'!#REF!</definedName>
    <definedName name="__________013" localSheetId="8">'[1]AN-K'!#REF!</definedName>
    <definedName name="__________013">'[1]AN-K'!#REF!</definedName>
    <definedName name="__________016" localSheetId="10">'[1]AN-K'!#REF!</definedName>
    <definedName name="__________016" localSheetId="5">'[1]AN-K'!#REF!</definedName>
    <definedName name="__________016" localSheetId="6">'[1]AN-K'!#REF!</definedName>
    <definedName name="__________016" localSheetId="7">'[1]AN-K'!#REF!</definedName>
    <definedName name="__________016" localSheetId="8">'[1]AN-K'!#REF!</definedName>
    <definedName name="__________016">'[1]AN-K'!#REF!</definedName>
    <definedName name="__________017" localSheetId="10">'[1]AN-K'!#REF!</definedName>
    <definedName name="__________017" localSheetId="5">'[1]AN-K'!#REF!</definedName>
    <definedName name="__________017" localSheetId="6">'[1]AN-K'!#REF!</definedName>
    <definedName name="__________017" localSheetId="7">'[1]AN-K'!#REF!</definedName>
    <definedName name="__________017" localSheetId="8">'[1]AN-K'!#REF!</definedName>
    <definedName name="__________017">'[1]AN-K'!#REF!</definedName>
    <definedName name="__________110" localSheetId="10">'[1]AN-K'!#REF!</definedName>
    <definedName name="__________110" localSheetId="5">'[1]AN-K'!#REF!</definedName>
    <definedName name="__________110" localSheetId="6">'[1]AN-K'!#REF!</definedName>
    <definedName name="__________110" localSheetId="7">'[1]AN-K'!#REF!</definedName>
    <definedName name="__________110" localSheetId="8">'[1]AN-K'!#REF!</definedName>
    <definedName name="__________110">'[1]AN-K'!#REF!</definedName>
    <definedName name="__________210" localSheetId="10">'[1]AN-K'!#REF!</definedName>
    <definedName name="__________210" localSheetId="5">'[1]AN-K'!#REF!</definedName>
    <definedName name="__________210" localSheetId="6">'[1]AN-K'!#REF!</definedName>
    <definedName name="__________210" localSheetId="7">'[1]AN-K'!#REF!</definedName>
    <definedName name="__________210" localSheetId="8">'[1]AN-K'!#REF!</definedName>
    <definedName name="__________210">'[1]AN-K'!#REF!</definedName>
    <definedName name="__________224" localSheetId="10">'[1]AN-K'!#REF!</definedName>
    <definedName name="__________224" localSheetId="5">'[1]AN-K'!#REF!</definedName>
    <definedName name="__________224" localSheetId="6">'[1]AN-K'!#REF!</definedName>
    <definedName name="__________224" localSheetId="7">'[1]AN-K'!#REF!</definedName>
    <definedName name="__________224" localSheetId="8">'[1]AN-K'!#REF!</definedName>
    <definedName name="__________224">'[1]AN-K'!#REF!</definedName>
    <definedName name="__________225" localSheetId="10">'[1]AN-K'!#REF!</definedName>
    <definedName name="__________225" localSheetId="5">'[1]AN-K'!#REF!</definedName>
    <definedName name="__________225" localSheetId="6">'[1]AN-K'!#REF!</definedName>
    <definedName name="__________225" localSheetId="7">'[1]AN-K'!#REF!</definedName>
    <definedName name="__________225" localSheetId="8">'[1]AN-K'!#REF!</definedName>
    <definedName name="__________225">'[1]AN-K'!#REF!</definedName>
    <definedName name="__________310" localSheetId="10">'[1]AN-K'!#REF!</definedName>
    <definedName name="__________310" localSheetId="5">'[1]AN-K'!#REF!</definedName>
    <definedName name="__________310" localSheetId="6">'[1]AN-K'!#REF!</definedName>
    <definedName name="__________310" localSheetId="7">'[1]AN-K'!#REF!</definedName>
    <definedName name="__________310" localSheetId="8">'[1]AN-K'!#REF!</definedName>
    <definedName name="__________310">'[1]AN-K'!#REF!</definedName>
    <definedName name="__________311" localSheetId="10">'[1]AN-K'!#REF!</definedName>
    <definedName name="__________311" localSheetId="5">'[1]AN-K'!#REF!</definedName>
    <definedName name="__________311" localSheetId="6">'[1]AN-K'!#REF!</definedName>
    <definedName name="__________311" localSheetId="7">'[1]AN-K'!#REF!</definedName>
    <definedName name="__________311" localSheetId="8">'[1]AN-K'!#REF!</definedName>
    <definedName name="__________311">'[1]AN-K'!#REF!</definedName>
    <definedName name="__________321" localSheetId="10">'[1]AN-K'!#REF!</definedName>
    <definedName name="__________321" localSheetId="5">'[1]AN-K'!#REF!</definedName>
    <definedName name="__________321" localSheetId="6">'[1]AN-K'!#REF!</definedName>
    <definedName name="__________321" localSheetId="7">'[1]AN-K'!#REF!</definedName>
    <definedName name="__________321" localSheetId="8">'[1]AN-K'!#REF!</definedName>
    <definedName name="__________321">'[1]AN-K'!#REF!</definedName>
    <definedName name="__________341" localSheetId="10">'[1]AN-K'!#REF!</definedName>
    <definedName name="__________341" localSheetId="5">'[1]AN-K'!#REF!</definedName>
    <definedName name="__________341" localSheetId="6">'[1]AN-K'!#REF!</definedName>
    <definedName name="__________341" localSheetId="7">'[1]AN-K'!#REF!</definedName>
    <definedName name="__________341" localSheetId="8">'[1]AN-K'!#REF!</definedName>
    <definedName name="__________341">'[1]AN-K'!#REF!</definedName>
    <definedName name="__________342" localSheetId="10">'[1]AN-K'!#REF!</definedName>
    <definedName name="__________342" localSheetId="5">'[1]AN-K'!#REF!</definedName>
    <definedName name="__________342" localSheetId="6">'[1]AN-K'!#REF!</definedName>
    <definedName name="__________342" localSheetId="7">'[1]AN-K'!#REF!</definedName>
    <definedName name="__________342" localSheetId="8">'[1]AN-K'!#REF!</definedName>
    <definedName name="__________342">'[1]AN-K'!#REF!</definedName>
    <definedName name="__________410" localSheetId="10">'[1]AN-K'!#REF!</definedName>
    <definedName name="__________410" localSheetId="5">'[1]AN-K'!#REF!</definedName>
    <definedName name="__________410" localSheetId="6">'[1]AN-K'!#REF!</definedName>
    <definedName name="__________410" localSheetId="7">'[1]AN-K'!#REF!</definedName>
    <definedName name="__________410" localSheetId="8">'[1]AN-K'!#REF!</definedName>
    <definedName name="__________410">'[1]AN-K'!#REF!</definedName>
    <definedName name="__________411" localSheetId="10">'[1]AN-K'!#REF!</definedName>
    <definedName name="__________411" localSheetId="5">'[1]AN-K'!#REF!</definedName>
    <definedName name="__________411" localSheetId="6">'[1]AN-K'!#REF!</definedName>
    <definedName name="__________411" localSheetId="7">'[1]AN-K'!#REF!</definedName>
    <definedName name="__________411" localSheetId="8">'[1]AN-K'!#REF!</definedName>
    <definedName name="__________411">'[1]AN-K'!#REF!</definedName>
    <definedName name="__________420" localSheetId="10">'[1]AN-K'!#REF!</definedName>
    <definedName name="__________420" localSheetId="5">'[1]AN-K'!#REF!</definedName>
    <definedName name="__________420" localSheetId="6">'[1]AN-K'!#REF!</definedName>
    <definedName name="__________420" localSheetId="7">'[1]AN-K'!#REF!</definedName>
    <definedName name="__________420" localSheetId="8">'[1]AN-K'!#REF!</definedName>
    <definedName name="__________420">'[1]AN-K'!#REF!</definedName>
    <definedName name="__________423" localSheetId="10">'[1]AN-K'!#REF!</definedName>
    <definedName name="__________423" localSheetId="5">'[1]AN-K'!#REF!</definedName>
    <definedName name="__________423" localSheetId="6">'[1]AN-K'!#REF!</definedName>
    <definedName name="__________423" localSheetId="7">'[1]AN-K'!#REF!</definedName>
    <definedName name="__________423" localSheetId="8">'[1]AN-K'!#REF!</definedName>
    <definedName name="__________423">'[1]AN-K'!#REF!</definedName>
    <definedName name="__________424" localSheetId="10">'[1]AN-K'!#REF!</definedName>
    <definedName name="__________424" localSheetId="5">'[1]AN-K'!#REF!</definedName>
    <definedName name="__________424" localSheetId="6">'[1]AN-K'!#REF!</definedName>
    <definedName name="__________424" localSheetId="7">'[1]AN-K'!#REF!</definedName>
    <definedName name="__________424" localSheetId="8">'[1]AN-K'!#REF!</definedName>
    <definedName name="__________424">'[1]AN-K'!#REF!</definedName>
    <definedName name="__________514" localSheetId="10">'[1]AN-K'!#REF!</definedName>
    <definedName name="__________514" localSheetId="5">'[1]AN-K'!#REF!</definedName>
    <definedName name="__________514" localSheetId="6">'[1]AN-K'!#REF!</definedName>
    <definedName name="__________514" localSheetId="7">'[1]AN-K'!#REF!</definedName>
    <definedName name="__________514" localSheetId="8">'[1]AN-K'!#REF!</definedName>
    <definedName name="__________514">'[1]AN-K'!#REF!</definedName>
    <definedName name="__________515" localSheetId="10">'[1]AN-K'!#REF!</definedName>
    <definedName name="__________515" localSheetId="5">'[1]AN-K'!#REF!</definedName>
    <definedName name="__________515" localSheetId="6">'[1]AN-K'!#REF!</definedName>
    <definedName name="__________515" localSheetId="7">'[1]AN-K'!#REF!</definedName>
    <definedName name="__________515" localSheetId="8">'[1]AN-K'!#REF!</definedName>
    <definedName name="__________515">'[1]AN-K'!#REF!</definedName>
    <definedName name="__________522" localSheetId="10">'[1]AN-K'!#REF!</definedName>
    <definedName name="__________522" localSheetId="5">'[1]AN-K'!#REF!</definedName>
    <definedName name="__________522" localSheetId="6">'[1]AN-K'!#REF!</definedName>
    <definedName name="__________522" localSheetId="7">'[1]AN-K'!#REF!</definedName>
    <definedName name="__________522" localSheetId="8">'[1]AN-K'!#REF!</definedName>
    <definedName name="__________522">'[1]AN-K'!#REF!</definedName>
    <definedName name="__________523" localSheetId="10">'[1]AN-K'!#REF!</definedName>
    <definedName name="__________523" localSheetId="5">'[1]AN-K'!#REF!</definedName>
    <definedName name="__________523" localSheetId="6">'[1]AN-K'!#REF!</definedName>
    <definedName name="__________523" localSheetId="7">'[1]AN-K'!#REF!</definedName>
    <definedName name="__________523" localSheetId="8">'[1]AN-K'!#REF!</definedName>
    <definedName name="__________523">'[1]AN-K'!#REF!</definedName>
    <definedName name="__________618" localSheetId="10">'[1]AN-K'!#REF!</definedName>
    <definedName name="__________618" localSheetId="5">'[1]AN-K'!#REF!</definedName>
    <definedName name="__________618" localSheetId="6">'[1]AN-K'!#REF!</definedName>
    <definedName name="__________618" localSheetId="7">'[1]AN-K'!#REF!</definedName>
    <definedName name="__________618" localSheetId="8">'[1]AN-K'!#REF!</definedName>
    <definedName name="__________618">'[1]AN-K'!#REF!</definedName>
    <definedName name="__________710" localSheetId="10">'[1]AN-K'!#REF!</definedName>
    <definedName name="__________710" localSheetId="5">'[1]AN-K'!#REF!</definedName>
    <definedName name="__________710" localSheetId="6">'[1]AN-K'!#REF!</definedName>
    <definedName name="__________710" localSheetId="7">'[1]AN-K'!#REF!</definedName>
    <definedName name="__________710" localSheetId="8">'[1]AN-K'!#REF!</definedName>
    <definedName name="__________710">'[1]AN-K'!#REF!</definedName>
    <definedName name="__________715" localSheetId="10">'[1]AN-K'!#REF!</definedName>
    <definedName name="__________715" localSheetId="5">'[1]AN-K'!#REF!</definedName>
    <definedName name="__________715" localSheetId="6">'[1]AN-K'!#REF!</definedName>
    <definedName name="__________715" localSheetId="7">'[1]AN-K'!#REF!</definedName>
    <definedName name="__________715" localSheetId="8">'[1]AN-K'!#REF!</definedName>
    <definedName name="__________715">'[1]AN-K'!#REF!</definedName>
    <definedName name="__________720" localSheetId="10">'[1]AN-K'!#REF!</definedName>
    <definedName name="__________720" localSheetId="5">'[1]AN-K'!#REF!</definedName>
    <definedName name="__________720" localSheetId="6">'[1]AN-K'!#REF!</definedName>
    <definedName name="__________720" localSheetId="7">'[1]AN-K'!#REF!</definedName>
    <definedName name="__________720" localSheetId="8">'[1]AN-K'!#REF!</definedName>
    <definedName name="__________720">'[1]AN-K'!#REF!</definedName>
    <definedName name="__________722" localSheetId="10">'[1]AN-K'!#REF!</definedName>
    <definedName name="__________722" localSheetId="5">'[1]AN-K'!#REF!</definedName>
    <definedName name="__________722" localSheetId="6">'[1]AN-K'!#REF!</definedName>
    <definedName name="__________722" localSheetId="7">'[1]AN-K'!#REF!</definedName>
    <definedName name="__________722" localSheetId="8">'[1]AN-K'!#REF!</definedName>
    <definedName name="__________722">'[1]AN-K'!#REF!</definedName>
    <definedName name="__________725" localSheetId="10">'[1]AN-K'!#REF!</definedName>
    <definedName name="__________725" localSheetId="5">'[1]AN-K'!#REF!</definedName>
    <definedName name="__________725" localSheetId="6">'[1]AN-K'!#REF!</definedName>
    <definedName name="__________725" localSheetId="7">'[1]AN-K'!#REF!</definedName>
    <definedName name="__________725" localSheetId="8">'[1]AN-K'!#REF!</definedName>
    <definedName name="__________725">'[1]AN-K'!#REF!</definedName>
    <definedName name="__________810" localSheetId="10">'[1]AN-K'!#REF!</definedName>
    <definedName name="__________810" localSheetId="5">'[1]AN-K'!#REF!</definedName>
    <definedName name="__________810" localSheetId="6">'[1]AN-K'!#REF!</definedName>
    <definedName name="__________810" localSheetId="7">'[1]AN-K'!#REF!</definedName>
    <definedName name="__________810" localSheetId="8">'[1]AN-K'!#REF!</definedName>
    <definedName name="__________810">'[1]AN-K'!#REF!</definedName>
    <definedName name="__________815" localSheetId="10">'[1]AN-K'!#REF!</definedName>
    <definedName name="__________815" localSheetId="5">'[1]AN-K'!#REF!</definedName>
    <definedName name="__________815" localSheetId="6">'[1]AN-K'!#REF!</definedName>
    <definedName name="__________815" localSheetId="7">'[1]AN-K'!#REF!</definedName>
    <definedName name="__________815" localSheetId="8">'[1]AN-K'!#REF!</definedName>
    <definedName name="__________815">'[1]AN-K'!#REF!</definedName>
    <definedName name="__________880" localSheetId="10">'[1]AN-K'!#REF!</definedName>
    <definedName name="__________880" localSheetId="5">'[1]AN-K'!#REF!</definedName>
    <definedName name="__________880" localSheetId="6">'[1]AN-K'!#REF!</definedName>
    <definedName name="__________880" localSheetId="7">'[1]AN-K'!#REF!</definedName>
    <definedName name="__________880" localSheetId="8">'[1]AN-K'!#REF!</definedName>
    <definedName name="__________880">'[1]AN-K'!#REF!</definedName>
    <definedName name="__________HPS1" localSheetId="10">[2]inst1!#REF!</definedName>
    <definedName name="__________HPS1" localSheetId="5">[2]inst1!#REF!</definedName>
    <definedName name="__________HPS1" localSheetId="6">[2]inst1!#REF!</definedName>
    <definedName name="__________HPS1" localSheetId="7">[2]inst1!#REF!</definedName>
    <definedName name="__________HPS1" localSheetId="8">[2]inst1!#REF!</definedName>
    <definedName name="__________HPS1">[2]inst1!#REF!</definedName>
    <definedName name="_________012" localSheetId="10">#REF!</definedName>
    <definedName name="_________012" localSheetId="5">#REF!</definedName>
    <definedName name="_________012" localSheetId="6">#REF!</definedName>
    <definedName name="_________012" localSheetId="7">#REF!</definedName>
    <definedName name="_________012" localSheetId="8">#REF!</definedName>
    <definedName name="_________012">#REF!</definedName>
    <definedName name="_________018" localSheetId="10">'[1]AN-K'!#REF!</definedName>
    <definedName name="_________018" localSheetId="5">'[1]AN-K'!#REF!</definedName>
    <definedName name="_________018" localSheetId="6">'[1]AN-K'!#REF!</definedName>
    <definedName name="_________018" localSheetId="7">'[1]AN-K'!#REF!</definedName>
    <definedName name="_________018" localSheetId="8">'[1]AN-K'!#REF!</definedName>
    <definedName name="_________018">'[1]AN-K'!#REF!</definedName>
    <definedName name="_________026" localSheetId="10">'[1]AN-K'!#REF!</definedName>
    <definedName name="_________026" localSheetId="5">'[1]AN-K'!#REF!</definedName>
    <definedName name="_________026" localSheetId="6">'[1]AN-K'!#REF!</definedName>
    <definedName name="_________026" localSheetId="7">'[1]AN-K'!#REF!</definedName>
    <definedName name="_________026" localSheetId="8">'[1]AN-K'!#REF!</definedName>
    <definedName name="_________026">'[1]AN-K'!#REF!</definedName>
    <definedName name="_________035" localSheetId="10">'[1]AN-K'!#REF!</definedName>
    <definedName name="_________035" localSheetId="5">'[1]AN-K'!#REF!</definedName>
    <definedName name="_________035" localSheetId="6">'[1]AN-K'!#REF!</definedName>
    <definedName name="_________035" localSheetId="7">'[1]AN-K'!#REF!</definedName>
    <definedName name="_________035" localSheetId="8">'[1]AN-K'!#REF!</definedName>
    <definedName name="_________035">'[1]AN-K'!#REF!</definedName>
    <definedName name="_________320" localSheetId="10">#REF!</definedName>
    <definedName name="_________320" localSheetId="5">#REF!</definedName>
    <definedName name="_________320" localSheetId="6">#REF!</definedName>
    <definedName name="_________320" localSheetId="7">#REF!</definedName>
    <definedName name="_________320" localSheetId="8">#REF!</definedName>
    <definedName name="_________320">#REF!</definedName>
    <definedName name="_________422" localSheetId="10">#REF!</definedName>
    <definedName name="_________422" localSheetId="5">#REF!</definedName>
    <definedName name="_________422" localSheetId="6">#REF!</definedName>
    <definedName name="_________422" localSheetId="7">#REF!</definedName>
    <definedName name="_________422" localSheetId="8">#REF!</definedName>
    <definedName name="_________422">#REF!</definedName>
    <definedName name="_________512" localSheetId="10">'[1]AN-K'!#REF!</definedName>
    <definedName name="_________512" localSheetId="5">'[1]AN-K'!#REF!</definedName>
    <definedName name="_________512" localSheetId="6">'[1]AN-K'!#REF!</definedName>
    <definedName name="_________512" localSheetId="7">'[1]AN-K'!#REF!</definedName>
    <definedName name="_________512" localSheetId="8">'[1]AN-K'!#REF!</definedName>
    <definedName name="_________512">'[1]AN-K'!#REF!</definedName>
    <definedName name="_________516" localSheetId="10">#REF!</definedName>
    <definedName name="_________516" localSheetId="5">#REF!</definedName>
    <definedName name="_________516" localSheetId="6">#REF!</definedName>
    <definedName name="_________516" localSheetId="7">#REF!</definedName>
    <definedName name="_________516" localSheetId="8">#REF!</definedName>
    <definedName name="_________516">#REF!</definedName>
    <definedName name="_________520" localSheetId="10">'[1]AN-K'!#REF!</definedName>
    <definedName name="_________520" localSheetId="5">'[1]AN-K'!#REF!</definedName>
    <definedName name="_________520" localSheetId="6">'[1]AN-K'!#REF!</definedName>
    <definedName name="_________520" localSheetId="7">'[1]AN-K'!#REF!</definedName>
    <definedName name="_________520" localSheetId="8">'[1]AN-K'!#REF!</definedName>
    <definedName name="_________520">'[1]AN-K'!#REF!</definedName>
    <definedName name="_________619" localSheetId="10">'[1]AN-K'!#REF!</definedName>
    <definedName name="_________619" localSheetId="5">'[1]AN-K'!#REF!</definedName>
    <definedName name="_________619" localSheetId="6">'[1]AN-K'!#REF!</definedName>
    <definedName name="_________619" localSheetId="7">'[1]AN-K'!#REF!</definedName>
    <definedName name="_________619" localSheetId="8">'[1]AN-K'!#REF!</definedName>
    <definedName name="_________619">'[1]AN-K'!#REF!</definedName>
    <definedName name="_________620" localSheetId="10">'[1]AN-K'!#REF!</definedName>
    <definedName name="_________620" localSheetId="5">'[1]AN-K'!#REF!</definedName>
    <definedName name="_________620" localSheetId="6">'[1]AN-K'!#REF!</definedName>
    <definedName name="_________620" localSheetId="7">'[1]AN-K'!#REF!</definedName>
    <definedName name="_________620" localSheetId="8">'[1]AN-K'!#REF!</definedName>
    <definedName name="_________620">'[1]AN-K'!#REF!</definedName>
    <definedName name="_________636" localSheetId="10">'[1]AN-K'!#REF!</definedName>
    <definedName name="_________636" localSheetId="5">'[1]AN-K'!#REF!</definedName>
    <definedName name="_________636" localSheetId="6">'[1]AN-K'!#REF!</definedName>
    <definedName name="_________636" localSheetId="7">'[1]AN-K'!#REF!</definedName>
    <definedName name="_________636" localSheetId="8">'[1]AN-K'!#REF!</definedName>
    <definedName name="_________636">'[1]AN-K'!#REF!</definedName>
    <definedName name="_________641" localSheetId="10">'[1]AN-K'!#REF!</definedName>
    <definedName name="_________641" localSheetId="5">'[1]AN-K'!#REF!</definedName>
    <definedName name="_________641" localSheetId="6">'[1]AN-K'!#REF!</definedName>
    <definedName name="_________641" localSheetId="7">'[1]AN-K'!#REF!</definedName>
    <definedName name="_________641" localSheetId="8">'[1]AN-K'!#REF!</definedName>
    <definedName name="_________641">'[1]AN-K'!#REF!</definedName>
    <definedName name="_________HPS1" localSheetId="10">[3]inst1!#REF!</definedName>
    <definedName name="_________HPS1" localSheetId="5">[3]inst1!#REF!</definedName>
    <definedName name="_________HPS1" localSheetId="6">[3]inst1!#REF!</definedName>
    <definedName name="_________HPS1" localSheetId="7">[3]inst1!#REF!</definedName>
    <definedName name="_________HPS1" localSheetId="8">[3]inst1!#REF!</definedName>
    <definedName name="_________HPS1">[3]inst1!#REF!</definedName>
    <definedName name="_________K23" localSheetId="10">'[1]AN-K'!#REF!</definedName>
    <definedName name="_________K23" localSheetId="5">'[1]AN-K'!#REF!</definedName>
    <definedName name="_________K23" localSheetId="6">'[1]AN-K'!#REF!</definedName>
    <definedName name="_________K23" localSheetId="7">'[1]AN-K'!#REF!</definedName>
    <definedName name="_________K23" localSheetId="8">'[1]AN-K'!#REF!</definedName>
    <definedName name="_________K23">'[1]AN-K'!#REF!</definedName>
    <definedName name="_________RAB1" localSheetId="10">#REF!</definedName>
    <definedName name="_________RAB1" localSheetId="5">#REF!</definedName>
    <definedName name="_________RAB1" localSheetId="6">#REF!</definedName>
    <definedName name="_________RAB1" localSheetId="7">#REF!</definedName>
    <definedName name="_________RAB1" localSheetId="8">#REF!</definedName>
    <definedName name="_________RAB1">#REF!</definedName>
    <definedName name="_________RAB2" localSheetId="10">#REF!</definedName>
    <definedName name="_________RAB2" localSheetId="5">#REF!</definedName>
    <definedName name="_________RAB2" localSheetId="6">#REF!</definedName>
    <definedName name="_________RAB2" localSheetId="7">#REF!</definedName>
    <definedName name="_________RAB2" localSheetId="8">#REF!</definedName>
    <definedName name="_________RAB2">#REF!</definedName>
    <definedName name="_________VOL1" localSheetId="10">#REF!</definedName>
    <definedName name="_________VOL1" localSheetId="5">#REF!</definedName>
    <definedName name="_________VOL1" localSheetId="6">#REF!</definedName>
    <definedName name="_________VOL1" localSheetId="7">#REF!</definedName>
    <definedName name="_________VOL1" localSheetId="8">#REF!</definedName>
    <definedName name="_________VOL1">#REF!</definedName>
    <definedName name="________012" localSheetId="10">#REF!</definedName>
    <definedName name="________012" localSheetId="5">#REF!</definedName>
    <definedName name="________012" localSheetId="6">#REF!</definedName>
    <definedName name="________012" localSheetId="7">#REF!</definedName>
    <definedName name="________012" localSheetId="8">#REF!</definedName>
    <definedName name="________012">#REF!</definedName>
    <definedName name="________013" localSheetId="10">'[1]AN-K'!#REF!</definedName>
    <definedName name="________013" localSheetId="5">'[1]AN-K'!#REF!</definedName>
    <definedName name="________013" localSheetId="6">'[1]AN-K'!#REF!</definedName>
    <definedName name="________013" localSheetId="7">'[1]AN-K'!#REF!</definedName>
    <definedName name="________013" localSheetId="8">'[1]AN-K'!#REF!</definedName>
    <definedName name="________013">'[1]AN-K'!#REF!</definedName>
    <definedName name="________016" localSheetId="10">'[1]AN-K'!#REF!</definedName>
    <definedName name="________016" localSheetId="5">'[1]AN-K'!#REF!</definedName>
    <definedName name="________016" localSheetId="6">'[1]AN-K'!#REF!</definedName>
    <definedName name="________016" localSheetId="7">'[1]AN-K'!#REF!</definedName>
    <definedName name="________016" localSheetId="8">'[1]AN-K'!#REF!</definedName>
    <definedName name="________016">'[1]AN-K'!#REF!</definedName>
    <definedName name="________017" localSheetId="10">'[1]AN-K'!#REF!</definedName>
    <definedName name="________017" localSheetId="5">'[1]AN-K'!#REF!</definedName>
    <definedName name="________017" localSheetId="6">'[1]AN-K'!#REF!</definedName>
    <definedName name="________017" localSheetId="7">'[1]AN-K'!#REF!</definedName>
    <definedName name="________017" localSheetId="8">'[1]AN-K'!#REF!</definedName>
    <definedName name="________017">'[1]AN-K'!#REF!</definedName>
    <definedName name="________110" localSheetId="10">'[1]AN-K'!#REF!</definedName>
    <definedName name="________110" localSheetId="5">'[1]AN-K'!#REF!</definedName>
    <definedName name="________110" localSheetId="6">'[1]AN-K'!#REF!</definedName>
    <definedName name="________110" localSheetId="7">'[1]AN-K'!#REF!</definedName>
    <definedName name="________110" localSheetId="8">'[1]AN-K'!#REF!</definedName>
    <definedName name="________110">'[1]AN-K'!#REF!</definedName>
    <definedName name="________210" localSheetId="10">'[1]AN-K'!#REF!</definedName>
    <definedName name="________210" localSheetId="5">'[1]AN-K'!#REF!</definedName>
    <definedName name="________210" localSheetId="6">'[1]AN-K'!#REF!</definedName>
    <definedName name="________210" localSheetId="7">'[1]AN-K'!#REF!</definedName>
    <definedName name="________210" localSheetId="8">'[1]AN-K'!#REF!</definedName>
    <definedName name="________210">'[1]AN-K'!#REF!</definedName>
    <definedName name="________224" localSheetId="10">'[1]AN-K'!#REF!</definedName>
    <definedName name="________224" localSheetId="5">'[1]AN-K'!#REF!</definedName>
    <definedName name="________224" localSheetId="6">'[1]AN-K'!#REF!</definedName>
    <definedName name="________224" localSheetId="7">'[1]AN-K'!#REF!</definedName>
    <definedName name="________224" localSheetId="8">'[1]AN-K'!#REF!</definedName>
    <definedName name="________224">'[1]AN-K'!#REF!</definedName>
    <definedName name="________225" localSheetId="10">'[1]AN-K'!#REF!</definedName>
    <definedName name="________225" localSheetId="5">'[1]AN-K'!#REF!</definedName>
    <definedName name="________225" localSheetId="6">'[1]AN-K'!#REF!</definedName>
    <definedName name="________225" localSheetId="7">'[1]AN-K'!#REF!</definedName>
    <definedName name="________225" localSheetId="8">'[1]AN-K'!#REF!</definedName>
    <definedName name="________225">'[1]AN-K'!#REF!</definedName>
    <definedName name="________310" localSheetId="10">'[1]AN-K'!#REF!</definedName>
    <definedName name="________310" localSheetId="5">'[1]AN-K'!#REF!</definedName>
    <definedName name="________310" localSheetId="6">'[1]AN-K'!#REF!</definedName>
    <definedName name="________310" localSheetId="7">'[1]AN-K'!#REF!</definedName>
    <definedName name="________310" localSheetId="8">'[1]AN-K'!#REF!</definedName>
    <definedName name="________310">'[1]AN-K'!#REF!</definedName>
    <definedName name="________311" localSheetId="10">'[1]AN-K'!#REF!</definedName>
    <definedName name="________311" localSheetId="5">'[1]AN-K'!#REF!</definedName>
    <definedName name="________311" localSheetId="6">'[1]AN-K'!#REF!</definedName>
    <definedName name="________311" localSheetId="7">'[1]AN-K'!#REF!</definedName>
    <definedName name="________311" localSheetId="8">'[1]AN-K'!#REF!</definedName>
    <definedName name="________311">'[1]AN-K'!#REF!</definedName>
    <definedName name="________320" localSheetId="10">#REF!</definedName>
    <definedName name="________320" localSheetId="5">#REF!</definedName>
    <definedName name="________320" localSheetId="6">#REF!</definedName>
    <definedName name="________320" localSheetId="7">#REF!</definedName>
    <definedName name="________320" localSheetId="8">#REF!</definedName>
    <definedName name="________320">#REF!</definedName>
    <definedName name="________321" localSheetId="10">'[1]AN-K'!#REF!</definedName>
    <definedName name="________321" localSheetId="5">'[1]AN-K'!#REF!</definedName>
    <definedName name="________321" localSheetId="6">'[1]AN-K'!#REF!</definedName>
    <definedName name="________321" localSheetId="7">'[1]AN-K'!#REF!</definedName>
    <definedName name="________321" localSheetId="8">'[1]AN-K'!#REF!</definedName>
    <definedName name="________321">'[1]AN-K'!#REF!</definedName>
    <definedName name="________341" localSheetId="10">'[1]AN-K'!#REF!</definedName>
    <definedName name="________341" localSheetId="5">'[1]AN-K'!#REF!</definedName>
    <definedName name="________341" localSheetId="6">'[1]AN-K'!#REF!</definedName>
    <definedName name="________341" localSheetId="7">'[1]AN-K'!#REF!</definedName>
    <definedName name="________341" localSheetId="8">'[1]AN-K'!#REF!</definedName>
    <definedName name="________341">'[1]AN-K'!#REF!</definedName>
    <definedName name="________342" localSheetId="10">'[1]AN-K'!#REF!</definedName>
    <definedName name="________342" localSheetId="5">'[1]AN-K'!#REF!</definedName>
    <definedName name="________342" localSheetId="6">'[1]AN-K'!#REF!</definedName>
    <definedName name="________342" localSheetId="7">'[1]AN-K'!#REF!</definedName>
    <definedName name="________342" localSheetId="8">'[1]AN-K'!#REF!</definedName>
    <definedName name="________342">'[1]AN-K'!#REF!</definedName>
    <definedName name="________410" localSheetId="10">'[1]AN-K'!#REF!</definedName>
    <definedName name="________410" localSheetId="5">'[1]AN-K'!#REF!</definedName>
    <definedName name="________410" localSheetId="6">'[1]AN-K'!#REF!</definedName>
    <definedName name="________410" localSheetId="7">'[1]AN-K'!#REF!</definedName>
    <definedName name="________410" localSheetId="8">'[1]AN-K'!#REF!</definedName>
    <definedName name="________410">'[1]AN-K'!#REF!</definedName>
    <definedName name="________411" localSheetId="10">'[1]AN-K'!#REF!</definedName>
    <definedName name="________411" localSheetId="5">'[1]AN-K'!#REF!</definedName>
    <definedName name="________411" localSheetId="6">'[1]AN-K'!#REF!</definedName>
    <definedName name="________411" localSheetId="7">'[1]AN-K'!#REF!</definedName>
    <definedName name="________411" localSheetId="8">'[1]AN-K'!#REF!</definedName>
    <definedName name="________411">'[1]AN-K'!#REF!</definedName>
    <definedName name="________420" localSheetId="10">'[1]AN-K'!#REF!</definedName>
    <definedName name="________420" localSheetId="5">'[1]AN-K'!#REF!</definedName>
    <definedName name="________420" localSheetId="6">'[1]AN-K'!#REF!</definedName>
    <definedName name="________420" localSheetId="7">'[1]AN-K'!#REF!</definedName>
    <definedName name="________420" localSheetId="8">'[1]AN-K'!#REF!</definedName>
    <definedName name="________420">'[1]AN-K'!#REF!</definedName>
    <definedName name="________422" localSheetId="10">#REF!</definedName>
    <definedName name="________422" localSheetId="5">#REF!</definedName>
    <definedName name="________422" localSheetId="6">#REF!</definedName>
    <definedName name="________422" localSheetId="7">#REF!</definedName>
    <definedName name="________422" localSheetId="8">#REF!</definedName>
    <definedName name="________422">#REF!</definedName>
    <definedName name="________423" localSheetId="10">'[1]AN-K'!#REF!</definedName>
    <definedName name="________423" localSheetId="5">'[1]AN-K'!#REF!</definedName>
    <definedName name="________423" localSheetId="6">'[1]AN-K'!#REF!</definedName>
    <definedName name="________423" localSheetId="7">'[1]AN-K'!#REF!</definedName>
    <definedName name="________423" localSheetId="8">'[1]AN-K'!#REF!</definedName>
    <definedName name="________423">'[1]AN-K'!#REF!</definedName>
    <definedName name="________424" localSheetId="10">'[1]AN-K'!#REF!</definedName>
    <definedName name="________424" localSheetId="5">'[1]AN-K'!#REF!</definedName>
    <definedName name="________424" localSheetId="6">'[1]AN-K'!#REF!</definedName>
    <definedName name="________424" localSheetId="7">'[1]AN-K'!#REF!</definedName>
    <definedName name="________424" localSheetId="8">'[1]AN-K'!#REF!</definedName>
    <definedName name="________424">'[1]AN-K'!#REF!</definedName>
    <definedName name="________514" localSheetId="10">'[1]AN-K'!#REF!</definedName>
    <definedName name="________514" localSheetId="5">'[1]AN-K'!#REF!</definedName>
    <definedName name="________514" localSheetId="6">'[1]AN-K'!#REF!</definedName>
    <definedName name="________514" localSheetId="7">'[1]AN-K'!#REF!</definedName>
    <definedName name="________514" localSheetId="8">'[1]AN-K'!#REF!</definedName>
    <definedName name="________514">'[1]AN-K'!#REF!</definedName>
    <definedName name="________515" localSheetId="10">'[1]AN-K'!#REF!</definedName>
    <definedName name="________515" localSheetId="5">'[1]AN-K'!#REF!</definedName>
    <definedName name="________515" localSheetId="6">'[1]AN-K'!#REF!</definedName>
    <definedName name="________515" localSheetId="7">'[1]AN-K'!#REF!</definedName>
    <definedName name="________515" localSheetId="8">'[1]AN-K'!#REF!</definedName>
    <definedName name="________515">'[1]AN-K'!#REF!</definedName>
    <definedName name="________516" localSheetId="10">#REF!</definedName>
    <definedName name="________516" localSheetId="5">#REF!</definedName>
    <definedName name="________516" localSheetId="6">#REF!</definedName>
    <definedName name="________516" localSheetId="7">#REF!</definedName>
    <definedName name="________516" localSheetId="8">#REF!</definedName>
    <definedName name="________516">#REF!</definedName>
    <definedName name="________522" localSheetId="10">'[1]AN-K'!#REF!</definedName>
    <definedName name="________522" localSheetId="5">'[1]AN-K'!#REF!</definedName>
    <definedName name="________522" localSheetId="6">'[1]AN-K'!#REF!</definedName>
    <definedName name="________522" localSheetId="7">'[1]AN-K'!#REF!</definedName>
    <definedName name="________522" localSheetId="8">'[1]AN-K'!#REF!</definedName>
    <definedName name="________522">'[1]AN-K'!#REF!</definedName>
    <definedName name="________523" localSheetId="10">'[1]AN-K'!#REF!</definedName>
    <definedName name="________523" localSheetId="5">'[1]AN-K'!#REF!</definedName>
    <definedName name="________523" localSheetId="6">'[1]AN-K'!#REF!</definedName>
    <definedName name="________523" localSheetId="7">'[1]AN-K'!#REF!</definedName>
    <definedName name="________523" localSheetId="8">'[1]AN-K'!#REF!</definedName>
    <definedName name="________523">'[1]AN-K'!#REF!</definedName>
    <definedName name="________618" localSheetId="10">'[1]AN-K'!#REF!</definedName>
    <definedName name="________618" localSheetId="5">'[1]AN-K'!#REF!</definedName>
    <definedName name="________618" localSheetId="6">'[1]AN-K'!#REF!</definedName>
    <definedName name="________618" localSheetId="7">'[1]AN-K'!#REF!</definedName>
    <definedName name="________618" localSheetId="8">'[1]AN-K'!#REF!</definedName>
    <definedName name="________618">'[1]AN-K'!#REF!</definedName>
    <definedName name="________710" localSheetId="10">'[1]AN-K'!#REF!</definedName>
    <definedName name="________710" localSheetId="5">'[1]AN-K'!#REF!</definedName>
    <definedName name="________710" localSheetId="6">'[1]AN-K'!#REF!</definedName>
    <definedName name="________710" localSheetId="7">'[1]AN-K'!#REF!</definedName>
    <definedName name="________710" localSheetId="8">'[1]AN-K'!#REF!</definedName>
    <definedName name="________710">'[1]AN-K'!#REF!</definedName>
    <definedName name="________715" localSheetId="10">'[1]AN-K'!#REF!</definedName>
    <definedName name="________715" localSheetId="5">'[1]AN-K'!#REF!</definedName>
    <definedName name="________715" localSheetId="6">'[1]AN-K'!#REF!</definedName>
    <definedName name="________715" localSheetId="7">'[1]AN-K'!#REF!</definedName>
    <definedName name="________715" localSheetId="8">'[1]AN-K'!#REF!</definedName>
    <definedName name="________715">'[1]AN-K'!#REF!</definedName>
    <definedName name="________720" localSheetId="10">'[1]AN-K'!#REF!</definedName>
    <definedName name="________720" localSheetId="5">'[1]AN-K'!#REF!</definedName>
    <definedName name="________720" localSheetId="6">'[1]AN-K'!#REF!</definedName>
    <definedName name="________720" localSheetId="7">'[1]AN-K'!#REF!</definedName>
    <definedName name="________720" localSheetId="8">'[1]AN-K'!#REF!</definedName>
    <definedName name="________720">'[1]AN-K'!#REF!</definedName>
    <definedName name="________722" localSheetId="10">'[1]AN-K'!#REF!</definedName>
    <definedName name="________722" localSheetId="5">'[1]AN-K'!#REF!</definedName>
    <definedName name="________722" localSheetId="6">'[1]AN-K'!#REF!</definedName>
    <definedName name="________722" localSheetId="7">'[1]AN-K'!#REF!</definedName>
    <definedName name="________722" localSheetId="8">'[1]AN-K'!#REF!</definedName>
    <definedName name="________722">'[1]AN-K'!#REF!</definedName>
    <definedName name="________725" localSheetId="10">'[1]AN-K'!#REF!</definedName>
    <definedName name="________725" localSheetId="5">'[1]AN-K'!#REF!</definedName>
    <definedName name="________725" localSheetId="6">'[1]AN-K'!#REF!</definedName>
    <definedName name="________725" localSheetId="7">'[1]AN-K'!#REF!</definedName>
    <definedName name="________725" localSheetId="8">'[1]AN-K'!#REF!</definedName>
    <definedName name="________725">'[1]AN-K'!#REF!</definedName>
    <definedName name="________810" localSheetId="10">'[1]AN-K'!#REF!</definedName>
    <definedName name="________810" localSheetId="5">'[1]AN-K'!#REF!</definedName>
    <definedName name="________810" localSheetId="6">'[1]AN-K'!#REF!</definedName>
    <definedName name="________810" localSheetId="7">'[1]AN-K'!#REF!</definedName>
    <definedName name="________810" localSheetId="8">'[1]AN-K'!#REF!</definedName>
    <definedName name="________810">'[1]AN-K'!#REF!</definedName>
    <definedName name="________815" localSheetId="10">'[1]AN-K'!#REF!</definedName>
    <definedName name="________815" localSheetId="5">'[1]AN-K'!#REF!</definedName>
    <definedName name="________815" localSheetId="6">'[1]AN-K'!#REF!</definedName>
    <definedName name="________815" localSheetId="7">'[1]AN-K'!#REF!</definedName>
    <definedName name="________815" localSheetId="8">'[1]AN-K'!#REF!</definedName>
    <definedName name="________815">'[1]AN-K'!#REF!</definedName>
    <definedName name="________880" localSheetId="10">'[1]AN-K'!#REF!</definedName>
    <definedName name="________880" localSheetId="5">'[1]AN-K'!#REF!</definedName>
    <definedName name="________880" localSheetId="6">'[1]AN-K'!#REF!</definedName>
    <definedName name="________880" localSheetId="7">'[1]AN-K'!#REF!</definedName>
    <definedName name="________880" localSheetId="8">'[1]AN-K'!#REF!</definedName>
    <definedName name="________880">'[1]AN-K'!#REF!</definedName>
    <definedName name="________HPS1" localSheetId="10">[3]inst1!#REF!</definedName>
    <definedName name="________HPS1" localSheetId="5">[3]inst1!#REF!</definedName>
    <definedName name="________HPS1" localSheetId="6">[3]inst1!#REF!</definedName>
    <definedName name="________HPS1" localSheetId="7">[3]inst1!#REF!</definedName>
    <definedName name="________HPS1" localSheetId="8">[3]inst1!#REF!</definedName>
    <definedName name="________HPS1">[3]inst1!#REF!</definedName>
    <definedName name="________K23" localSheetId="10">'[4]AN-K'!#REF!</definedName>
    <definedName name="________K23" localSheetId="5">'[4]AN-K'!#REF!</definedName>
    <definedName name="________K23" localSheetId="6">'[4]AN-K'!#REF!</definedName>
    <definedName name="________K23" localSheetId="7">'[4]AN-K'!#REF!</definedName>
    <definedName name="________K23" localSheetId="8">'[4]AN-K'!#REF!</definedName>
    <definedName name="________K23">'[4]AN-K'!#REF!</definedName>
    <definedName name="________RAB1" localSheetId="10">#REF!</definedName>
    <definedName name="________RAB1" localSheetId="5">#REF!</definedName>
    <definedName name="________RAB1" localSheetId="6">#REF!</definedName>
    <definedName name="________RAB1" localSheetId="7">#REF!</definedName>
    <definedName name="________RAB1" localSheetId="8">#REF!</definedName>
    <definedName name="________RAB1">#REF!</definedName>
    <definedName name="________RAB2" localSheetId="10">#REF!</definedName>
    <definedName name="________RAB2" localSheetId="5">#REF!</definedName>
    <definedName name="________RAB2" localSheetId="6">#REF!</definedName>
    <definedName name="________RAB2" localSheetId="7">#REF!</definedName>
    <definedName name="________RAB2" localSheetId="8">#REF!</definedName>
    <definedName name="________RAB2">#REF!</definedName>
    <definedName name="________VOL1" localSheetId="10">#REF!</definedName>
    <definedName name="________VOL1" localSheetId="5">#REF!</definedName>
    <definedName name="________VOL1" localSheetId="6">#REF!</definedName>
    <definedName name="________VOL1" localSheetId="7">#REF!</definedName>
    <definedName name="________VOL1" localSheetId="8">#REF!</definedName>
    <definedName name="________VOL1">#REF!</definedName>
    <definedName name="_______012" localSheetId="10">#REF!</definedName>
    <definedName name="_______012" localSheetId="5">#REF!</definedName>
    <definedName name="_______012" localSheetId="6">#REF!</definedName>
    <definedName name="_______012" localSheetId="7">#REF!</definedName>
    <definedName name="_______012" localSheetId="8">#REF!</definedName>
    <definedName name="_______012">#REF!</definedName>
    <definedName name="_______013" localSheetId="10">'[5]AN-K'!#REF!</definedName>
    <definedName name="_______013" localSheetId="5">'[5]AN-K'!#REF!</definedName>
    <definedName name="_______013" localSheetId="6">'[5]AN-K'!#REF!</definedName>
    <definedName name="_______013" localSheetId="7">'[5]AN-K'!#REF!</definedName>
    <definedName name="_______013" localSheetId="8">'[5]AN-K'!#REF!</definedName>
    <definedName name="_______013">'[5]AN-K'!#REF!</definedName>
    <definedName name="_______016" localSheetId="10">'[5]AN-K'!#REF!</definedName>
    <definedName name="_______016" localSheetId="5">'[5]AN-K'!#REF!</definedName>
    <definedName name="_______016" localSheetId="6">'[5]AN-K'!#REF!</definedName>
    <definedName name="_______016" localSheetId="7">'[5]AN-K'!#REF!</definedName>
    <definedName name="_______016" localSheetId="8">'[5]AN-K'!#REF!</definedName>
    <definedName name="_______016">'[5]AN-K'!#REF!</definedName>
    <definedName name="_______017" localSheetId="10">'[5]AN-K'!#REF!</definedName>
    <definedName name="_______017" localSheetId="5">'[5]AN-K'!#REF!</definedName>
    <definedName name="_______017" localSheetId="6">'[5]AN-K'!#REF!</definedName>
    <definedName name="_______017" localSheetId="7">'[5]AN-K'!#REF!</definedName>
    <definedName name="_______017" localSheetId="8">'[5]AN-K'!#REF!</definedName>
    <definedName name="_______017">'[5]AN-K'!#REF!</definedName>
    <definedName name="_______018" localSheetId="10">'[1]AN-K'!#REF!</definedName>
    <definedName name="_______018" localSheetId="5">'[1]AN-K'!#REF!</definedName>
    <definedName name="_______018" localSheetId="6">'[1]AN-K'!#REF!</definedName>
    <definedName name="_______018" localSheetId="7">'[1]AN-K'!#REF!</definedName>
    <definedName name="_______018" localSheetId="8">'[1]AN-K'!#REF!</definedName>
    <definedName name="_______018">'[1]AN-K'!#REF!</definedName>
    <definedName name="_______026" localSheetId="10">'[1]AN-K'!#REF!</definedName>
    <definedName name="_______026" localSheetId="5">'[1]AN-K'!#REF!</definedName>
    <definedName name="_______026" localSheetId="6">'[1]AN-K'!#REF!</definedName>
    <definedName name="_______026" localSheetId="7">'[1]AN-K'!#REF!</definedName>
    <definedName name="_______026" localSheetId="8">'[1]AN-K'!#REF!</definedName>
    <definedName name="_______026">'[1]AN-K'!#REF!</definedName>
    <definedName name="_______035" localSheetId="10">'[1]AN-K'!#REF!</definedName>
    <definedName name="_______035" localSheetId="5">'[1]AN-K'!#REF!</definedName>
    <definedName name="_______035" localSheetId="6">'[1]AN-K'!#REF!</definedName>
    <definedName name="_______035" localSheetId="7">'[1]AN-K'!#REF!</definedName>
    <definedName name="_______035" localSheetId="8">'[1]AN-K'!#REF!</definedName>
    <definedName name="_______035">'[1]AN-K'!#REF!</definedName>
    <definedName name="_______110" localSheetId="10">'[5]AN-K'!#REF!</definedName>
    <definedName name="_______110" localSheetId="5">'[5]AN-K'!#REF!</definedName>
    <definedName name="_______110" localSheetId="6">'[5]AN-K'!#REF!</definedName>
    <definedName name="_______110" localSheetId="7">'[5]AN-K'!#REF!</definedName>
    <definedName name="_______110" localSheetId="8">'[5]AN-K'!#REF!</definedName>
    <definedName name="_______110">'[5]AN-K'!#REF!</definedName>
    <definedName name="_______210" localSheetId="10">'[5]AN-K'!#REF!</definedName>
    <definedName name="_______210" localSheetId="5">'[5]AN-K'!#REF!</definedName>
    <definedName name="_______210" localSheetId="6">'[5]AN-K'!#REF!</definedName>
    <definedName name="_______210" localSheetId="7">'[5]AN-K'!#REF!</definedName>
    <definedName name="_______210" localSheetId="8">'[5]AN-K'!#REF!</definedName>
    <definedName name="_______210">'[5]AN-K'!#REF!</definedName>
    <definedName name="_______224" localSheetId="10">'[5]AN-K'!#REF!</definedName>
    <definedName name="_______224" localSheetId="5">'[5]AN-K'!#REF!</definedName>
    <definedName name="_______224" localSheetId="6">'[5]AN-K'!#REF!</definedName>
    <definedName name="_______224" localSheetId="7">'[5]AN-K'!#REF!</definedName>
    <definedName name="_______224" localSheetId="8">'[5]AN-K'!#REF!</definedName>
    <definedName name="_______224">'[5]AN-K'!#REF!</definedName>
    <definedName name="_______225" localSheetId="10">'[5]AN-K'!#REF!</definedName>
    <definedName name="_______225" localSheetId="5">'[5]AN-K'!#REF!</definedName>
    <definedName name="_______225" localSheetId="6">'[5]AN-K'!#REF!</definedName>
    <definedName name="_______225" localSheetId="7">'[5]AN-K'!#REF!</definedName>
    <definedName name="_______225" localSheetId="8">'[5]AN-K'!#REF!</definedName>
    <definedName name="_______225">'[5]AN-K'!#REF!</definedName>
    <definedName name="_______310" localSheetId="10">'[5]AN-K'!#REF!</definedName>
    <definedName name="_______310" localSheetId="5">'[5]AN-K'!#REF!</definedName>
    <definedName name="_______310" localSheetId="6">'[5]AN-K'!#REF!</definedName>
    <definedName name="_______310" localSheetId="7">'[5]AN-K'!#REF!</definedName>
    <definedName name="_______310" localSheetId="8">'[5]AN-K'!#REF!</definedName>
    <definedName name="_______310">'[5]AN-K'!#REF!</definedName>
    <definedName name="_______311" localSheetId="10">'[5]AN-K'!#REF!</definedName>
    <definedName name="_______311" localSheetId="5">'[5]AN-K'!#REF!</definedName>
    <definedName name="_______311" localSheetId="6">'[5]AN-K'!#REF!</definedName>
    <definedName name="_______311" localSheetId="7">'[5]AN-K'!#REF!</definedName>
    <definedName name="_______311" localSheetId="8">'[5]AN-K'!#REF!</definedName>
    <definedName name="_______311">'[5]AN-K'!#REF!</definedName>
    <definedName name="_______320" localSheetId="10">#REF!</definedName>
    <definedName name="_______320" localSheetId="5">#REF!</definedName>
    <definedName name="_______320" localSheetId="6">#REF!</definedName>
    <definedName name="_______320" localSheetId="7">#REF!</definedName>
    <definedName name="_______320" localSheetId="8">#REF!</definedName>
    <definedName name="_______320">#REF!</definedName>
    <definedName name="_______321" localSheetId="10">'[5]AN-K'!#REF!</definedName>
    <definedName name="_______321" localSheetId="5">'[5]AN-K'!#REF!</definedName>
    <definedName name="_______321" localSheetId="6">'[5]AN-K'!#REF!</definedName>
    <definedName name="_______321" localSheetId="7">'[5]AN-K'!#REF!</definedName>
    <definedName name="_______321" localSheetId="8">'[5]AN-K'!#REF!</definedName>
    <definedName name="_______321">'[5]AN-K'!#REF!</definedName>
    <definedName name="_______341" localSheetId="10">'[5]AN-K'!#REF!</definedName>
    <definedName name="_______341" localSheetId="5">'[5]AN-K'!#REF!</definedName>
    <definedName name="_______341" localSheetId="6">'[5]AN-K'!#REF!</definedName>
    <definedName name="_______341" localSheetId="7">'[5]AN-K'!#REF!</definedName>
    <definedName name="_______341" localSheetId="8">'[5]AN-K'!#REF!</definedName>
    <definedName name="_______341">'[5]AN-K'!#REF!</definedName>
    <definedName name="_______342" localSheetId="10">'[5]AN-K'!#REF!</definedName>
    <definedName name="_______342" localSheetId="5">'[5]AN-K'!#REF!</definedName>
    <definedName name="_______342" localSheetId="6">'[5]AN-K'!#REF!</definedName>
    <definedName name="_______342" localSheetId="7">'[5]AN-K'!#REF!</definedName>
    <definedName name="_______342" localSheetId="8">'[5]AN-K'!#REF!</definedName>
    <definedName name="_______342">'[5]AN-K'!#REF!</definedName>
    <definedName name="_______410" localSheetId="10">'[5]AN-K'!#REF!</definedName>
    <definedName name="_______410" localSheetId="5">'[5]AN-K'!#REF!</definedName>
    <definedName name="_______410" localSheetId="6">'[5]AN-K'!#REF!</definedName>
    <definedName name="_______410" localSheetId="7">'[5]AN-K'!#REF!</definedName>
    <definedName name="_______410" localSheetId="8">'[5]AN-K'!#REF!</definedName>
    <definedName name="_______410">'[5]AN-K'!#REF!</definedName>
    <definedName name="_______411" localSheetId="10">'[5]AN-K'!#REF!</definedName>
    <definedName name="_______411" localSheetId="5">'[5]AN-K'!#REF!</definedName>
    <definedName name="_______411" localSheetId="6">'[5]AN-K'!#REF!</definedName>
    <definedName name="_______411" localSheetId="7">'[5]AN-K'!#REF!</definedName>
    <definedName name="_______411" localSheetId="8">'[5]AN-K'!#REF!</definedName>
    <definedName name="_______411">'[5]AN-K'!#REF!</definedName>
    <definedName name="_______420" localSheetId="10">'[5]AN-K'!#REF!</definedName>
    <definedName name="_______420" localSheetId="5">'[5]AN-K'!#REF!</definedName>
    <definedName name="_______420" localSheetId="6">'[5]AN-K'!#REF!</definedName>
    <definedName name="_______420" localSheetId="7">'[5]AN-K'!#REF!</definedName>
    <definedName name="_______420" localSheetId="8">'[5]AN-K'!#REF!</definedName>
    <definedName name="_______420">'[5]AN-K'!#REF!</definedName>
    <definedName name="_______422" localSheetId="10">#REF!</definedName>
    <definedName name="_______422" localSheetId="5">#REF!</definedName>
    <definedName name="_______422" localSheetId="6">#REF!</definedName>
    <definedName name="_______422" localSheetId="7">#REF!</definedName>
    <definedName name="_______422" localSheetId="8">#REF!</definedName>
    <definedName name="_______422">#REF!</definedName>
    <definedName name="_______423" localSheetId="10">'[5]AN-K'!#REF!</definedName>
    <definedName name="_______423" localSheetId="5">'[5]AN-K'!#REF!</definedName>
    <definedName name="_______423" localSheetId="6">'[5]AN-K'!#REF!</definedName>
    <definedName name="_______423" localSheetId="7">'[5]AN-K'!#REF!</definedName>
    <definedName name="_______423" localSheetId="8">'[5]AN-K'!#REF!</definedName>
    <definedName name="_______423">'[5]AN-K'!#REF!</definedName>
    <definedName name="_______424" localSheetId="10">'[5]AN-K'!#REF!</definedName>
    <definedName name="_______424" localSheetId="5">'[5]AN-K'!#REF!</definedName>
    <definedName name="_______424" localSheetId="6">'[5]AN-K'!#REF!</definedName>
    <definedName name="_______424" localSheetId="7">'[5]AN-K'!#REF!</definedName>
    <definedName name="_______424" localSheetId="8">'[5]AN-K'!#REF!</definedName>
    <definedName name="_______424">'[5]AN-K'!#REF!</definedName>
    <definedName name="_______512" localSheetId="10">'[1]AN-K'!#REF!</definedName>
    <definedName name="_______512" localSheetId="5">'[1]AN-K'!#REF!</definedName>
    <definedName name="_______512" localSheetId="6">'[1]AN-K'!#REF!</definedName>
    <definedName name="_______512" localSheetId="7">'[1]AN-K'!#REF!</definedName>
    <definedName name="_______512" localSheetId="8">'[1]AN-K'!#REF!</definedName>
    <definedName name="_______512">'[1]AN-K'!#REF!</definedName>
    <definedName name="_______514" localSheetId="10">'[5]AN-K'!#REF!</definedName>
    <definedName name="_______514" localSheetId="5">'[5]AN-K'!#REF!</definedName>
    <definedName name="_______514" localSheetId="6">'[5]AN-K'!#REF!</definedName>
    <definedName name="_______514" localSheetId="7">'[5]AN-K'!#REF!</definedName>
    <definedName name="_______514" localSheetId="8">'[5]AN-K'!#REF!</definedName>
    <definedName name="_______514">'[5]AN-K'!#REF!</definedName>
    <definedName name="_______515" localSheetId="10">'[5]AN-K'!#REF!</definedName>
    <definedName name="_______515" localSheetId="5">'[5]AN-K'!#REF!</definedName>
    <definedName name="_______515" localSheetId="6">'[5]AN-K'!#REF!</definedName>
    <definedName name="_______515" localSheetId="7">'[5]AN-K'!#REF!</definedName>
    <definedName name="_______515" localSheetId="8">'[5]AN-K'!#REF!</definedName>
    <definedName name="_______515">'[5]AN-K'!#REF!</definedName>
    <definedName name="_______516" localSheetId="10">#REF!</definedName>
    <definedName name="_______516" localSheetId="5">#REF!</definedName>
    <definedName name="_______516" localSheetId="6">#REF!</definedName>
    <definedName name="_______516" localSheetId="7">#REF!</definedName>
    <definedName name="_______516" localSheetId="8">#REF!</definedName>
    <definedName name="_______516">#REF!</definedName>
    <definedName name="_______520" localSheetId="10">'[1]AN-K'!#REF!</definedName>
    <definedName name="_______520" localSheetId="5">'[1]AN-K'!#REF!</definedName>
    <definedName name="_______520" localSheetId="6">'[1]AN-K'!#REF!</definedName>
    <definedName name="_______520" localSheetId="7">'[1]AN-K'!#REF!</definedName>
    <definedName name="_______520" localSheetId="8">'[1]AN-K'!#REF!</definedName>
    <definedName name="_______520">'[1]AN-K'!#REF!</definedName>
    <definedName name="_______522" localSheetId="10">'[5]AN-K'!#REF!</definedName>
    <definedName name="_______522" localSheetId="5">'[5]AN-K'!#REF!</definedName>
    <definedName name="_______522" localSheetId="6">'[5]AN-K'!#REF!</definedName>
    <definedName name="_______522" localSheetId="7">'[5]AN-K'!#REF!</definedName>
    <definedName name="_______522" localSheetId="8">'[5]AN-K'!#REF!</definedName>
    <definedName name="_______522">'[5]AN-K'!#REF!</definedName>
    <definedName name="_______523" localSheetId="10">'[5]AN-K'!#REF!</definedName>
    <definedName name="_______523" localSheetId="5">'[5]AN-K'!#REF!</definedName>
    <definedName name="_______523" localSheetId="6">'[5]AN-K'!#REF!</definedName>
    <definedName name="_______523" localSheetId="7">'[5]AN-K'!#REF!</definedName>
    <definedName name="_______523" localSheetId="8">'[5]AN-K'!#REF!</definedName>
    <definedName name="_______523">'[5]AN-K'!#REF!</definedName>
    <definedName name="_______618" localSheetId="10">'[5]AN-K'!#REF!</definedName>
    <definedName name="_______618" localSheetId="5">'[5]AN-K'!#REF!</definedName>
    <definedName name="_______618" localSheetId="6">'[5]AN-K'!#REF!</definedName>
    <definedName name="_______618" localSheetId="7">'[5]AN-K'!#REF!</definedName>
    <definedName name="_______618" localSheetId="8">'[5]AN-K'!#REF!</definedName>
    <definedName name="_______618">'[5]AN-K'!#REF!</definedName>
    <definedName name="_______619" localSheetId="10">'[1]AN-K'!#REF!</definedName>
    <definedName name="_______619" localSheetId="5">'[1]AN-K'!#REF!</definedName>
    <definedName name="_______619" localSheetId="6">'[1]AN-K'!#REF!</definedName>
    <definedName name="_______619" localSheetId="7">'[1]AN-K'!#REF!</definedName>
    <definedName name="_______619" localSheetId="8">'[1]AN-K'!#REF!</definedName>
    <definedName name="_______619">'[1]AN-K'!#REF!</definedName>
    <definedName name="_______620" localSheetId="10">'[1]AN-K'!#REF!</definedName>
    <definedName name="_______620" localSheetId="5">'[1]AN-K'!#REF!</definedName>
    <definedName name="_______620" localSheetId="6">'[1]AN-K'!#REF!</definedName>
    <definedName name="_______620" localSheetId="7">'[1]AN-K'!#REF!</definedName>
    <definedName name="_______620" localSheetId="8">'[1]AN-K'!#REF!</definedName>
    <definedName name="_______620">'[1]AN-K'!#REF!</definedName>
    <definedName name="_______636" localSheetId="10">'[1]AN-K'!#REF!</definedName>
    <definedName name="_______636" localSheetId="5">'[1]AN-K'!#REF!</definedName>
    <definedName name="_______636" localSheetId="6">'[1]AN-K'!#REF!</definedName>
    <definedName name="_______636" localSheetId="7">'[1]AN-K'!#REF!</definedName>
    <definedName name="_______636" localSheetId="8">'[1]AN-K'!#REF!</definedName>
    <definedName name="_______636">'[1]AN-K'!#REF!</definedName>
    <definedName name="_______641" localSheetId="10">'[1]AN-K'!#REF!</definedName>
    <definedName name="_______641" localSheetId="5">'[1]AN-K'!#REF!</definedName>
    <definedName name="_______641" localSheetId="6">'[1]AN-K'!#REF!</definedName>
    <definedName name="_______641" localSheetId="7">'[1]AN-K'!#REF!</definedName>
    <definedName name="_______641" localSheetId="8">'[1]AN-K'!#REF!</definedName>
    <definedName name="_______641">'[1]AN-K'!#REF!</definedName>
    <definedName name="_______710" localSheetId="10">'[5]AN-K'!#REF!</definedName>
    <definedName name="_______710" localSheetId="5">'[5]AN-K'!#REF!</definedName>
    <definedName name="_______710" localSheetId="6">'[5]AN-K'!#REF!</definedName>
    <definedName name="_______710" localSheetId="7">'[5]AN-K'!#REF!</definedName>
    <definedName name="_______710" localSheetId="8">'[5]AN-K'!#REF!</definedName>
    <definedName name="_______710">'[5]AN-K'!#REF!</definedName>
    <definedName name="_______715" localSheetId="10">'[5]AN-K'!#REF!</definedName>
    <definedName name="_______715" localSheetId="5">'[5]AN-K'!#REF!</definedName>
    <definedName name="_______715" localSheetId="6">'[5]AN-K'!#REF!</definedName>
    <definedName name="_______715" localSheetId="7">'[5]AN-K'!#REF!</definedName>
    <definedName name="_______715" localSheetId="8">'[5]AN-K'!#REF!</definedName>
    <definedName name="_______715">'[5]AN-K'!#REF!</definedName>
    <definedName name="_______720" localSheetId="10">'[5]AN-K'!#REF!</definedName>
    <definedName name="_______720" localSheetId="5">'[5]AN-K'!#REF!</definedName>
    <definedName name="_______720" localSheetId="6">'[5]AN-K'!#REF!</definedName>
    <definedName name="_______720" localSheetId="7">'[5]AN-K'!#REF!</definedName>
    <definedName name="_______720" localSheetId="8">'[5]AN-K'!#REF!</definedName>
    <definedName name="_______720">'[5]AN-K'!#REF!</definedName>
    <definedName name="_______722" localSheetId="10">'[5]AN-K'!#REF!</definedName>
    <definedName name="_______722" localSheetId="5">'[5]AN-K'!#REF!</definedName>
    <definedName name="_______722" localSheetId="6">'[5]AN-K'!#REF!</definedName>
    <definedName name="_______722" localSheetId="7">'[5]AN-K'!#REF!</definedName>
    <definedName name="_______722" localSheetId="8">'[5]AN-K'!#REF!</definedName>
    <definedName name="_______722">'[5]AN-K'!#REF!</definedName>
    <definedName name="_______725" localSheetId="10">'[5]AN-K'!#REF!</definedName>
    <definedName name="_______725" localSheetId="5">'[5]AN-K'!#REF!</definedName>
    <definedName name="_______725" localSheetId="6">'[5]AN-K'!#REF!</definedName>
    <definedName name="_______725" localSheetId="7">'[5]AN-K'!#REF!</definedName>
    <definedName name="_______725" localSheetId="8">'[5]AN-K'!#REF!</definedName>
    <definedName name="_______725">'[5]AN-K'!#REF!</definedName>
    <definedName name="_______810" localSheetId="10">'[5]AN-K'!#REF!</definedName>
    <definedName name="_______810" localSheetId="5">'[5]AN-K'!#REF!</definedName>
    <definedName name="_______810" localSheetId="6">'[5]AN-K'!#REF!</definedName>
    <definedName name="_______810" localSheetId="7">'[5]AN-K'!#REF!</definedName>
    <definedName name="_______810" localSheetId="8">'[5]AN-K'!#REF!</definedName>
    <definedName name="_______810">'[5]AN-K'!#REF!</definedName>
    <definedName name="_______815" localSheetId="10">'[5]AN-K'!#REF!</definedName>
    <definedName name="_______815" localSheetId="5">'[5]AN-K'!#REF!</definedName>
    <definedName name="_______815" localSheetId="6">'[5]AN-K'!#REF!</definedName>
    <definedName name="_______815" localSheetId="7">'[5]AN-K'!#REF!</definedName>
    <definedName name="_______815" localSheetId="8">'[5]AN-K'!#REF!</definedName>
    <definedName name="_______815">'[5]AN-K'!#REF!</definedName>
    <definedName name="_______880" localSheetId="10">'[5]AN-K'!#REF!</definedName>
    <definedName name="_______880" localSheetId="5">'[5]AN-K'!#REF!</definedName>
    <definedName name="_______880" localSheetId="6">'[5]AN-K'!#REF!</definedName>
    <definedName name="_______880" localSheetId="7">'[5]AN-K'!#REF!</definedName>
    <definedName name="_______880" localSheetId="8">'[5]AN-K'!#REF!</definedName>
    <definedName name="_______880">'[5]AN-K'!#REF!</definedName>
    <definedName name="_______HPS1" localSheetId="10">[3]inst1!#REF!</definedName>
    <definedName name="_______HPS1" localSheetId="5">[3]inst1!#REF!</definedName>
    <definedName name="_______HPS1" localSheetId="6">[3]inst1!#REF!</definedName>
    <definedName name="_______HPS1" localSheetId="7">[3]inst1!#REF!</definedName>
    <definedName name="_______HPS1" localSheetId="8">[3]inst1!#REF!</definedName>
    <definedName name="_______HPS1">[3]inst1!#REF!</definedName>
    <definedName name="_______K23" localSheetId="10">'[1]AN-K'!#REF!</definedName>
    <definedName name="_______K23" localSheetId="5">'[1]AN-K'!#REF!</definedName>
    <definedName name="_______K23" localSheetId="6">'[1]AN-K'!#REF!</definedName>
    <definedName name="_______K23" localSheetId="7">'[1]AN-K'!#REF!</definedName>
    <definedName name="_______K23" localSheetId="8">'[1]AN-K'!#REF!</definedName>
    <definedName name="_______K23">'[1]AN-K'!#REF!</definedName>
    <definedName name="_______RAB1" localSheetId="10">#REF!</definedName>
    <definedName name="_______RAB1" localSheetId="5">#REF!</definedName>
    <definedName name="_______RAB1" localSheetId="6">#REF!</definedName>
    <definedName name="_______RAB1" localSheetId="7">#REF!</definedName>
    <definedName name="_______RAB1" localSheetId="8">#REF!</definedName>
    <definedName name="_______RAB1">#REF!</definedName>
    <definedName name="_______RAB2" localSheetId="10">#REF!</definedName>
    <definedName name="_______RAB2" localSheetId="5">#REF!</definedName>
    <definedName name="_______RAB2" localSheetId="6">#REF!</definedName>
    <definedName name="_______RAB2" localSheetId="7">#REF!</definedName>
    <definedName name="_______RAB2" localSheetId="8">#REF!</definedName>
    <definedName name="_______RAB2">#REF!</definedName>
    <definedName name="_______VOL1" localSheetId="10">#REF!</definedName>
    <definedName name="_______VOL1" localSheetId="5">#REF!</definedName>
    <definedName name="_______VOL1" localSheetId="6">#REF!</definedName>
    <definedName name="_______VOL1" localSheetId="7">#REF!</definedName>
    <definedName name="_______VOL1" localSheetId="8">#REF!</definedName>
    <definedName name="_______VOL1">#REF!</definedName>
    <definedName name="______012" localSheetId="10">#REF!</definedName>
    <definedName name="______012" localSheetId="5">#REF!</definedName>
    <definedName name="______012" localSheetId="6">#REF!</definedName>
    <definedName name="______012" localSheetId="7">#REF!</definedName>
    <definedName name="______012" localSheetId="8">#REF!</definedName>
    <definedName name="______012">#REF!</definedName>
    <definedName name="______013" localSheetId="10">'[1]AN-K'!#REF!</definedName>
    <definedName name="______013" localSheetId="5">'[1]AN-K'!#REF!</definedName>
    <definedName name="______013" localSheetId="6">'[1]AN-K'!#REF!</definedName>
    <definedName name="______013" localSheetId="7">'[1]AN-K'!#REF!</definedName>
    <definedName name="______013" localSheetId="8">'[1]AN-K'!#REF!</definedName>
    <definedName name="______013">'[1]AN-K'!#REF!</definedName>
    <definedName name="______016" localSheetId="10">'[1]AN-K'!#REF!</definedName>
    <definedName name="______016" localSheetId="5">'[1]AN-K'!#REF!</definedName>
    <definedName name="______016" localSheetId="6">'[1]AN-K'!#REF!</definedName>
    <definedName name="______016" localSheetId="7">'[1]AN-K'!#REF!</definedName>
    <definedName name="______016" localSheetId="8">'[1]AN-K'!#REF!</definedName>
    <definedName name="______016">'[1]AN-K'!#REF!</definedName>
    <definedName name="______017" localSheetId="10">'[1]AN-K'!#REF!</definedName>
    <definedName name="______017" localSheetId="5">'[1]AN-K'!#REF!</definedName>
    <definedName name="______017" localSheetId="6">'[1]AN-K'!#REF!</definedName>
    <definedName name="______017" localSheetId="7">'[1]AN-K'!#REF!</definedName>
    <definedName name="______017" localSheetId="8">'[1]AN-K'!#REF!</definedName>
    <definedName name="______017">'[1]AN-K'!#REF!</definedName>
    <definedName name="______018" localSheetId="10">'[5]AN-K'!#REF!</definedName>
    <definedName name="______018" localSheetId="5">'[5]AN-K'!#REF!</definedName>
    <definedName name="______018" localSheetId="6">'[5]AN-K'!#REF!</definedName>
    <definedName name="______018" localSheetId="7">'[5]AN-K'!#REF!</definedName>
    <definedName name="______018" localSheetId="8">'[5]AN-K'!#REF!</definedName>
    <definedName name="______018">'[5]AN-K'!#REF!</definedName>
    <definedName name="______026" localSheetId="10">'[5]AN-K'!#REF!</definedName>
    <definedName name="______026" localSheetId="5">'[5]AN-K'!#REF!</definedName>
    <definedName name="______026" localSheetId="6">'[5]AN-K'!#REF!</definedName>
    <definedName name="______026" localSheetId="7">'[5]AN-K'!#REF!</definedName>
    <definedName name="______026" localSheetId="8">'[5]AN-K'!#REF!</definedName>
    <definedName name="______026">'[5]AN-K'!#REF!</definedName>
    <definedName name="______035" localSheetId="10">'[5]AN-K'!#REF!</definedName>
    <definedName name="______035" localSheetId="5">'[5]AN-K'!#REF!</definedName>
    <definedName name="______035" localSheetId="6">'[5]AN-K'!#REF!</definedName>
    <definedName name="______035" localSheetId="7">'[5]AN-K'!#REF!</definedName>
    <definedName name="______035" localSheetId="8">'[5]AN-K'!#REF!</definedName>
    <definedName name="______035">'[5]AN-K'!#REF!</definedName>
    <definedName name="______110" localSheetId="10">'[1]AN-K'!#REF!</definedName>
    <definedName name="______110" localSheetId="5">'[1]AN-K'!#REF!</definedName>
    <definedName name="______110" localSheetId="6">'[1]AN-K'!#REF!</definedName>
    <definedName name="______110" localSheetId="7">'[1]AN-K'!#REF!</definedName>
    <definedName name="______110" localSheetId="8">'[1]AN-K'!#REF!</definedName>
    <definedName name="______110">'[1]AN-K'!#REF!</definedName>
    <definedName name="______210" localSheetId="10">'[1]AN-K'!#REF!</definedName>
    <definedName name="______210" localSheetId="5">'[1]AN-K'!#REF!</definedName>
    <definedName name="______210" localSheetId="6">'[1]AN-K'!#REF!</definedName>
    <definedName name="______210" localSheetId="7">'[1]AN-K'!#REF!</definedName>
    <definedName name="______210" localSheetId="8">'[1]AN-K'!#REF!</definedName>
    <definedName name="______210">'[1]AN-K'!#REF!</definedName>
    <definedName name="______224" localSheetId="10">'[1]AN-K'!#REF!</definedName>
    <definedName name="______224" localSheetId="5">'[1]AN-K'!#REF!</definedName>
    <definedName name="______224" localSheetId="6">'[1]AN-K'!#REF!</definedName>
    <definedName name="______224" localSheetId="7">'[1]AN-K'!#REF!</definedName>
    <definedName name="______224" localSheetId="8">'[1]AN-K'!#REF!</definedName>
    <definedName name="______224">'[1]AN-K'!#REF!</definedName>
    <definedName name="______225" localSheetId="10">'[1]AN-K'!#REF!</definedName>
    <definedName name="______225" localSheetId="5">'[1]AN-K'!#REF!</definedName>
    <definedName name="______225" localSheetId="6">'[1]AN-K'!#REF!</definedName>
    <definedName name="______225" localSheetId="7">'[1]AN-K'!#REF!</definedName>
    <definedName name="______225" localSheetId="8">'[1]AN-K'!#REF!</definedName>
    <definedName name="______225">'[1]AN-K'!#REF!</definedName>
    <definedName name="______310" localSheetId="10">'[1]AN-K'!#REF!</definedName>
    <definedName name="______310" localSheetId="5">'[1]AN-K'!#REF!</definedName>
    <definedName name="______310" localSheetId="6">'[1]AN-K'!#REF!</definedName>
    <definedName name="______310" localSheetId="7">'[1]AN-K'!#REF!</definedName>
    <definedName name="______310" localSheetId="8">'[1]AN-K'!#REF!</definedName>
    <definedName name="______310">'[1]AN-K'!#REF!</definedName>
    <definedName name="______311" localSheetId="10">'[1]AN-K'!#REF!</definedName>
    <definedName name="______311" localSheetId="5">'[1]AN-K'!#REF!</definedName>
    <definedName name="______311" localSheetId="6">'[1]AN-K'!#REF!</definedName>
    <definedName name="______311" localSheetId="7">'[1]AN-K'!#REF!</definedName>
    <definedName name="______311" localSheetId="8">'[1]AN-K'!#REF!</definedName>
    <definedName name="______311">'[1]AN-K'!#REF!</definedName>
    <definedName name="______320" localSheetId="10">#REF!</definedName>
    <definedName name="______320" localSheetId="5">#REF!</definedName>
    <definedName name="______320" localSheetId="6">#REF!</definedName>
    <definedName name="______320" localSheetId="7">#REF!</definedName>
    <definedName name="______320" localSheetId="8">#REF!</definedName>
    <definedName name="______320">#REF!</definedName>
    <definedName name="______321" localSheetId="10">'[1]AN-K'!#REF!</definedName>
    <definedName name="______321" localSheetId="5">'[1]AN-K'!#REF!</definedName>
    <definedName name="______321" localSheetId="6">'[1]AN-K'!#REF!</definedName>
    <definedName name="______321" localSheetId="7">'[1]AN-K'!#REF!</definedName>
    <definedName name="______321" localSheetId="8">'[1]AN-K'!#REF!</definedName>
    <definedName name="______321">'[1]AN-K'!#REF!</definedName>
    <definedName name="______341" localSheetId="10">'[1]AN-K'!#REF!</definedName>
    <definedName name="______341" localSheetId="5">'[1]AN-K'!#REF!</definedName>
    <definedName name="______341" localSheetId="6">'[1]AN-K'!#REF!</definedName>
    <definedName name="______341" localSheetId="7">'[1]AN-K'!#REF!</definedName>
    <definedName name="______341" localSheetId="8">'[1]AN-K'!#REF!</definedName>
    <definedName name="______341">'[1]AN-K'!#REF!</definedName>
    <definedName name="______342" localSheetId="10">'[1]AN-K'!#REF!</definedName>
    <definedName name="______342" localSheetId="5">'[1]AN-K'!#REF!</definedName>
    <definedName name="______342" localSheetId="6">'[1]AN-K'!#REF!</definedName>
    <definedName name="______342" localSheetId="7">'[1]AN-K'!#REF!</definedName>
    <definedName name="______342" localSheetId="8">'[1]AN-K'!#REF!</definedName>
    <definedName name="______342">'[1]AN-K'!#REF!</definedName>
    <definedName name="______410" localSheetId="10">'[1]AN-K'!#REF!</definedName>
    <definedName name="______410" localSheetId="5">'[1]AN-K'!#REF!</definedName>
    <definedName name="______410" localSheetId="6">'[1]AN-K'!#REF!</definedName>
    <definedName name="______410" localSheetId="7">'[1]AN-K'!#REF!</definedName>
    <definedName name="______410" localSheetId="8">'[1]AN-K'!#REF!</definedName>
    <definedName name="______410">'[1]AN-K'!#REF!</definedName>
    <definedName name="______411" localSheetId="10">'[1]AN-K'!#REF!</definedName>
    <definedName name="______411" localSheetId="5">'[1]AN-K'!#REF!</definedName>
    <definedName name="______411" localSheetId="6">'[1]AN-K'!#REF!</definedName>
    <definedName name="______411" localSheetId="7">'[1]AN-K'!#REF!</definedName>
    <definedName name="______411" localSheetId="8">'[1]AN-K'!#REF!</definedName>
    <definedName name="______411">'[1]AN-K'!#REF!</definedName>
    <definedName name="______420" localSheetId="10">'[1]AN-K'!#REF!</definedName>
    <definedName name="______420" localSheetId="5">'[1]AN-K'!#REF!</definedName>
    <definedName name="______420" localSheetId="6">'[1]AN-K'!#REF!</definedName>
    <definedName name="______420" localSheetId="7">'[1]AN-K'!#REF!</definedName>
    <definedName name="______420" localSheetId="8">'[1]AN-K'!#REF!</definedName>
    <definedName name="______420">'[1]AN-K'!#REF!</definedName>
    <definedName name="______422" localSheetId="10">#REF!</definedName>
    <definedName name="______422" localSheetId="5">#REF!</definedName>
    <definedName name="______422" localSheetId="6">#REF!</definedName>
    <definedName name="______422" localSheetId="7">#REF!</definedName>
    <definedName name="______422" localSheetId="8">#REF!</definedName>
    <definedName name="______422">#REF!</definedName>
    <definedName name="______423" localSheetId="10">'[1]AN-K'!#REF!</definedName>
    <definedName name="______423" localSheetId="5">'[1]AN-K'!#REF!</definedName>
    <definedName name="______423" localSheetId="6">'[1]AN-K'!#REF!</definedName>
    <definedName name="______423" localSheetId="7">'[1]AN-K'!#REF!</definedName>
    <definedName name="______423" localSheetId="8">'[1]AN-K'!#REF!</definedName>
    <definedName name="______423">'[1]AN-K'!#REF!</definedName>
    <definedName name="______424" localSheetId="10">'[1]AN-K'!#REF!</definedName>
    <definedName name="______424" localSheetId="5">'[1]AN-K'!#REF!</definedName>
    <definedName name="______424" localSheetId="6">'[1]AN-K'!#REF!</definedName>
    <definedName name="______424" localSheetId="7">'[1]AN-K'!#REF!</definedName>
    <definedName name="______424" localSheetId="8">'[1]AN-K'!#REF!</definedName>
    <definedName name="______424">'[1]AN-K'!#REF!</definedName>
    <definedName name="______512" localSheetId="10">'[5]AN-K'!#REF!</definedName>
    <definedName name="______512" localSheetId="5">'[5]AN-K'!#REF!</definedName>
    <definedName name="______512" localSheetId="6">'[5]AN-K'!#REF!</definedName>
    <definedName name="______512" localSheetId="7">'[5]AN-K'!#REF!</definedName>
    <definedName name="______512" localSheetId="8">'[5]AN-K'!#REF!</definedName>
    <definedName name="______512">'[5]AN-K'!#REF!</definedName>
    <definedName name="______514" localSheetId="10">'[1]AN-K'!#REF!</definedName>
    <definedName name="______514" localSheetId="5">'[1]AN-K'!#REF!</definedName>
    <definedName name="______514" localSheetId="6">'[1]AN-K'!#REF!</definedName>
    <definedName name="______514" localSheetId="7">'[1]AN-K'!#REF!</definedName>
    <definedName name="______514" localSheetId="8">'[1]AN-K'!#REF!</definedName>
    <definedName name="______514">'[1]AN-K'!#REF!</definedName>
    <definedName name="______515" localSheetId="10">'[1]AN-K'!#REF!</definedName>
    <definedName name="______515" localSheetId="5">'[1]AN-K'!#REF!</definedName>
    <definedName name="______515" localSheetId="6">'[1]AN-K'!#REF!</definedName>
    <definedName name="______515" localSheetId="7">'[1]AN-K'!#REF!</definedName>
    <definedName name="______515" localSheetId="8">'[1]AN-K'!#REF!</definedName>
    <definedName name="______515">'[1]AN-K'!#REF!</definedName>
    <definedName name="______516" localSheetId="10">#REF!</definedName>
    <definedName name="______516" localSheetId="5">#REF!</definedName>
    <definedName name="______516" localSheetId="6">#REF!</definedName>
    <definedName name="______516" localSheetId="7">#REF!</definedName>
    <definedName name="______516" localSheetId="8">#REF!</definedName>
    <definedName name="______516">#REF!</definedName>
    <definedName name="______520" localSheetId="10">'[5]AN-K'!#REF!</definedName>
    <definedName name="______520" localSheetId="5">'[5]AN-K'!#REF!</definedName>
    <definedName name="______520" localSheetId="6">'[5]AN-K'!#REF!</definedName>
    <definedName name="______520" localSheetId="7">'[5]AN-K'!#REF!</definedName>
    <definedName name="______520" localSheetId="8">'[5]AN-K'!#REF!</definedName>
    <definedName name="______520">'[5]AN-K'!#REF!</definedName>
    <definedName name="______522" localSheetId="10">'[1]AN-K'!#REF!</definedName>
    <definedName name="______522" localSheetId="5">'[1]AN-K'!#REF!</definedName>
    <definedName name="______522" localSheetId="6">'[1]AN-K'!#REF!</definedName>
    <definedName name="______522" localSheetId="7">'[1]AN-K'!#REF!</definedName>
    <definedName name="______522" localSheetId="8">'[1]AN-K'!#REF!</definedName>
    <definedName name="______522">'[1]AN-K'!#REF!</definedName>
    <definedName name="______523" localSheetId="10">'[1]AN-K'!#REF!</definedName>
    <definedName name="______523" localSheetId="5">'[1]AN-K'!#REF!</definedName>
    <definedName name="______523" localSheetId="6">'[1]AN-K'!#REF!</definedName>
    <definedName name="______523" localSheetId="7">'[1]AN-K'!#REF!</definedName>
    <definedName name="______523" localSheetId="8">'[1]AN-K'!#REF!</definedName>
    <definedName name="______523">'[1]AN-K'!#REF!</definedName>
    <definedName name="______618" localSheetId="10">'[1]AN-K'!#REF!</definedName>
    <definedName name="______618" localSheetId="5">'[1]AN-K'!#REF!</definedName>
    <definedName name="______618" localSheetId="6">'[1]AN-K'!#REF!</definedName>
    <definedName name="______618" localSheetId="7">'[1]AN-K'!#REF!</definedName>
    <definedName name="______618" localSheetId="8">'[1]AN-K'!#REF!</definedName>
    <definedName name="______618">'[1]AN-K'!#REF!</definedName>
    <definedName name="______619" localSheetId="10">'[5]AN-K'!#REF!</definedName>
    <definedName name="______619" localSheetId="5">'[5]AN-K'!#REF!</definedName>
    <definedName name="______619" localSheetId="6">'[5]AN-K'!#REF!</definedName>
    <definedName name="______619" localSheetId="7">'[5]AN-K'!#REF!</definedName>
    <definedName name="______619" localSheetId="8">'[5]AN-K'!#REF!</definedName>
    <definedName name="______619">'[5]AN-K'!#REF!</definedName>
    <definedName name="______620" localSheetId="10">'[5]AN-K'!#REF!</definedName>
    <definedName name="______620" localSheetId="5">'[5]AN-K'!#REF!</definedName>
    <definedName name="______620" localSheetId="6">'[5]AN-K'!#REF!</definedName>
    <definedName name="______620" localSheetId="7">'[5]AN-K'!#REF!</definedName>
    <definedName name="______620" localSheetId="8">'[5]AN-K'!#REF!</definedName>
    <definedName name="______620">'[5]AN-K'!#REF!</definedName>
    <definedName name="______636" localSheetId="10">'[5]AN-K'!#REF!</definedName>
    <definedName name="______636" localSheetId="5">'[5]AN-K'!#REF!</definedName>
    <definedName name="______636" localSheetId="6">'[5]AN-K'!#REF!</definedName>
    <definedName name="______636" localSheetId="7">'[5]AN-K'!#REF!</definedName>
    <definedName name="______636" localSheetId="8">'[5]AN-K'!#REF!</definedName>
    <definedName name="______636">'[5]AN-K'!#REF!</definedName>
    <definedName name="______641" localSheetId="10">'[5]AN-K'!#REF!</definedName>
    <definedName name="______641" localSheetId="5">'[5]AN-K'!#REF!</definedName>
    <definedName name="______641" localSheetId="6">'[5]AN-K'!#REF!</definedName>
    <definedName name="______641" localSheetId="7">'[5]AN-K'!#REF!</definedName>
    <definedName name="______641" localSheetId="8">'[5]AN-K'!#REF!</definedName>
    <definedName name="______641">'[5]AN-K'!#REF!</definedName>
    <definedName name="______710" localSheetId="10">'[1]AN-K'!#REF!</definedName>
    <definedName name="______710" localSheetId="5">'[1]AN-K'!#REF!</definedName>
    <definedName name="______710" localSheetId="6">'[1]AN-K'!#REF!</definedName>
    <definedName name="______710" localSheetId="7">'[1]AN-K'!#REF!</definedName>
    <definedName name="______710" localSheetId="8">'[1]AN-K'!#REF!</definedName>
    <definedName name="______710">'[1]AN-K'!#REF!</definedName>
    <definedName name="______715" localSheetId="10">'[1]AN-K'!#REF!</definedName>
    <definedName name="______715" localSheetId="5">'[1]AN-K'!#REF!</definedName>
    <definedName name="______715" localSheetId="6">'[1]AN-K'!#REF!</definedName>
    <definedName name="______715" localSheetId="7">'[1]AN-K'!#REF!</definedName>
    <definedName name="______715" localSheetId="8">'[1]AN-K'!#REF!</definedName>
    <definedName name="______715">'[1]AN-K'!#REF!</definedName>
    <definedName name="______720" localSheetId="10">'[1]AN-K'!#REF!</definedName>
    <definedName name="______720" localSheetId="5">'[1]AN-K'!#REF!</definedName>
    <definedName name="______720" localSheetId="6">'[1]AN-K'!#REF!</definedName>
    <definedName name="______720" localSheetId="7">'[1]AN-K'!#REF!</definedName>
    <definedName name="______720" localSheetId="8">'[1]AN-K'!#REF!</definedName>
    <definedName name="______720">'[1]AN-K'!#REF!</definedName>
    <definedName name="______722" localSheetId="10">'[1]AN-K'!#REF!</definedName>
    <definedName name="______722" localSheetId="5">'[1]AN-K'!#REF!</definedName>
    <definedName name="______722" localSheetId="6">'[1]AN-K'!#REF!</definedName>
    <definedName name="______722" localSheetId="7">'[1]AN-K'!#REF!</definedName>
    <definedName name="______722" localSheetId="8">'[1]AN-K'!#REF!</definedName>
    <definedName name="______722">'[1]AN-K'!#REF!</definedName>
    <definedName name="______725" localSheetId="10">'[1]AN-K'!#REF!</definedName>
    <definedName name="______725" localSheetId="5">'[1]AN-K'!#REF!</definedName>
    <definedName name="______725" localSheetId="6">'[1]AN-K'!#REF!</definedName>
    <definedName name="______725" localSheetId="7">'[1]AN-K'!#REF!</definedName>
    <definedName name="______725" localSheetId="8">'[1]AN-K'!#REF!</definedName>
    <definedName name="______725">'[1]AN-K'!#REF!</definedName>
    <definedName name="______810" localSheetId="10">'[1]AN-K'!#REF!</definedName>
    <definedName name="______810" localSheetId="5">'[1]AN-K'!#REF!</definedName>
    <definedName name="______810" localSheetId="6">'[1]AN-K'!#REF!</definedName>
    <definedName name="______810" localSheetId="7">'[1]AN-K'!#REF!</definedName>
    <definedName name="______810" localSheetId="8">'[1]AN-K'!#REF!</definedName>
    <definedName name="______810">'[1]AN-K'!#REF!</definedName>
    <definedName name="______815" localSheetId="10">'[1]AN-K'!#REF!</definedName>
    <definedName name="______815" localSheetId="5">'[1]AN-K'!#REF!</definedName>
    <definedName name="______815" localSheetId="6">'[1]AN-K'!#REF!</definedName>
    <definedName name="______815" localSheetId="7">'[1]AN-K'!#REF!</definedName>
    <definedName name="______815" localSheetId="8">'[1]AN-K'!#REF!</definedName>
    <definedName name="______815">'[1]AN-K'!#REF!</definedName>
    <definedName name="______880" localSheetId="10">'[1]AN-K'!#REF!</definedName>
    <definedName name="______880" localSheetId="5">'[1]AN-K'!#REF!</definedName>
    <definedName name="______880" localSheetId="6">'[1]AN-K'!#REF!</definedName>
    <definedName name="______880" localSheetId="7">'[1]AN-K'!#REF!</definedName>
    <definedName name="______880" localSheetId="8">'[1]AN-K'!#REF!</definedName>
    <definedName name="______880">'[1]AN-K'!#REF!</definedName>
    <definedName name="______HPS1" localSheetId="10">[3]inst1!#REF!</definedName>
    <definedName name="______HPS1" localSheetId="5">[3]inst1!#REF!</definedName>
    <definedName name="______HPS1" localSheetId="6">[3]inst1!#REF!</definedName>
    <definedName name="______HPS1" localSheetId="7">[3]inst1!#REF!</definedName>
    <definedName name="______HPS1" localSheetId="8">[3]inst1!#REF!</definedName>
    <definedName name="______HPS1">[3]inst1!#REF!</definedName>
    <definedName name="______K23" localSheetId="10">'[5]AN-K'!#REF!</definedName>
    <definedName name="______K23" localSheetId="5">'[5]AN-K'!#REF!</definedName>
    <definedName name="______K23" localSheetId="6">'[5]AN-K'!#REF!</definedName>
    <definedName name="______K23" localSheetId="7">'[5]AN-K'!#REF!</definedName>
    <definedName name="______K23" localSheetId="8">'[5]AN-K'!#REF!</definedName>
    <definedName name="______K23">'[5]AN-K'!#REF!</definedName>
    <definedName name="______RAB1" localSheetId="10">#REF!</definedName>
    <definedName name="______RAB1" localSheetId="5">#REF!</definedName>
    <definedName name="______RAB1" localSheetId="6">#REF!</definedName>
    <definedName name="______RAB1" localSheetId="7">#REF!</definedName>
    <definedName name="______RAB1" localSheetId="8">#REF!</definedName>
    <definedName name="______RAB1">#REF!</definedName>
    <definedName name="______RAB2" localSheetId="10">#REF!</definedName>
    <definedName name="______RAB2" localSheetId="5">#REF!</definedName>
    <definedName name="______RAB2" localSheetId="6">#REF!</definedName>
    <definedName name="______RAB2" localSheetId="7">#REF!</definedName>
    <definedName name="______RAB2" localSheetId="8">#REF!</definedName>
    <definedName name="______RAB2">#REF!</definedName>
    <definedName name="______VOL1" localSheetId="10">#REF!</definedName>
    <definedName name="______VOL1" localSheetId="5">#REF!</definedName>
    <definedName name="______VOL1" localSheetId="6">#REF!</definedName>
    <definedName name="______VOL1" localSheetId="7">#REF!</definedName>
    <definedName name="______VOL1" localSheetId="8">#REF!</definedName>
    <definedName name="______VOL1">#REF!</definedName>
    <definedName name="_____012" localSheetId="10">#REF!</definedName>
    <definedName name="_____012" localSheetId="5">#REF!</definedName>
    <definedName name="_____012" localSheetId="6">#REF!</definedName>
    <definedName name="_____012" localSheetId="7">#REF!</definedName>
    <definedName name="_____012" localSheetId="8">#REF!</definedName>
    <definedName name="_____012">#REF!</definedName>
    <definedName name="_____013" localSheetId="10">'[5]AN-K'!#REF!</definedName>
    <definedName name="_____013" localSheetId="5">'[5]AN-K'!#REF!</definedName>
    <definedName name="_____013" localSheetId="6">'[5]AN-K'!#REF!</definedName>
    <definedName name="_____013" localSheetId="7">'[5]AN-K'!#REF!</definedName>
    <definedName name="_____013" localSheetId="8">'[5]AN-K'!#REF!</definedName>
    <definedName name="_____013">'[5]AN-K'!#REF!</definedName>
    <definedName name="_____016" localSheetId="10">'[5]AN-K'!#REF!</definedName>
    <definedName name="_____016" localSheetId="5">'[5]AN-K'!#REF!</definedName>
    <definedName name="_____016" localSheetId="6">'[5]AN-K'!#REF!</definedName>
    <definedName name="_____016" localSheetId="7">'[5]AN-K'!#REF!</definedName>
    <definedName name="_____016" localSheetId="8">'[5]AN-K'!#REF!</definedName>
    <definedName name="_____016">'[5]AN-K'!#REF!</definedName>
    <definedName name="_____017" localSheetId="10">'[5]AN-K'!#REF!</definedName>
    <definedName name="_____017" localSheetId="5">'[5]AN-K'!#REF!</definedName>
    <definedName name="_____017" localSheetId="6">'[5]AN-K'!#REF!</definedName>
    <definedName name="_____017" localSheetId="7">'[5]AN-K'!#REF!</definedName>
    <definedName name="_____017" localSheetId="8">'[5]AN-K'!#REF!</definedName>
    <definedName name="_____017">'[5]AN-K'!#REF!</definedName>
    <definedName name="_____018" localSheetId="10">'[1]AN-K'!#REF!</definedName>
    <definedName name="_____018" localSheetId="5">'[1]AN-K'!#REF!</definedName>
    <definedName name="_____018" localSheetId="6">'[1]AN-K'!#REF!</definedName>
    <definedName name="_____018" localSheetId="7">'[1]AN-K'!#REF!</definedName>
    <definedName name="_____018" localSheetId="8">'[1]AN-K'!#REF!</definedName>
    <definedName name="_____018">'[1]AN-K'!#REF!</definedName>
    <definedName name="_____026" localSheetId="10">'[1]AN-K'!#REF!</definedName>
    <definedName name="_____026" localSheetId="5">'[1]AN-K'!#REF!</definedName>
    <definedName name="_____026" localSheetId="6">'[1]AN-K'!#REF!</definedName>
    <definedName name="_____026" localSheetId="7">'[1]AN-K'!#REF!</definedName>
    <definedName name="_____026" localSheetId="8">'[1]AN-K'!#REF!</definedName>
    <definedName name="_____026">'[1]AN-K'!#REF!</definedName>
    <definedName name="_____035" localSheetId="10">'[1]AN-K'!#REF!</definedName>
    <definedName name="_____035" localSheetId="5">'[1]AN-K'!#REF!</definedName>
    <definedName name="_____035" localSheetId="6">'[1]AN-K'!#REF!</definedName>
    <definedName name="_____035" localSheetId="7">'[1]AN-K'!#REF!</definedName>
    <definedName name="_____035" localSheetId="8">'[1]AN-K'!#REF!</definedName>
    <definedName name="_____035">'[1]AN-K'!#REF!</definedName>
    <definedName name="_____110" localSheetId="10">'[5]AN-K'!#REF!</definedName>
    <definedName name="_____110" localSheetId="5">'[5]AN-K'!#REF!</definedName>
    <definedName name="_____110" localSheetId="6">'[5]AN-K'!#REF!</definedName>
    <definedName name="_____110" localSheetId="7">'[5]AN-K'!#REF!</definedName>
    <definedName name="_____110" localSheetId="8">'[5]AN-K'!#REF!</definedName>
    <definedName name="_____110">'[5]AN-K'!#REF!</definedName>
    <definedName name="_____210" localSheetId="10">'[5]AN-K'!#REF!</definedName>
    <definedName name="_____210" localSheetId="5">'[5]AN-K'!#REF!</definedName>
    <definedName name="_____210" localSheetId="6">'[5]AN-K'!#REF!</definedName>
    <definedName name="_____210" localSheetId="7">'[5]AN-K'!#REF!</definedName>
    <definedName name="_____210" localSheetId="8">'[5]AN-K'!#REF!</definedName>
    <definedName name="_____210">'[5]AN-K'!#REF!</definedName>
    <definedName name="_____224" localSheetId="10">'[5]AN-K'!#REF!</definedName>
    <definedName name="_____224" localSheetId="5">'[5]AN-K'!#REF!</definedName>
    <definedName name="_____224" localSheetId="6">'[5]AN-K'!#REF!</definedName>
    <definedName name="_____224" localSheetId="7">'[5]AN-K'!#REF!</definedName>
    <definedName name="_____224" localSheetId="8">'[5]AN-K'!#REF!</definedName>
    <definedName name="_____224">'[5]AN-K'!#REF!</definedName>
    <definedName name="_____225" localSheetId="10">'[5]AN-K'!#REF!</definedName>
    <definedName name="_____225" localSheetId="5">'[5]AN-K'!#REF!</definedName>
    <definedName name="_____225" localSheetId="6">'[5]AN-K'!#REF!</definedName>
    <definedName name="_____225" localSheetId="7">'[5]AN-K'!#REF!</definedName>
    <definedName name="_____225" localSheetId="8">'[5]AN-K'!#REF!</definedName>
    <definedName name="_____225">'[5]AN-K'!#REF!</definedName>
    <definedName name="_____310" localSheetId="10">'[5]AN-K'!#REF!</definedName>
    <definedName name="_____310" localSheetId="5">'[5]AN-K'!#REF!</definedName>
    <definedName name="_____310" localSheetId="6">'[5]AN-K'!#REF!</definedName>
    <definedName name="_____310" localSheetId="7">'[5]AN-K'!#REF!</definedName>
    <definedName name="_____310" localSheetId="8">'[5]AN-K'!#REF!</definedName>
    <definedName name="_____310">'[5]AN-K'!#REF!</definedName>
    <definedName name="_____311" localSheetId="10">'[5]AN-K'!#REF!</definedName>
    <definedName name="_____311" localSheetId="5">'[5]AN-K'!#REF!</definedName>
    <definedName name="_____311" localSheetId="6">'[5]AN-K'!#REF!</definedName>
    <definedName name="_____311" localSheetId="7">'[5]AN-K'!#REF!</definedName>
    <definedName name="_____311" localSheetId="8">'[5]AN-K'!#REF!</definedName>
    <definedName name="_____311">'[5]AN-K'!#REF!</definedName>
    <definedName name="_____320" localSheetId="10">#REF!</definedName>
    <definedName name="_____320" localSheetId="5">#REF!</definedName>
    <definedName name="_____320" localSheetId="6">#REF!</definedName>
    <definedName name="_____320" localSheetId="7">#REF!</definedName>
    <definedName name="_____320" localSheetId="8">#REF!</definedName>
    <definedName name="_____320">#REF!</definedName>
    <definedName name="_____321" localSheetId="10">'[5]AN-K'!#REF!</definedName>
    <definedName name="_____321" localSheetId="5">'[5]AN-K'!#REF!</definedName>
    <definedName name="_____321" localSheetId="6">'[5]AN-K'!#REF!</definedName>
    <definedName name="_____321" localSheetId="7">'[5]AN-K'!#REF!</definedName>
    <definedName name="_____321" localSheetId="8">'[5]AN-K'!#REF!</definedName>
    <definedName name="_____321">'[5]AN-K'!#REF!</definedName>
    <definedName name="_____341" localSheetId="10">'[5]AN-K'!#REF!</definedName>
    <definedName name="_____341" localSheetId="5">'[5]AN-K'!#REF!</definedName>
    <definedName name="_____341" localSheetId="6">'[5]AN-K'!#REF!</definedName>
    <definedName name="_____341" localSheetId="7">'[5]AN-K'!#REF!</definedName>
    <definedName name="_____341" localSheetId="8">'[5]AN-K'!#REF!</definedName>
    <definedName name="_____341">'[5]AN-K'!#REF!</definedName>
    <definedName name="_____342" localSheetId="10">'[5]AN-K'!#REF!</definedName>
    <definedName name="_____342" localSheetId="5">'[5]AN-K'!#REF!</definedName>
    <definedName name="_____342" localSheetId="6">'[5]AN-K'!#REF!</definedName>
    <definedName name="_____342" localSheetId="7">'[5]AN-K'!#REF!</definedName>
    <definedName name="_____342" localSheetId="8">'[5]AN-K'!#REF!</definedName>
    <definedName name="_____342">'[5]AN-K'!#REF!</definedName>
    <definedName name="_____410" localSheetId="10">'[5]AN-K'!#REF!</definedName>
    <definedName name="_____410" localSheetId="5">'[5]AN-K'!#REF!</definedName>
    <definedName name="_____410" localSheetId="6">'[5]AN-K'!#REF!</definedName>
    <definedName name="_____410" localSheetId="7">'[5]AN-K'!#REF!</definedName>
    <definedName name="_____410" localSheetId="8">'[5]AN-K'!#REF!</definedName>
    <definedName name="_____410">'[5]AN-K'!#REF!</definedName>
    <definedName name="_____411" localSheetId="10">'[5]AN-K'!#REF!</definedName>
    <definedName name="_____411" localSheetId="5">'[5]AN-K'!#REF!</definedName>
    <definedName name="_____411" localSheetId="6">'[5]AN-K'!#REF!</definedName>
    <definedName name="_____411" localSheetId="7">'[5]AN-K'!#REF!</definedName>
    <definedName name="_____411" localSheetId="8">'[5]AN-K'!#REF!</definedName>
    <definedName name="_____411">'[5]AN-K'!#REF!</definedName>
    <definedName name="_____420" localSheetId="10">'[5]AN-K'!#REF!</definedName>
    <definedName name="_____420" localSheetId="5">'[5]AN-K'!#REF!</definedName>
    <definedName name="_____420" localSheetId="6">'[5]AN-K'!#REF!</definedName>
    <definedName name="_____420" localSheetId="7">'[5]AN-K'!#REF!</definedName>
    <definedName name="_____420" localSheetId="8">'[5]AN-K'!#REF!</definedName>
    <definedName name="_____420">'[5]AN-K'!#REF!</definedName>
    <definedName name="_____422" localSheetId="10">#REF!</definedName>
    <definedName name="_____422" localSheetId="5">#REF!</definedName>
    <definedName name="_____422" localSheetId="6">#REF!</definedName>
    <definedName name="_____422" localSheetId="7">#REF!</definedName>
    <definedName name="_____422" localSheetId="8">#REF!</definedName>
    <definedName name="_____422">#REF!</definedName>
    <definedName name="_____423" localSheetId="10">'[5]AN-K'!#REF!</definedName>
    <definedName name="_____423" localSheetId="5">'[5]AN-K'!#REF!</definedName>
    <definedName name="_____423" localSheetId="6">'[5]AN-K'!#REF!</definedName>
    <definedName name="_____423" localSheetId="7">'[5]AN-K'!#REF!</definedName>
    <definedName name="_____423" localSheetId="8">'[5]AN-K'!#REF!</definedName>
    <definedName name="_____423">'[5]AN-K'!#REF!</definedName>
    <definedName name="_____424" localSheetId="10">'[5]AN-K'!#REF!</definedName>
    <definedName name="_____424" localSheetId="5">'[5]AN-K'!#REF!</definedName>
    <definedName name="_____424" localSheetId="6">'[5]AN-K'!#REF!</definedName>
    <definedName name="_____424" localSheetId="7">'[5]AN-K'!#REF!</definedName>
    <definedName name="_____424" localSheetId="8">'[5]AN-K'!#REF!</definedName>
    <definedName name="_____424">'[5]AN-K'!#REF!</definedName>
    <definedName name="_____512" localSheetId="10">'[1]AN-K'!#REF!</definedName>
    <definedName name="_____512" localSheetId="5">'[1]AN-K'!#REF!</definedName>
    <definedName name="_____512" localSheetId="6">'[1]AN-K'!#REF!</definedName>
    <definedName name="_____512" localSheetId="7">'[1]AN-K'!#REF!</definedName>
    <definedName name="_____512" localSheetId="8">'[1]AN-K'!#REF!</definedName>
    <definedName name="_____512">'[1]AN-K'!#REF!</definedName>
    <definedName name="_____514" localSheetId="10">'[5]AN-K'!#REF!</definedName>
    <definedName name="_____514" localSheetId="5">'[5]AN-K'!#REF!</definedName>
    <definedName name="_____514" localSheetId="6">'[5]AN-K'!#REF!</definedName>
    <definedName name="_____514" localSheetId="7">'[5]AN-K'!#REF!</definedName>
    <definedName name="_____514" localSheetId="8">'[5]AN-K'!#REF!</definedName>
    <definedName name="_____514">'[5]AN-K'!#REF!</definedName>
    <definedName name="_____515" localSheetId="10">'[5]AN-K'!#REF!</definedName>
    <definedName name="_____515" localSheetId="5">'[5]AN-K'!#REF!</definedName>
    <definedName name="_____515" localSheetId="6">'[5]AN-K'!#REF!</definedName>
    <definedName name="_____515" localSheetId="7">'[5]AN-K'!#REF!</definedName>
    <definedName name="_____515" localSheetId="8">'[5]AN-K'!#REF!</definedName>
    <definedName name="_____515">'[5]AN-K'!#REF!</definedName>
    <definedName name="_____516" localSheetId="10">#REF!</definedName>
    <definedName name="_____516" localSheetId="5">#REF!</definedName>
    <definedName name="_____516" localSheetId="6">#REF!</definedName>
    <definedName name="_____516" localSheetId="7">#REF!</definedName>
    <definedName name="_____516" localSheetId="8">#REF!</definedName>
    <definedName name="_____516">#REF!</definedName>
    <definedName name="_____520" localSheetId="10">'[1]AN-K'!#REF!</definedName>
    <definedName name="_____520" localSheetId="5">'[1]AN-K'!#REF!</definedName>
    <definedName name="_____520" localSheetId="6">'[1]AN-K'!#REF!</definedName>
    <definedName name="_____520" localSheetId="7">'[1]AN-K'!#REF!</definedName>
    <definedName name="_____520" localSheetId="8">'[1]AN-K'!#REF!</definedName>
    <definedName name="_____520">'[1]AN-K'!#REF!</definedName>
    <definedName name="_____522" localSheetId="10">'[5]AN-K'!#REF!</definedName>
    <definedName name="_____522" localSheetId="5">'[5]AN-K'!#REF!</definedName>
    <definedName name="_____522" localSheetId="6">'[5]AN-K'!#REF!</definedName>
    <definedName name="_____522" localSheetId="7">'[5]AN-K'!#REF!</definedName>
    <definedName name="_____522" localSheetId="8">'[5]AN-K'!#REF!</definedName>
    <definedName name="_____522">'[5]AN-K'!#REF!</definedName>
    <definedName name="_____523" localSheetId="10">'[5]AN-K'!#REF!</definedName>
    <definedName name="_____523" localSheetId="5">'[5]AN-K'!#REF!</definedName>
    <definedName name="_____523" localSheetId="6">'[5]AN-K'!#REF!</definedName>
    <definedName name="_____523" localSheetId="7">'[5]AN-K'!#REF!</definedName>
    <definedName name="_____523" localSheetId="8">'[5]AN-K'!#REF!</definedName>
    <definedName name="_____523">'[5]AN-K'!#REF!</definedName>
    <definedName name="_____618" localSheetId="10">'[5]AN-K'!#REF!</definedName>
    <definedName name="_____618" localSheetId="5">'[5]AN-K'!#REF!</definedName>
    <definedName name="_____618" localSheetId="6">'[5]AN-K'!#REF!</definedName>
    <definedName name="_____618" localSheetId="7">'[5]AN-K'!#REF!</definedName>
    <definedName name="_____618" localSheetId="8">'[5]AN-K'!#REF!</definedName>
    <definedName name="_____618">'[5]AN-K'!#REF!</definedName>
    <definedName name="_____619" localSheetId="10">'[1]AN-K'!#REF!</definedName>
    <definedName name="_____619" localSheetId="5">'[1]AN-K'!#REF!</definedName>
    <definedName name="_____619" localSheetId="6">'[1]AN-K'!#REF!</definedName>
    <definedName name="_____619" localSheetId="7">'[1]AN-K'!#REF!</definedName>
    <definedName name="_____619" localSheetId="8">'[1]AN-K'!#REF!</definedName>
    <definedName name="_____619">'[1]AN-K'!#REF!</definedName>
    <definedName name="_____620" localSheetId="10">'[1]AN-K'!#REF!</definedName>
    <definedName name="_____620" localSheetId="5">'[1]AN-K'!#REF!</definedName>
    <definedName name="_____620" localSheetId="6">'[1]AN-K'!#REF!</definedName>
    <definedName name="_____620" localSheetId="7">'[1]AN-K'!#REF!</definedName>
    <definedName name="_____620" localSheetId="8">'[1]AN-K'!#REF!</definedName>
    <definedName name="_____620">'[1]AN-K'!#REF!</definedName>
    <definedName name="_____636" localSheetId="10">'[1]AN-K'!#REF!</definedName>
    <definedName name="_____636" localSheetId="5">'[1]AN-K'!#REF!</definedName>
    <definedName name="_____636" localSheetId="6">'[1]AN-K'!#REF!</definedName>
    <definedName name="_____636" localSheetId="7">'[1]AN-K'!#REF!</definedName>
    <definedName name="_____636" localSheetId="8">'[1]AN-K'!#REF!</definedName>
    <definedName name="_____636">'[1]AN-K'!#REF!</definedName>
    <definedName name="_____641" localSheetId="10">'[1]AN-K'!#REF!</definedName>
    <definedName name="_____641" localSheetId="5">'[1]AN-K'!#REF!</definedName>
    <definedName name="_____641" localSheetId="6">'[1]AN-K'!#REF!</definedName>
    <definedName name="_____641" localSheetId="7">'[1]AN-K'!#REF!</definedName>
    <definedName name="_____641" localSheetId="8">'[1]AN-K'!#REF!</definedName>
    <definedName name="_____641">'[1]AN-K'!#REF!</definedName>
    <definedName name="_____710" localSheetId="10">'[5]AN-K'!#REF!</definedName>
    <definedName name="_____710" localSheetId="5">'[5]AN-K'!#REF!</definedName>
    <definedName name="_____710" localSheetId="6">'[5]AN-K'!#REF!</definedName>
    <definedName name="_____710" localSheetId="7">'[5]AN-K'!#REF!</definedName>
    <definedName name="_____710" localSheetId="8">'[5]AN-K'!#REF!</definedName>
    <definedName name="_____710">'[5]AN-K'!#REF!</definedName>
    <definedName name="_____715" localSheetId="10">'[5]AN-K'!#REF!</definedName>
    <definedName name="_____715" localSheetId="5">'[5]AN-K'!#REF!</definedName>
    <definedName name="_____715" localSheetId="6">'[5]AN-K'!#REF!</definedName>
    <definedName name="_____715" localSheetId="7">'[5]AN-K'!#REF!</definedName>
    <definedName name="_____715" localSheetId="8">'[5]AN-K'!#REF!</definedName>
    <definedName name="_____715">'[5]AN-K'!#REF!</definedName>
    <definedName name="_____720" localSheetId="10">'[5]AN-K'!#REF!</definedName>
    <definedName name="_____720" localSheetId="5">'[5]AN-K'!#REF!</definedName>
    <definedName name="_____720" localSheetId="6">'[5]AN-K'!#REF!</definedName>
    <definedName name="_____720" localSheetId="7">'[5]AN-K'!#REF!</definedName>
    <definedName name="_____720" localSheetId="8">'[5]AN-K'!#REF!</definedName>
    <definedName name="_____720">'[5]AN-K'!#REF!</definedName>
    <definedName name="_____722" localSheetId="10">'[5]AN-K'!#REF!</definedName>
    <definedName name="_____722" localSheetId="5">'[5]AN-K'!#REF!</definedName>
    <definedName name="_____722" localSheetId="6">'[5]AN-K'!#REF!</definedName>
    <definedName name="_____722" localSheetId="7">'[5]AN-K'!#REF!</definedName>
    <definedName name="_____722" localSheetId="8">'[5]AN-K'!#REF!</definedName>
    <definedName name="_____722">'[5]AN-K'!#REF!</definedName>
    <definedName name="_____725" localSheetId="10">'[5]AN-K'!#REF!</definedName>
    <definedName name="_____725" localSheetId="5">'[5]AN-K'!#REF!</definedName>
    <definedName name="_____725" localSheetId="6">'[5]AN-K'!#REF!</definedName>
    <definedName name="_____725" localSheetId="7">'[5]AN-K'!#REF!</definedName>
    <definedName name="_____725" localSheetId="8">'[5]AN-K'!#REF!</definedName>
    <definedName name="_____725">'[5]AN-K'!#REF!</definedName>
    <definedName name="_____810" localSheetId="10">'[5]AN-K'!#REF!</definedName>
    <definedName name="_____810" localSheetId="5">'[5]AN-K'!#REF!</definedName>
    <definedName name="_____810" localSheetId="6">'[5]AN-K'!#REF!</definedName>
    <definedName name="_____810" localSheetId="7">'[5]AN-K'!#REF!</definedName>
    <definedName name="_____810" localSheetId="8">'[5]AN-K'!#REF!</definedName>
    <definedName name="_____810">'[5]AN-K'!#REF!</definedName>
    <definedName name="_____815" localSheetId="10">'[5]AN-K'!#REF!</definedName>
    <definedName name="_____815" localSheetId="5">'[5]AN-K'!#REF!</definedName>
    <definedName name="_____815" localSheetId="6">'[5]AN-K'!#REF!</definedName>
    <definedName name="_____815" localSheetId="7">'[5]AN-K'!#REF!</definedName>
    <definedName name="_____815" localSheetId="8">'[5]AN-K'!#REF!</definedName>
    <definedName name="_____815">'[5]AN-K'!#REF!</definedName>
    <definedName name="_____880" localSheetId="10">'[5]AN-K'!#REF!</definedName>
    <definedName name="_____880" localSheetId="5">'[5]AN-K'!#REF!</definedName>
    <definedName name="_____880" localSheetId="6">'[5]AN-K'!#REF!</definedName>
    <definedName name="_____880" localSheetId="7">'[5]AN-K'!#REF!</definedName>
    <definedName name="_____880" localSheetId="8">'[5]AN-K'!#REF!</definedName>
    <definedName name="_____880">'[5]AN-K'!#REF!</definedName>
    <definedName name="_____HPS1" localSheetId="10">[2]inst1!#REF!</definedName>
    <definedName name="_____HPS1" localSheetId="5">[2]inst1!#REF!</definedName>
    <definedName name="_____HPS1" localSheetId="6">[2]inst1!#REF!</definedName>
    <definedName name="_____HPS1" localSheetId="7">[2]inst1!#REF!</definedName>
    <definedName name="_____HPS1" localSheetId="8">[2]inst1!#REF!</definedName>
    <definedName name="_____HPS1">[2]inst1!#REF!</definedName>
    <definedName name="_____K23" localSheetId="10">'[1]AN-K'!#REF!</definedName>
    <definedName name="_____K23" localSheetId="5">'[1]AN-K'!#REF!</definedName>
    <definedName name="_____K23" localSheetId="6">'[1]AN-K'!#REF!</definedName>
    <definedName name="_____K23" localSheetId="7">'[1]AN-K'!#REF!</definedName>
    <definedName name="_____K23" localSheetId="8">'[1]AN-K'!#REF!</definedName>
    <definedName name="_____K23">'[1]AN-K'!#REF!</definedName>
    <definedName name="_____RAB1" localSheetId="10">#REF!</definedName>
    <definedName name="_____RAB1" localSheetId="5">#REF!</definedName>
    <definedName name="_____RAB1" localSheetId="6">#REF!</definedName>
    <definedName name="_____RAB1" localSheetId="7">#REF!</definedName>
    <definedName name="_____RAB1" localSheetId="8">#REF!</definedName>
    <definedName name="_____RAB1">#REF!</definedName>
    <definedName name="_____RAB2" localSheetId="10">#REF!</definedName>
    <definedName name="_____RAB2" localSheetId="5">#REF!</definedName>
    <definedName name="_____RAB2" localSheetId="6">#REF!</definedName>
    <definedName name="_____RAB2" localSheetId="7">#REF!</definedName>
    <definedName name="_____RAB2" localSheetId="8">#REF!</definedName>
    <definedName name="_____RAB2">#REF!</definedName>
    <definedName name="_____VOL1" localSheetId="10">#REF!</definedName>
    <definedName name="_____VOL1" localSheetId="5">#REF!</definedName>
    <definedName name="_____VOL1" localSheetId="6">#REF!</definedName>
    <definedName name="_____VOL1" localSheetId="7">#REF!</definedName>
    <definedName name="_____VOL1" localSheetId="8">#REF!</definedName>
    <definedName name="_____VOL1">#REF!</definedName>
    <definedName name="____012" localSheetId="10">#REF!</definedName>
    <definedName name="____012" localSheetId="5">#REF!</definedName>
    <definedName name="____012" localSheetId="6">#REF!</definedName>
    <definedName name="____012" localSheetId="7">#REF!</definedName>
    <definedName name="____012" localSheetId="8">#REF!</definedName>
    <definedName name="____012">#REF!</definedName>
    <definedName name="____013" localSheetId="10">'[4]AN-K'!#REF!</definedName>
    <definedName name="____013" localSheetId="5">'[4]AN-K'!#REF!</definedName>
    <definedName name="____013" localSheetId="6">'[4]AN-K'!#REF!</definedName>
    <definedName name="____013" localSheetId="7">'[4]AN-K'!#REF!</definedName>
    <definedName name="____013" localSheetId="8">'[4]AN-K'!#REF!</definedName>
    <definedName name="____013">'[4]AN-K'!#REF!</definedName>
    <definedName name="____016" localSheetId="10">'[4]AN-K'!#REF!</definedName>
    <definedName name="____016" localSheetId="5">'[4]AN-K'!#REF!</definedName>
    <definedName name="____016" localSheetId="6">'[4]AN-K'!#REF!</definedName>
    <definedName name="____016" localSheetId="7">'[4]AN-K'!#REF!</definedName>
    <definedName name="____016" localSheetId="8">'[4]AN-K'!#REF!</definedName>
    <definedName name="____016">'[4]AN-K'!#REF!</definedName>
    <definedName name="____017" localSheetId="10">'[4]AN-K'!#REF!</definedName>
    <definedName name="____017" localSheetId="5">'[4]AN-K'!#REF!</definedName>
    <definedName name="____017" localSheetId="6">'[4]AN-K'!#REF!</definedName>
    <definedName name="____017" localSheetId="7">'[4]AN-K'!#REF!</definedName>
    <definedName name="____017" localSheetId="8">'[4]AN-K'!#REF!</definedName>
    <definedName name="____017">'[4]AN-K'!#REF!</definedName>
    <definedName name="____018" localSheetId="10">'[5]AN-K'!#REF!</definedName>
    <definedName name="____018" localSheetId="5">'[5]AN-K'!#REF!</definedName>
    <definedName name="____018" localSheetId="6">'[5]AN-K'!#REF!</definedName>
    <definedName name="____018" localSheetId="7">'[5]AN-K'!#REF!</definedName>
    <definedName name="____018" localSheetId="8">'[5]AN-K'!#REF!</definedName>
    <definedName name="____018">'[5]AN-K'!#REF!</definedName>
    <definedName name="____026" localSheetId="10">'[5]AN-K'!#REF!</definedName>
    <definedName name="____026" localSheetId="5">'[5]AN-K'!#REF!</definedName>
    <definedName name="____026" localSheetId="6">'[5]AN-K'!#REF!</definedName>
    <definedName name="____026" localSheetId="7">'[5]AN-K'!#REF!</definedName>
    <definedName name="____026" localSheetId="8">'[5]AN-K'!#REF!</definedName>
    <definedName name="____026">'[5]AN-K'!#REF!</definedName>
    <definedName name="____035" localSheetId="10">'[5]AN-K'!#REF!</definedName>
    <definedName name="____035" localSheetId="5">'[5]AN-K'!#REF!</definedName>
    <definedName name="____035" localSheetId="6">'[5]AN-K'!#REF!</definedName>
    <definedName name="____035" localSheetId="7">'[5]AN-K'!#REF!</definedName>
    <definedName name="____035" localSheetId="8">'[5]AN-K'!#REF!</definedName>
    <definedName name="____035">'[5]AN-K'!#REF!</definedName>
    <definedName name="____110" localSheetId="10">'[4]AN-K'!#REF!</definedName>
    <definedName name="____110" localSheetId="5">'[4]AN-K'!#REF!</definedName>
    <definedName name="____110" localSheetId="6">'[4]AN-K'!#REF!</definedName>
    <definedName name="____110" localSheetId="7">'[4]AN-K'!#REF!</definedName>
    <definedName name="____110" localSheetId="8">'[4]AN-K'!#REF!</definedName>
    <definedName name="____110">'[4]AN-K'!#REF!</definedName>
    <definedName name="____210" localSheetId="10">'[4]AN-K'!#REF!</definedName>
    <definedName name="____210" localSheetId="5">'[4]AN-K'!#REF!</definedName>
    <definedName name="____210" localSheetId="6">'[4]AN-K'!#REF!</definedName>
    <definedName name="____210" localSheetId="7">'[4]AN-K'!#REF!</definedName>
    <definedName name="____210" localSheetId="8">'[4]AN-K'!#REF!</definedName>
    <definedName name="____210">'[4]AN-K'!#REF!</definedName>
    <definedName name="____224" localSheetId="10">'[4]AN-K'!#REF!</definedName>
    <definedName name="____224" localSheetId="5">'[4]AN-K'!#REF!</definedName>
    <definedName name="____224" localSheetId="6">'[4]AN-K'!#REF!</definedName>
    <definedName name="____224" localSheetId="7">'[4]AN-K'!#REF!</definedName>
    <definedName name="____224" localSheetId="8">'[4]AN-K'!#REF!</definedName>
    <definedName name="____224">'[4]AN-K'!#REF!</definedName>
    <definedName name="____225" localSheetId="10">'[4]AN-K'!#REF!</definedName>
    <definedName name="____225" localSheetId="5">'[4]AN-K'!#REF!</definedName>
    <definedName name="____225" localSheetId="6">'[4]AN-K'!#REF!</definedName>
    <definedName name="____225" localSheetId="7">'[4]AN-K'!#REF!</definedName>
    <definedName name="____225" localSheetId="8">'[4]AN-K'!#REF!</definedName>
    <definedName name="____225">'[4]AN-K'!#REF!</definedName>
    <definedName name="____310" localSheetId="10">'[4]AN-K'!#REF!</definedName>
    <definedName name="____310" localSheetId="5">'[4]AN-K'!#REF!</definedName>
    <definedName name="____310" localSheetId="6">'[4]AN-K'!#REF!</definedName>
    <definedName name="____310" localSheetId="7">'[4]AN-K'!#REF!</definedName>
    <definedName name="____310" localSheetId="8">'[4]AN-K'!#REF!</definedName>
    <definedName name="____310">'[4]AN-K'!#REF!</definedName>
    <definedName name="____311" localSheetId="10">'[4]AN-K'!#REF!</definedName>
    <definedName name="____311" localSheetId="5">'[4]AN-K'!#REF!</definedName>
    <definedName name="____311" localSheetId="6">'[4]AN-K'!#REF!</definedName>
    <definedName name="____311" localSheetId="7">'[4]AN-K'!#REF!</definedName>
    <definedName name="____311" localSheetId="8">'[4]AN-K'!#REF!</definedName>
    <definedName name="____311">'[4]AN-K'!#REF!</definedName>
    <definedName name="____320" localSheetId="10">#REF!</definedName>
    <definedName name="____320" localSheetId="5">#REF!</definedName>
    <definedName name="____320" localSheetId="6">#REF!</definedName>
    <definedName name="____320" localSheetId="7">#REF!</definedName>
    <definedName name="____320" localSheetId="8">#REF!</definedName>
    <definedName name="____320">#REF!</definedName>
    <definedName name="____321" localSheetId="10">'[4]AN-K'!#REF!</definedName>
    <definedName name="____321" localSheetId="5">'[4]AN-K'!#REF!</definedName>
    <definedName name="____321" localSheetId="6">'[4]AN-K'!#REF!</definedName>
    <definedName name="____321" localSheetId="7">'[4]AN-K'!#REF!</definedName>
    <definedName name="____321" localSheetId="8">'[4]AN-K'!#REF!</definedName>
    <definedName name="____321">'[4]AN-K'!#REF!</definedName>
    <definedName name="____341" localSheetId="10">'[4]AN-K'!#REF!</definedName>
    <definedName name="____341" localSheetId="5">'[4]AN-K'!#REF!</definedName>
    <definedName name="____341" localSheetId="6">'[4]AN-K'!#REF!</definedName>
    <definedName name="____341" localSheetId="7">'[4]AN-K'!#REF!</definedName>
    <definedName name="____341" localSheetId="8">'[4]AN-K'!#REF!</definedName>
    <definedName name="____341">'[4]AN-K'!#REF!</definedName>
    <definedName name="____342" localSheetId="10">'[4]AN-K'!#REF!</definedName>
    <definedName name="____342" localSheetId="5">'[4]AN-K'!#REF!</definedName>
    <definedName name="____342" localSheetId="6">'[4]AN-K'!#REF!</definedName>
    <definedName name="____342" localSheetId="7">'[4]AN-K'!#REF!</definedName>
    <definedName name="____342" localSheetId="8">'[4]AN-K'!#REF!</definedName>
    <definedName name="____342">'[4]AN-K'!#REF!</definedName>
    <definedName name="____410" localSheetId="10">'[4]AN-K'!#REF!</definedName>
    <definedName name="____410" localSheetId="5">'[4]AN-K'!#REF!</definedName>
    <definedName name="____410" localSheetId="6">'[4]AN-K'!#REF!</definedName>
    <definedName name="____410" localSheetId="7">'[4]AN-K'!#REF!</definedName>
    <definedName name="____410" localSheetId="8">'[4]AN-K'!#REF!</definedName>
    <definedName name="____410">'[4]AN-K'!#REF!</definedName>
    <definedName name="____411" localSheetId="10">'[4]AN-K'!#REF!</definedName>
    <definedName name="____411" localSheetId="5">'[4]AN-K'!#REF!</definedName>
    <definedName name="____411" localSheetId="6">'[4]AN-K'!#REF!</definedName>
    <definedName name="____411" localSheetId="7">'[4]AN-K'!#REF!</definedName>
    <definedName name="____411" localSheetId="8">'[4]AN-K'!#REF!</definedName>
    <definedName name="____411">'[4]AN-K'!#REF!</definedName>
    <definedName name="____420" localSheetId="10">'[4]AN-K'!#REF!</definedName>
    <definedName name="____420" localSheetId="5">'[4]AN-K'!#REF!</definedName>
    <definedName name="____420" localSheetId="6">'[4]AN-K'!#REF!</definedName>
    <definedName name="____420" localSheetId="7">'[4]AN-K'!#REF!</definedName>
    <definedName name="____420" localSheetId="8">'[4]AN-K'!#REF!</definedName>
    <definedName name="____420">'[4]AN-K'!#REF!</definedName>
    <definedName name="____422" localSheetId="10">#REF!</definedName>
    <definedName name="____422" localSheetId="5">#REF!</definedName>
    <definedName name="____422" localSheetId="6">#REF!</definedName>
    <definedName name="____422" localSheetId="7">#REF!</definedName>
    <definedName name="____422" localSheetId="8">#REF!</definedName>
    <definedName name="____422">#REF!</definedName>
    <definedName name="____423" localSheetId="10">'[4]AN-K'!#REF!</definedName>
    <definedName name="____423" localSheetId="5">'[4]AN-K'!#REF!</definedName>
    <definedName name="____423" localSheetId="6">'[4]AN-K'!#REF!</definedName>
    <definedName name="____423" localSheetId="7">'[4]AN-K'!#REF!</definedName>
    <definedName name="____423" localSheetId="8">'[4]AN-K'!#REF!</definedName>
    <definedName name="____423">'[4]AN-K'!#REF!</definedName>
    <definedName name="____424" localSheetId="10">'[4]AN-K'!#REF!</definedName>
    <definedName name="____424" localSheetId="5">'[4]AN-K'!#REF!</definedName>
    <definedName name="____424" localSheetId="6">'[4]AN-K'!#REF!</definedName>
    <definedName name="____424" localSheetId="7">'[4]AN-K'!#REF!</definedName>
    <definedName name="____424" localSheetId="8">'[4]AN-K'!#REF!</definedName>
    <definedName name="____424">'[4]AN-K'!#REF!</definedName>
    <definedName name="____512" localSheetId="10">'[5]AN-K'!#REF!</definedName>
    <definedName name="____512" localSheetId="5">'[5]AN-K'!#REF!</definedName>
    <definedName name="____512" localSheetId="6">'[5]AN-K'!#REF!</definedName>
    <definedName name="____512" localSheetId="7">'[5]AN-K'!#REF!</definedName>
    <definedName name="____512" localSheetId="8">'[5]AN-K'!#REF!</definedName>
    <definedName name="____512">'[5]AN-K'!#REF!</definedName>
    <definedName name="____514" localSheetId="10">'[4]AN-K'!#REF!</definedName>
    <definedName name="____514" localSheetId="5">'[4]AN-K'!#REF!</definedName>
    <definedName name="____514" localSheetId="6">'[4]AN-K'!#REF!</definedName>
    <definedName name="____514" localSheetId="7">'[4]AN-K'!#REF!</definedName>
    <definedName name="____514" localSheetId="8">'[4]AN-K'!#REF!</definedName>
    <definedName name="____514">'[4]AN-K'!#REF!</definedName>
    <definedName name="____515" localSheetId="10">'[4]AN-K'!#REF!</definedName>
    <definedName name="____515" localSheetId="5">'[4]AN-K'!#REF!</definedName>
    <definedName name="____515" localSheetId="6">'[4]AN-K'!#REF!</definedName>
    <definedName name="____515" localSheetId="7">'[4]AN-K'!#REF!</definedName>
    <definedName name="____515" localSheetId="8">'[4]AN-K'!#REF!</definedName>
    <definedName name="____515">'[4]AN-K'!#REF!</definedName>
    <definedName name="____516" localSheetId="10">#REF!</definedName>
    <definedName name="____516" localSheetId="5">#REF!</definedName>
    <definedName name="____516" localSheetId="6">#REF!</definedName>
    <definedName name="____516" localSheetId="7">#REF!</definedName>
    <definedName name="____516" localSheetId="8">#REF!</definedName>
    <definedName name="____516">#REF!</definedName>
    <definedName name="____520" localSheetId="10">'[5]AN-K'!#REF!</definedName>
    <definedName name="____520" localSheetId="5">'[5]AN-K'!#REF!</definedName>
    <definedName name="____520" localSheetId="6">'[5]AN-K'!#REF!</definedName>
    <definedName name="____520" localSheetId="7">'[5]AN-K'!#REF!</definedName>
    <definedName name="____520" localSheetId="8">'[5]AN-K'!#REF!</definedName>
    <definedName name="____520">'[5]AN-K'!#REF!</definedName>
    <definedName name="____522" localSheetId="10">'[4]AN-K'!#REF!</definedName>
    <definedName name="____522" localSheetId="5">'[4]AN-K'!#REF!</definedName>
    <definedName name="____522" localSheetId="6">'[4]AN-K'!#REF!</definedName>
    <definedName name="____522" localSheetId="7">'[4]AN-K'!#REF!</definedName>
    <definedName name="____522" localSheetId="8">'[4]AN-K'!#REF!</definedName>
    <definedName name="____522">'[4]AN-K'!#REF!</definedName>
    <definedName name="____523" localSheetId="10">'[4]AN-K'!#REF!</definedName>
    <definedName name="____523" localSheetId="5">'[4]AN-K'!#REF!</definedName>
    <definedName name="____523" localSheetId="6">'[4]AN-K'!#REF!</definedName>
    <definedName name="____523" localSheetId="7">'[4]AN-K'!#REF!</definedName>
    <definedName name="____523" localSheetId="8">'[4]AN-K'!#REF!</definedName>
    <definedName name="____523">'[4]AN-K'!#REF!</definedName>
    <definedName name="____618" localSheetId="10">'[4]AN-K'!#REF!</definedName>
    <definedName name="____618" localSheetId="5">'[4]AN-K'!#REF!</definedName>
    <definedName name="____618" localSheetId="6">'[4]AN-K'!#REF!</definedName>
    <definedName name="____618" localSheetId="7">'[4]AN-K'!#REF!</definedName>
    <definedName name="____618" localSheetId="8">'[4]AN-K'!#REF!</definedName>
    <definedName name="____618">'[4]AN-K'!#REF!</definedName>
    <definedName name="____619" localSheetId="10">'[5]AN-K'!#REF!</definedName>
    <definedName name="____619" localSheetId="5">'[5]AN-K'!#REF!</definedName>
    <definedName name="____619" localSheetId="6">'[5]AN-K'!#REF!</definedName>
    <definedName name="____619" localSheetId="7">'[5]AN-K'!#REF!</definedName>
    <definedName name="____619" localSheetId="8">'[5]AN-K'!#REF!</definedName>
    <definedName name="____619">'[5]AN-K'!#REF!</definedName>
    <definedName name="____620" localSheetId="10">'[5]AN-K'!#REF!</definedName>
    <definedName name="____620" localSheetId="5">'[5]AN-K'!#REF!</definedName>
    <definedName name="____620" localSheetId="6">'[5]AN-K'!#REF!</definedName>
    <definedName name="____620" localSheetId="7">'[5]AN-K'!#REF!</definedName>
    <definedName name="____620" localSheetId="8">'[5]AN-K'!#REF!</definedName>
    <definedName name="____620">'[5]AN-K'!#REF!</definedName>
    <definedName name="____636" localSheetId="10">'[5]AN-K'!#REF!</definedName>
    <definedName name="____636" localSheetId="5">'[5]AN-K'!#REF!</definedName>
    <definedName name="____636" localSheetId="6">'[5]AN-K'!#REF!</definedName>
    <definedName name="____636" localSheetId="7">'[5]AN-K'!#REF!</definedName>
    <definedName name="____636" localSheetId="8">'[5]AN-K'!#REF!</definedName>
    <definedName name="____636">'[5]AN-K'!#REF!</definedName>
    <definedName name="____641" localSheetId="10">'[5]AN-K'!#REF!</definedName>
    <definedName name="____641" localSheetId="5">'[5]AN-K'!#REF!</definedName>
    <definedName name="____641" localSheetId="6">'[5]AN-K'!#REF!</definedName>
    <definedName name="____641" localSheetId="7">'[5]AN-K'!#REF!</definedName>
    <definedName name="____641" localSheetId="8">'[5]AN-K'!#REF!</definedName>
    <definedName name="____641">'[5]AN-K'!#REF!</definedName>
    <definedName name="____710" localSheetId="10">'[4]AN-K'!#REF!</definedName>
    <definedName name="____710" localSheetId="5">'[4]AN-K'!#REF!</definedName>
    <definedName name="____710" localSheetId="6">'[4]AN-K'!#REF!</definedName>
    <definedName name="____710" localSheetId="7">'[4]AN-K'!#REF!</definedName>
    <definedName name="____710" localSheetId="8">'[4]AN-K'!#REF!</definedName>
    <definedName name="____710">'[4]AN-K'!#REF!</definedName>
    <definedName name="____715" localSheetId="10">'[4]AN-K'!#REF!</definedName>
    <definedName name="____715" localSheetId="5">'[4]AN-K'!#REF!</definedName>
    <definedName name="____715" localSheetId="6">'[4]AN-K'!#REF!</definedName>
    <definedName name="____715" localSheetId="7">'[4]AN-K'!#REF!</definedName>
    <definedName name="____715" localSheetId="8">'[4]AN-K'!#REF!</definedName>
    <definedName name="____715">'[4]AN-K'!#REF!</definedName>
    <definedName name="____720" localSheetId="10">'[4]AN-K'!#REF!</definedName>
    <definedName name="____720" localSheetId="5">'[4]AN-K'!#REF!</definedName>
    <definedName name="____720" localSheetId="6">'[4]AN-K'!#REF!</definedName>
    <definedName name="____720" localSheetId="7">'[4]AN-K'!#REF!</definedName>
    <definedName name="____720" localSheetId="8">'[4]AN-K'!#REF!</definedName>
    <definedName name="____720">'[4]AN-K'!#REF!</definedName>
    <definedName name="____722" localSheetId="10">'[4]AN-K'!#REF!</definedName>
    <definedName name="____722" localSheetId="5">'[4]AN-K'!#REF!</definedName>
    <definedName name="____722" localSheetId="6">'[4]AN-K'!#REF!</definedName>
    <definedName name="____722" localSheetId="7">'[4]AN-K'!#REF!</definedName>
    <definedName name="____722" localSheetId="8">'[4]AN-K'!#REF!</definedName>
    <definedName name="____722">'[4]AN-K'!#REF!</definedName>
    <definedName name="____725" localSheetId="10">'[4]AN-K'!#REF!</definedName>
    <definedName name="____725" localSheetId="5">'[4]AN-K'!#REF!</definedName>
    <definedName name="____725" localSheetId="6">'[4]AN-K'!#REF!</definedName>
    <definedName name="____725" localSheetId="7">'[4]AN-K'!#REF!</definedName>
    <definedName name="____725" localSheetId="8">'[4]AN-K'!#REF!</definedName>
    <definedName name="____725">'[4]AN-K'!#REF!</definedName>
    <definedName name="____810" localSheetId="10">'[4]AN-K'!#REF!</definedName>
    <definedName name="____810" localSheetId="5">'[4]AN-K'!#REF!</definedName>
    <definedName name="____810" localSheetId="6">'[4]AN-K'!#REF!</definedName>
    <definedName name="____810" localSheetId="7">'[4]AN-K'!#REF!</definedName>
    <definedName name="____810" localSheetId="8">'[4]AN-K'!#REF!</definedName>
    <definedName name="____810">'[4]AN-K'!#REF!</definedName>
    <definedName name="____815" localSheetId="10">'[4]AN-K'!#REF!</definedName>
    <definedName name="____815" localSheetId="5">'[4]AN-K'!#REF!</definedName>
    <definedName name="____815" localSheetId="6">'[4]AN-K'!#REF!</definedName>
    <definedName name="____815" localSheetId="7">'[4]AN-K'!#REF!</definedName>
    <definedName name="____815" localSheetId="8">'[4]AN-K'!#REF!</definedName>
    <definedName name="____815">'[4]AN-K'!#REF!</definedName>
    <definedName name="____880" localSheetId="10">'[4]AN-K'!#REF!</definedName>
    <definedName name="____880" localSheetId="5">'[4]AN-K'!#REF!</definedName>
    <definedName name="____880" localSheetId="6">'[4]AN-K'!#REF!</definedName>
    <definedName name="____880" localSheetId="7">'[4]AN-K'!#REF!</definedName>
    <definedName name="____880" localSheetId="8">'[4]AN-K'!#REF!</definedName>
    <definedName name="____880">'[4]AN-K'!#REF!</definedName>
    <definedName name="____HPS1" localSheetId="10">[2]inst1!#REF!</definedName>
    <definedName name="____HPS1" localSheetId="5">[2]inst1!#REF!</definedName>
    <definedName name="____HPS1" localSheetId="6">[2]inst1!#REF!</definedName>
    <definedName name="____HPS1" localSheetId="7">[2]inst1!#REF!</definedName>
    <definedName name="____HPS1" localSheetId="8">[2]inst1!#REF!</definedName>
    <definedName name="____HPS1">[2]inst1!#REF!</definedName>
    <definedName name="____K23" localSheetId="10">'[4]AN-K'!#REF!</definedName>
    <definedName name="____K23" localSheetId="5">'[4]AN-K'!#REF!</definedName>
    <definedName name="____K23" localSheetId="6">'[4]AN-K'!#REF!</definedName>
    <definedName name="____K23" localSheetId="7">'[4]AN-K'!#REF!</definedName>
    <definedName name="____K23" localSheetId="8">'[4]AN-K'!#REF!</definedName>
    <definedName name="____K23">'[4]AN-K'!#REF!</definedName>
    <definedName name="____RAB1" localSheetId="10">#REF!</definedName>
    <definedName name="____RAB1" localSheetId="5">#REF!</definedName>
    <definedName name="____RAB1" localSheetId="6">#REF!</definedName>
    <definedName name="____RAB1" localSheetId="7">#REF!</definedName>
    <definedName name="____RAB1" localSheetId="8">#REF!</definedName>
    <definedName name="____RAB1">#REF!</definedName>
    <definedName name="____RAB2" localSheetId="10">#REF!</definedName>
    <definedName name="____RAB2" localSheetId="5">#REF!</definedName>
    <definedName name="____RAB2" localSheetId="6">#REF!</definedName>
    <definedName name="____RAB2" localSheetId="7">#REF!</definedName>
    <definedName name="____RAB2" localSheetId="8">#REF!</definedName>
    <definedName name="____RAB2">#REF!</definedName>
    <definedName name="____VOL1" localSheetId="10">#REF!</definedName>
    <definedName name="____VOL1" localSheetId="5">#REF!</definedName>
    <definedName name="____VOL1" localSheetId="6">#REF!</definedName>
    <definedName name="____VOL1" localSheetId="7">#REF!</definedName>
    <definedName name="____VOL1" localSheetId="8">#REF!</definedName>
    <definedName name="____VOL1">#REF!</definedName>
    <definedName name="___012" localSheetId="10">#REF!</definedName>
    <definedName name="___012" localSheetId="5">#REF!</definedName>
    <definedName name="___012" localSheetId="6">#REF!</definedName>
    <definedName name="___012" localSheetId="7">#REF!</definedName>
    <definedName name="___012" localSheetId="8">#REF!</definedName>
    <definedName name="___012">#REF!</definedName>
    <definedName name="___013" localSheetId="10">'[6]AN-K'!#REF!</definedName>
    <definedName name="___013" localSheetId="5">'[6]AN-K'!#REF!</definedName>
    <definedName name="___013" localSheetId="6">'[6]AN-K'!#REF!</definedName>
    <definedName name="___013" localSheetId="7">'[6]AN-K'!#REF!</definedName>
    <definedName name="___013" localSheetId="8">'[6]AN-K'!#REF!</definedName>
    <definedName name="___013">'[6]AN-K'!#REF!</definedName>
    <definedName name="___016" localSheetId="10">'[4]AN-K'!#REF!</definedName>
    <definedName name="___016" localSheetId="5">'[4]AN-K'!#REF!</definedName>
    <definedName name="___016" localSheetId="6">'[4]AN-K'!#REF!</definedName>
    <definedName name="___016" localSheetId="7">'[4]AN-K'!#REF!</definedName>
    <definedName name="___016" localSheetId="8">'[4]AN-K'!#REF!</definedName>
    <definedName name="___016">'[4]AN-K'!#REF!</definedName>
    <definedName name="___017" localSheetId="10">'[4]AN-K'!#REF!</definedName>
    <definedName name="___017" localSheetId="5">'[4]AN-K'!#REF!</definedName>
    <definedName name="___017" localSheetId="6">'[4]AN-K'!#REF!</definedName>
    <definedName name="___017" localSheetId="7">'[4]AN-K'!#REF!</definedName>
    <definedName name="___017" localSheetId="8">'[4]AN-K'!#REF!</definedName>
    <definedName name="___017">'[4]AN-K'!#REF!</definedName>
    <definedName name="___018" localSheetId="10">'[4]AN-K'!#REF!</definedName>
    <definedName name="___018" localSheetId="5">'[4]AN-K'!#REF!</definedName>
    <definedName name="___018" localSheetId="6">'[4]AN-K'!#REF!</definedName>
    <definedName name="___018" localSheetId="7">'[4]AN-K'!#REF!</definedName>
    <definedName name="___018" localSheetId="8">'[4]AN-K'!#REF!</definedName>
    <definedName name="___018">'[4]AN-K'!#REF!</definedName>
    <definedName name="___026" localSheetId="10">'[4]AN-K'!#REF!</definedName>
    <definedName name="___026" localSheetId="5">'[4]AN-K'!#REF!</definedName>
    <definedName name="___026" localSheetId="6">'[4]AN-K'!#REF!</definedName>
    <definedName name="___026" localSheetId="7">'[4]AN-K'!#REF!</definedName>
    <definedName name="___026" localSheetId="8">'[4]AN-K'!#REF!</definedName>
    <definedName name="___026">'[4]AN-K'!#REF!</definedName>
    <definedName name="___035" localSheetId="10">'[4]AN-K'!#REF!</definedName>
    <definedName name="___035" localSheetId="5">'[4]AN-K'!#REF!</definedName>
    <definedName name="___035" localSheetId="6">'[4]AN-K'!#REF!</definedName>
    <definedName name="___035" localSheetId="7">'[4]AN-K'!#REF!</definedName>
    <definedName name="___035" localSheetId="8">'[4]AN-K'!#REF!</definedName>
    <definedName name="___035">'[4]AN-K'!#REF!</definedName>
    <definedName name="___110" localSheetId="10">'[4]AN-K'!#REF!</definedName>
    <definedName name="___110" localSheetId="5">'[4]AN-K'!#REF!</definedName>
    <definedName name="___110" localSheetId="6">'[4]AN-K'!#REF!</definedName>
    <definedName name="___110" localSheetId="7">'[4]AN-K'!#REF!</definedName>
    <definedName name="___110" localSheetId="8">'[4]AN-K'!#REF!</definedName>
    <definedName name="___110">'[4]AN-K'!#REF!</definedName>
    <definedName name="___210" localSheetId="10">'[4]AN-K'!#REF!</definedName>
    <definedName name="___210" localSheetId="5">'[4]AN-K'!#REF!</definedName>
    <definedName name="___210" localSheetId="6">'[4]AN-K'!#REF!</definedName>
    <definedName name="___210" localSheetId="7">'[4]AN-K'!#REF!</definedName>
    <definedName name="___210" localSheetId="8">'[4]AN-K'!#REF!</definedName>
    <definedName name="___210">'[4]AN-K'!#REF!</definedName>
    <definedName name="___224" localSheetId="10">'[4]AN-K'!#REF!</definedName>
    <definedName name="___224" localSheetId="5">'[4]AN-K'!#REF!</definedName>
    <definedName name="___224" localSheetId="6">'[4]AN-K'!#REF!</definedName>
    <definedName name="___224" localSheetId="7">'[4]AN-K'!#REF!</definedName>
    <definedName name="___224" localSheetId="8">'[4]AN-K'!#REF!</definedName>
    <definedName name="___224">'[4]AN-K'!#REF!</definedName>
    <definedName name="___225" localSheetId="10">'[4]AN-K'!#REF!</definedName>
    <definedName name="___225" localSheetId="5">'[4]AN-K'!#REF!</definedName>
    <definedName name="___225" localSheetId="6">'[4]AN-K'!#REF!</definedName>
    <definedName name="___225" localSheetId="7">'[4]AN-K'!#REF!</definedName>
    <definedName name="___225" localSheetId="8">'[4]AN-K'!#REF!</definedName>
    <definedName name="___225">'[4]AN-K'!#REF!</definedName>
    <definedName name="___310" localSheetId="10">'[4]AN-K'!#REF!</definedName>
    <definedName name="___310" localSheetId="5">'[4]AN-K'!#REF!</definedName>
    <definedName name="___310" localSheetId="6">'[4]AN-K'!#REF!</definedName>
    <definedName name="___310" localSheetId="7">'[4]AN-K'!#REF!</definedName>
    <definedName name="___310" localSheetId="8">'[4]AN-K'!#REF!</definedName>
    <definedName name="___310">'[4]AN-K'!#REF!</definedName>
    <definedName name="___311" localSheetId="10">'[4]AN-K'!#REF!</definedName>
    <definedName name="___311" localSheetId="5">'[4]AN-K'!#REF!</definedName>
    <definedName name="___311" localSheetId="6">'[4]AN-K'!#REF!</definedName>
    <definedName name="___311" localSheetId="7">'[4]AN-K'!#REF!</definedName>
    <definedName name="___311" localSheetId="8">'[4]AN-K'!#REF!</definedName>
    <definedName name="___311">'[4]AN-K'!#REF!</definedName>
    <definedName name="___320" localSheetId="10">#REF!</definedName>
    <definedName name="___320" localSheetId="5">#REF!</definedName>
    <definedName name="___320" localSheetId="6">#REF!</definedName>
    <definedName name="___320" localSheetId="7">#REF!</definedName>
    <definedName name="___320" localSheetId="8">#REF!</definedName>
    <definedName name="___320">#REF!</definedName>
    <definedName name="___321" localSheetId="10">'[4]AN-K'!#REF!</definedName>
    <definedName name="___321" localSheetId="5">'[4]AN-K'!#REF!</definedName>
    <definedName name="___321" localSheetId="6">'[4]AN-K'!#REF!</definedName>
    <definedName name="___321" localSheetId="7">'[4]AN-K'!#REF!</definedName>
    <definedName name="___321" localSheetId="8">'[4]AN-K'!#REF!</definedName>
    <definedName name="___321">'[4]AN-K'!#REF!</definedName>
    <definedName name="___341" localSheetId="10">'[4]AN-K'!#REF!</definedName>
    <definedName name="___341" localSheetId="5">'[4]AN-K'!#REF!</definedName>
    <definedName name="___341" localSheetId="6">'[4]AN-K'!#REF!</definedName>
    <definedName name="___341" localSheetId="7">'[4]AN-K'!#REF!</definedName>
    <definedName name="___341" localSheetId="8">'[4]AN-K'!#REF!</definedName>
    <definedName name="___341">'[4]AN-K'!#REF!</definedName>
    <definedName name="___342" localSheetId="10">'[4]AN-K'!#REF!</definedName>
    <definedName name="___342" localSheetId="5">'[4]AN-K'!#REF!</definedName>
    <definedName name="___342" localSheetId="6">'[4]AN-K'!#REF!</definedName>
    <definedName name="___342" localSheetId="7">'[4]AN-K'!#REF!</definedName>
    <definedName name="___342" localSheetId="8">'[4]AN-K'!#REF!</definedName>
    <definedName name="___342">'[4]AN-K'!#REF!</definedName>
    <definedName name="___410" localSheetId="10">'[4]AN-K'!#REF!</definedName>
    <definedName name="___410" localSheetId="5">'[4]AN-K'!#REF!</definedName>
    <definedName name="___410" localSheetId="6">'[4]AN-K'!#REF!</definedName>
    <definedName name="___410" localSheetId="7">'[4]AN-K'!#REF!</definedName>
    <definedName name="___410" localSheetId="8">'[4]AN-K'!#REF!</definedName>
    <definedName name="___410">'[4]AN-K'!#REF!</definedName>
    <definedName name="___411" localSheetId="10">'[4]AN-K'!#REF!</definedName>
    <definedName name="___411" localSheetId="5">'[4]AN-K'!#REF!</definedName>
    <definedName name="___411" localSheetId="6">'[4]AN-K'!#REF!</definedName>
    <definedName name="___411" localSheetId="7">'[4]AN-K'!#REF!</definedName>
    <definedName name="___411" localSheetId="8">'[4]AN-K'!#REF!</definedName>
    <definedName name="___411">'[4]AN-K'!#REF!</definedName>
    <definedName name="___420" localSheetId="10">'[4]AN-K'!#REF!</definedName>
    <definedName name="___420" localSheetId="5">'[4]AN-K'!#REF!</definedName>
    <definedName name="___420" localSheetId="6">'[4]AN-K'!#REF!</definedName>
    <definedName name="___420" localSheetId="7">'[4]AN-K'!#REF!</definedName>
    <definedName name="___420" localSheetId="8">'[4]AN-K'!#REF!</definedName>
    <definedName name="___420">'[4]AN-K'!#REF!</definedName>
    <definedName name="___422" localSheetId="10">#REF!</definedName>
    <definedName name="___422" localSheetId="5">#REF!</definedName>
    <definedName name="___422" localSheetId="6">#REF!</definedName>
    <definedName name="___422" localSheetId="7">#REF!</definedName>
    <definedName name="___422" localSheetId="8">#REF!</definedName>
    <definedName name="___422">#REF!</definedName>
    <definedName name="___423" localSheetId="10">'[6]AN-K'!#REF!</definedName>
    <definedName name="___423" localSheetId="5">'[6]AN-K'!#REF!</definedName>
    <definedName name="___423" localSheetId="6">'[6]AN-K'!#REF!</definedName>
    <definedName name="___423" localSheetId="7">'[6]AN-K'!#REF!</definedName>
    <definedName name="___423" localSheetId="8">'[6]AN-K'!#REF!</definedName>
    <definedName name="___423">'[6]AN-K'!#REF!</definedName>
    <definedName name="___424" localSheetId="10">'[4]AN-K'!#REF!</definedName>
    <definedName name="___424" localSheetId="5">'[4]AN-K'!#REF!</definedName>
    <definedName name="___424" localSheetId="6">'[4]AN-K'!#REF!</definedName>
    <definedName name="___424" localSheetId="7">'[4]AN-K'!#REF!</definedName>
    <definedName name="___424" localSheetId="8">'[4]AN-K'!#REF!</definedName>
    <definedName name="___424">'[4]AN-K'!#REF!</definedName>
    <definedName name="___512" localSheetId="10">'[4]AN-K'!#REF!</definedName>
    <definedName name="___512" localSheetId="5">'[4]AN-K'!#REF!</definedName>
    <definedName name="___512" localSheetId="6">'[4]AN-K'!#REF!</definedName>
    <definedName name="___512" localSheetId="7">'[4]AN-K'!#REF!</definedName>
    <definedName name="___512" localSheetId="8">'[4]AN-K'!#REF!</definedName>
    <definedName name="___512">'[4]AN-K'!#REF!</definedName>
    <definedName name="___514" localSheetId="10">'[4]AN-K'!#REF!</definedName>
    <definedName name="___514" localSheetId="5">'[4]AN-K'!#REF!</definedName>
    <definedName name="___514" localSheetId="6">'[4]AN-K'!#REF!</definedName>
    <definedName name="___514" localSheetId="7">'[4]AN-K'!#REF!</definedName>
    <definedName name="___514" localSheetId="8">'[4]AN-K'!#REF!</definedName>
    <definedName name="___514">'[4]AN-K'!#REF!</definedName>
    <definedName name="___515" localSheetId="10">'[4]AN-K'!#REF!</definedName>
    <definedName name="___515" localSheetId="5">'[4]AN-K'!#REF!</definedName>
    <definedName name="___515" localSheetId="6">'[4]AN-K'!#REF!</definedName>
    <definedName name="___515" localSheetId="7">'[4]AN-K'!#REF!</definedName>
    <definedName name="___515" localSheetId="8">'[4]AN-K'!#REF!</definedName>
    <definedName name="___515">'[4]AN-K'!#REF!</definedName>
    <definedName name="___516" localSheetId="10">#REF!</definedName>
    <definedName name="___516" localSheetId="5">#REF!</definedName>
    <definedName name="___516" localSheetId="6">#REF!</definedName>
    <definedName name="___516" localSheetId="7">#REF!</definedName>
    <definedName name="___516" localSheetId="8">#REF!</definedName>
    <definedName name="___516">#REF!</definedName>
    <definedName name="___520" localSheetId="10">'[4]AN-K'!#REF!</definedName>
    <definedName name="___520" localSheetId="5">'[4]AN-K'!#REF!</definedName>
    <definedName name="___520" localSheetId="6">'[4]AN-K'!#REF!</definedName>
    <definedName name="___520" localSheetId="7">'[4]AN-K'!#REF!</definedName>
    <definedName name="___520" localSheetId="8">'[4]AN-K'!#REF!</definedName>
    <definedName name="___520">'[4]AN-K'!#REF!</definedName>
    <definedName name="___522" localSheetId="10">'[4]AN-K'!#REF!</definedName>
    <definedName name="___522" localSheetId="5">'[4]AN-K'!#REF!</definedName>
    <definedName name="___522" localSheetId="6">'[4]AN-K'!#REF!</definedName>
    <definedName name="___522" localSheetId="7">'[4]AN-K'!#REF!</definedName>
    <definedName name="___522" localSheetId="8">'[4]AN-K'!#REF!</definedName>
    <definedName name="___522">'[4]AN-K'!#REF!</definedName>
    <definedName name="___523" localSheetId="10">'[4]AN-K'!#REF!</definedName>
    <definedName name="___523" localSheetId="5">'[4]AN-K'!#REF!</definedName>
    <definedName name="___523" localSheetId="6">'[4]AN-K'!#REF!</definedName>
    <definedName name="___523" localSheetId="7">'[4]AN-K'!#REF!</definedName>
    <definedName name="___523" localSheetId="8">'[4]AN-K'!#REF!</definedName>
    <definedName name="___523">'[4]AN-K'!#REF!</definedName>
    <definedName name="___618" localSheetId="10">'[4]AN-K'!#REF!</definedName>
    <definedName name="___618" localSheetId="5">'[4]AN-K'!#REF!</definedName>
    <definedName name="___618" localSheetId="6">'[4]AN-K'!#REF!</definedName>
    <definedName name="___618" localSheetId="7">'[4]AN-K'!#REF!</definedName>
    <definedName name="___618" localSheetId="8">'[4]AN-K'!#REF!</definedName>
    <definedName name="___618">'[4]AN-K'!#REF!</definedName>
    <definedName name="___619" localSheetId="10">'[4]AN-K'!#REF!</definedName>
    <definedName name="___619" localSheetId="5">'[4]AN-K'!#REF!</definedName>
    <definedName name="___619" localSheetId="6">'[4]AN-K'!#REF!</definedName>
    <definedName name="___619" localSheetId="7">'[4]AN-K'!#REF!</definedName>
    <definedName name="___619" localSheetId="8">'[4]AN-K'!#REF!</definedName>
    <definedName name="___619">'[4]AN-K'!#REF!</definedName>
    <definedName name="___620" localSheetId="10">'[4]AN-K'!#REF!</definedName>
    <definedName name="___620" localSheetId="5">'[4]AN-K'!#REF!</definedName>
    <definedName name="___620" localSheetId="6">'[4]AN-K'!#REF!</definedName>
    <definedName name="___620" localSheetId="7">'[4]AN-K'!#REF!</definedName>
    <definedName name="___620" localSheetId="8">'[4]AN-K'!#REF!</definedName>
    <definedName name="___620">'[4]AN-K'!#REF!</definedName>
    <definedName name="___636" localSheetId="10">'[4]AN-K'!#REF!</definedName>
    <definedName name="___636" localSheetId="5">'[4]AN-K'!#REF!</definedName>
    <definedName name="___636" localSheetId="6">'[4]AN-K'!#REF!</definedName>
    <definedName name="___636" localSheetId="7">'[4]AN-K'!#REF!</definedName>
    <definedName name="___636" localSheetId="8">'[4]AN-K'!#REF!</definedName>
    <definedName name="___636">'[4]AN-K'!#REF!</definedName>
    <definedName name="___641" localSheetId="10">'[4]AN-K'!#REF!</definedName>
    <definedName name="___641" localSheetId="5">'[4]AN-K'!#REF!</definedName>
    <definedName name="___641" localSheetId="6">'[4]AN-K'!#REF!</definedName>
    <definedName name="___641" localSheetId="7">'[4]AN-K'!#REF!</definedName>
    <definedName name="___641" localSheetId="8">'[4]AN-K'!#REF!</definedName>
    <definedName name="___641">'[4]AN-K'!#REF!</definedName>
    <definedName name="___710" localSheetId="10">'[4]AN-K'!#REF!</definedName>
    <definedName name="___710" localSheetId="5">'[4]AN-K'!#REF!</definedName>
    <definedName name="___710" localSheetId="6">'[4]AN-K'!#REF!</definedName>
    <definedName name="___710" localSheetId="7">'[4]AN-K'!#REF!</definedName>
    <definedName name="___710" localSheetId="8">'[4]AN-K'!#REF!</definedName>
    <definedName name="___710">'[4]AN-K'!#REF!</definedName>
    <definedName name="___715" localSheetId="10">'[4]AN-K'!#REF!</definedName>
    <definedName name="___715" localSheetId="5">'[4]AN-K'!#REF!</definedName>
    <definedName name="___715" localSheetId="6">'[4]AN-K'!#REF!</definedName>
    <definedName name="___715" localSheetId="7">'[4]AN-K'!#REF!</definedName>
    <definedName name="___715" localSheetId="8">'[4]AN-K'!#REF!</definedName>
    <definedName name="___715">'[4]AN-K'!#REF!</definedName>
    <definedName name="___720" localSheetId="10">'[4]AN-K'!#REF!</definedName>
    <definedName name="___720" localSheetId="5">'[4]AN-K'!#REF!</definedName>
    <definedName name="___720" localSheetId="6">'[4]AN-K'!#REF!</definedName>
    <definedName name="___720" localSheetId="7">'[4]AN-K'!#REF!</definedName>
    <definedName name="___720" localSheetId="8">'[4]AN-K'!#REF!</definedName>
    <definedName name="___720">'[4]AN-K'!#REF!</definedName>
    <definedName name="___722" localSheetId="10">'[4]AN-K'!#REF!</definedName>
    <definedName name="___722" localSheetId="5">'[4]AN-K'!#REF!</definedName>
    <definedName name="___722" localSheetId="6">'[4]AN-K'!#REF!</definedName>
    <definedName name="___722" localSheetId="7">'[4]AN-K'!#REF!</definedName>
    <definedName name="___722" localSheetId="8">'[4]AN-K'!#REF!</definedName>
    <definedName name="___722">'[4]AN-K'!#REF!</definedName>
    <definedName name="___725" localSheetId="10">'[4]AN-K'!#REF!</definedName>
    <definedName name="___725" localSheetId="5">'[4]AN-K'!#REF!</definedName>
    <definedName name="___725" localSheetId="6">'[4]AN-K'!#REF!</definedName>
    <definedName name="___725" localSheetId="7">'[4]AN-K'!#REF!</definedName>
    <definedName name="___725" localSheetId="8">'[4]AN-K'!#REF!</definedName>
    <definedName name="___725">'[4]AN-K'!#REF!</definedName>
    <definedName name="___810" localSheetId="10">'[4]AN-K'!#REF!</definedName>
    <definedName name="___810" localSheetId="5">'[4]AN-K'!#REF!</definedName>
    <definedName name="___810" localSheetId="6">'[4]AN-K'!#REF!</definedName>
    <definedName name="___810" localSheetId="7">'[4]AN-K'!#REF!</definedName>
    <definedName name="___810" localSheetId="8">'[4]AN-K'!#REF!</definedName>
    <definedName name="___810">'[4]AN-K'!#REF!</definedName>
    <definedName name="___815" localSheetId="10">'[4]AN-K'!#REF!</definedName>
    <definedName name="___815" localSheetId="5">'[4]AN-K'!#REF!</definedName>
    <definedName name="___815" localSheetId="6">'[4]AN-K'!#REF!</definedName>
    <definedName name="___815" localSheetId="7">'[4]AN-K'!#REF!</definedName>
    <definedName name="___815" localSheetId="8">'[4]AN-K'!#REF!</definedName>
    <definedName name="___815">'[4]AN-K'!#REF!</definedName>
    <definedName name="___880" localSheetId="10">'[4]AN-K'!#REF!</definedName>
    <definedName name="___880" localSheetId="5">'[4]AN-K'!#REF!</definedName>
    <definedName name="___880" localSheetId="6">'[4]AN-K'!#REF!</definedName>
    <definedName name="___880" localSheetId="7">'[4]AN-K'!#REF!</definedName>
    <definedName name="___880" localSheetId="8">'[4]AN-K'!#REF!</definedName>
    <definedName name="___880">'[4]AN-K'!#REF!</definedName>
    <definedName name="___HPS1" localSheetId="10">[2]inst1!#REF!</definedName>
    <definedName name="___HPS1" localSheetId="5">[2]inst1!#REF!</definedName>
    <definedName name="___HPS1" localSheetId="6">[2]inst1!#REF!</definedName>
    <definedName name="___HPS1" localSheetId="7">[2]inst1!#REF!</definedName>
    <definedName name="___HPS1" localSheetId="8">[2]inst1!#REF!</definedName>
    <definedName name="___HPS1">[2]inst1!#REF!</definedName>
    <definedName name="___K23" localSheetId="10">'[6]AN-K'!#REF!</definedName>
    <definedName name="___K23" localSheetId="5">'[6]AN-K'!#REF!</definedName>
    <definedName name="___K23" localSheetId="6">'[6]AN-K'!#REF!</definedName>
    <definedName name="___K23" localSheetId="7">'[6]AN-K'!#REF!</definedName>
    <definedName name="___K23" localSheetId="8">'[6]AN-K'!#REF!</definedName>
    <definedName name="___K23">'[6]AN-K'!#REF!</definedName>
    <definedName name="___ok1" localSheetId="10">'[7]Morsip Ht Julu'!#REF!</definedName>
    <definedName name="___ok1" localSheetId="5">'[7]Morsip Ht Julu'!#REF!</definedName>
    <definedName name="___ok1" localSheetId="6">'[7]Morsip Ht Julu'!#REF!</definedName>
    <definedName name="___ok1" localSheetId="7">'[7]Morsip Ht Julu'!#REF!</definedName>
    <definedName name="___ok1" localSheetId="8">'[7]Morsip Ht Julu'!#REF!</definedName>
    <definedName name="___ok1">'[7]Morsip Ht Julu'!#REF!</definedName>
    <definedName name="___RAB1" localSheetId="10">#REF!</definedName>
    <definedName name="___RAB1" localSheetId="5">#REF!</definedName>
    <definedName name="___RAB1" localSheetId="6">#REF!</definedName>
    <definedName name="___RAB1" localSheetId="7">#REF!</definedName>
    <definedName name="___RAB1" localSheetId="8">#REF!</definedName>
    <definedName name="___RAB1">#REF!</definedName>
    <definedName name="___RAB2" localSheetId="10">#REF!</definedName>
    <definedName name="___RAB2" localSheetId="5">#REF!</definedName>
    <definedName name="___RAB2" localSheetId="6">#REF!</definedName>
    <definedName name="___RAB2" localSheetId="7">#REF!</definedName>
    <definedName name="___RAB2" localSheetId="8">#REF!</definedName>
    <definedName name="___RAB2">#REF!</definedName>
    <definedName name="___VOL1" localSheetId="10">#REF!</definedName>
    <definedName name="___VOL1" localSheetId="5">#REF!</definedName>
    <definedName name="___VOL1" localSheetId="6">#REF!</definedName>
    <definedName name="___VOL1" localSheetId="7">#REF!</definedName>
    <definedName name="___VOL1" localSheetId="8">#REF!</definedName>
    <definedName name="___VOL1">#REF!</definedName>
    <definedName name="__012" localSheetId="10">#REF!</definedName>
    <definedName name="__012" localSheetId="5">#REF!</definedName>
    <definedName name="__012" localSheetId="6">#REF!</definedName>
    <definedName name="__012" localSheetId="7">#REF!</definedName>
    <definedName name="__012" localSheetId="8">#REF!</definedName>
    <definedName name="__012">#REF!</definedName>
    <definedName name="__013" localSheetId="10">'[6]AN-K'!#REF!</definedName>
    <definedName name="__013" localSheetId="5">'[6]AN-K'!#REF!</definedName>
    <definedName name="__013" localSheetId="6">'[6]AN-K'!#REF!</definedName>
    <definedName name="__013" localSheetId="7">'[6]AN-K'!#REF!</definedName>
    <definedName name="__013" localSheetId="8">'[6]AN-K'!#REF!</definedName>
    <definedName name="__013">'[6]AN-K'!#REF!</definedName>
    <definedName name="__016" localSheetId="10">'[6]AN-K'!#REF!</definedName>
    <definedName name="__016" localSheetId="5">'[6]AN-K'!#REF!</definedName>
    <definedName name="__016" localSheetId="6">'[6]AN-K'!#REF!</definedName>
    <definedName name="__016" localSheetId="7">'[6]AN-K'!#REF!</definedName>
    <definedName name="__016" localSheetId="8">'[6]AN-K'!#REF!</definedName>
    <definedName name="__016">'[6]AN-K'!#REF!</definedName>
    <definedName name="__017" localSheetId="10">'[6]AN-K'!#REF!</definedName>
    <definedName name="__017" localSheetId="5">'[6]AN-K'!#REF!</definedName>
    <definedName name="__017" localSheetId="6">'[6]AN-K'!#REF!</definedName>
    <definedName name="__017" localSheetId="7">'[6]AN-K'!#REF!</definedName>
    <definedName name="__017" localSheetId="8">'[6]AN-K'!#REF!</definedName>
    <definedName name="__017">'[6]AN-K'!#REF!</definedName>
    <definedName name="__018" localSheetId="10">'[6]AN-K'!#REF!</definedName>
    <definedName name="__018" localSheetId="5">'[6]AN-K'!#REF!</definedName>
    <definedName name="__018" localSheetId="6">'[6]AN-K'!#REF!</definedName>
    <definedName name="__018" localSheetId="7">'[6]AN-K'!#REF!</definedName>
    <definedName name="__018" localSheetId="8">'[6]AN-K'!#REF!</definedName>
    <definedName name="__018">'[6]AN-K'!#REF!</definedName>
    <definedName name="__026" localSheetId="10">'[6]AN-K'!#REF!</definedName>
    <definedName name="__026" localSheetId="5">'[6]AN-K'!#REF!</definedName>
    <definedName name="__026" localSheetId="6">'[6]AN-K'!#REF!</definedName>
    <definedName name="__026" localSheetId="7">'[6]AN-K'!#REF!</definedName>
    <definedName name="__026" localSheetId="8">'[6]AN-K'!#REF!</definedName>
    <definedName name="__026">'[6]AN-K'!#REF!</definedName>
    <definedName name="__035" localSheetId="10">'[6]AN-K'!#REF!</definedName>
    <definedName name="__035" localSheetId="5">'[6]AN-K'!#REF!</definedName>
    <definedName name="__035" localSheetId="6">'[6]AN-K'!#REF!</definedName>
    <definedName name="__035" localSheetId="7">'[6]AN-K'!#REF!</definedName>
    <definedName name="__035" localSheetId="8">'[6]AN-K'!#REF!</definedName>
    <definedName name="__035">'[6]AN-K'!#REF!</definedName>
    <definedName name="__110" localSheetId="10">'[6]AN-K'!#REF!</definedName>
    <definedName name="__110" localSheetId="5">'[6]AN-K'!#REF!</definedName>
    <definedName name="__110" localSheetId="6">'[6]AN-K'!#REF!</definedName>
    <definedName name="__110" localSheetId="7">'[6]AN-K'!#REF!</definedName>
    <definedName name="__110" localSheetId="8">'[6]AN-K'!#REF!</definedName>
    <definedName name="__110">'[6]AN-K'!#REF!</definedName>
    <definedName name="__123Graph_A" localSheetId="10" hidden="1">[8]AC!#REF!</definedName>
    <definedName name="__123Graph_A" localSheetId="5" hidden="1">[8]AC!#REF!</definedName>
    <definedName name="__123Graph_A" localSheetId="6" hidden="1">[8]AC!#REF!</definedName>
    <definedName name="__123Graph_A" localSheetId="7" hidden="1">[8]AC!#REF!</definedName>
    <definedName name="__123Graph_A" localSheetId="8" hidden="1">[8]AC!#REF!</definedName>
    <definedName name="__123Graph_A" hidden="1">[8]AC!#REF!</definedName>
    <definedName name="__123Graph_B" localSheetId="10" hidden="1">[9]tifico!#REF!</definedName>
    <definedName name="__123Graph_B" localSheetId="5" hidden="1">[9]tifico!#REF!</definedName>
    <definedName name="__123Graph_B" localSheetId="6" hidden="1">[9]tifico!#REF!</definedName>
    <definedName name="__123Graph_B" localSheetId="7" hidden="1">[9]tifico!#REF!</definedName>
    <definedName name="__123Graph_B" localSheetId="8" hidden="1">[9]tifico!#REF!</definedName>
    <definedName name="__123Graph_B" hidden="1">[9]tifico!#REF!</definedName>
    <definedName name="__123Graph_C" localSheetId="10" hidden="1">[9]tifico!#REF!</definedName>
    <definedName name="__123Graph_C" localSheetId="5" hidden="1">[9]tifico!#REF!</definedName>
    <definedName name="__123Graph_C" localSheetId="6" hidden="1">[9]tifico!#REF!</definedName>
    <definedName name="__123Graph_C" localSheetId="7" hidden="1">[9]tifico!#REF!</definedName>
    <definedName name="__123Graph_C" localSheetId="8" hidden="1">[9]tifico!#REF!</definedName>
    <definedName name="__123Graph_C" hidden="1">[9]tifico!#REF!</definedName>
    <definedName name="__123Graph_D" hidden="1">[10]SEX!$P$7:$P$7</definedName>
    <definedName name="__123Graph_E" localSheetId="10" hidden="1">[9]tifico!#REF!</definedName>
    <definedName name="__123Graph_E" localSheetId="5" hidden="1">[9]tifico!#REF!</definedName>
    <definedName name="__123Graph_E" localSheetId="6" hidden="1">[9]tifico!#REF!</definedName>
    <definedName name="__123Graph_E" localSheetId="7" hidden="1">[9]tifico!#REF!</definedName>
    <definedName name="__123Graph_E" localSheetId="8" hidden="1">[9]tifico!#REF!</definedName>
    <definedName name="__123Graph_E" hidden="1">[9]tifico!#REF!</definedName>
    <definedName name="__123Graph_F" localSheetId="10" hidden="1">[11]ESCON!#REF!</definedName>
    <definedName name="__123Graph_F" localSheetId="5" hidden="1">[11]ESCON!#REF!</definedName>
    <definedName name="__123Graph_F" localSheetId="6" hidden="1">[11]ESCON!#REF!</definedName>
    <definedName name="__123Graph_F" localSheetId="7" hidden="1">[11]ESCON!#REF!</definedName>
    <definedName name="__123Graph_F" localSheetId="8" hidden="1">[11]ESCON!#REF!</definedName>
    <definedName name="__123Graph_F" hidden="1">[11]ESCON!#REF!</definedName>
    <definedName name="__123Graph_X" localSheetId="10" hidden="1">[9]tifico!#REF!</definedName>
    <definedName name="__123Graph_X" localSheetId="5" hidden="1">[9]tifico!#REF!</definedName>
    <definedName name="__123Graph_X" localSheetId="6" hidden="1">[9]tifico!#REF!</definedName>
    <definedName name="__123Graph_X" localSheetId="7" hidden="1">[9]tifico!#REF!</definedName>
    <definedName name="__123Graph_X" localSheetId="8" hidden="1">[9]tifico!#REF!</definedName>
    <definedName name="__123Graph_X" hidden="1">[9]tifico!#REF!</definedName>
    <definedName name="__210" localSheetId="10">'[6]AN-K'!#REF!</definedName>
    <definedName name="__210" localSheetId="5">'[6]AN-K'!#REF!</definedName>
    <definedName name="__210" localSheetId="6">'[6]AN-K'!#REF!</definedName>
    <definedName name="__210" localSheetId="7">'[6]AN-K'!#REF!</definedName>
    <definedName name="__210" localSheetId="8">'[6]AN-K'!#REF!</definedName>
    <definedName name="__210">'[6]AN-K'!#REF!</definedName>
    <definedName name="__224" localSheetId="10">'[6]AN-K'!#REF!</definedName>
    <definedName name="__224" localSheetId="5">'[6]AN-K'!#REF!</definedName>
    <definedName name="__224" localSheetId="6">'[6]AN-K'!#REF!</definedName>
    <definedName name="__224" localSheetId="7">'[6]AN-K'!#REF!</definedName>
    <definedName name="__224" localSheetId="8">'[6]AN-K'!#REF!</definedName>
    <definedName name="__224">'[6]AN-K'!#REF!</definedName>
    <definedName name="__225" localSheetId="10">'[6]AN-K'!#REF!</definedName>
    <definedName name="__225" localSheetId="5">'[6]AN-K'!#REF!</definedName>
    <definedName name="__225" localSheetId="6">'[6]AN-K'!#REF!</definedName>
    <definedName name="__225" localSheetId="7">'[6]AN-K'!#REF!</definedName>
    <definedName name="__225" localSheetId="8">'[6]AN-K'!#REF!</definedName>
    <definedName name="__225">'[6]AN-K'!#REF!</definedName>
    <definedName name="__310" localSheetId="10">'[6]AN-K'!#REF!</definedName>
    <definedName name="__310" localSheetId="5">'[6]AN-K'!#REF!</definedName>
    <definedName name="__310" localSheetId="6">'[6]AN-K'!#REF!</definedName>
    <definedName name="__310" localSheetId="7">'[6]AN-K'!#REF!</definedName>
    <definedName name="__310" localSheetId="8">'[6]AN-K'!#REF!</definedName>
    <definedName name="__310">'[6]AN-K'!#REF!</definedName>
    <definedName name="__311" localSheetId="10">'[6]AN-K'!#REF!</definedName>
    <definedName name="__311" localSheetId="5">'[6]AN-K'!#REF!</definedName>
    <definedName name="__311" localSheetId="6">'[6]AN-K'!#REF!</definedName>
    <definedName name="__311" localSheetId="7">'[6]AN-K'!#REF!</definedName>
    <definedName name="__311" localSheetId="8">'[6]AN-K'!#REF!</definedName>
    <definedName name="__311">'[6]AN-K'!#REF!</definedName>
    <definedName name="__320" localSheetId="10">#REF!</definedName>
    <definedName name="__320" localSheetId="5">#REF!</definedName>
    <definedName name="__320" localSheetId="6">#REF!</definedName>
    <definedName name="__320" localSheetId="7">#REF!</definedName>
    <definedName name="__320" localSheetId="8">#REF!</definedName>
    <definedName name="__320">#REF!</definedName>
    <definedName name="__321" localSheetId="10">'[6]AN-K'!#REF!</definedName>
    <definedName name="__321" localSheetId="5">'[6]AN-K'!#REF!</definedName>
    <definedName name="__321" localSheetId="6">'[6]AN-K'!#REF!</definedName>
    <definedName name="__321" localSheetId="7">'[6]AN-K'!#REF!</definedName>
    <definedName name="__321" localSheetId="8">'[6]AN-K'!#REF!</definedName>
    <definedName name="__321">'[6]AN-K'!#REF!</definedName>
    <definedName name="__341" localSheetId="10">'[6]AN-K'!#REF!</definedName>
    <definedName name="__341" localSheetId="5">'[6]AN-K'!#REF!</definedName>
    <definedName name="__341" localSheetId="6">'[6]AN-K'!#REF!</definedName>
    <definedName name="__341" localSheetId="7">'[6]AN-K'!#REF!</definedName>
    <definedName name="__341" localSheetId="8">'[6]AN-K'!#REF!</definedName>
    <definedName name="__341">'[6]AN-K'!#REF!</definedName>
    <definedName name="__342" localSheetId="10">'[6]AN-K'!#REF!</definedName>
    <definedName name="__342" localSheetId="5">'[6]AN-K'!#REF!</definedName>
    <definedName name="__342" localSheetId="6">'[6]AN-K'!#REF!</definedName>
    <definedName name="__342" localSheetId="7">'[6]AN-K'!#REF!</definedName>
    <definedName name="__342" localSheetId="8">'[6]AN-K'!#REF!</definedName>
    <definedName name="__342">'[6]AN-K'!#REF!</definedName>
    <definedName name="__410" localSheetId="10">'[6]AN-K'!#REF!</definedName>
    <definedName name="__410" localSheetId="5">'[6]AN-K'!#REF!</definedName>
    <definedName name="__410" localSheetId="6">'[6]AN-K'!#REF!</definedName>
    <definedName name="__410" localSheetId="7">'[6]AN-K'!#REF!</definedName>
    <definedName name="__410" localSheetId="8">'[6]AN-K'!#REF!</definedName>
    <definedName name="__410">'[6]AN-K'!#REF!</definedName>
    <definedName name="__411" localSheetId="10">'[6]AN-K'!#REF!</definedName>
    <definedName name="__411" localSheetId="5">'[6]AN-K'!#REF!</definedName>
    <definedName name="__411" localSheetId="6">'[6]AN-K'!#REF!</definedName>
    <definedName name="__411" localSheetId="7">'[6]AN-K'!#REF!</definedName>
    <definedName name="__411" localSheetId="8">'[6]AN-K'!#REF!</definedName>
    <definedName name="__411">'[6]AN-K'!#REF!</definedName>
    <definedName name="__420" localSheetId="10">'[6]AN-K'!#REF!</definedName>
    <definedName name="__420" localSheetId="5">'[6]AN-K'!#REF!</definedName>
    <definedName name="__420" localSheetId="6">'[6]AN-K'!#REF!</definedName>
    <definedName name="__420" localSheetId="7">'[6]AN-K'!#REF!</definedName>
    <definedName name="__420" localSheetId="8">'[6]AN-K'!#REF!</definedName>
    <definedName name="__420">'[6]AN-K'!#REF!</definedName>
    <definedName name="__422" localSheetId="10">#REF!</definedName>
    <definedName name="__422" localSheetId="5">#REF!</definedName>
    <definedName name="__422" localSheetId="6">#REF!</definedName>
    <definedName name="__422" localSheetId="7">#REF!</definedName>
    <definedName name="__422" localSheetId="8">#REF!</definedName>
    <definedName name="__422">#REF!</definedName>
    <definedName name="__423" localSheetId="10">'[6]AN-K'!#REF!</definedName>
    <definedName name="__423" localSheetId="5">'[6]AN-K'!#REF!</definedName>
    <definedName name="__423" localSheetId="6">'[6]AN-K'!#REF!</definedName>
    <definedName name="__423" localSheetId="7">'[6]AN-K'!#REF!</definedName>
    <definedName name="__423" localSheetId="8">'[6]AN-K'!#REF!</definedName>
    <definedName name="__423">'[6]AN-K'!#REF!</definedName>
    <definedName name="__424" localSheetId="10">'[6]AN-K'!#REF!</definedName>
    <definedName name="__424" localSheetId="5">'[6]AN-K'!#REF!</definedName>
    <definedName name="__424" localSheetId="6">'[6]AN-K'!#REF!</definedName>
    <definedName name="__424" localSheetId="7">'[6]AN-K'!#REF!</definedName>
    <definedName name="__424" localSheetId="8">'[6]AN-K'!#REF!</definedName>
    <definedName name="__424">'[6]AN-K'!#REF!</definedName>
    <definedName name="__512" localSheetId="10">'[6]AN-K'!#REF!</definedName>
    <definedName name="__512" localSheetId="5">'[6]AN-K'!#REF!</definedName>
    <definedName name="__512" localSheetId="6">'[6]AN-K'!#REF!</definedName>
    <definedName name="__512" localSheetId="7">'[6]AN-K'!#REF!</definedName>
    <definedName name="__512" localSheetId="8">'[6]AN-K'!#REF!</definedName>
    <definedName name="__512">'[6]AN-K'!#REF!</definedName>
    <definedName name="__514" localSheetId="10">'[6]AN-K'!#REF!</definedName>
    <definedName name="__514" localSheetId="5">'[6]AN-K'!#REF!</definedName>
    <definedName name="__514" localSheetId="6">'[6]AN-K'!#REF!</definedName>
    <definedName name="__514" localSheetId="7">'[6]AN-K'!#REF!</definedName>
    <definedName name="__514" localSheetId="8">'[6]AN-K'!#REF!</definedName>
    <definedName name="__514">'[6]AN-K'!#REF!</definedName>
    <definedName name="__515" localSheetId="10">'[6]AN-K'!#REF!</definedName>
    <definedName name="__515" localSheetId="5">'[6]AN-K'!#REF!</definedName>
    <definedName name="__515" localSheetId="6">'[6]AN-K'!#REF!</definedName>
    <definedName name="__515" localSheetId="7">'[6]AN-K'!#REF!</definedName>
    <definedName name="__515" localSheetId="8">'[6]AN-K'!#REF!</definedName>
    <definedName name="__515">'[6]AN-K'!#REF!</definedName>
    <definedName name="__516" localSheetId="10">#REF!</definedName>
    <definedName name="__516" localSheetId="5">#REF!</definedName>
    <definedName name="__516" localSheetId="6">#REF!</definedName>
    <definedName name="__516" localSheetId="7">#REF!</definedName>
    <definedName name="__516" localSheetId="8">#REF!</definedName>
    <definedName name="__516">#REF!</definedName>
    <definedName name="__520" localSheetId="10">'[6]AN-K'!#REF!</definedName>
    <definedName name="__520" localSheetId="5">'[6]AN-K'!#REF!</definedName>
    <definedName name="__520" localSheetId="6">'[6]AN-K'!#REF!</definedName>
    <definedName name="__520" localSheetId="7">'[6]AN-K'!#REF!</definedName>
    <definedName name="__520" localSheetId="8">'[6]AN-K'!#REF!</definedName>
    <definedName name="__520">'[6]AN-K'!#REF!</definedName>
    <definedName name="__522" localSheetId="10">'[6]AN-K'!#REF!</definedName>
    <definedName name="__522" localSheetId="5">'[6]AN-K'!#REF!</definedName>
    <definedName name="__522" localSheetId="6">'[6]AN-K'!#REF!</definedName>
    <definedName name="__522" localSheetId="7">'[6]AN-K'!#REF!</definedName>
    <definedName name="__522" localSheetId="8">'[6]AN-K'!#REF!</definedName>
    <definedName name="__522">'[6]AN-K'!#REF!</definedName>
    <definedName name="__523" localSheetId="10">'[6]AN-K'!#REF!</definedName>
    <definedName name="__523" localSheetId="5">'[6]AN-K'!#REF!</definedName>
    <definedName name="__523" localSheetId="6">'[6]AN-K'!#REF!</definedName>
    <definedName name="__523" localSheetId="7">'[6]AN-K'!#REF!</definedName>
    <definedName name="__523" localSheetId="8">'[6]AN-K'!#REF!</definedName>
    <definedName name="__523">'[6]AN-K'!#REF!</definedName>
    <definedName name="__618" localSheetId="10">'[6]AN-K'!#REF!</definedName>
    <definedName name="__618" localSheetId="5">'[6]AN-K'!#REF!</definedName>
    <definedName name="__618" localSheetId="6">'[6]AN-K'!#REF!</definedName>
    <definedName name="__618" localSheetId="7">'[6]AN-K'!#REF!</definedName>
    <definedName name="__618" localSheetId="8">'[6]AN-K'!#REF!</definedName>
    <definedName name="__618">'[6]AN-K'!#REF!</definedName>
    <definedName name="__619" localSheetId="10">'[6]AN-K'!#REF!</definedName>
    <definedName name="__619" localSheetId="5">'[6]AN-K'!#REF!</definedName>
    <definedName name="__619" localSheetId="6">'[6]AN-K'!#REF!</definedName>
    <definedName name="__619" localSheetId="7">'[6]AN-K'!#REF!</definedName>
    <definedName name="__619" localSheetId="8">'[6]AN-K'!#REF!</definedName>
    <definedName name="__619">'[6]AN-K'!#REF!</definedName>
    <definedName name="__620" localSheetId="10">'[6]AN-K'!#REF!</definedName>
    <definedName name="__620" localSheetId="5">'[6]AN-K'!#REF!</definedName>
    <definedName name="__620" localSheetId="6">'[6]AN-K'!#REF!</definedName>
    <definedName name="__620" localSheetId="7">'[6]AN-K'!#REF!</definedName>
    <definedName name="__620" localSheetId="8">'[6]AN-K'!#REF!</definedName>
    <definedName name="__620">'[6]AN-K'!#REF!</definedName>
    <definedName name="__636" localSheetId="10">'[6]AN-K'!#REF!</definedName>
    <definedName name="__636" localSheetId="5">'[6]AN-K'!#REF!</definedName>
    <definedName name="__636" localSheetId="6">'[6]AN-K'!#REF!</definedName>
    <definedName name="__636" localSheetId="7">'[6]AN-K'!#REF!</definedName>
    <definedName name="__636" localSheetId="8">'[6]AN-K'!#REF!</definedName>
    <definedName name="__636">'[6]AN-K'!#REF!</definedName>
    <definedName name="__641" localSheetId="10">'[6]AN-K'!#REF!</definedName>
    <definedName name="__641" localSheetId="5">'[6]AN-K'!#REF!</definedName>
    <definedName name="__641" localSheetId="6">'[6]AN-K'!#REF!</definedName>
    <definedName name="__641" localSheetId="7">'[6]AN-K'!#REF!</definedName>
    <definedName name="__641" localSheetId="8">'[6]AN-K'!#REF!</definedName>
    <definedName name="__641">'[6]AN-K'!#REF!</definedName>
    <definedName name="__710" localSheetId="10">'[6]AN-K'!#REF!</definedName>
    <definedName name="__710" localSheetId="5">'[6]AN-K'!#REF!</definedName>
    <definedName name="__710" localSheetId="6">'[6]AN-K'!#REF!</definedName>
    <definedName name="__710" localSheetId="7">'[6]AN-K'!#REF!</definedName>
    <definedName name="__710" localSheetId="8">'[6]AN-K'!#REF!</definedName>
    <definedName name="__710">'[6]AN-K'!#REF!</definedName>
    <definedName name="__715" localSheetId="10">'[6]AN-K'!#REF!</definedName>
    <definedName name="__715" localSheetId="5">'[6]AN-K'!#REF!</definedName>
    <definedName name="__715" localSheetId="6">'[6]AN-K'!#REF!</definedName>
    <definedName name="__715" localSheetId="7">'[6]AN-K'!#REF!</definedName>
    <definedName name="__715" localSheetId="8">'[6]AN-K'!#REF!</definedName>
    <definedName name="__715">'[6]AN-K'!#REF!</definedName>
    <definedName name="__720" localSheetId="10">'[6]AN-K'!#REF!</definedName>
    <definedName name="__720" localSheetId="5">'[6]AN-K'!#REF!</definedName>
    <definedName name="__720" localSheetId="6">'[6]AN-K'!#REF!</definedName>
    <definedName name="__720" localSheetId="7">'[6]AN-K'!#REF!</definedName>
    <definedName name="__720" localSheetId="8">'[6]AN-K'!#REF!</definedName>
    <definedName name="__720">'[6]AN-K'!#REF!</definedName>
    <definedName name="__722" localSheetId="10">'[6]AN-K'!#REF!</definedName>
    <definedName name="__722" localSheetId="5">'[6]AN-K'!#REF!</definedName>
    <definedName name="__722" localSheetId="6">'[6]AN-K'!#REF!</definedName>
    <definedName name="__722" localSheetId="7">'[6]AN-K'!#REF!</definedName>
    <definedName name="__722" localSheetId="8">'[6]AN-K'!#REF!</definedName>
    <definedName name="__722">'[6]AN-K'!#REF!</definedName>
    <definedName name="__725" localSheetId="10">'[6]AN-K'!#REF!</definedName>
    <definedName name="__725" localSheetId="5">'[6]AN-K'!#REF!</definedName>
    <definedName name="__725" localSheetId="6">'[6]AN-K'!#REF!</definedName>
    <definedName name="__725" localSheetId="7">'[6]AN-K'!#REF!</definedName>
    <definedName name="__725" localSheetId="8">'[6]AN-K'!#REF!</definedName>
    <definedName name="__725">'[6]AN-K'!#REF!</definedName>
    <definedName name="__810" localSheetId="10">'[6]AN-K'!#REF!</definedName>
    <definedName name="__810" localSheetId="5">'[6]AN-K'!#REF!</definedName>
    <definedName name="__810" localSheetId="6">'[6]AN-K'!#REF!</definedName>
    <definedName name="__810" localSheetId="7">'[6]AN-K'!#REF!</definedName>
    <definedName name="__810" localSheetId="8">'[6]AN-K'!#REF!</definedName>
    <definedName name="__810">'[6]AN-K'!#REF!</definedName>
    <definedName name="__815" localSheetId="10">'[6]AN-K'!#REF!</definedName>
    <definedName name="__815" localSheetId="5">'[6]AN-K'!#REF!</definedName>
    <definedName name="__815" localSheetId="6">'[6]AN-K'!#REF!</definedName>
    <definedName name="__815" localSheetId="7">'[6]AN-K'!#REF!</definedName>
    <definedName name="__815" localSheetId="8">'[6]AN-K'!#REF!</definedName>
    <definedName name="__815">'[6]AN-K'!#REF!</definedName>
    <definedName name="__880" localSheetId="10">'[6]AN-K'!#REF!</definedName>
    <definedName name="__880" localSheetId="5">'[6]AN-K'!#REF!</definedName>
    <definedName name="__880" localSheetId="6">'[6]AN-K'!#REF!</definedName>
    <definedName name="__880" localSheetId="7">'[6]AN-K'!#REF!</definedName>
    <definedName name="__880" localSheetId="8">'[6]AN-K'!#REF!</definedName>
    <definedName name="__880">'[6]AN-K'!#REF!</definedName>
    <definedName name="__HPS1" localSheetId="10">[2]inst1!#REF!</definedName>
    <definedName name="__HPS1" localSheetId="5">[2]inst1!#REF!</definedName>
    <definedName name="__HPS1" localSheetId="6">[2]inst1!#REF!</definedName>
    <definedName name="__HPS1" localSheetId="7">[2]inst1!#REF!</definedName>
    <definedName name="__HPS1" localSheetId="8">[2]inst1!#REF!</definedName>
    <definedName name="__HPS1">[2]inst1!#REF!</definedName>
    <definedName name="__K23" localSheetId="10">'[6]AN-K'!#REF!</definedName>
    <definedName name="__K23" localSheetId="5">'[6]AN-K'!#REF!</definedName>
    <definedName name="__K23" localSheetId="6">'[6]AN-K'!#REF!</definedName>
    <definedName name="__K23" localSheetId="7">'[6]AN-K'!#REF!</definedName>
    <definedName name="__K23" localSheetId="8">'[6]AN-K'!#REF!</definedName>
    <definedName name="__K23">'[6]AN-K'!#REF!</definedName>
    <definedName name="__ok1" localSheetId="10">'[7]Morsip Ht Julu'!#REF!</definedName>
    <definedName name="__ok1" localSheetId="5">'[7]Morsip Ht Julu'!#REF!</definedName>
    <definedName name="__ok1" localSheetId="6">'[7]Morsip Ht Julu'!#REF!</definedName>
    <definedName name="__ok1" localSheetId="7">'[7]Morsip Ht Julu'!#REF!</definedName>
    <definedName name="__ok1" localSheetId="8">'[7]Morsip Ht Julu'!#REF!</definedName>
    <definedName name="__ok1">'[7]Morsip Ht Julu'!#REF!</definedName>
    <definedName name="__RAB1" localSheetId="10">#REF!</definedName>
    <definedName name="__RAB1" localSheetId="5">#REF!</definedName>
    <definedName name="__RAB1" localSheetId="6">#REF!</definedName>
    <definedName name="__RAB1" localSheetId="7">#REF!</definedName>
    <definedName name="__RAB1" localSheetId="8">#REF!</definedName>
    <definedName name="__RAB1">#REF!</definedName>
    <definedName name="__RAB2" localSheetId="10">#REF!</definedName>
    <definedName name="__RAB2" localSheetId="5">#REF!</definedName>
    <definedName name="__RAB2" localSheetId="6">#REF!</definedName>
    <definedName name="__RAB2" localSheetId="7">#REF!</definedName>
    <definedName name="__RAB2" localSheetId="8">#REF!</definedName>
    <definedName name="__RAB2">#REF!</definedName>
    <definedName name="__VOL1" localSheetId="10">#REF!</definedName>
    <definedName name="__VOL1" localSheetId="5">#REF!</definedName>
    <definedName name="__VOL1" localSheetId="6">#REF!</definedName>
    <definedName name="__VOL1" localSheetId="7">#REF!</definedName>
    <definedName name="__VOL1" localSheetId="8">#REF!</definedName>
    <definedName name="__VOL1">#REF!</definedName>
    <definedName name="_012" localSheetId="10">#REF!</definedName>
    <definedName name="_012" localSheetId="5">#REF!</definedName>
    <definedName name="_012" localSheetId="6">#REF!</definedName>
    <definedName name="_012" localSheetId="7">#REF!</definedName>
    <definedName name="_012" localSheetId="8">#REF!</definedName>
    <definedName name="_012">#REF!</definedName>
    <definedName name="_013" localSheetId="10">[12]Analisa!#REF!</definedName>
    <definedName name="_013" localSheetId="5">[12]Analisa!#REF!</definedName>
    <definedName name="_013" localSheetId="6">[12]Analisa!#REF!</definedName>
    <definedName name="_013" localSheetId="7">[12]Analisa!#REF!</definedName>
    <definedName name="_013" localSheetId="8">[12]Analisa!#REF!</definedName>
    <definedName name="_013">[12]Analisa!#REF!</definedName>
    <definedName name="_016" localSheetId="10">'[6]AN-K'!#REF!</definedName>
    <definedName name="_016" localSheetId="5">'[6]AN-K'!#REF!</definedName>
    <definedName name="_016" localSheetId="6">'[6]AN-K'!#REF!</definedName>
    <definedName name="_016" localSheetId="7">'[6]AN-K'!#REF!</definedName>
    <definedName name="_016" localSheetId="8">'[6]AN-K'!#REF!</definedName>
    <definedName name="_016">'[6]AN-K'!#REF!</definedName>
    <definedName name="_017" localSheetId="10">'[6]AN-K'!#REF!</definedName>
    <definedName name="_017" localSheetId="5">'[6]AN-K'!#REF!</definedName>
    <definedName name="_017" localSheetId="6">'[6]AN-K'!#REF!</definedName>
    <definedName name="_017" localSheetId="7">'[6]AN-K'!#REF!</definedName>
    <definedName name="_017" localSheetId="8">'[6]AN-K'!#REF!</definedName>
    <definedName name="_017">'[6]AN-K'!#REF!</definedName>
    <definedName name="_018" localSheetId="10">'[6]AN-K'!#REF!</definedName>
    <definedName name="_018" localSheetId="5">'[6]AN-K'!#REF!</definedName>
    <definedName name="_018" localSheetId="6">'[6]AN-K'!#REF!</definedName>
    <definedName name="_018" localSheetId="7">'[6]AN-K'!#REF!</definedName>
    <definedName name="_018" localSheetId="8">'[6]AN-K'!#REF!</definedName>
    <definedName name="_018">'[6]AN-K'!#REF!</definedName>
    <definedName name="_026" localSheetId="10">'[6]AN-K'!#REF!</definedName>
    <definedName name="_026" localSheetId="5">'[6]AN-K'!#REF!</definedName>
    <definedName name="_026" localSheetId="6">'[6]AN-K'!#REF!</definedName>
    <definedName name="_026" localSheetId="7">'[6]AN-K'!#REF!</definedName>
    <definedName name="_026" localSheetId="8">'[6]AN-K'!#REF!</definedName>
    <definedName name="_026">'[6]AN-K'!#REF!</definedName>
    <definedName name="_035" localSheetId="10">'[6]AN-K'!#REF!</definedName>
    <definedName name="_035" localSheetId="5">'[6]AN-K'!#REF!</definedName>
    <definedName name="_035" localSheetId="6">'[6]AN-K'!#REF!</definedName>
    <definedName name="_035" localSheetId="7">'[6]AN-K'!#REF!</definedName>
    <definedName name="_035" localSheetId="8">'[6]AN-K'!#REF!</definedName>
    <definedName name="_035">'[6]AN-K'!#REF!</definedName>
    <definedName name="_1" localSheetId="10">'[13]ANALISA PEK.UMUM'!#REF!</definedName>
    <definedName name="_1" localSheetId="5">'[13]ANALISA PEK.UMUM'!#REF!</definedName>
    <definedName name="_1" localSheetId="6">'[13]ANALISA PEK.UMUM'!#REF!</definedName>
    <definedName name="_1" localSheetId="7">'[13]ANALISA PEK.UMUM'!#REF!</definedName>
    <definedName name="_1" localSheetId="8">'[13]ANALISA PEK.UMUM'!#REF!</definedName>
    <definedName name="_1">'[13]ANALISA PEK.UMUM'!#REF!</definedName>
    <definedName name="_1__123Graph_ACHART_1" hidden="1">[14]A!$J$70:$AC$70</definedName>
    <definedName name="_1_013" localSheetId="10">'[1]AN-K'!#REF!</definedName>
    <definedName name="_1_013" localSheetId="5">'[1]AN-K'!#REF!</definedName>
    <definedName name="_1_013" localSheetId="6">'[1]AN-K'!#REF!</definedName>
    <definedName name="_1_013" localSheetId="7">'[1]AN-K'!#REF!</definedName>
    <definedName name="_1_013" localSheetId="8">'[1]AN-K'!#REF!</definedName>
    <definedName name="_1_013">'[1]AN-K'!#REF!</definedName>
    <definedName name="_10_016" localSheetId="10">'[4]AN-K'!#REF!</definedName>
    <definedName name="_10_016" localSheetId="5">'[4]AN-K'!#REF!</definedName>
    <definedName name="_10_016" localSheetId="6">'[4]AN-K'!#REF!</definedName>
    <definedName name="_10_016" localSheetId="7">'[4]AN-K'!#REF!</definedName>
    <definedName name="_10_016" localSheetId="8">'[4]AN-K'!#REF!</definedName>
    <definedName name="_10_016">'[4]AN-K'!#REF!</definedName>
    <definedName name="_10_224" localSheetId="10">'[1]AN-K'!#REF!</definedName>
    <definedName name="_10_224" localSheetId="5">'[1]AN-K'!#REF!</definedName>
    <definedName name="_10_224" localSheetId="6">'[1]AN-K'!#REF!</definedName>
    <definedName name="_10_224" localSheetId="7">'[1]AN-K'!#REF!</definedName>
    <definedName name="_10_224" localSheetId="8">'[1]AN-K'!#REF!</definedName>
    <definedName name="_10_224">'[1]AN-K'!#REF!</definedName>
    <definedName name="_101_636" localSheetId="10">'[4]AN-K'!#REF!</definedName>
    <definedName name="_101_636" localSheetId="5">'[4]AN-K'!#REF!</definedName>
    <definedName name="_101_636" localSheetId="6">'[4]AN-K'!#REF!</definedName>
    <definedName name="_101_636" localSheetId="7">'[4]AN-K'!#REF!</definedName>
    <definedName name="_101_636" localSheetId="8">'[4]AN-K'!#REF!</definedName>
    <definedName name="_101_636">'[4]AN-K'!#REF!</definedName>
    <definedName name="_102_515" localSheetId="10">'[4]AN-K'!#REF!</definedName>
    <definedName name="_102_515" localSheetId="5">'[4]AN-K'!#REF!</definedName>
    <definedName name="_102_515" localSheetId="6">'[4]AN-K'!#REF!</definedName>
    <definedName name="_102_515" localSheetId="7">'[4]AN-K'!#REF!</definedName>
    <definedName name="_102_515" localSheetId="8">'[4]AN-K'!#REF!</definedName>
    <definedName name="_102_515">'[4]AN-K'!#REF!</definedName>
    <definedName name="_104_516" localSheetId="10">#REF!</definedName>
    <definedName name="_104_516" localSheetId="5">#REF!</definedName>
    <definedName name="_104_516" localSheetId="6">#REF!</definedName>
    <definedName name="_104_516" localSheetId="7">#REF!</definedName>
    <definedName name="_104_516" localSheetId="8">#REF!</definedName>
    <definedName name="_104_516">#REF!</definedName>
    <definedName name="_104_641" localSheetId="10">'[4]AN-K'!#REF!</definedName>
    <definedName name="_104_641" localSheetId="5">'[4]AN-K'!#REF!</definedName>
    <definedName name="_104_641" localSheetId="6">'[4]AN-K'!#REF!</definedName>
    <definedName name="_104_641" localSheetId="7">'[4]AN-K'!#REF!</definedName>
    <definedName name="_104_641" localSheetId="8">'[4]AN-K'!#REF!</definedName>
    <definedName name="_104_641">'[4]AN-K'!#REF!</definedName>
    <definedName name="_107_710" localSheetId="10">'[4]AN-K'!#REF!</definedName>
    <definedName name="_107_710" localSheetId="5">'[4]AN-K'!#REF!</definedName>
    <definedName name="_107_710" localSheetId="6">'[4]AN-K'!#REF!</definedName>
    <definedName name="_107_710" localSheetId="7">'[4]AN-K'!#REF!</definedName>
    <definedName name="_107_710" localSheetId="8">'[4]AN-K'!#REF!</definedName>
    <definedName name="_107_710">'[4]AN-K'!#REF!</definedName>
    <definedName name="_108_310" localSheetId="10">'[15]AN-K'!#REF!</definedName>
    <definedName name="_108_310" localSheetId="5">'[15]AN-K'!#REF!</definedName>
    <definedName name="_108_310" localSheetId="6">'[15]AN-K'!#REF!</definedName>
    <definedName name="_108_310" localSheetId="7">'[15]AN-K'!#REF!</definedName>
    <definedName name="_108_310" localSheetId="8">'[15]AN-K'!#REF!</definedName>
    <definedName name="_108_310">'[15]AN-K'!#REF!</definedName>
    <definedName name="_108_520" localSheetId="10">'[4]AN-K'!#REF!</definedName>
    <definedName name="_108_520" localSheetId="5">'[4]AN-K'!#REF!</definedName>
    <definedName name="_108_520" localSheetId="6">'[4]AN-K'!#REF!</definedName>
    <definedName name="_108_520" localSheetId="7">'[4]AN-K'!#REF!</definedName>
    <definedName name="_108_520" localSheetId="8">'[4]AN-K'!#REF!</definedName>
    <definedName name="_108_520">'[4]AN-K'!#REF!</definedName>
    <definedName name="_11_017" localSheetId="10">'[4]AN-K'!#REF!</definedName>
    <definedName name="_11_017" localSheetId="5">'[4]AN-K'!#REF!</definedName>
    <definedName name="_11_017" localSheetId="6">'[4]AN-K'!#REF!</definedName>
    <definedName name="_11_017" localSheetId="7">'[4]AN-K'!#REF!</definedName>
    <definedName name="_11_017" localSheetId="8">'[4]AN-K'!#REF!</definedName>
    <definedName name="_11_017">'[4]AN-K'!#REF!</definedName>
    <definedName name="_11_225" localSheetId="10">'[1]AN-K'!#REF!</definedName>
    <definedName name="_11_225" localSheetId="5">'[1]AN-K'!#REF!</definedName>
    <definedName name="_11_225" localSheetId="6">'[1]AN-K'!#REF!</definedName>
    <definedName name="_11_225" localSheetId="7">'[1]AN-K'!#REF!</definedName>
    <definedName name="_11_225" localSheetId="8">'[1]AN-K'!#REF!</definedName>
    <definedName name="_11_225">'[1]AN-K'!#REF!</definedName>
    <definedName name="_110" localSheetId="10">'[6]AN-K'!#REF!</definedName>
    <definedName name="_110" localSheetId="5">'[6]AN-K'!#REF!</definedName>
    <definedName name="_110" localSheetId="6">'[6]AN-K'!#REF!</definedName>
    <definedName name="_110" localSheetId="7">'[6]AN-K'!#REF!</definedName>
    <definedName name="_110" localSheetId="8">'[6]AN-K'!#REF!</definedName>
    <definedName name="_110">'[6]AN-K'!#REF!</definedName>
    <definedName name="_110_715" localSheetId="10">'[4]AN-K'!#REF!</definedName>
    <definedName name="_110_715" localSheetId="5">'[4]AN-K'!#REF!</definedName>
    <definedName name="_110_715" localSheetId="6">'[4]AN-K'!#REF!</definedName>
    <definedName name="_110_715" localSheetId="7">'[4]AN-K'!#REF!</definedName>
    <definedName name="_110_715" localSheetId="8">'[4]AN-K'!#REF!</definedName>
    <definedName name="_110_715">'[4]AN-K'!#REF!</definedName>
    <definedName name="_111" localSheetId="10">#REF!</definedName>
    <definedName name="_111" localSheetId="5">#REF!</definedName>
    <definedName name="_111" localSheetId="6">#REF!</definedName>
    <definedName name="_111" localSheetId="7">#REF!</definedName>
    <definedName name="_111" localSheetId="8">#REF!</definedName>
    <definedName name="_111">#REF!</definedName>
    <definedName name="_111_035" localSheetId="10">'[1]AN-K'!#REF!</definedName>
    <definedName name="_111_035" localSheetId="5">'[1]AN-K'!#REF!</definedName>
    <definedName name="_111_035" localSheetId="6">'[1]AN-K'!#REF!</definedName>
    <definedName name="_111_035" localSheetId="7">'[1]AN-K'!#REF!</definedName>
    <definedName name="_111_035" localSheetId="8">'[1]AN-K'!#REF!</definedName>
    <definedName name="_111_035">'[1]AN-K'!#REF!</definedName>
    <definedName name="_112_522" localSheetId="10">'[4]AN-K'!#REF!</definedName>
    <definedName name="_112_522" localSheetId="5">'[4]AN-K'!#REF!</definedName>
    <definedName name="_112_522" localSheetId="6">'[4]AN-K'!#REF!</definedName>
    <definedName name="_112_522" localSheetId="7">'[4]AN-K'!#REF!</definedName>
    <definedName name="_112_522" localSheetId="8">'[4]AN-K'!#REF!</definedName>
    <definedName name="_112_522">'[4]AN-K'!#REF!</definedName>
    <definedName name="_113_720" localSheetId="10">'[4]AN-K'!#REF!</definedName>
    <definedName name="_113_720" localSheetId="5">'[4]AN-K'!#REF!</definedName>
    <definedName name="_113_720" localSheetId="6">'[4]AN-K'!#REF!</definedName>
    <definedName name="_113_720" localSheetId="7">'[4]AN-K'!#REF!</definedName>
    <definedName name="_113_720" localSheetId="8">'[4]AN-K'!#REF!</definedName>
    <definedName name="_113_720">'[4]AN-K'!#REF!</definedName>
    <definedName name="_116_523" localSheetId="10">'[4]AN-K'!#REF!</definedName>
    <definedName name="_116_523" localSheetId="5">'[4]AN-K'!#REF!</definedName>
    <definedName name="_116_523" localSheetId="6">'[4]AN-K'!#REF!</definedName>
    <definedName name="_116_523" localSheetId="7">'[4]AN-K'!#REF!</definedName>
    <definedName name="_116_523" localSheetId="8">'[4]AN-K'!#REF!</definedName>
    <definedName name="_116_523">'[4]AN-K'!#REF!</definedName>
    <definedName name="_116_722" localSheetId="10">'[4]AN-K'!#REF!</definedName>
    <definedName name="_116_722" localSheetId="5">'[4]AN-K'!#REF!</definedName>
    <definedName name="_116_722" localSheetId="6">'[4]AN-K'!#REF!</definedName>
    <definedName name="_116_722" localSheetId="7">'[4]AN-K'!#REF!</definedName>
    <definedName name="_116_722" localSheetId="8">'[4]AN-K'!#REF!</definedName>
    <definedName name="_116_722">'[4]AN-K'!#REF!</definedName>
    <definedName name="_117_311" localSheetId="10">'[15]AN-K'!#REF!</definedName>
    <definedName name="_117_311" localSheetId="5">'[15]AN-K'!#REF!</definedName>
    <definedName name="_117_311" localSheetId="6">'[15]AN-K'!#REF!</definedName>
    <definedName name="_117_311" localSheetId="7">'[15]AN-K'!#REF!</definedName>
    <definedName name="_117_311" localSheetId="8">'[15]AN-K'!#REF!</definedName>
    <definedName name="_117_311">'[15]AN-K'!#REF!</definedName>
    <definedName name="_119_725" localSheetId="10">'[4]AN-K'!#REF!</definedName>
    <definedName name="_119_725" localSheetId="5">'[4]AN-K'!#REF!</definedName>
    <definedName name="_119_725" localSheetId="6">'[4]AN-K'!#REF!</definedName>
    <definedName name="_119_725" localSheetId="7">'[4]AN-K'!#REF!</definedName>
    <definedName name="_119_725" localSheetId="8">'[4]AN-K'!#REF!</definedName>
    <definedName name="_119_725">'[4]AN-K'!#REF!</definedName>
    <definedName name="_12_310" localSheetId="10">'[1]AN-K'!#REF!</definedName>
    <definedName name="_12_310" localSheetId="5">'[1]AN-K'!#REF!</definedName>
    <definedName name="_12_310" localSheetId="6">'[1]AN-K'!#REF!</definedName>
    <definedName name="_12_310" localSheetId="7">'[1]AN-K'!#REF!</definedName>
    <definedName name="_12_310" localSheetId="8">'[1]AN-K'!#REF!</definedName>
    <definedName name="_12_310">'[1]AN-K'!#REF!</definedName>
    <definedName name="_120_618" localSheetId="10">'[4]AN-K'!#REF!</definedName>
    <definedName name="_120_618" localSheetId="5">'[4]AN-K'!#REF!</definedName>
    <definedName name="_120_618" localSheetId="6">'[4]AN-K'!#REF!</definedName>
    <definedName name="_120_618" localSheetId="7">'[4]AN-K'!#REF!</definedName>
    <definedName name="_120_618" localSheetId="8">'[4]AN-K'!#REF!</definedName>
    <definedName name="_120_618">'[4]AN-K'!#REF!</definedName>
    <definedName name="_122_810" localSheetId="10">'[4]AN-K'!#REF!</definedName>
    <definedName name="_122_810" localSheetId="5">'[4]AN-K'!#REF!</definedName>
    <definedName name="_122_810" localSheetId="6">'[4]AN-K'!#REF!</definedName>
    <definedName name="_122_810" localSheetId="7">'[4]AN-K'!#REF!</definedName>
    <definedName name="_122_810" localSheetId="8">'[4]AN-K'!#REF!</definedName>
    <definedName name="_122_810">'[4]AN-K'!#REF!</definedName>
    <definedName name="_123Graph_F" localSheetId="10" hidden="1">[16]escon!#REF!</definedName>
    <definedName name="_123Graph_F" localSheetId="5" hidden="1">[16]escon!#REF!</definedName>
    <definedName name="_123Graph_F" localSheetId="6" hidden="1">[16]escon!#REF!</definedName>
    <definedName name="_123Graph_F" localSheetId="7" hidden="1">[16]escon!#REF!</definedName>
    <definedName name="_123Graph_F" localSheetId="8" hidden="1">[16]escon!#REF!</definedName>
    <definedName name="_123Graph_F" hidden="1">[16]escon!#REF!</definedName>
    <definedName name="_124_619" localSheetId="10">'[4]AN-K'!#REF!</definedName>
    <definedName name="_124_619" localSheetId="5">'[4]AN-K'!#REF!</definedName>
    <definedName name="_124_619" localSheetId="6">'[4]AN-K'!#REF!</definedName>
    <definedName name="_124_619" localSheetId="7">'[4]AN-K'!#REF!</definedName>
    <definedName name="_124_619" localSheetId="8">'[4]AN-K'!#REF!</definedName>
    <definedName name="_124_619">'[4]AN-K'!#REF!</definedName>
    <definedName name="_125_110" localSheetId="10">'[1]AN-K'!#REF!</definedName>
    <definedName name="_125_110" localSheetId="5">'[1]AN-K'!#REF!</definedName>
    <definedName name="_125_110" localSheetId="6">'[1]AN-K'!#REF!</definedName>
    <definedName name="_125_110" localSheetId="7">'[1]AN-K'!#REF!</definedName>
    <definedName name="_125_110" localSheetId="8">'[1]AN-K'!#REF!</definedName>
    <definedName name="_125_110">'[1]AN-K'!#REF!</definedName>
    <definedName name="_125_815" localSheetId="10">'[4]AN-K'!#REF!</definedName>
    <definedName name="_125_815" localSheetId="5">'[4]AN-K'!#REF!</definedName>
    <definedName name="_125_815" localSheetId="6">'[4]AN-K'!#REF!</definedName>
    <definedName name="_125_815" localSheetId="7">'[4]AN-K'!#REF!</definedName>
    <definedName name="_125_815" localSheetId="8">'[4]AN-K'!#REF!</definedName>
    <definedName name="_125_815">'[4]AN-K'!#REF!</definedName>
    <definedName name="_126_321" localSheetId="10">'[15]AN-K'!#REF!</definedName>
    <definedName name="_126_321" localSheetId="5">'[15]AN-K'!#REF!</definedName>
    <definedName name="_126_321" localSheetId="6">'[15]AN-K'!#REF!</definedName>
    <definedName name="_126_321" localSheetId="7">'[15]AN-K'!#REF!</definedName>
    <definedName name="_126_321" localSheetId="8">'[15]AN-K'!#REF!</definedName>
    <definedName name="_126_321">'[15]AN-K'!#REF!</definedName>
    <definedName name="_128_620" localSheetId="10">'[4]AN-K'!#REF!</definedName>
    <definedName name="_128_620" localSheetId="5">'[4]AN-K'!#REF!</definedName>
    <definedName name="_128_620" localSheetId="6">'[4]AN-K'!#REF!</definedName>
    <definedName name="_128_620" localSheetId="7">'[4]AN-K'!#REF!</definedName>
    <definedName name="_128_620" localSheetId="8">'[4]AN-K'!#REF!</definedName>
    <definedName name="_128_620">'[4]AN-K'!#REF!</definedName>
    <definedName name="_128_880" localSheetId="10">'[4]AN-K'!#REF!</definedName>
    <definedName name="_128_880" localSheetId="5">'[4]AN-K'!#REF!</definedName>
    <definedName name="_128_880" localSheetId="6">'[4]AN-K'!#REF!</definedName>
    <definedName name="_128_880" localSheetId="7">'[4]AN-K'!#REF!</definedName>
    <definedName name="_128_880" localSheetId="8">'[4]AN-K'!#REF!</definedName>
    <definedName name="_128_880">'[4]AN-K'!#REF!</definedName>
    <definedName name="_13_012" localSheetId="10">#REF!</definedName>
    <definedName name="_13_012" localSheetId="5">#REF!</definedName>
    <definedName name="_13_012" localSheetId="6">#REF!</definedName>
    <definedName name="_13_012" localSheetId="7">#REF!</definedName>
    <definedName name="_13_012" localSheetId="8">#REF!</definedName>
    <definedName name="_13_012">#REF!</definedName>
    <definedName name="_13_311" localSheetId="10">'[1]AN-K'!#REF!</definedName>
    <definedName name="_13_311" localSheetId="5">'[1]AN-K'!#REF!</definedName>
    <definedName name="_13_311" localSheetId="6">'[1]AN-K'!#REF!</definedName>
    <definedName name="_13_311" localSheetId="7">'[1]AN-K'!#REF!</definedName>
    <definedName name="_13_311" localSheetId="8">'[1]AN-K'!#REF!</definedName>
    <definedName name="_13_311">'[1]AN-K'!#REF!</definedName>
    <definedName name="_130F_8" localSheetId="10">#REF!</definedName>
    <definedName name="_130F_8" localSheetId="5">#REF!</definedName>
    <definedName name="_130F_8" localSheetId="6">#REF!</definedName>
    <definedName name="_130F_8" localSheetId="7">#REF!</definedName>
    <definedName name="_130F_8" localSheetId="8">#REF!</definedName>
    <definedName name="_130F_8">#REF!</definedName>
    <definedName name="_132_636" localSheetId="10">'[4]AN-K'!#REF!</definedName>
    <definedName name="_132_636" localSheetId="5">'[4]AN-K'!#REF!</definedName>
    <definedName name="_132_636" localSheetId="6">'[4]AN-K'!#REF!</definedName>
    <definedName name="_132_636" localSheetId="7">'[4]AN-K'!#REF!</definedName>
    <definedName name="_132_636" localSheetId="8">'[4]AN-K'!#REF!</definedName>
    <definedName name="_132_636">'[4]AN-K'!#REF!</definedName>
    <definedName name="_133F_9" localSheetId="10">'[4]AN-K'!#REF!</definedName>
    <definedName name="_133F_9" localSheetId="5">'[4]AN-K'!#REF!</definedName>
    <definedName name="_133F_9" localSheetId="6">'[4]AN-K'!#REF!</definedName>
    <definedName name="_133F_9" localSheetId="7">'[4]AN-K'!#REF!</definedName>
    <definedName name="_133F_9" localSheetId="8">'[4]AN-K'!#REF!</definedName>
    <definedName name="_133F_9">'[4]AN-K'!#REF!</definedName>
    <definedName name="_135_341" localSheetId="10">'[15]AN-K'!#REF!</definedName>
    <definedName name="_135_341" localSheetId="5">'[15]AN-K'!#REF!</definedName>
    <definedName name="_135_341" localSheetId="6">'[15]AN-K'!#REF!</definedName>
    <definedName name="_135_341" localSheetId="7">'[15]AN-K'!#REF!</definedName>
    <definedName name="_135_341" localSheetId="8">'[15]AN-K'!#REF!</definedName>
    <definedName name="_135_341">'[15]AN-K'!#REF!</definedName>
    <definedName name="_135K_23" localSheetId="10">#REF!</definedName>
    <definedName name="_135K_23" localSheetId="5">#REF!</definedName>
    <definedName name="_135K_23" localSheetId="6">#REF!</definedName>
    <definedName name="_135K_23" localSheetId="7">#REF!</definedName>
    <definedName name="_135K_23" localSheetId="8">#REF!</definedName>
    <definedName name="_135K_23">#REF!</definedName>
    <definedName name="_136_641" localSheetId="10">'[4]AN-K'!#REF!</definedName>
    <definedName name="_136_641" localSheetId="5">'[4]AN-K'!#REF!</definedName>
    <definedName name="_136_641" localSheetId="6">'[4]AN-K'!#REF!</definedName>
    <definedName name="_136_641" localSheetId="7">'[4]AN-K'!#REF!</definedName>
    <definedName name="_136_641" localSheetId="8">'[4]AN-K'!#REF!</definedName>
    <definedName name="_136_641">'[4]AN-K'!#REF!</definedName>
    <definedName name="_137ONGKOS_ANGKUT" localSheetId="10">#REF!</definedName>
    <definedName name="_137ONGKOS_ANGKUT" localSheetId="5">#REF!</definedName>
    <definedName name="_137ONGKOS_ANGKUT" localSheetId="6">#REF!</definedName>
    <definedName name="_137ONGKOS_ANGKUT" localSheetId="7">#REF!</definedName>
    <definedName name="_137ONGKOS_ANGKUT" localSheetId="8">#REF!</definedName>
    <definedName name="_137ONGKOS_ANGKUT">#REF!</definedName>
    <definedName name="_139_210" localSheetId="10">'[1]AN-K'!#REF!</definedName>
    <definedName name="_139_210" localSheetId="5">'[1]AN-K'!#REF!</definedName>
    <definedName name="_139_210" localSheetId="6">'[1]AN-K'!#REF!</definedName>
    <definedName name="_139_210" localSheetId="7">'[1]AN-K'!#REF!</definedName>
    <definedName name="_139_210" localSheetId="8">'[1]AN-K'!#REF!</definedName>
    <definedName name="_139_210">'[1]AN-K'!#REF!</definedName>
    <definedName name="_139RAB1_1" localSheetId="10">#REF!</definedName>
    <definedName name="_139RAB1_1" localSheetId="5">#REF!</definedName>
    <definedName name="_139RAB1_1" localSheetId="6">#REF!</definedName>
    <definedName name="_139RAB1_1" localSheetId="7">#REF!</definedName>
    <definedName name="_139RAB1_1" localSheetId="8">#REF!</definedName>
    <definedName name="_139RAB1_1">#REF!</definedName>
    <definedName name="_14_017" localSheetId="10">'[4]AN-K'!#REF!</definedName>
    <definedName name="_14_017" localSheetId="5">'[4]AN-K'!#REF!</definedName>
    <definedName name="_14_017" localSheetId="6">'[4]AN-K'!#REF!</definedName>
    <definedName name="_14_017" localSheetId="7">'[4]AN-K'!#REF!</definedName>
    <definedName name="_14_017" localSheetId="8">'[4]AN-K'!#REF!</definedName>
    <definedName name="_14_017">'[4]AN-K'!#REF!</definedName>
    <definedName name="_14_017_1" localSheetId="10">'[4]AN-K'!#REF!</definedName>
    <definedName name="_14_017_1" localSheetId="5">'[4]AN-K'!#REF!</definedName>
    <definedName name="_14_017_1" localSheetId="6">'[4]AN-K'!#REF!</definedName>
    <definedName name="_14_017_1" localSheetId="7">'[4]AN-K'!#REF!</definedName>
    <definedName name="_14_017_1" localSheetId="8">'[4]AN-K'!#REF!</definedName>
    <definedName name="_14_017_1">'[4]AN-K'!#REF!</definedName>
    <definedName name="_14_321" localSheetId="10">'[1]AN-K'!#REF!</definedName>
    <definedName name="_14_321" localSheetId="5">'[1]AN-K'!#REF!</definedName>
    <definedName name="_14_321" localSheetId="6">'[1]AN-K'!#REF!</definedName>
    <definedName name="_14_321" localSheetId="7">'[1]AN-K'!#REF!</definedName>
    <definedName name="_14_321" localSheetId="8">'[1]AN-K'!#REF!</definedName>
    <definedName name="_14_321">'[1]AN-K'!#REF!</definedName>
    <definedName name="_140_710" localSheetId="10">'[4]AN-K'!#REF!</definedName>
    <definedName name="_140_710" localSheetId="5">'[4]AN-K'!#REF!</definedName>
    <definedName name="_140_710" localSheetId="6">'[4]AN-K'!#REF!</definedName>
    <definedName name="_140_710" localSheetId="7">'[4]AN-K'!#REF!</definedName>
    <definedName name="_140_710" localSheetId="8">'[4]AN-K'!#REF!</definedName>
    <definedName name="_140_710">'[4]AN-K'!#REF!</definedName>
    <definedName name="_141RAB1_2" localSheetId="10">#REF!</definedName>
    <definedName name="_141RAB1_2" localSheetId="5">#REF!</definedName>
    <definedName name="_141RAB1_2" localSheetId="6">#REF!</definedName>
    <definedName name="_141RAB1_2" localSheetId="7">#REF!</definedName>
    <definedName name="_141RAB1_2" localSheetId="8">#REF!</definedName>
    <definedName name="_141RAB1_2">#REF!</definedName>
    <definedName name="_143RAB2_1" localSheetId="10">#REF!</definedName>
    <definedName name="_143RAB2_1" localSheetId="5">#REF!</definedName>
    <definedName name="_143RAB2_1" localSheetId="6">#REF!</definedName>
    <definedName name="_143RAB2_1" localSheetId="7">#REF!</definedName>
    <definedName name="_143RAB2_1" localSheetId="8">#REF!</definedName>
    <definedName name="_143RAB2_1">#REF!</definedName>
    <definedName name="_144_342" localSheetId="10">'[15]AN-K'!#REF!</definedName>
    <definedName name="_144_342" localSheetId="5">'[15]AN-K'!#REF!</definedName>
    <definedName name="_144_342" localSheetId="6">'[15]AN-K'!#REF!</definedName>
    <definedName name="_144_342" localSheetId="7">'[15]AN-K'!#REF!</definedName>
    <definedName name="_144_342" localSheetId="8">'[15]AN-K'!#REF!</definedName>
    <definedName name="_144_342">'[15]AN-K'!#REF!</definedName>
    <definedName name="_144_715" localSheetId="10">'[4]AN-K'!#REF!</definedName>
    <definedName name="_144_715" localSheetId="5">'[4]AN-K'!#REF!</definedName>
    <definedName name="_144_715" localSheetId="6">'[4]AN-K'!#REF!</definedName>
    <definedName name="_144_715" localSheetId="7">'[4]AN-K'!#REF!</definedName>
    <definedName name="_144_715" localSheetId="8">'[4]AN-K'!#REF!</definedName>
    <definedName name="_144_715">'[4]AN-K'!#REF!</definedName>
    <definedName name="_145RAB2_2" localSheetId="10">#REF!</definedName>
    <definedName name="_145RAB2_2" localSheetId="5">#REF!</definedName>
    <definedName name="_145RAB2_2" localSheetId="6">#REF!</definedName>
    <definedName name="_145RAB2_2" localSheetId="7">#REF!</definedName>
    <definedName name="_145RAB2_2" localSheetId="8">#REF!</definedName>
    <definedName name="_145RAB2_2">#REF!</definedName>
    <definedName name="_147UPAH___BAHAN" localSheetId="10">#REF!</definedName>
    <definedName name="_147UPAH___BAHAN" localSheetId="5">#REF!</definedName>
    <definedName name="_147UPAH___BAHAN" localSheetId="6">#REF!</definedName>
    <definedName name="_147UPAH___BAHAN" localSheetId="7">#REF!</definedName>
    <definedName name="_147UPAH___BAHAN" localSheetId="8">#REF!</definedName>
    <definedName name="_147UPAH___BAHAN">#REF!</definedName>
    <definedName name="_148_720" localSheetId="10">'[4]AN-K'!#REF!</definedName>
    <definedName name="_148_720" localSheetId="5">'[4]AN-K'!#REF!</definedName>
    <definedName name="_148_720" localSheetId="6">'[4]AN-K'!#REF!</definedName>
    <definedName name="_148_720" localSheetId="7">'[4]AN-K'!#REF!</definedName>
    <definedName name="_148_720" localSheetId="8">'[4]AN-K'!#REF!</definedName>
    <definedName name="_148_720">'[4]AN-K'!#REF!</definedName>
    <definedName name="_15_341" localSheetId="10">'[1]AN-K'!#REF!</definedName>
    <definedName name="_15_341" localSheetId="5">'[1]AN-K'!#REF!</definedName>
    <definedName name="_15_341" localSheetId="6">'[1]AN-K'!#REF!</definedName>
    <definedName name="_15_341" localSheetId="7">'[1]AN-K'!#REF!</definedName>
    <definedName name="_15_341" localSheetId="8">'[1]AN-K'!#REF!</definedName>
    <definedName name="_15_341">'[1]AN-K'!#REF!</definedName>
    <definedName name="_152_722" localSheetId="10">'[4]AN-K'!#REF!</definedName>
    <definedName name="_152_722" localSheetId="5">'[4]AN-K'!#REF!</definedName>
    <definedName name="_152_722" localSheetId="6">'[4]AN-K'!#REF!</definedName>
    <definedName name="_152_722" localSheetId="7">'[4]AN-K'!#REF!</definedName>
    <definedName name="_152_722" localSheetId="8">'[4]AN-K'!#REF!</definedName>
    <definedName name="_152_722">'[4]AN-K'!#REF!</definedName>
    <definedName name="_153_224" localSheetId="10">'[1]AN-K'!#REF!</definedName>
    <definedName name="_153_224" localSheetId="5">'[1]AN-K'!#REF!</definedName>
    <definedName name="_153_224" localSheetId="6">'[1]AN-K'!#REF!</definedName>
    <definedName name="_153_224" localSheetId="7">'[1]AN-K'!#REF!</definedName>
    <definedName name="_153_224" localSheetId="8">'[1]AN-K'!#REF!</definedName>
    <definedName name="_153_224">'[1]AN-K'!#REF!</definedName>
    <definedName name="_153_410" localSheetId="10">'[15]AN-K'!#REF!</definedName>
    <definedName name="_153_410" localSheetId="5">'[15]AN-K'!#REF!</definedName>
    <definedName name="_153_410" localSheetId="6">'[15]AN-K'!#REF!</definedName>
    <definedName name="_153_410" localSheetId="7">'[15]AN-K'!#REF!</definedName>
    <definedName name="_153_410" localSheetId="8">'[15]AN-K'!#REF!</definedName>
    <definedName name="_153_410">'[15]AN-K'!#REF!</definedName>
    <definedName name="_156_725" localSheetId="10">'[4]AN-K'!#REF!</definedName>
    <definedName name="_156_725" localSheetId="5">'[4]AN-K'!#REF!</definedName>
    <definedName name="_156_725" localSheetId="6">'[4]AN-K'!#REF!</definedName>
    <definedName name="_156_725" localSheetId="7">'[4]AN-K'!#REF!</definedName>
    <definedName name="_156_725" localSheetId="8">'[4]AN-K'!#REF!</definedName>
    <definedName name="_156_725">'[4]AN-K'!#REF!</definedName>
    <definedName name="_16_342" localSheetId="10">'[1]AN-K'!#REF!</definedName>
    <definedName name="_16_342" localSheetId="5">'[1]AN-K'!#REF!</definedName>
    <definedName name="_16_342" localSheetId="6">'[1]AN-K'!#REF!</definedName>
    <definedName name="_16_342" localSheetId="7">'[1]AN-K'!#REF!</definedName>
    <definedName name="_16_342" localSheetId="8">'[1]AN-K'!#REF!</definedName>
    <definedName name="_16_342">'[1]AN-K'!#REF!</definedName>
    <definedName name="_160_810" localSheetId="10">'[4]AN-K'!#REF!</definedName>
    <definedName name="_160_810" localSheetId="5">'[4]AN-K'!#REF!</definedName>
    <definedName name="_160_810" localSheetId="6">'[4]AN-K'!#REF!</definedName>
    <definedName name="_160_810" localSheetId="7">'[4]AN-K'!#REF!</definedName>
    <definedName name="_160_810" localSheetId="8">'[4]AN-K'!#REF!</definedName>
    <definedName name="_160_810">'[4]AN-K'!#REF!</definedName>
    <definedName name="_162_411" localSheetId="10">'[15]AN-K'!#REF!</definedName>
    <definedName name="_162_411" localSheetId="5">'[15]AN-K'!#REF!</definedName>
    <definedName name="_162_411" localSheetId="6">'[15]AN-K'!#REF!</definedName>
    <definedName name="_162_411" localSheetId="7">'[15]AN-K'!#REF!</definedName>
    <definedName name="_162_411" localSheetId="8">'[15]AN-K'!#REF!</definedName>
    <definedName name="_162_411">'[15]AN-K'!#REF!</definedName>
    <definedName name="_164_815" localSheetId="10">'[4]AN-K'!#REF!</definedName>
    <definedName name="_164_815" localSheetId="5">'[4]AN-K'!#REF!</definedName>
    <definedName name="_164_815" localSheetId="6">'[4]AN-K'!#REF!</definedName>
    <definedName name="_164_815" localSheetId="7">'[4]AN-K'!#REF!</definedName>
    <definedName name="_164_815" localSheetId="8">'[4]AN-K'!#REF!</definedName>
    <definedName name="_164_815">'[4]AN-K'!#REF!</definedName>
    <definedName name="_167_225" localSheetId="10">'[1]AN-K'!#REF!</definedName>
    <definedName name="_167_225" localSheetId="5">'[1]AN-K'!#REF!</definedName>
    <definedName name="_167_225" localSheetId="6">'[1]AN-K'!#REF!</definedName>
    <definedName name="_167_225" localSheetId="7">'[1]AN-K'!#REF!</definedName>
    <definedName name="_167_225" localSheetId="8">'[1]AN-K'!#REF!</definedName>
    <definedName name="_167_225">'[1]AN-K'!#REF!</definedName>
    <definedName name="_168_880" localSheetId="10">'[4]AN-K'!#REF!</definedName>
    <definedName name="_168_880" localSheetId="5">'[4]AN-K'!#REF!</definedName>
    <definedName name="_168_880" localSheetId="6">'[4]AN-K'!#REF!</definedName>
    <definedName name="_168_880" localSheetId="7">'[4]AN-K'!#REF!</definedName>
    <definedName name="_168_880" localSheetId="8">'[4]AN-K'!#REF!</definedName>
    <definedName name="_168_880">'[4]AN-K'!#REF!</definedName>
    <definedName name="_17_018" localSheetId="10">'[4]AN-K'!#REF!</definedName>
    <definedName name="_17_018" localSheetId="5">'[4]AN-K'!#REF!</definedName>
    <definedName name="_17_018" localSheetId="6">'[4]AN-K'!#REF!</definedName>
    <definedName name="_17_018" localSheetId="7">'[4]AN-K'!#REF!</definedName>
    <definedName name="_17_018" localSheetId="8">'[4]AN-K'!#REF!</definedName>
    <definedName name="_17_018">'[4]AN-K'!#REF!</definedName>
    <definedName name="_17_410" localSheetId="10">'[1]AN-K'!#REF!</definedName>
    <definedName name="_17_410" localSheetId="5">'[1]AN-K'!#REF!</definedName>
    <definedName name="_17_410" localSheetId="6">'[1]AN-K'!#REF!</definedName>
    <definedName name="_17_410" localSheetId="7">'[1]AN-K'!#REF!</definedName>
    <definedName name="_17_410" localSheetId="8">'[1]AN-K'!#REF!</definedName>
    <definedName name="_17_410">'[1]AN-K'!#REF!</definedName>
    <definedName name="_170F_8" localSheetId="10">#REF!</definedName>
    <definedName name="_170F_8" localSheetId="5">#REF!</definedName>
    <definedName name="_170F_8" localSheetId="6">#REF!</definedName>
    <definedName name="_170F_8" localSheetId="7">#REF!</definedName>
    <definedName name="_170F_8" localSheetId="8">#REF!</definedName>
    <definedName name="_170F_8">#REF!</definedName>
    <definedName name="_171_420" localSheetId="10">'[15]AN-K'!#REF!</definedName>
    <definedName name="_171_420" localSheetId="5">'[15]AN-K'!#REF!</definedName>
    <definedName name="_171_420" localSheetId="6">'[15]AN-K'!#REF!</definedName>
    <definedName name="_171_420" localSheetId="7">'[15]AN-K'!#REF!</definedName>
    <definedName name="_171_420" localSheetId="8">'[15]AN-K'!#REF!</definedName>
    <definedName name="_171_420">'[15]AN-K'!#REF!</definedName>
    <definedName name="_174F_9" localSheetId="10">'[4]AN-K'!#REF!</definedName>
    <definedName name="_174F_9" localSheetId="5">'[4]AN-K'!#REF!</definedName>
    <definedName name="_174F_9" localSheetId="6">'[4]AN-K'!#REF!</definedName>
    <definedName name="_174F_9" localSheetId="7">'[4]AN-K'!#REF!</definedName>
    <definedName name="_174F_9" localSheetId="8">'[4]AN-K'!#REF!</definedName>
    <definedName name="_174F_9">'[4]AN-K'!#REF!</definedName>
    <definedName name="_176K_23" localSheetId="10">#REF!</definedName>
    <definedName name="_176K_23" localSheetId="5">#REF!</definedName>
    <definedName name="_176K_23" localSheetId="6">#REF!</definedName>
    <definedName name="_176K_23" localSheetId="7">#REF!</definedName>
    <definedName name="_176K_23" localSheetId="8">#REF!</definedName>
    <definedName name="_176K_23">#REF!</definedName>
    <definedName name="_178ONGKOS_ANGKUT" localSheetId="10">#REF!</definedName>
    <definedName name="_178ONGKOS_ANGKUT" localSheetId="5">#REF!</definedName>
    <definedName name="_178ONGKOS_ANGKUT" localSheetId="6">#REF!</definedName>
    <definedName name="_178ONGKOS_ANGKUT" localSheetId="7">#REF!</definedName>
    <definedName name="_178ONGKOS_ANGKUT" localSheetId="8">#REF!</definedName>
    <definedName name="_178ONGKOS_ANGKUT">#REF!</definedName>
    <definedName name="_18_016" localSheetId="10">'[15]AN-K'!#REF!</definedName>
    <definedName name="_18_016" localSheetId="5">'[15]AN-K'!#REF!</definedName>
    <definedName name="_18_016" localSheetId="6">'[15]AN-K'!#REF!</definedName>
    <definedName name="_18_016" localSheetId="7">'[15]AN-K'!#REF!</definedName>
    <definedName name="_18_016" localSheetId="8">'[15]AN-K'!#REF!</definedName>
    <definedName name="_18_016">'[15]AN-K'!#REF!</definedName>
    <definedName name="_18_017_1" localSheetId="10">'[4]AN-K'!#REF!</definedName>
    <definedName name="_18_017_1" localSheetId="5">'[4]AN-K'!#REF!</definedName>
    <definedName name="_18_017_1" localSheetId="6">'[4]AN-K'!#REF!</definedName>
    <definedName name="_18_017_1" localSheetId="7">'[4]AN-K'!#REF!</definedName>
    <definedName name="_18_017_1" localSheetId="8">'[4]AN-K'!#REF!</definedName>
    <definedName name="_18_017_1">'[4]AN-K'!#REF!</definedName>
    <definedName name="_18_411" localSheetId="10">'[1]AN-K'!#REF!</definedName>
    <definedName name="_18_411" localSheetId="5">'[1]AN-K'!#REF!</definedName>
    <definedName name="_18_411" localSheetId="6">'[1]AN-K'!#REF!</definedName>
    <definedName name="_18_411" localSheetId="7">'[1]AN-K'!#REF!</definedName>
    <definedName name="_18_411" localSheetId="8">'[1]AN-K'!#REF!</definedName>
    <definedName name="_18_411">'[1]AN-K'!#REF!</definedName>
    <definedName name="_180_423" localSheetId="10">'[15]AN-K'!#REF!</definedName>
    <definedName name="_180_423" localSheetId="5">'[15]AN-K'!#REF!</definedName>
    <definedName name="_180_423" localSheetId="6">'[15]AN-K'!#REF!</definedName>
    <definedName name="_180_423" localSheetId="7">'[15]AN-K'!#REF!</definedName>
    <definedName name="_180_423" localSheetId="8">'[15]AN-K'!#REF!</definedName>
    <definedName name="_180_423">'[15]AN-K'!#REF!</definedName>
    <definedName name="_180RAB1_1" localSheetId="10">#REF!</definedName>
    <definedName name="_180RAB1_1" localSheetId="5">#REF!</definedName>
    <definedName name="_180RAB1_1" localSheetId="6">#REF!</definedName>
    <definedName name="_180RAB1_1" localSheetId="7">#REF!</definedName>
    <definedName name="_180RAB1_1" localSheetId="8">#REF!</definedName>
    <definedName name="_180RAB1_1">#REF!</definedName>
    <definedName name="_181_310" localSheetId="10">'[1]AN-K'!#REF!</definedName>
    <definedName name="_181_310" localSheetId="5">'[1]AN-K'!#REF!</definedName>
    <definedName name="_181_310" localSheetId="6">'[1]AN-K'!#REF!</definedName>
    <definedName name="_181_310" localSheetId="7">'[1]AN-K'!#REF!</definedName>
    <definedName name="_181_310" localSheetId="8">'[1]AN-K'!#REF!</definedName>
    <definedName name="_181_310">'[1]AN-K'!#REF!</definedName>
    <definedName name="_182RAB1_2" localSheetId="10">#REF!</definedName>
    <definedName name="_182RAB1_2" localSheetId="5">#REF!</definedName>
    <definedName name="_182RAB1_2" localSheetId="6">#REF!</definedName>
    <definedName name="_182RAB1_2" localSheetId="7">#REF!</definedName>
    <definedName name="_182RAB1_2" localSheetId="8">#REF!</definedName>
    <definedName name="_182RAB1_2">#REF!</definedName>
    <definedName name="_184RAB2_1" localSheetId="10">#REF!</definedName>
    <definedName name="_184RAB2_1" localSheetId="5">#REF!</definedName>
    <definedName name="_184RAB2_1" localSheetId="6">#REF!</definedName>
    <definedName name="_184RAB2_1" localSheetId="7">#REF!</definedName>
    <definedName name="_184RAB2_1" localSheetId="8">#REF!</definedName>
    <definedName name="_184RAB2_1">#REF!</definedName>
    <definedName name="_186RAB2_2" localSheetId="10">#REF!</definedName>
    <definedName name="_186RAB2_2" localSheetId="5">#REF!</definedName>
    <definedName name="_186RAB2_2" localSheetId="6">#REF!</definedName>
    <definedName name="_186RAB2_2" localSheetId="7">#REF!</definedName>
    <definedName name="_186RAB2_2" localSheetId="8">#REF!</definedName>
    <definedName name="_186RAB2_2">#REF!</definedName>
    <definedName name="_188UPAH___BAHAN" localSheetId="10">#REF!</definedName>
    <definedName name="_188UPAH___BAHAN" localSheetId="5">#REF!</definedName>
    <definedName name="_188UPAH___BAHAN" localSheetId="6">#REF!</definedName>
    <definedName name="_188UPAH___BAHAN" localSheetId="7">#REF!</definedName>
    <definedName name="_188UPAH___BAHAN" localSheetId="8">#REF!</definedName>
    <definedName name="_188UPAH___BAHAN">#REF!</definedName>
    <definedName name="_189_424" localSheetId="10">'[15]AN-K'!#REF!</definedName>
    <definedName name="_189_424" localSheetId="5">'[15]AN-K'!#REF!</definedName>
    <definedName name="_189_424" localSheetId="6">'[15]AN-K'!#REF!</definedName>
    <definedName name="_189_424" localSheetId="7">'[15]AN-K'!#REF!</definedName>
    <definedName name="_189_424" localSheetId="8">'[15]AN-K'!#REF!</definedName>
    <definedName name="_189_424">'[15]AN-K'!#REF!</definedName>
    <definedName name="_19_420" localSheetId="10">'[1]AN-K'!#REF!</definedName>
    <definedName name="_19_420" localSheetId="5">'[1]AN-K'!#REF!</definedName>
    <definedName name="_19_420" localSheetId="6">'[1]AN-K'!#REF!</definedName>
    <definedName name="_19_420" localSheetId="7">'[1]AN-K'!#REF!</definedName>
    <definedName name="_19_420" localSheetId="8">'[1]AN-K'!#REF!</definedName>
    <definedName name="_19_420">'[1]AN-K'!#REF!</definedName>
    <definedName name="_195_311" localSheetId="10">'[1]AN-K'!#REF!</definedName>
    <definedName name="_195_311" localSheetId="5">'[1]AN-K'!#REF!</definedName>
    <definedName name="_195_311" localSheetId="6">'[1]AN-K'!#REF!</definedName>
    <definedName name="_195_311" localSheetId="7">'[1]AN-K'!#REF!</definedName>
    <definedName name="_195_311" localSheetId="8">'[1]AN-K'!#REF!</definedName>
    <definedName name="_195_311">'[1]AN-K'!#REF!</definedName>
    <definedName name="_198_512" localSheetId="10">'[15]AN-K'!#REF!</definedName>
    <definedName name="_198_512" localSheetId="5">'[15]AN-K'!#REF!</definedName>
    <definedName name="_198_512" localSheetId="6">'[15]AN-K'!#REF!</definedName>
    <definedName name="_198_512" localSheetId="7">'[15]AN-K'!#REF!</definedName>
    <definedName name="_198_512" localSheetId="8">'[15]AN-K'!#REF!</definedName>
    <definedName name="_198_512">'[15]AN-K'!#REF!</definedName>
    <definedName name="_2" localSheetId="10">'[13]ANALISA PEK.UMUM'!#REF!</definedName>
    <definedName name="_2" localSheetId="5">'[13]ANALISA PEK.UMUM'!#REF!</definedName>
    <definedName name="_2" localSheetId="6">'[13]ANALISA PEK.UMUM'!#REF!</definedName>
    <definedName name="_2" localSheetId="7">'[13]ANALISA PEK.UMUM'!#REF!</definedName>
    <definedName name="_2" localSheetId="8">'[13]ANALISA PEK.UMUM'!#REF!</definedName>
    <definedName name="_2">'[13]ANALISA PEK.UMUM'!#REF!</definedName>
    <definedName name="_2_012" localSheetId="10">#REF!</definedName>
    <definedName name="_2_012" localSheetId="5">#REF!</definedName>
    <definedName name="_2_012" localSheetId="6">#REF!</definedName>
    <definedName name="_2_012" localSheetId="7">#REF!</definedName>
    <definedName name="_2_012" localSheetId="8">#REF!</definedName>
    <definedName name="_2_012">#REF!</definedName>
    <definedName name="_2_016" localSheetId="10">'[1]AN-K'!#REF!</definedName>
    <definedName name="_2_016" localSheetId="5">'[1]AN-K'!#REF!</definedName>
    <definedName name="_2_016" localSheetId="6">'[1]AN-K'!#REF!</definedName>
    <definedName name="_2_016" localSheetId="7">'[1]AN-K'!#REF!</definedName>
    <definedName name="_2_016" localSheetId="8">'[1]AN-K'!#REF!</definedName>
    <definedName name="_2_016">'[1]AN-K'!#REF!</definedName>
    <definedName name="_20_026" localSheetId="10">'[4]AN-K'!#REF!</definedName>
    <definedName name="_20_026" localSheetId="5">'[4]AN-K'!#REF!</definedName>
    <definedName name="_20_026" localSheetId="6">'[4]AN-K'!#REF!</definedName>
    <definedName name="_20_026" localSheetId="7">'[4]AN-K'!#REF!</definedName>
    <definedName name="_20_026" localSheetId="8">'[4]AN-K'!#REF!</definedName>
    <definedName name="_20_026">'[4]AN-K'!#REF!</definedName>
    <definedName name="_20_423" localSheetId="10">'[1]AN-K'!#REF!</definedName>
    <definedName name="_20_423" localSheetId="5">'[1]AN-K'!#REF!</definedName>
    <definedName name="_20_423" localSheetId="6">'[1]AN-K'!#REF!</definedName>
    <definedName name="_20_423" localSheetId="7">'[1]AN-K'!#REF!</definedName>
    <definedName name="_20_423" localSheetId="8">'[1]AN-K'!#REF!</definedName>
    <definedName name="_20_423">'[1]AN-K'!#REF!</definedName>
    <definedName name="_207_320" localSheetId="10">#REF!</definedName>
    <definedName name="_207_320" localSheetId="5">#REF!</definedName>
    <definedName name="_207_320" localSheetId="6">#REF!</definedName>
    <definedName name="_207_320" localSheetId="7">#REF!</definedName>
    <definedName name="_207_320" localSheetId="8">#REF!</definedName>
    <definedName name="_207_320">#REF!</definedName>
    <definedName name="_207_514" localSheetId="10">'[15]AN-K'!#REF!</definedName>
    <definedName name="_207_514" localSheetId="5">'[15]AN-K'!#REF!</definedName>
    <definedName name="_207_514" localSheetId="6">'[15]AN-K'!#REF!</definedName>
    <definedName name="_207_514" localSheetId="7">'[15]AN-K'!#REF!</definedName>
    <definedName name="_207_514" localSheetId="8">'[15]AN-K'!#REF!</definedName>
    <definedName name="_207_514">'[15]AN-K'!#REF!</definedName>
    <definedName name="_21_424" localSheetId="10">'[1]AN-K'!#REF!</definedName>
    <definedName name="_21_424" localSheetId="5">'[1]AN-K'!#REF!</definedName>
    <definedName name="_21_424" localSheetId="6">'[1]AN-K'!#REF!</definedName>
    <definedName name="_21_424" localSheetId="7">'[1]AN-K'!#REF!</definedName>
    <definedName name="_21_424" localSheetId="8">'[1]AN-K'!#REF!</definedName>
    <definedName name="_21_424">'[1]AN-K'!#REF!</definedName>
    <definedName name="_210" localSheetId="10">'[6]AN-K'!#REF!</definedName>
    <definedName name="_210" localSheetId="5">'[6]AN-K'!#REF!</definedName>
    <definedName name="_210" localSheetId="6">'[6]AN-K'!#REF!</definedName>
    <definedName name="_210" localSheetId="7">'[6]AN-K'!#REF!</definedName>
    <definedName name="_210" localSheetId="8">'[6]AN-K'!#REF!</definedName>
    <definedName name="_210">'[6]AN-K'!#REF!</definedName>
    <definedName name="_216_515" localSheetId="10">'[15]AN-K'!#REF!</definedName>
    <definedName name="_216_515" localSheetId="5">'[15]AN-K'!#REF!</definedName>
    <definedName name="_216_515" localSheetId="6">'[15]AN-K'!#REF!</definedName>
    <definedName name="_216_515" localSheetId="7">'[15]AN-K'!#REF!</definedName>
    <definedName name="_216_515" localSheetId="8">'[15]AN-K'!#REF!</definedName>
    <definedName name="_216_515">'[15]AN-K'!#REF!</definedName>
    <definedName name="_22_018" localSheetId="10">'[4]AN-K'!#REF!</definedName>
    <definedName name="_22_018" localSheetId="5">'[4]AN-K'!#REF!</definedName>
    <definedName name="_22_018" localSheetId="6">'[4]AN-K'!#REF!</definedName>
    <definedName name="_22_018" localSheetId="7">'[4]AN-K'!#REF!</definedName>
    <definedName name="_22_018" localSheetId="8">'[4]AN-K'!#REF!</definedName>
    <definedName name="_22_018">'[4]AN-K'!#REF!</definedName>
    <definedName name="_22_512" localSheetId="10">'[1]AN-K'!#REF!</definedName>
    <definedName name="_22_512" localSheetId="5">'[1]AN-K'!#REF!</definedName>
    <definedName name="_22_512" localSheetId="6">'[1]AN-K'!#REF!</definedName>
    <definedName name="_22_512" localSheetId="7">'[1]AN-K'!#REF!</definedName>
    <definedName name="_22_512" localSheetId="8">'[1]AN-K'!#REF!</definedName>
    <definedName name="_22_512">'[1]AN-K'!#REF!</definedName>
    <definedName name="_221_321" localSheetId="10">'[1]AN-K'!#REF!</definedName>
    <definedName name="_221_321" localSheetId="5">'[1]AN-K'!#REF!</definedName>
    <definedName name="_221_321" localSheetId="6">'[1]AN-K'!#REF!</definedName>
    <definedName name="_221_321" localSheetId="7">'[1]AN-K'!#REF!</definedName>
    <definedName name="_221_321" localSheetId="8">'[1]AN-K'!#REF!</definedName>
    <definedName name="_221_321">'[1]AN-K'!#REF!</definedName>
    <definedName name="_224" localSheetId="10">'[6]AN-K'!#REF!</definedName>
    <definedName name="_224" localSheetId="5">'[6]AN-K'!#REF!</definedName>
    <definedName name="_224" localSheetId="6">'[6]AN-K'!#REF!</definedName>
    <definedName name="_224" localSheetId="7">'[6]AN-K'!#REF!</definedName>
    <definedName name="_224" localSheetId="8">'[6]AN-K'!#REF!</definedName>
    <definedName name="_224">'[6]AN-K'!#REF!</definedName>
    <definedName name="_225" localSheetId="10">'[6]AN-K'!#REF!</definedName>
    <definedName name="_225" localSheetId="5">'[6]AN-K'!#REF!</definedName>
    <definedName name="_225" localSheetId="6">'[6]AN-K'!#REF!</definedName>
    <definedName name="_225" localSheetId="7">'[6]AN-K'!#REF!</definedName>
    <definedName name="_225" localSheetId="8">'[6]AN-K'!#REF!</definedName>
    <definedName name="_225">'[6]AN-K'!#REF!</definedName>
    <definedName name="_225_520" localSheetId="10">'[15]AN-K'!#REF!</definedName>
    <definedName name="_225_520" localSheetId="5">'[15]AN-K'!#REF!</definedName>
    <definedName name="_225_520" localSheetId="6">'[15]AN-K'!#REF!</definedName>
    <definedName name="_225_520" localSheetId="7">'[15]AN-K'!#REF!</definedName>
    <definedName name="_225_520" localSheetId="8">'[15]AN-K'!#REF!</definedName>
    <definedName name="_225_520">'[15]AN-K'!#REF!</definedName>
    <definedName name="_23_035" localSheetId="10">'[4]AN-K'!#REF!</definedName>
    <definedName name="_23_035" localSheetId="5">'[4]AN-K'!#REF!</definedName>
    <definedName name="_23_035" localSheetId="6">'[4]AN-K'!#REF!</definedName>
    <definedName name="_23_035" localSheetId="7">'[4]AN-K'!#REF!</definedName>
    <definedName name="_23_035" localSheetId="8">'[4]AN-K'!#REF!</definedName>
    <definedName name="_23_035">'[4]AN-K'!#REF!</definedName>
    <definedName name="_23_514" localSheetId="10">'[1]AN-K'!#REF!</definedName>
    <definedName name="_23_514" localSheetId="5">'[1]AN-K'!#REF!</definedName>
    <definedName name="_23_514" localSheetId="6">'[1]AN-K'!#REF!</definedName>
    <definedName name="_23_514" localSheetId="7">'[1]AN-K'!#REF!</definedName>
    <definedName name="_23_514" localSheetId="8">'[1]AN-K'!#REF!</definedName>
    <definedName name="_23_514">'[1]AN-K'!#REF!</definedName>
    <definedName name="_234_522" localSheetId="10">'[15]AN-K'!#REF!</definedName>
    <definedName name="_234_522" localSheetId="5">'[15]AN-K'!#REF!</definedName>
    <definedName name="_234_522" localSheetId="6">'[15]AN-K'!#REF!</definedName>
    <definedName name="_234_522" localSheetId="7">'[15]AN-K'!#REF!</definedName>
    <definedName name="_234_522" localSheetId="8">'[15]AN-K'!#REF!</definedName>
    <definedName name="_234_522">'[15]AN-K'!#REF!</definedName>
    <definedName name="_235_341" localSheetId="10">'[1]AN-K'!#REF!</definedName>
    <definedName name="_235_341" localSheetId="5">'[1]AN-K'!#REF!</definedName>
    <definedName name="_235_341" localSheetId="6">'[1]AN-K'!#REF!</definedName>
    <definedName name="_235_341" localSheetId="7">'[1]AN-K'!#REF!</definedName>
    <definedName name="_235_341" localSheetId="8">'[1]AN-K'!#REF!</definedName>
    <definedName name="_235_341">'[1]AN-K'!#REF!</definedName>
    <definedName name="_24_515" localSheetId="10">'[1]AN-K'!#REF!</definedName>
    <definedName name="_24_515" localSheetId="5">'[1]AN-K'!#REF!</definedName>
    <definedName name="_24_515" localSheetId="6">'[1]AN-K'!#REF!</definedName>
    <definedName name="_24_515" localSheetId="7">'[1]AN-K'!#REF!</definedName>
    <definedName name="_24_515" localSheetId="8">'[1]AN-K'!#REF!</definedName>
    <definedName name="_24_515">'[1]AN-K'!#REF!</definedName>
    <definedName name="_243_523" localSheetId="10">'[15]AN-K'!#REF!</definedName>
    <definedName name="_243_523" localSheetId="5">'[15]AN-K'!#REF!</definedName>
    <definedName name="_243_523" localSheetId="6">'[15]AN-K'!#REF!</definedName>
    <definedName name="_243_523" localSheetId="7">'[15]AN-K'!#REF!</definedName>
    <definedName name="_243_523" localSheetId="8">'[15]AN-K'!#REF!</definedName>
    <definedName name="_243_523">'[15]AN-K'!#REF!</definedName>
    <definedName name="_249_342" localSheetId="10">'[1]AN-K'!#REF!</definedName>
    <definedName name="_249_342" localSheetId="5">'[1]AN-K'!#REF!</definedName>
    <definedName name="_249_342" localSheetId="6">'[1]AN-K'!#REF!</definedName>
    <definedName name="_249_342" localSheetId="7">'[1]AN-K'!#REF!</definedName>
    <definedName name="_249_342" localSheetId="8">'[1]AN-K'!#REF!</definedName>
    <definedName name="_249_342">'[1]AN-K'!#REF!</definedName>
    <definedName name="_25_520" localSheetId="10">'[1]AN-K'!#REF!</definedName>
    <definedName name="_25_520" localSheetId="5">'[1]AN-K'!#REF!</definedName>
    <definedName name="_25_520" localSheetId="6">'[1]AN-K'!#REF!</definedName>
    <definedName name="_25_520" localSheetId="7">'[1]AN-K'!#REF!</definedName>
    <definedName name="_25_520" localSheetId="8">'[1]AN-K'!#REF!</definedName>
    <definedName name="_25_520">'[1]AN-K'!#REF!</definedName>
    <definedName name="_252_618" localSheetId="10">'[15]AN-K'!#REF!</definedName>
    <definedName name="_252_618" localSheetId="5">'[15]AN-K'!#REF!</definedName>
    <definedName name="_252_618" localSheetId="6">'[15]AN-K'!#REF!</definedName>
    <definedName name="_252_618" localSheetId="7">'[15]AN-K'!#REF!</definedName>
    <definedName name="_252_618" localSheetId="8">'[15]AN-K'!#REF!</definedName>
    <definedName name="_252_618">'[15]AN-K'!#REF!</definedName>
    <definedName name="_26_026" localSheetId="10">'[4]AN-K'!#REF!</definedName>
    <definedName name="_26_026" localSheetId="5">'[4]AN-K'!#REF!</definedName>
    <definedName name="_26_026" localSheetId="6">'[4]AN-K'!#REF!</definedName>
    <definedName name="_26_026" localSheetId="7">'[4]AN-K'!#REF!</definedName>
    <definedName name="_26_026" localSheetId="8">'[4]AN-K'!#REF!</definedName>
    <definedName name="_26_026">'[4]AN-K'!#REF!</definedName>
    <definedName name="_26_110" localSheetId="10">'[4]AN-K'!#REF!</definedName>
    <definedName name="_26_110" localSheetId="5">'[4]AN-K'!#REF!</definedName>
    <definedName name="_26_110" localSheetId="6">'[4]AN-K'!#REF!</definedName>
    <definedName name="_26_110" localSheetId="7">'[4]AN-K'!#REF!</definedName>
    <definedName name="_26_110" localSheetId="8">'[4]AN-K'!#REF!</definedName>
    <definedName name="_26_110">'[4]AN-K'!#REF!</definedName>
    <definedName name="_26_522" localSheetId="10">'[1]AN-K'!#REF!</definedName>
    <definedName name="_26_522" localSheetId="5">'[1]AN-K'!#REF!</definedName>
    <definedName name="_26_522" localSheetId="6">'[1]AN-K'!#REF!</definedName>
    <definedName name="_26_522" localSheetId="7">'[1]AN-K'!#REF!</definedName>
    <definedName name="_26_522" localSheetId="8">'[1]AN-K'!#REF!</definedName>
    <definedName name="_26_522">'[1]AN-K'!#REF!</definedName>
    <definedName name="_261_619" localSheetId="10">'[15]AN-K'!#REF!</definedName>
    <definedName name="_261_619" localSheetId="5">'[15]AN-K'!#REF!</definedName>
    <definedName name="_261_619" localSheetId="6">'[15]AN-K'!#REF!</definedName>
    <definedName name="_261_619" localSheetId="7">'[15]AN-K'!#REF!</definedName>
    <definedName name="_261_619" localSheetId="8">'[15]AN-K'!#REF!</definedName>
    <definedName name="_261_619">'[15]AN-K'!#REF!</definedName>
    <definedName name="_263_410" localSheetId="10">'[1]AN-K'!#REF!</definedName>
    <definedName name="_263_410" localSheetId="5">'[1]AN-K'!#REF!</definedName>
    <definedName name="_263_410" localSheetId="6">'[1]AN-K'!#REF!</definedName>
    <definedName name="_263_410" localSheetId="7">'[1]AN-K'!#REF!</definedName>
    <definedName name="_263_410" localSheetId="8">'[1]AN-K'!#REF!</definedName>
    <definedName name="_263_410">'[1]AN-K'!#REF!</definedName>
    <definedName name="_27_013" localSheetId="10">'[1]AN-K'!#REF!</definedName>
    <definedName name="_27_013" localSheetId="5">'[1]AN-K'!#REF!</definedName>
    <definedName name="_27_013" localSheetId="6">'[1]AN-K'!#REF!</definedName>
    <definedName name="_27_013" localSheetId="7">'[1]AN-K'!#REF!</definedName>
    <definedName name="_27_013" localSheetId="8">'[1]AN-K'!#REF!</definedName>
    <definedName name="_27_013">'[1]AN-K'!#REF!</definedName>
    <definedName name="_27_017" localSheetId="10">'[15]AN-K'!#REF!</definedName>
    <definedName name="_27_017" localSheetId="5">'[15]AN-K'!#REF!</definedName>
    <definedName name="_27_017" localSheetId="6">'[15]AN-K'!#REF!</definedName>
    <definedName name="_27_017" localSheetId="7">'[15]AN-K'!#REF!</definedName>
    <definedName name="_27_017" localSheetId="8">'[15]AN-K'!#REF!</definedName>
    <definedName name="_27_017">'[15]AN-K'!#REF!</definedName>
    <definedName name="_27_523" localSheetId="10">'[1]AN-K'!#REF!</definedName>
    <definedName name="_27_523" localSheetId="5">'[1]AN-K'!#REF!</definedName>
    <definedName name="_27_523" localSheetId="6">'[1]AN-K'!#REF!</definedName>
    <definedName name="_27_523" localSheetId="7">'[1]AN-K'!#REF!</definedName>
    <definedName name="_27_523" localSheetId="8">'[1]AN-K'!#REF!</definedName>
    <definedName name="_27_523">'[1]AN-K'!#REF!</definedName>
    <definedName name="_270_620" localSheetId="10">'[15]AN-K'!#REF!</definedName>
    <definedName name="_270_620" localSheetId="5">'[15]AN-K'!#REF!</definedName>
    <definedName name="_270_620" localSheetId="6">'[15]AN-K'!#REF!</definedName>
    <definedName name="_270_620" localSheetId="7">'[15]AN-K'!#REF!</definedName>
    <definedName name="_270_620" localSheetId="8">'[15]AN-K'!#REF!</definedName>
    <definedName name="_270_620">'[15]AN-K'!#REF!</definedName>
    <definedName name="_277_411" localSheetId="10">'[1]AN-K'!#REF!</definedName>
    <definedName name="_277_411" localSheetId="5">'[1]AN-K'!#REF!</definedName>
    <definedName name="_277_411" localSheetId="6">'[1]AN-K'!#REF!</definedName>
    <definedName name="_277_411" localSheetId="7">'[1]AN-K'!#REF!</definedName>
    <definedName name="_277_411" localSheetId="8">'[1]AN-K'!#REF!</definedName>
    <definedName name="_277_411">'[1]AN-K'!#REF!</definedName>
    <definedName name="_279_636" localSheetId="10">'[15]AN-K'!#REF!</definedName>
    <definedName name="_279_636" localSheetId="5">'[15]AN-K'!#REF!</definedName>
    <definedName name="_279_636" localSheetId="6">'[15]AN-K'!#REF!</definedName>
    <definedName name="_279_636" localSheetId="7">'[15]AN-K'!#REF!</definedName>
    <definedName name="_279_636" localSheetId="8">'[15]AN-K'!#REF!</definedName>
    <definedName name="_279_636">'[15]AN-K'!#REF!</definedName>
    <definedName name="_28_618" localSheetId="10">'[1]AN-K'!#REF!</definedName>
    <definedName name="_28_618" localSheetId="5">'[1]AN-K'!#REF!</definedName>
    <definedName name="_28_618" localSheetId="6">'[1]AN-K'!#REF!</definedName>
    <definedName name="_28_618" localSheetId="7">'[1]AN-K'!#REF!</definedName>
    <definedName name="_28_618" localSheetId="8">'[1]AN-K'!#REF!</definedName>
    <definedName name="_28_618">'[1]AN-K'!#REF!</definedName>
    <definedName name="_288_641" localSheetId="10">'[15]AN-K'!#REF!</definedName>
    <definedName name="_288_641" localSheetId="5">'[15]AN-K'!#REF!</definedName>
    <definedName name="_288_641" localSheetId="6">'[15]AN-K'!#REF!</definedName>
    <definedName name="_288_641" localSheetId="7">'[15]AN-K'!#REF!</definedName>
    <definedName name="_288_641" localSheetId="8">'[15]AN-K'!#REF!</definedName>
    <definedName name="_288_641">'[15]AN-K'!#REF!</definedName>
    <definedName name="_29_210" localSheetId="10">'[4]AN-K'!#REF!</definedName>
    <definedName name="_29_210" localSheetId="5">'[4]AN-K'!#REF!</definedName>
    <definedName name="_29_210" localSheetId="6">'[4]AN-K'!#REF!</definedName>
    <definedName name="_29_210" localSheetId="7">'[4]AN-K'!#REF!</definedName>
    <definedName name="_29_210" localSheetId="8">'[4]AN-K'!#REF!</definedName>
    <definedName name="_29_210">'[4]AN-K'!#REF!</definedName>
    <definedName name="_29_619" localSheetId="10">'[1]AN-K'!#REF!</definedName>
    <definedName name="_29_619" localSheetId="5">'[1]AN-K'!#REF!</definedName>
    <definedName name="_29_619" localSheetId="6">'[1]AN-K'!#REF!</definedName>
    <definedName name="_29_619" localSheetId="7">'[1]AN-K'!#REF!</definedName>
    <definedName name="_29_619" localSheetId="8">'[1]AN-K'!#REF!</definedName>
    <definedName name="_29_619">'[1]AN-K'!#REF!</definedName>
    <definedName name="_291_420" localSheetId="10">'[1]AN-K'!#REF!</definedName>
    <definedName name="_291_420" localSheetId="5">'[1]AN-K'!#REF!</definedName>
    <definedName name="_291_420" localSheetId="6">'[1]AN-K'!#REF!</definedName>
    <definedName name="_291_420" localSheetId="7">'[1]AN-K'!#REF!</definedName>
    <definedName name="_291_420" localSheetId="8">'[1]AN-K'!#REF!</definedName>
    <definedName name="_291_420">'[1]AN-K'!#REF!</definedName>
    <definedName name="_297_710" localSheetId="10">'[15]AN-K'!#REF!</definedName>
    <definedName name="_297_710" localSheetId="5">'[15]AN-K'!#REF!</definedName>
    <definedName name="_297_710" localSheetId="6">'[15]AN-K'!#REF!</definedName>
    <definedName name="_297_710" localSheetId="7">'[15]AN-K'!#REF!</definedName>
    <definedName name="_297_710" localSheetId="8">'[15]AN-K'!#REF!</definedName>
    <definedName name="_297_710">'[15]AN-K'!#REF!</definedName>
    <definedName name="_3_017" localSheetId="10">'[1]AN-K'!#REF!</definedName>
    <definedName name="_3_017" localSheetId="5">'[1]AN-K'!#REF!</definedName>
    <definedName name="_3_017" localSheetId="6">'[1]AN-K'!#REF!</definedName>
    <definedName name="_3_017" localSheetId="7">'[1]AN-K'!#REF!</definedName>
    <definedName name="_3_017" localSheetId="8">'[1]AN-K'!#REF!</definedName>
    <definedName name="_3_017">'[1]AN-K'!#REF!</definedName>
    <definedName name="_30_035" localSheetId="10">'[4]AN-K'!#REF!</definedName>
    <definedName name="_30_035" localSheetId="5">'[4]AN-K'!#REF!</definedName>
    <definedName name="_30_035" localSheetId="6">'[4]AN-K'!#REF!</definedName>
    <definedName name="_30_035" localSheetId="7">'[4]AN-K'!#REF!</definedName>
    <definedName name="_30_035" localSheetId="8">'[4]AN-K'!#REF!</definedName>
    <definedName name="_30_035">'[4]AN-K'!#REF!</definedName>
    <definedName name="_30_620" localSheetId="10">'[1]AN-K'!#REF!</definedName>
    <definedName name="_30_620" localSheetId="5">'[1]AN-K'!#REF!</definedName>
    <definedName name="_30_620" localSheetId="6">'[1]AN-K'!#REF!</definedName>
    <definedName name="_30_620" localSheetId="7">'[1]AN-K'!#REF!</definedName>
    <definedName name="_30_620" localSheetId="8">'[1]AN-K'!#REF!</definedName>
    <definedName name="_30_620">'[1]AN-K'!#REF!</definedName>
    <definedName name="_303_422" localSheetId="10">#REF!</definedName>
    <definedName name="_303_422" localSheetId="5">#REF!</definedName>
    <definedName name="_303_422" localSheetId="6">#REF!</definedName>
    <definedName name="_303_422" localSheetId="7">#REF!</definedName>
    <definedName name="_303_422" localSheetId="8">#REF!</definedName>
    <definedName name="_303_422">#REF!</definedName>
    <definedName name="_306_715" localSheetId="10">'[15]AN-K'!#REF!</definedName>
    <definedName name="_306_715" localSheetId="5">'[15]AN-K'!#REF!</definedName>
    <definedName name="_306_715" localSheetId="6">'[15]AN-K'!#REF!</definedName>
    <definedName name="_306_715" localSheetId="7">'[15]AN-K'!#REF!</definedName>
    <definedName name="_306_715" localSheetId="8">'[15]AN-K'!#REF!</definedName>
    <definedName name="_306_715">'[15]AN-K'!#REF!</definedName>
    <definedName name="_31_636" localSheetId="10">'[1]AN-K'!#REF!</definedName>
    <definedName name="_31_636" localSheetId="5">'[1]AN-K'!#REF!</definedName>
    <definedName name="_31_636" localSheetId="6">'[1]AN-K'!#REF!</definedName>
    <definedName name="_31_636" localSheetId="7">'[1]AN-K'!#REF!</definedName>
    <definedName name="_31_636" localSheetId="8">'[1]AN-K'!#REF!</definedName>
    <definedName name="_31_636">'[1]AN-K'!#REF!</definedName>
    <definedName name="_310" localSheetId="10">'[6]AN-K'!#REF!</definedName>
    <definedName name="_310" localSheetId="5">'[6]AN-K'!#REF!</definedName>
    <definedName name="_310" localSheetId="6">'[6]AN-K'!#REF!</definedName>
    <definedName name="_310" localSheetId="7">'[6]AN-K'!#REF!</definedName>
    <definedName name="_310" localSheetId="8">'[6]AN-K'!#REF!</definedName>
    <definedName name="_310">'[6]AN-K'!#REF!</definedName>
    <definedName name="_311" localSheetId="10">'[6]AN-K'!#REF!</definedName>
    <definedName name="_311" localSheetId="5">'[6]AN-K'!#REF!</definedName>
    <definedName name="_311" localSheetId="6">'[6]AN-K'!#REF!</definedName>
    <definedName name="_311" localSheetId="7">'[6]AN-K'!#REF!</definedName>
    <definedName name="_311" localSheetId="8">'[6]AN-K'!#REF!</definedName>
    <definedName name="_311">'[6]AN-K'!#REF!</definedName>
    <definedName name="_315_720" localSheetId="10">'[15]AN-K'!#REF!</definedName>
    <definedName name="_315_720" localSheetId="5">'[15]AN-K'!#REF!</definedName>
    <definedName name="_315_720" localSheetId="6">'[15]AN-K'!#REF!</definedName>
    <definedName name="_315_720" localSheetId="7">'[15]AN-K'!#REF!</definedName>
    <definedName name="_315_720" localSheetId="8">'[15]AN-K'!#REF!</definedName>
    <definedName name="_315_720">'[15]AN-K'!#REF!</definedName>
    <definedName name="_317_423" localSheetId="10">'[1]AN-K'!#REF!</definedName>
    <definedName name="_317_423" localSheetId="5">'[1]AN-K'!#REF!</definedName>
    <definedName name="_317_423" localSheetId="6">'[1]AN-K'!#REF!</definedName>
    <definedName name="_317_423" localSheetId="7">'[1]AN-K'!#REF!</definedName>
    <definedName name="_317_423" localSheetId="8">'[1]AN-K'!#REF!</definedName>
    <definedName name="_317_423">'[1]AN-K'!#REF!</definedName>
    <definedName name="_32_224" localSheetId="10">'[4]AN-K'!#REF!</definedName>
    <definedName name="_32_224" localSheetId="5">'[4]AN-K'!#REF!</definedName>
    <definedName name="_32_224" localSheetId="6">'[4]AN-K'!#REF!</definedName>
    <definedName name="_32_224" localSheetId="7">'[4]AN-K'!#REF!</definedName>
    <definedName name="_32_224" localSheetId="8">'[4]AN-K'!#REF!</definedName>
    <definedName name="_32_224">'[4]AN-K'!#REF!</definedName>
    <definedName name="_32_641" localSheetId="10">'[1]AN-K'!#REF!</definedName>
    <definedName name="_32_641" localSheetId="5">'[1]AN-K'!#REF!</definedName>
    <definedName name="_32_641" localSheetId="6">'[1]AN-K'!#REF!</definedName>
    <definedName name="_32_641" localSheetId="7">'[1]AN-K'!#REF!</definedName>
    <definedName name="_32_641" localSheetId="8">'[1]AN-K'!#REF!</definedName>
    <definedName name="_32_641">'[1]AN-K'!#REF!</definedName>
    <definedName name="_320" localSheetId="10">#REF!</definedName>
    <definedName name="_320" localSheetId="5">#REF!</definedName>
    <definedName name="_320" localSheetId="6">#REF!</definedName>
    <definedName name="_320" localSheetId="7">#REF!</definedName>
    <definedName name="_320" localSheetId="8">#REF!</definedName>
    <definedName name="_320">#REF!</definedName>
    <definedName name="_321" localSheetId="10">'[6]AN-K'!#REF!</definedName>
    <definedName name="_321" localSheetId="5">'[6]AN-K'!#REF!</definedName>
    <definedName name="_321" localSheetId="6">'[6]AN-K'!#REF!</definedName>
    <definedName name="_321" localSheetId="7">'[6]AN-K'!#REF!</definedName>
    <definedName name="_321" localSheetId="8">'[6]AN-K'!#REF!</definedName>
    <definedName name="_321">'[6]AN-K'!#REF!</definedName>
    <definedName name="_324_722" localSheetId="10">'[15]AN-K'!#REF!</definedName>
    <definedName name="_324_722" localSheetId="5">'[15]AN-K'!#REF!</definedName>
    <definedName name="_324_722" localSheetId="6">'[15]AN-K'!#REF!</definedName>
    <definedName name="_324_722" localSheetId="7">'[15]AN-K'!#REF!</definedName>
    <definedName name="_324_722" localSheetId="8">'[15]AN-K'!#REF!</definedName>
    <definedName name="_324_722">'[15]AN-K'!#REF!</definedName>
    <definedName name="_33_710" localSheetId="10">'[1]AN-K'!#REF!</definedName>
    <definedName name="_33_710" localSheetId="5">'[1]AN-K'!#REF!</definedName>
    <definedName name="_33_710" localSheetId="6">'[1]AN-K'!#REF!</definedName>
    <definedName name="_33_710" localSheetId="7">'[1]AN-K'!#REF!</definedName>
    <definedName name="_33_710" localSheetId="8">'[1]AN-K'!#REF!</definedName>
    <definedName name="_33_710">'[1]AN-K'!#REF!</definedName>
    <definedName name="_331_424" localSheetId="10">'[1]AN-K'!#REF!</definedName>
    <definedName name="_331_424" localSheetId="5">'[1]AN-K'!#REF!</definedName>
    <definedName name="_331_424" localSheetId="6">'[1]AN-K'!#REF!</definedName>
    <definedName name="_331_424" localSheetId="7">'[1]AN-K'!#REF!</definedName>
    <definedName name="_331_424" localSheetId="8">'[1]AN-K'!#REF!</definedName>
    <definedName name="_331_424">'[1]AN-K'!#REF!</definedName>
    <definedName name="_333_725" localSheetId="10">'[15]AN-K'!#REF!</definedName>
    <definedName name="_333_725" localSheetId="5">'[15]AN-K'!#REF!</definedName>
    <definedName name="_333_725" localSheetId="6">'[15]AN-K'!#REF!</definedName>
    <definedName name="_333_725" localSheetId="7">'[15]AN-K'!#REF!</definedName>
    <definedName name="_333_725" localSheetId="8">'[15]AN-K'!#REF!</definedName>
    <definedName name="_333_725">'[15]AN-K'!#REF!</definedName>
    <definedName name="_34_110" localSheetId="10">'[4]AN-K'!#REF!</definedName>
    <definedName name="_34_110" localSheetId="5">'[4]AN-K'!#REF!</definedName>
    <definedName name="_34_110" localSheetId="6">'[4]AN-K'!#REF!</definedName>
    <definedName name="_34_110" localSheetId="7">'[4]AN-K'!#REF!</definedName>
    <definedName name="_34_110" localSheetId="8">'[4]AN-K'!#REF!</definedName>
    <definedName name="_34_110">'[4]AN-K'!#REF!</definedName>
    <definedName name="_34_715" localSheetId="10">'[1]AN-K'!#REF!</definedName>
    <definedName name="_34_715" localSheetId="5">'[1]AN-K'!#REF!</definedName>
    <definedName name="_34_715" localSheetId="6">'[1]AN-K'!#REF!</definedName>
    <definedName name="_34_715" localSheetId="7">'[1]AN-K'!#REF!</definedName>
    <definedName name="_34_715" localSheetId="8">'[1]AN-K'!#REF!</definedName>
    <definedName name="_34_715">'[1]AN-K'!#REF!</definedName>
    <definedName name="_341" localSheetId="10">'[6]AN-K'!#REF!</definedName>
    <definedName name="_341" localSheetId="5">'[6]AN-K'!#REF!</definedName>
    <definedName name="_341" localSheetId="6">'[6]AN-K'!#REF!</definedName>
    <definedName name="_341" localSheetId="7">'[6]AN-K'!#REF!</definedName>
    <definedName name="_341" localSheetId="8">'[6]AN-K'!#REF!</definedName>
    <definedName name="_341">'[6]AN-K'!#REF!</definedName>
    <definedName name="_342" localSheetId="10">'[6]AN-K'!#REF!</definedName>
    <definedName name="_342" localSheetId="5">'[6]AN-K'!#REF!</definedName>
    <definedName name="_342" localSheetId="6">'[6]AN-K'!#REF!</definedName>
    <definedName name="_342" localSheetId="7">'[6]AN-K'!#REF!</definedName>
    <definedName name="_342" localSheetId="8">'[6]AN-K'!#REF!</definedName>
    <definedName name="_342">'[6]AN-K'!#REF!</definedName>
    <definedName name="_342_810" localSheetId="10">'[15]AN-K'!#REF!</definedName>
    <definedName name="_342_810" localSheetId="5">'[15]AN-K'!#REF!</definedName>
    <definedName name="_342_810" localSheetId="6">'[15]AN-K'!#REF!</definedName>
    <definedName name="_342_810" localSheetId="7">'[15]AN-K'!#REF!</definedName>
    <definedName name="_342_810" localSheetId="8">'[15]AN-K'!#REF!</definedName>
    <definedName name="_342_810">'[15]AN-K'!#REF!</definedName>
    <definedName name="_345_512" localSheetId="10">'[1]AN-K'!#REF!</definedName>
    <definedName name="_345_512" localSheetId="5">'[1]AN-K'!#REF!</definedName>
    <definedName name="_345_512" localSheetId="6">'[1]AN-K'!#REF!</definedName>
    <definedName name="_345_512" localSheetId="7">'[1]AN-K'!#REF!</definedName>
    <definedName name="_345_512" localSheetId="8">'[1]AN-K'!#REF!</definedName>
    <definedName name="_345_512">'[1]AN-K'!#REF!</definedName>
    <definedName name="_35_225" localSheetId="10">'[4]AN-K'!#REF!</definedName>
    <definedName name="_35_225" localSheetId="5">'[4]AN-K'!#REF!</definedName>
    <definedName name="_35_225" localSheetId="6">'[4]AN-K'!#REF!</definedName>
    <definedName name="_35_225" localSheetId="7">'[4]AN-K'!#REF!</definedName>
    <definedName name="_35_225" localSheetId="8">'[4]AN-K'!#REF!</definedName>
    <definedName name="_35_225">'[4]AN-K'!#REF!</definedName>
    <definedName name="_35_720" localSheetId="10">'[1]AN-K'!#REF!</definedName>
    <definedName name="_35_720" localSheetId="5">'[1]AN-K'!#REF!</definedName>
    <definedName name="_35_720" localSheetId="6">'[1]AN-K'!#REF!</definedName>
    <definedName name="_35_720" localSheetId="7">'[1]AN-K'!#REF!</definedName>
    <definedName name="_35_720" localSheetId="8">'[1]AN-K'!#REF!</definedName>
    <definedName name="_35_720">'[1]AN-K'!#REF!</definedName>
    <definedName name="_351_815" localSheetId="10">'[15]AN-K'!#REF!</definedName>
    <definedName name="_351_815" localSheetId="5">'[15]AN-K'!#REF!</definedName>
    <definedName name="_351_815" localSheetId="6">'[15]AN-K'!#REF!</definedName>
    <definedName name="_351_815" localSheetId="7">'[15]AN-K'!#REF!</definedName>
    <definedName name="_351_815" localSheetId="8">'[15]AN-K'!#REF!</definedName>
    <definedName name="_351_815">'[15]AN-K'!#REF!</definedName>
    <definedName name="_359_514" localSheetId="10">'[1]AN-K'!#REF!</definedName>
    <definedName name="_359_514" localSheetId="5">'[1]AN-K'!#REF!</definedName>
    <definedName name="_359_514" localSheetId="6">'[1]AN-K'!#REF!</definedName>
    <definedName name="_359_514" localSheetId="7">'[1]AN-K'!#REF!</definedName>
    <definedName name="_359_514" localSheetId="8">'[1]AN-K'!#REF!</definedName>
    <definedName name="_359_514">'[1]AN-K'!#REF!</definedName>
    <definedName name="_36_017_1" localSheetId="10">'[15]AN-K'!#REF!</definedName>
    <definedName name="_36_017_1" localSheetId="5">'[15]AN-K'!#REF!</definedName>
    <definedName name="_36_017_1" localSheetId="6">'[15]AN-K'!#REF!</definedName>
    <definedName name="_36_017_1" localSheetId="7">'[15]AN-K'!#REF!</definedName>
    <definedName name="_36_017_1" localSheetId="8">'[15]AN-K'!#REF!</definedName>
    <definedName name="_36_017_1">'[15]AN-K'!#REF!</definedName>
    <definedName name="_36_722" localSheetId="10">'[1]AN-K'!#REF!</definedName>
    <definedName name="_36_722" localSheetId="5">'[1]AN-K'!#REF!</definedName>
    <definedName name="_36_722" localSheetId="6">'[1]AN-K'!#REF!</definedName>
    <definedName name="_36_722" localSheetId="7">'[1]AN-K'!#REF!</definedName>
    <definedName name="_36_722" localSheetId="8">'[1]AN-K'!#REF!</definedName>
    <definedName name="_36_722">'[1]AN-K'!#REF!</definedName>
    <definedName name="_360_880" localSheetId="10">'[15]AN-K'!#REF!</definedName>
    <definedName name="_360_880" localSheetId="5">'[15]AN-K'!#REF!</definedName>
    <definedName name="_360_880" localSheetId="6">'[15]AN-K'!#REF!</definedName>
    <definedName name="_360_880" localSheetId="7">'[15]AN-K'!#REF!</definedName>
    <definedName name="_360_880" localSheetId="8">'[15]AN-K'!#REF!</definedName>
    <definedName name="_360_880">'[15]AN-K'!#REF!</definedName>
    <definedName name="_369F_9" localSheetId="10">'[15]AN-K'!#REF!</definedName>
    <definedName name="_369F_9" localSheetId="5">'[15]AN-K'!#REF!</definedName>
    <definedName name="_369F_9" localSheetId="6">'[15]AN-K'!#REF!</definedName>
    <definedName name="_369F_9" localSheetId="7">'[15]AN-K'!#REF!</definedName>
    <definedName name="_369F_9" localSheetId="8">'[15]AN-K'!#REF!</definedName>
    <definedName name="_369F_9">'[15]AN-K'!#REF!</definedName>
    <definedName name="_37_725" localSheetId="10">'[1]AN-K'!#REF!</definedName>
    <definedName name="_37_725" localSheetId="5">'[1]AN-K'!#REF!</definedName>
    <definedName name="_37_725" localSheetId="6">'[1]AN-K'!#REF!</definedName>
    <definedName name="_37_725" localSheetId="7">'[1]AN-K'!#REF!</definedName>
    <definedName name="_37_725" localSheetId="8">'[1]AN-K'!#REF!</definedName>
    <definedName name="_37_725">'[1]AN-K'!#REF!</definedName>
    <definedName name="_373_515" localSheetId="10">'[1]AN-K'!#REF!</definedName>
    <definedName name="_373_515" localSheetId="5">'[1]AN-K'!#REF!</definedName>
    <definedName name="_373_515" localSheetId="6">'[1]AN-K'!#REF!</definedName>
    <definedName name="_373_515" localSheetId="7">'[1]AN-K'!#REF!</definedName>
    <definedName name="_373_515" localSheetId="8">'[1]AN-K'!#REF!</definedName>
    <definedName name="_373_515">'[1]AN-K'!#REF!</definedName>
    <definedName name="_38_210" localSheetId="10">'[4]AN-K'!#REF!</definedName>
    <definedName name="_38_210" localSheetId="5">'[4]AN-K'!#REF!</definedName>
    <definedName name="_38_210" localSheetId="6">'[4]AN-K'!#REF!</definedName>
    <definedName name="_38_210" localSheetId="7">'[4]AN-K'!#REF!</definedName>
    <definedName name="_38_210" localSheetId="8">'[4]AN-K'!#REF!</definedName>
    <definedName name="_38_210">'[4]AN-K'!#REF!</definedName>
    <definedName name="_38_310" localSheetId="10">'[4]AN-K'!#REF!</definedName>
    <definedName name="_38_310" localSheetId="5">'[4]AN-K'!#REF!</definedName>
    <definedName name="_38_310" localSheetId="6">'[4]AN-K'!#REF!</definedName>
    <definedName name="_38_310" localSheetId="7">'[4]AN-K'!#REF!</definedName>
    <definedName name="_38_310" localSheetId="8">'[4]AN-K'!#REF!</definedName>
    <definedName name="_38_310">'[4]AN-K'!#REF!</definedName>
    <definedName name="_38_810" localSheetId="10">'[1]AN-K'!#REF!</definedName>
    <definedName name="_38_810" localSheetId="5">'[1]AN-K'!#REF!</definedName>
    <definedName name="_38_810" localSheetId="6">'[1]AN-K'!#REF!</definedName>
    <definedName name="_38_810" localSheetId="7">'[1]AN-K'!#REF!</definedName>
    <definedName name="_38_810" localSheetId="8">'[1]AN-K'!#REF!</definedName>
    <definedName name="_38_810">'[1]AN-K'!#REF!</definedName>
    <definedName name="_385_516" localSheetId="10">#REF!</definedName>
    <definedName name="_385_516" localSheetId="5">#REF!</definedName>
    <definedName name="_385_516" localSheetId="6">#REF!</definedName>
    <definedName name="_385_516" localSheetId="7">#REF!</definedName>
    <definedName name="_385_516" localSheetId="8">#REF!</definedName>
    <definedName name="_385_516">#REF!</definedName>
    <definedName name="_39_815" localSheetId="10">'[1]AN-K'!#REF!</definedName>
    <definedName name="_39_815" localSheetId="5">'[1]AN-K'!#REF!</definedName>
    <definedName name="_39_815" localSheetId="6">'[1]AN-K'!#REF!</definedName>
    <definedName name="_39_815" localSheetId="7">'[1]AN-K'!#REF!</definedName>
    <definedName name="_39_815" localSheetId="8">'[1]AN-K'!#REF!</definedName>
    <definedName name="_39_815">'[1]AN-K'!#REF!</definedName>
    <definedName name="_399_520" localSheetId="10">'[1]AN-K'!#REF!</definedName>
    <definedName name="_399_520" localSheetId="5">'[1]AN-K'!#REF!</definedName>
    <definedName name="_399_520" localSheetId="6">'[1]AN-K'!#REF!</definedName>
    <definedName name="_399_520" localSheetId="7">'[1]AN-K'!#REF!</definedName>
    <definedName name="_399_520" localSheetId="8">'[1]AN-K'!#REF!</definedName>
    <definedName name="_399_520">'[1]AN-K'!#REF!</definedName>
    <definedName name="_4_017_1" localSheetId="10">'[1]AN-K'!#REF!</definedName>
    <definedName name="_4_017_1" localSheetId="5">'[1]AN-K'!#REF!</definedName>
    <definedName name="_4_017_1" localSheetId="6">'[1]AN-K'!#REF!</definedName>
    <definedName name="_4_017_1" localSheetId="7">'[1]AN-K'!#REF!</definedName>
    <definedName name="_4_017_1" localSheetId="8">'[1]AN-K'!#REF!</definedName>
    <definedName name="_4_017_1">'[1]AN-K'!#REF!</definedName>
    <definedName name="_40_880" localSheetId="10">'[1]AN-K'!#REF!</definedName>
    <definedName name="_40_880" localSheetId="5">'[1]AN-K'!#REF!</definedName>
    <definedName name="_40_880" localSheetId="6">'[1]AN-K'!#REF!</definedName>
    <definedName name="_40_880" localSheetId="7">'[1]AN-K'!#REF!</definedName>
    <definedName name="_40_880" localSheetId="8">'[1]AN-K'!#REF!</definedName>
    <definedName name="_40_880">'[1]AN-K'!#REF!</definedName>
    <definedName name="_41_016" localSheetId="10">'[1]AN-K'!#REF!</definedName>
    <definedName name="_41_016" localSheetId="5">'[1]AN-K'!#REF!</definedName>
    <definedName name="_41_016" localSheetId="6">'[1]AN-K'!#REF!</definedName>
    <definedName name="_41_016" localSheetId="7">'[1]AN-K'!#REF!</definedName>
    <definedName name="_41_016" localSheetId="8">'[1]AN-K'!#REF!</definedName>
    <definedName name="_41_016">'[1]AN-K'!#REF!</definedName>
    <definedName name="_41_311" localSheetId="10">'[4]AN-K'!#REF!</definedName>
    <definedName name="_41_311" localSheetId="5">'[4]AN-K'!#REF!</definedName>
    <definedName name="_41_311" localSheetId="6">'[4]AN-K'!#REF!</definedName>
    <definedName name="_41_311" localSheetId="7">'[4]AN-K'!#REF!</definedName>
    <definedName name="_41_311" localSheetId="8">'[4]AN-K'!#REF!</definedName>
    <definedName name="_41_311">'[4]AN-K'!#REF!</definedName>
    <definedName name="_410" localSheetId="10">'[6]AN-K'!#REF!</definedName>
    <definedName name="_410" localSheetId="5">'[6]AN-K'!#REF!</definedName>
    <definedName name="_410" localSheetId="6">'[6]AN-K'!#REF!</definedName>
    <definedName name="_410" localSheetId="7">'[6]AN-K'!#REF!</definedName>
    <definedName name="_410" localSheetId="8">'[6]AN-K'!#REF!</definedName>
    <definedName name="_410">'[6]AN-K'!#REF!</definedName>
    <definedName name="_411" localSheetId="10">'[6]AN-K'!#REF!</definedName>
    <definedName name="_411" localSheetId="5">'[6]AN-K'!#REF!</definedName>
    <definedName name="_411" localSheetId="6">'[6]AN-K'!#REF!</definedName>
    <definedName name="_411" localSheetId="7">'[6]AN-K'!#REF!</definedName>
    <definedName name="_411" localSheetId="8">'[6]AN-K'!#REF!</definedName>
    <definedName name="_411">'[6]AN-K'!#REF!</definedName>
    <definedName name="_413_522" localSheetId="10">'[1]AN-K'!#REF!</definedName>
    <definedName name="_413_522" localSheetId="5">'[1]AN-K'!#REF!</definedName>
    <definedName name="_413_522" localSheetId="6">'[1]AN-K'!#REF!</definedName>
    <definedName name="_413_522" localSheetId="7">'[1]AN-K'!#REF!</definedName>
    <definedName name="_413_522" localSheetId="8">'[1]AN-K'!#REF!</definedName>
    <definedName name="_413_522">'[1]AN-K'!#REF!</definedName>
    <definedName name="_41F_9" localSheetId="10">'[1]AN-K'!#REF!</definedName>
    <definedName name="_41F_9" localSheetId="5">'[1]AN-K'!#REF!</definedName>
    <definedName name="_41F_9" localSheetId="6">'[1]AN-K'!#REF!</definedName>
    <definedName name="_41F_9" localSheetId="7">'[1]AN-K'!#REF!</definedName>
    <definedName name="_41F_9" localSheetId="8">'[1]AN-K'!#REF!</definedName>
    <definedName name="_41F_9">'[1]AN-K'!#REF!</definedName>
    <definedName name="_42_224" localSheetId="10">'[4]AN-K'!#REF!</definedName>
    <definedName name="_42_224" localSheetId="5">'[4]AN-K'!#REF!</definedName>
    <definedName name="_42_224" localSheetId="6">'[4]AN-K'!#REF!</definedName>
    <definedName name="_42_224" localSheetId="7">'[4]AN-K'!#REF!</definedName>
    <definedName name="_42_224" localSheetId="8">'[4]AN-K'!#REF!</definedName>
    <definedName name="_42_224">'[4]AN-K'!#REF!</definedName>
    <definedName name="_420" localSheetId="10">'[6]AN-K'!#REF!</definedName>
    <definedName name="_420" localSheetId="5">'[6]AN-K'!#REF!</definedName>
    <definedName name="_420" localSheetId="6">'[6]AN-K'!#REF!</definedName>
    <definedName name="_420" localSheetId="7">'[6]AN-K'!#REF!</definedName>
    <definedName name="_420" localSheetId="8">'[6]AN-K'!#REF!</definedName>
    <definedName name="_420">'[6]AN-K'!#REF!</definedName>
    <definedName name="_422" localSheetId="10">[12]Analisa!#REF!</definedName>
    <definedName name="_422" localSheetId="5">[12]Analisa!#REF!</definedName>
    <definedName name="_422" localSheetId="6">[12]Analisa!#REF!</definedName>
    <definedName name="_422" localSheetId="7">[12]Analisa!#REF!</definedName>
    <definedName name="_422" localSheetId="8">[12]Analisa!#REF!</definedName>
    <definedName name="_422">[12]Analisa!#REF!</definedName>
    <definedName name="_423" localSheetId="10">#REF!</definedName>
    <definedName name="_423" localSheetId="5">#REF!</definedName>
    <definedName name="_423" localSheetId="6">#REF!</definedName>
    <definedName name="_423" localSheetId="7">#REF!</definedName>
    <definedName name="_423" localSheetId="8">#REF!</definedName>
    <definedName name="_423">#REF!</definedName>
    <definedName name="_424" localSheetId="10">'[6]AN-K'!#REF!</definedName>
    <definedName name="_424" localSheetId="5">'[6]AN-K'!#REF!</definedName>
    <definedName name="_424" localSheetId="6">'[6]AN-K'!#REF!</definedName>
    <definedName name="_424" localSheetId="7">'[6]AN-K'!#REF!</definedName>
    <definedName name="_424" localSheetId="8">'[6]AN-K'!#REF!</definedName>
    <definedName name="_424">'[6]AN-K'!#REF!</definedName>
    <definedName name="_427_523" localSheetId="10">'[1]AN-K'!#REF!</definedName>
    <definedName name="_427_523" localSheetId="5">'[1]AN-K'!#REF!</definedName>
    <definedName name="_427_523" localSheetId="6">'[1]AN-K'!#REF!</definedName>
    <definedName name="_427_523" localSheetId="7">'[1]AN-K'!#REF!</definedName>
    <definedName name="_427_523" localSheetId="8">'[1]AN-K'!#REF!</definedName>
    <definedName name="_427_523">'[1]AN-K'!#REF!</definedName>
    <definedName name="_43_320" localSheetId="10">#REF!</definedName>
    <definedName name="_43_320" localSheetId="5">#REF!</definedName>
    <definedName name="_43_320" localSheetId="6">#REF!</definedName>
    <definedName name="_43_320" localSheetId="7">#REF!</definedName>
    <definedName name="_43_320" localSheetId="8">#REF!</definedName>
    <definedName name="_43_320">#REF!</definedName>
    <definedName name="_441_618" localSheetId="10">'[1]AN-K'!#REF!</definedName>
    <definedName name="_441_618" localSheetId="5">'[1]AN-K'!#REF!</definedName>
    <definedName name="_441_618" localSheetId="6">'[1]AN-K'!#REF!</definedName>
    <definedName name="_441_618" localSheetId="7">'[1]AN-K'!#REF!</definedName>
    <definedName name="_441_618" localSheetId="8">'[1]AN-K'!#REF!</definedName>
    <definedName name="_441_618">'[1]AN-K'!#REF!</definedName>
    <definedName name="_45_018" localSheetId="10">'[15]AN-K'!#REF!</definedName>
    <definedName name="_45_018" localSheetId="5">'[15]AN-K'!#REF!</definedName>
    <definedName name="_45_018" localSheetId="6">'[15]AN-K'!#REF!</definedName>
    <definedName name="_45_018" localSheetId="7">'[15]AN-K'!#REF!</definedName>
    <definedName name="_45_018" localSheetId="8">'[15]AN-K'!#REF!</definedName>
    <definedName name="_45_018">'[15]AN-K'!#REF!</definedName>
    <definedName name="_455_619" localSheetId="10">'[1]AN-K'!#REF!</definedName>
    <definedName name="_455_619" localSheetId="5">'[1]AN-K'!#REF!</definedName>
    <definedName name="_455_619" localSheetId="6">'[1]AN-K'!#REF!</definedName>
    <definedName name="_455_619" localSheetId="7">'[1]AN-K'!#REF!</definedName>
    <definedName name="_455_619" localSheetId="8">'[1]AN-K'!#REF!</definedName>
    <definedName name="_455_619">'[1]AN-K'!#REF!</definedName>
    <definedName name="_46_225" localSheetId="10">'[4]AN-K'!#REF!</definedName>
    <definedName name="_46_225" localSheetId="5">'[4]AN-K'!#REF!</definedName>
    <definedName name="_46_225" localSheetId="6">'[4]AN-K'!#REF!</definedName>
    <definedName name="_46_225" localSheetId="7">'[4]AN-K'!#REF!</definedName>
    <definedName name="_46_225" localSheetId="8">'[4]AN-K'!#REF!</definedName>
    <definedName name="_46_225">'[4]AN-K'!#REF!</definedName>
    <definedName name="_46_321" localSheetId="10">'[4]AN-K'!#REF!</definedName>
    <definedName name="_46_321" localSheetId="5">'[4]AN-K'!#REF!</definedName>
    <definedName name="_46_321" localSheetId="6">'[4]AN-K'!#REF!</definedName>
    <definedName name="_46_321" localSheetId="7">'[4]AN-K'!#REF!</definedName>
    <definedName name="_46_321" localSheetId="8">'[4]AN-K'!#REF!</definedName>
    <definedName name="_46_321">'[4]AN-K'!#REF!</definedName>
    <definedName name="_469_620" localSheetId="10">'[1]AN-K'!#REF!</definedName>
    <definedName name="_469_620" localSheetId="5">'[1]AN-K'!#REF!</definedName>
    <definedName name="_469_620" localSheetId="6">'[1]AN-K'!#REF!</definedName>
    <definedName name="_469_620" localSheetId="7">'[1]AN-K'!#REF!</definedName>
    <definedName name="_469_620" localSheetId="8">'[1]AN-K'!#REF!</definedName>
    <definedName name="_469_620">'[1]AN-K'!#REF!</definedName>
    <definedName name="_483_636" localSheetId="10">'[1]AN-K'!#REF!</definedName>
    <definedName name="_483_636" localSheetId="5">'[1]AN-K'!#REF!</definedName>
    <definedName name="_483_636" localSheetId="6">'[1]AN-K'!#REF!</definedName>
    <definedName name="_483_636" localSheetId="7">'[1]AN-K'!#REF!</definedName>
    <definedName name="_483_636" localSheetId="8">'[1]AN-K'!#REF!</definedName>
    <definedName name="_483_636">'[1]AN-K'!#REF!</definedName>
    <definedName name="_49_341" localSheetId="10">'[4]AN-K'!#REF!</definedName>
    <definedName name="_49_341" localSheetId="5">'[4]AN-K'!#REF!</definedName>
    <definedName name="_49_341" localSheetId="6">'[4]AN-K'!#REF!</definedName>
    <definedName name="_49_341" localSheetId="7">'[4]AN-K'!#REF!</definedName>
    <definedName name="_49_341" localSheetId="8">'[4]AN-K'!#REF!</definedName>
    <definedName name="_49_341">'[4]AN-K'!#REF!</definedName>
    <definedName name="_497_641" localSheetId="10">'[1]AN-K'!#REF!</definedName>
    <definedName name="_497_641" localSheetId="5">'[1]AN-K'!#REF!</definedName>
    <definedName name="_497_641" localSheetId="6">'[1]AN-K'!#REF!</definedName>
    <definedName name="_497_641" localSheetId="7">'[1]AN-K'!#REF!</definedName>
    <definedName name="_497_641" localSheetId="8">'[1]AN-K'!#REF!</definedName>
    <definedName name="_497_641">'[1]AN-K'!#REF!</definedName>
    <definedName name="_5_013" localSheetId="10">'[4]AN-K'!#REF!</definedName>
    <definedName name="_5_013" localSheetId="5">'[4]AN-K'!#REF!</definedName>
    <definedName name="_5_013" localSheetId="6">'[4]AN-K'!#REF!</definedName>
    <definedName name="_5_013" localSheetId="7">'[4]AN-K'!#REF!</definedName>
    <definedName name="_5_013" localSheetId="8">'[4]AN-K'!#REF!</definedName>
    <definedName name="_5_013">'[4]AN-K'!#REF!</definedName>
    <definedName name="_5_018" localSheetId="10">'[1]AN-K'!#REF!</definedName>
    <definedName name="_5_018" localSheetId="5">'[1]AN-K'!#REF!</definedName>
    <definedName name="_5_018" localSheetId="6">'[1]AN-K'!#REF!</definedName>
    <definedName name="_5_018" localSheetId="7">'[1]AN-K'!#REF!</definedName>
    <definedName name="_5_018" localSheetId="8">'[1]AN-K'!#REF!</definedName>
    <definedName name="_5_018">'[1]AN-K'!#REF!</definedName>
    <definedName name="_50_310" localSheetId="10">'[4]AN-K'!#REF!</definedName>
    <definedName name="_50_310" localSheetId="5">'[4]AN-K'!#REF!</definedName>
    <definedName name="_50_310" localSheetId="6">'[4]AN-K'!#REF!</definedName>
    <definedName name="_50_310" localSheetId="7">'[4]AN-K'!#REF!</definedName>
    <definedName name="_50_310" localSheetId="8">'[4]AN-K'!#REF!</definedName>
    <definedName name="_50_310">'[4]AN-K'!#REF!</definedName>
    <definedName name="_511_710" localSheetId="10">'[1]AN-K'!#REF!</definedName>
    <definedName name="_511_710" localSheetId="5">'[1]AN-K'!#REF!</definedName>
    <definedName name="_511_710" localSheetId="6">'[1]AN-K'!#REF!</definedName>
    <definedName name="_511_710" localSheetId="7">'[1]AN-K'!#REF!</definedName>
    <definedName name="_511_710" localSheetId="8">'[1]AN-K'!#REF!</definedName>
    <definedName name="_511_710">'[1]AN-K'!#REF!</definedName>
    <definedName name="_512" localSheetId="10">'[6]AN-K'!#REF!</definedName>
    <definedName name="_512" localSheetId="5">'[6]AN-K'!#REF!</definedName>
    <definedName name="_512" localSheetId="6">'[6]AN-K'!#REF!</definedName>
    <definedName name="_512" localSheetId="7">'[6]AN-K'!#REF!</definedName>
    <definedName name="_512" localSheetId="8">'[6]AN-K'!#REF!</definedName>
    <definedName name="_512">'[6]AN-K'!#REF!</definedName>
    <definedName name="_514" localSheetId="10">'[6]AN-K'!#REF!</definedName>
    <definedName name="_514" localSheetId="5">'[6]AN-K'!#REF!</definedName>
    <definedName name="_514" localSheetId="6">'[6]AN-K'!#REF!</definedName>
    <definedName name="_514" localSheetId="7">'[6]AN-K'!#REF!</definedName>
    <definedName name="_514" localSheetId="8">'[6]AN-K'!#REF!</definedName>
    <definedName name="_514">'[6]AN-K'!#REF!</definedName>
    <definedName name="_515" localSheetId="10">'[6]AN-K'!#REF!</definedName>
    <definedName name="_515" localSheetId="5">'[6]AN-K'!#REF!</definedName>
    <definedName name="_515" localSheetId="6">'[6]AN-K'!#REF!</definedName>
    <definedName name="_515" localSheetId="7">'[6]AN-K'!#REF!</definedName>
    <definedName name="_515" localSheetId="8">'[6]AN-K'!#REF!</definedName>
    <definedName name="_515">'[6]AN-K'!#REF!</definedName>
    <definedName name="_516" localSheetId="10">#REF!</definedName>
    <definedName name="_516" localSheetId="5">#REF!</definedName>
    <definedName name="_516" localSheetId="6">#REF!</definedName>
    <definedName name="_516" localSheetId="7">#REF!</definedName>
    <definedName name="_516" localSheetId="8">#REF!</definedName>
    <definedName name="_516">#REF!</definedName>
    <definedName name="_52_342" localSheetId="10">'[4]AN-K'!#REF!</definedName>
    <definedName name="_52_342" localSheetId="5">'[4]AN-K'!#REF!</definedName>
    <definedName name="_52_342" localSheetId="6">'[4]AN-K'!#REF!</definedName>
    <definedName name="_52_342" localSheetId="7">'[4]AN-K'!#REF!</definedName>
    <definedName name="_52_342" localSheetId="8">'[4]AN-K'!#REF!</definedName>
    <definedName name="_52_342">'[4]AN-K'!#REF!</definedName>
    <definedName name="_520" localSheetId="10">'[6]AN-K'!#REF!</definedName>
    <definedName name="_520" localSheetId="5">'[6]AN-K'!#REF!</definedName>
    <definedName name="_520" localSheetId="6">'[6]AN-K'!#REF!</definedName>
    <definedName name="_520" localSheetId="7">'[6]AN-K'!#REF!</definedName>
    <definedName name="_520" localSheetId="8">'[6]AN-K'!#REF!</definedName>
    <definedName name="_520">'[6]AN-K'!#REF!</definedName>
    <definedName name="_522" localSheetId="10">'[6]AN-K'!#REF!</definedName>
    <definedName name="_522" localSheetId="5">'[6]AN-K'!#REF!</definedName>
    <definedName name="_522" localSheetId="6">'[6]AN-K'!#REF!</definedName>
    <definedName name="_522" localSheetId="7">'[6]AN-K'!#REF!</definedName>
    <definedName name="_522" localSheetId="8">'[6]AN-K'!#REF!</definedName>
    <definedName name="_522">'[6]AN-K'!#REF!</definedName>
    <definedName name="_523" localSheetId="10">'[6]AN-K'!#REF!</definedName>
    <definedName name="_523" localSheetId="5">'[6]AN-K'!#REF!</definedName>
    <definedName name="_523" localSheetId="6">'[6]AN-K'!#REF!</definedName>
    <definedName name="_523" localSheetId="7">'[6]AN-K'!#REF!</definedName>
    <definedName name="_523" localSheetId="8">'[6]AN-K'!#REF!</definedName>
    <definedName name="_523">'[6]AN-K'!#REF!</definedName>
    <definedName name="_525_715" localSheetId="10">'[1]AN-K'!#REF!</definedName>
    <definedName name="_525_715" localSheetId="5">'[1]AN-K'!#REF!</definedName>
    <definedName name="_525_715" localSheetId="6">'[1]AN-K'!#REF!</definedName>
    <definedName name="_525_715" localSheetId="7">'[1]AN-K'!#REF!</definedName>
    <definedName name="_525_715" localSheetId="8">'[1]AN-K'!#REF!</definedName>
    <definedName name="_525_715">'[1]AN-K'!#REF!</definedName>
    <definedName name="_539_720" localSheetId="10">'[1]AN-K'!#REF!</definedName>
    <definedName name="_539_720" localSheetId="5">'[1]AN-K'!#REF!</definedName>
    <definedName name="_539_720" localSheetId="6">'[1]AN-K'!#REF!</definedName>
    <definedName name="_539_720" localSheetId="7">'[1]AN-K'!#REF!</definedName>
    <definedName name="_539_720" localSheetId="8">'[1]AN-K'!#REF!</definedName>
    <definedName name="_539_720">'[1]AN-K'!#REF!</definedName>
    <definedName name="_54_026" localSheetId="10">'[15]AN-K'!#REF!</definedName>
    <definedName name="_54_026" localSheetId="5">'[15]AN-K'!#REF!</definedName>
    <definedName name="_54_026" localSheetId="6">'[15]AN-K'!#REF!</definedName>
    <definedName name="_54_026" localSheetId="7">'[15]AN-K'!#REF!</definedName>
    <definedName name="_54_026" localSheetId="8">'[15]AN-K'!#REF!</definedName>
    <definedName name="_54_026">'[15]AN-K'!#REF!</definedName>
    <definedName name="_54_311" localSheetId="10">'[4]AN-K'!#REF!</definedName>
    <definedName name="_54_311" localSheetId="5">'[4]AN-K'!#REF!</definedName>
    <definedName name="_54_311" localSheetId="6">'[4]AN-K'!#REF!</definedName>
    <definedName name="_54_311" localSheetId="7">'[4]AN-K'!#REF!</definedName>
    <definedName name="_54_311" localSheetId="8">'[4]AN-K'!#REF!</definedName>
    <definedName name="_54_311">'[4]AN-K'!#REF!</definedName>
    <definedName name="_55_017" localSheetId="10">'[1]AN-K'!#REF!</definedName>
    <definedName name="_55_017" localSheetId="5">'[1]AN-K'!#REF!</definedName>
    <definedName name="_55_017" localSheetId="6">'[1]AN-K'!#REF!</definedName>
    <definedName name="_55_017" localSheetId="7">'[1]AN-K'!#REF!</definedName>
    <definedName name="_55_017" localSheetId="8">'[1]AN-K'!#REF!</definedName>
    <definedName name="_55_017">'[1]AN-K'!#REF!</definedName>
    <definedName name="_55_410" localSheetId="10">'[4]AN-K'!#REF!</definedName>
    <definedName name="_55_410" localSheetId="5">'[4]AN-K'!#REF!</definedName>
    <definedName name="_55_410" localSheetId="6">'[4]AN-K'!#REF!</definedName>
    <definedName name="_55_410" localSheetId="7">'[4]AN-K'!#REF!</definedName>
    <definedName name="_55_410" localSheetId="8">'[4]AN-K'!#REF!</definedName>
    <definedName name="_55_410">'[4]AN-K'!#REF!</definedName>
    <definedName name="_553_722" localSheetId="10">'[1]AN-K'!#REF!</definedName>
    <definedName name="_553_722" localSheetId="5">'[1]AN-K'!#REF!</definedName>
    <definedName name="_553_722" localSheetId="6">'[1]AN-K'!#REF!</definedName>
    <definedName name="_553_722" localSheetId="7">'[1]AN-K'!#REF!</definedName>
    <definedName name="_553_722" localSheetId="8">'[1]AN-K'!#REF!</definedName>
    <definedName name="_553_722">'[1]AN-K'!#REF!</definedName>
    <definedName name="_56_320" localSheetId="10">#REF!</definedName>
    <definedName name="_56_320" localSheetId="5">#REF!</definedName>
    <definedName name="_56_320" localSheetId="6">#REF!</definedName>
    <definedName name="_56_320" localSheetId="7">#REF!</definedName>
    <definedName name="_56_320" localSheetId="8">#REF!</definedName>
    <definedName name="_56_320">#REF!</definedName>
    <definedName name="_567_725" localSheetId="10">'[1]AN-K'!#REF!</definedName>
    <definedName name="_567_725" localSheetId="5">'[1]AN-K'!#REF!</definedName>
    <definedName name="_567_725" localSheetId="6">'[1]AN-K'!#REF!</definedName>
    <definedName name="_567_725" localSheetId="7">'[1]AN-K'!#REF!</definedName>
    <definedName name="_567_725" localSheetId="8">'[1]AN-K'!#REF!</definedName>
    <definedName name="_567_725">'[1]AN-K'!#REF!</definedName>
    <definedName name="_58_411" localSheetId="10">'[4]AN-K'!#REF!</definedName>
    <definedName name="_58_411" localSheetId="5">'[4]AN-K'!#REF!</definedName>
    <definedName name="_58_411" localSheetId="6">'[4]AN-K'!#REF!</definedName>
    <definedName name="_58_411" localSheetId="7">'[4]AN-K'!#REF!</definedName>
    <definedName name="_58_411" localSheetId="8">'[4]AN-K'!#REF!</definedName>
    <definedName name="_58_411">'[4]AN-K'!#REF!</definedName>
    <definedName name="_581_810" localSheetId="10">'[1]AN-K'!#REF!</definedName>
    <definedName name="_581_810" localSheetId="5">'[1]AN-K'!#REF!</definedName>
    <definedName name="_581_810" localSheetId="6">'[1]AN-K'!#REF!</definedName>
    <definedName name="_581_810" localSheetId="7">'[1]AN-K'!#REF!</definedName>
    <definedName name="_581_810" localSheetId="8">'[1]AN-K'!#REF!</definedName>
    <definedName name="_581_810">'[1]AN-K'!#REF!</definedName>
    <definedName name="_595_815" localSheetId="10">'[1]AN-K'!#REF!</definedName>
    <definedName name="_595_815" localSheetId="5">'[1]AN-K'!#REF!</definedName>
    <definedName name="_595_815" localSheetId="6">'[1]AN-K'!#REF!</definedName>
    <definedName name="_595_815" localSheetId="7">'[1]AN-K'!#REF!</definedName>
    <definedName name="_595_815" localSheetId="8">'[1]AN-K'!#REF!</definedName>
    <definedName name="_595_815">'[1]AN-K'!#REF!</definedName>
    <definedName name="_6_013" localSheetId="10">'[4]AN-K'!#REF!</definedName>
    <definedName name="_6_013" localSheetId="5">'[4]AN-K'!#REF!</definedName>
    <definedName name="_6_013" localSheetId="6">'[4]AN-K'!#REF!</definedName>
    <definedName name="_6_013" localSheetId="7">'[4]AN-K'!#REF!</definedName>
    <definedName name="_6_013" localSheetId="8">'[4]AN-K'!#REF!</definedName>
    <definedName name="_6_013">'[4]AN-K'!#REF!</definedName>
    <definedName name="_6_026" localSheetId="10">'[1]AN-K'!#REF!</definedName>
    <definedName name="_6_026" localSheetId="5">'[1]AN-K'!#REF!</definedName>
    <definedName name="_6_026" localSheetId="6">'[1]AN-K'!#REF!</definedName>
    <definedName name="_6_026" localSheetId="7">'[1]AN-K'!#REF!</definedName>
    <definedName name="_6_026" localSheetId="8">'[1]AN-K'!#REF!</definedName>
    <definedName name="_6_026">'[1]AN-K'!#REF!</definedName>
    <definedName name="_60_321" localSheetId="10">'[4]AN-K'!#REF!</definedName>
    <definedName name="_60_321" localSheetId="5">'[4]AN-K'!#REF!</definedName>
    <definedName name="_60_321" localSheetId="6">'[4]AN-K'!#REF!</definedName>
    <definedName name="_60_321" localSheetId="7">'[4]AN-K'!#REF!</definedName>
    <definedName name="_60_321" localSheetId="8">'[4]AN-K'!#REF!</definedName>
    <definedName name="_60_321">'[4]AN-K'!#REF!</definedName>
    <definedName name="_609_880" localSheetId="10">'[1]AN-K'!#REF!</definedName>
    <definedName name="_609_880" localSheetId="5">'[1]AN-K'!#REF!</definedName>
    <definedName name="_609_880" localSheetId="6">'[1]AN-K'!#REF!</definedName>
    <definedName name="_609_880" localSheetId="7">'[1]AN-K'!#REF!</definedName>
    <definedName name="_609_880" localSheetId="8">'[1]AN-K'!#REF!</definedName>
    <definedName name="_609_880">'[1]AN-K'!#REF!</definedName>
    <definedName name="_61_420" localSheetId="10">'[4]AN-K'!#REF!</definedName>
    <definedName name="_61_420" localSheetId="5">'[4]AN-K'!#REF!</definedName>
    <definedName name="_61_420" localSheetId="6">'[4]AN-K'!#REF!</definedName>
    <definedName name="_61_420" localSheetId="7">'[4]AN-K'!#REF!</definedName>
    <definedName name="_61_420" localSheetId="8">'[4]AN-K'!#REF!</definedName>
    <definedName name="_61_420">'[4]AN-K'!#REF!</definedName>
    <definedName name="_618" localSheetId="10">'[6]AN-K'!#REF!</definedName>
    <definedName name="_618" localSheetId="5">'[6]AN-K'!#REF!</definedName>
    <definedName name="_618" localSheetId="6">'[6]AN-K'!#REF!</definedName>
    <definedName name="_618" localSheetId="7">'[6]AN-K'!#REF!</definedName>
    <definedName name="_618" localSheetId="8">'[6]AN-K'!#REF!</definedName>
    <definedName name="_618">'[6]AN-K'!#REF!</definedName>
    <definedName name="_619" localSheetId="10">'[6]AN-K'!#REF!</definedName>
    <definedName name="_619" localSheetId="5">'[6]AN-K'!#REF!</definedName>
    <definedName name="_619" localSheetId="6">'[6]AN-K'!#REF!</definedName>
    <definedName name="_619" localSheetId="7">'[6]AN-K'!#REF!</definedName>
    <definedName name="_619" localSheetId="8">'[6]AN-K'!#REF!</definedName>
    <definedName name="_619">'[6]AN-K'!#REF!</definedName>
    <definedName name="_620" localSheetId="10">'[6]AN-K'!#REF!</definedName>
    <definedName name="_620" localSheetId="5">'[6]AN-K'!#REF!</definedName>
    <definedName name="_620" localSheetId="6">'[6]AN-K'!#REF!</definedName>
    <definedName name="_620" localSheetId="7">'[6]AN-K'!#REF!</definedName>
    <definedName name="_620" localSheetId="8">'[6]AN-K'!#REF!</definedName>
    <definedName name="_620">'[6]AN-K'!#REF!</definedName>
    <definedName name="_621F_8" localSheetId="10">#REF!</definedName>
    <definedName name="_621F_8" localSheetId="5">#REF!</definedName>
    <definedName name="_621F_8" localSheetId="6">#REF!</definedName>
    <definedName name="_621F_8" localSheetId="7">#REF!</definedName>
    <definedName name="_621F_8" localSheetId="8">#REF!</definedName>
    <definedName name="_621F_8">#REF!</definedName>
    <definedName name="_63_035" localSheetId="10">'[15]AN-K'!#REF!</definedName>
    <definedName name="_63_035" localSheetId="5">'[15]AN-K'!#REF!</definedName>
    <definedName name="_63_035" localSheetId="6">'[15]AN-K'!#REF!</definedName>
    <definedName name="_63_035" localSheetId="7">'[15]AN-K'!#REF!</definedName>
    <definedName name="_63_035" localSheetId="8">'[15]AN-K'!#REF!</definedName>
    <definedName name="_63_035">'[15]AN-K'!#REF!</definedName>
    <definedName name="_63_422" localSheetId="10">#REF!</definedName>
    <definedName name="_63_422" localSheetId="5">#REF!</definedName>
    <definedName name="_63_422" localSheetId="6">#REF!</definedName>
    <definedName name="_63_422" localSheetId="7">#REF!</definedName>
    <definedName name="_63_422" localSheetId="8">#REF!</definedName>
    <definedName name="_63_422">#REF!</definedName>
    <definedName name="_635F_9" localSheetId="10">'[1]AN-K'!#REF!</definedName>
    <definedName name="_635F_9" localSheetId="5">'[1]AN-K'!#REF!</definedName>
    <definedName name="_635F_9" localSheetId="6">'[1]AN-K'!#REF!</definedName>
    <definedName name="_635F_9" localSheetId="7">'[1]AN-K'!#REF!</definedName>
    <definedName name="_635F_9" localSheetId="8">'[1]AN-K'!#REF!</definedName>
    <definedName name="_635F_9">'[1]AN-K'!#REF!</definedName>
    <definedName name="_636" localSheetId="10">'[6]AN-K'!#REF!</definedName>
    <definedName name="_636" localSheetId="5">'[6]AN-K'!#REF!</definedName>
    <definedName name="_636" localSheetId="6">'[6]AN-K'!#REF!</definedName>
    <definedName name="_636" localSheetId="7">'[6]AN-K'!#REF!</definedName>
    <definedName name="_636" localSheetId="8">'[6]AN-K'!#REF!</definedName>
    <definedName name="_636">'[6]AN-K'!#REF!</definedName>
    <definedName name="_64_341" localSheetId="10">'[4]AN-K'!#REF!</definedName>
    <definedName name="_64_341" localSheetId="5">'[4]AN-K'!#REF!</definedName>
    <definedName name="_64_341" localSheetId="6">'[4]AN-K'!#REF!</definedName>
    <definedName name="_64_341" localSheetId="7">'[4]AN-K'!#REF!</definedName>
    <definedName name="_64_341" localSheetId="8">'[4]AN-K'!#REF!</definedName>
    <definedName name="_64_341">'[4]AN-K'!#REF!</definedName>
    <definedName name="_641" localSheetId="10">'[6]AN-K'!#REF!</definedName>
    <definedName name="_641" localSheetId="5">'[6]AN-K'!#REF!</definedName>
    <definedName name="_641" localSheetId="6">'[6]AN-K'!#REF!</definedName>
    <definedName name="_641" localSheetId="7">'[6]AN-K'!#REF!</definedName>
    <definedName name="_641" localSheetId="8">'[6]AN-K'!#REF!</definedName>
    <definedName name="_641">'[6]AN-K'!#REF!</definedName>
    <definedName name="_647K_23" localSheetId="10">#REF!</definedName>
    <definedName name="_647K_23" localSheetId="5">#REF!</definedName>
    <definedName name="_647K_23" localSheetId="6">#REF!</definedName>
    <definedName name="_647K_23" localSheetId="7">#REF!</definedName>
    <definedName name="_647K_23" localSheetId="8">#REF!</definedName>
    <definedName name="_647K_23">#REF!</definedName>
    <definedName name="_659ONGKOS_ANGKUT" localSheetId="10">#REF!</definedName>
    <definedName name="_659ONGKOS_ANGKUT" localSheetId="5">#REF!</definedName>
    <definedName name="_659ONGKOS_ANGKUT" localSheetId="6">#REF!</definedName>
    <definedName name="_659ONGKOS_ANGKUT" localSheetId="7">#REF!</definedName>
    <definedName name="_659ONGKOS_ANGKUT" localSheetId="8">#REF!</definedName>
    <definedName name="_659ONGKOS_ANGKUT">#REF!</definedName>
    <definedName name="_66_423" localSheetId="10">'[4]AN-K'!#REF!</definedName>
    <definedName name="_66_423" localSheetId="5">'[4]AN-K'!#REF!</definedName>
    <definedName name="_66_423" localSheetId="6">'[4]AN-K'!#REF!</definedName>
    <definedName name="_66_423" localSheetId="7">'[4]AN-K'!#REF!</definedName>
    <definedName name="_66_423" localSheetId="8">'[4]AN-K'!#REF!</definedName>
    <definedName name="_66_423">'[4]AN-K'!#REF!</definedName>
    <definedName name="_671RAB1_1" localSheetId="10">#REF!</definedName>
    <definedName name="_671RAB1_1" localSheetId="5">#REF!</definedName>
    <definedName name="_671RAB1_1" localSheetId="6">#REF!</definedName>
    <definedName name="_671RAB1_1" localSheetId="7">#REF!</definedName>
    <definedName name="_671RAB1_1" localSheetId="8">#REF!</definedName>
    <definedName name="_671RAB1_1">#REF!</definedName>
    <definedName name="_68_342" localSheetId="10">'[4]AN-K'!#REF!</definedName>
    <definedName name="_68_342" localSheetId="5">'[4]AN-K'!#REF!</definedName>
    <definedName name="_68_342" localSheetId="6">'[4]AN-K'!#REF!</definedName>
    <definedName name="_68_342" localSheetId="7">'[4]AN-K'!#REF!</definedName>
    <definedName name="_68_342" localSheetId="8">'[4]AN-K'!#REF!</definedName>
    <definedName name="_68_342">'[4]AN-K'!#REF!</definedName>
    <definedName name="_683RAB1_2" localSheetId="10">#REF!</definedName>
    <definedName name="_683RAB1_2" localSheetId="5">#REF!</definedName>
    <definedName name="_683RAB1_2" localSheetId="6">#REF!</definedName>
    <definedName name="_683RAB1_2" localSheetId="7">#REF!</definedName>
    <definedName name="_683RAB1_2" localSheetId="8">#REF!</definedName>
    <definedName name="_683RAB1_2">#REF!</definedName>
    <definedName name="_69_017_1" localSheetId="10">'[1]AN-K'!#REF!</definedName>
    <definedName name="_69_017_1" localSheetId="5">'[1]AN-K'!#REF!</definedName>
    <definedName name="_69_017_1" localSheetId="6">'[1]AN-K'!#REF!</definedName>
    <definedName name="_69_017_1" localSheetId="7">'[1]AN-K'!#REF!</definedName>
    <definedName name="_69_017_1" localSheetId="8">'[1]AN-K'!#REF!</definedName>
    <definedName name="_69_017_1">'[1]AN-K'!#REF!</definedName>
    <definedName name="_69_424" localSheetId="10">'[4]AN-K'!#REF!</definedName>
    <definedName name="_69_424" localSheetId="5">'[4]AN-K'!#REF!</definedName>
    <definedName name="_69_424" localSheetId="6">'[4]AN-K'!#REF!</definedName>
    <definedName name="_69_424" localSheetId="7">'[4]AN-K'!#REF!</definedName>
    <definedName name="_69_424" localSheetId="8">'[4]AN-K'!#REF!</definedName>
    <definedName name="_69_424">'[4]AN-K'!#REF!</definedName>
    <definedName name="_695RAB2_1" localSheetId="10">#REF!</definedName>
    <definedName name="_695RAB2_1" localSheetId="5">#REF!</definedName>
    <definedName name="_695RAB2_1" localSheetId="6">#REF!</definedName>
    <definedName name="_695RAB2_1" localSheetId="7">#REF!</definedName>
    <definedName name="_695RAB2_1" localSheetId="8">#REF!</definedName>
    <definedName name="_695RAB2_1">#REF!</definedName>
    <definedName name="_7_035" localSheetId="10">'[1]AN-K'!#REF!</definedName>
    <definedName name="_7_035" localSheetId="5">'[1]AN-K'!#REF!</definedName>
    <definedName name="_7_035" localSheetId="6">'[1]AN-K'!#REF!</definedName>
    <definedName name="_7_035" localSheetId="7">'[1]AN-K'!#REF!</definedName>
    <definedName name="_7_035" localSheetId="8">'[1]AN-K'!#REF!</definedName>
    <definedName name="_7_035">'[1]AN-K'!#REF!</definedName>
    <definedName name="_707RAB2_2" localSheetId="10">#REF!</definedName>
    <definedName name="_707RAB2_2" localSheetId="5">#REF!</definedName>
    <definedName name="_707RAB2_2" localSheetId="6">#REF!</definedName>
    <definedName name="_707RAB2_2" localSheetId="7">#REF!</definedName>
    <definedName name="_707RAB2_2" localSheetId="8">#REF!</definedName>
    <definedName name="_707RAB2_2">#REF!</definedName>
    <definedName name="_710" localSheetId="10">'[6]AN-K'!#REF!</definedName>
    <definedName name="_710" localSheetId="5">'[6]AN-K'!#REF!</definedName>
    <definedName name="_710" localSheetId="6">'[6]AN-K'!#REF!</definedName>
    <definedName name="_710" localSheetId="7">'[6]AN-K'!#REF!</definedName>
    <definedName name="_710" localSheetId="8">'[6]AN-K'!#REF!</definedName>
    <definedName name="_710">'[6]AN-K'!#REF!</definedName>
    <definedName name="_715" localSheetId="10">'[6]AN-K'!#REF!</definedName>
    <definedName name="_715" localSheetId="5">'[6]AN-K'!#REF!</definedName>
    <definedName name="_715" localSheetId="6">'[6]AN-K'!#REF!</definedName>
    <definedName name="_715" localSheetId="7">'[6]AN-K'!#REF!</definedName>
    <definedName name="_715" localSheetId="8">'[6]AN-K'!#REF!</definedName>
    <definedName name="_715">'[6]AN-K'!#REF!</definedName>
    <definedName name="_719UPAH___BAHAN" localSheetId="10">#REF!</definedName>
    <definedName name="_719UPAH___BAHAN" localSheetId="5">#REF!</definedName>
    <definedName name="_719UPAH___BAHAN" localSheetId="6">#REF!</definedName>
    <definedName name="_719UPAH___BAHAN" localSheetId="7">#REF!</definedName>
    <definedName name="_719UPAH___BAHAN" localSheetId="8">#REF!</definedName>
    <definedName name="_719UPAH___BAHAN">#REF!</definedName>
    <definedName name="_72_110" localSheetId="10">'[15]AN-K'!#REF!</definedName>
    <definedName name="_72_110" localSheetId="5">'[15]AN-K'!#REF!</definedName>
    <definedName name="_72_110" localSheetId="6">'[15]AN-K'!#REF!</definedName>
    <definedName name="_72_110" localSheetId="7">'[15]AN-K'!#REF!</definedName>
    <definedName name="_72_110" localSheetId="8">'[15]AN-K'!#REF!</definedName>
    <definedName name="_72_110">'[15]AN-K'!#REF!</definedName>
    <definedName name="_72_410" localSheetId="10">'[4]AN-K'!#REF!</definedName>
    <definedName name="_72_410" localSheetId="5">'[4]AN-K'!#REF!</definedName>
    <definedName name="_72_410" localSheetId="6">'[4]AN-K'!#REF!</definedName>
    <definedName name="_72_410" localSheetId="7">'[4]AN-K'!#REF!</definedName>
    <definedName name="_72_410" localSheetId="8">'[4]AN-K'!#REF!</definedName>
    <definedName name="_72_410">'[4]AN-K'!#REF!</definedName>
    <definedName name="_72_512" localSheetId="10">'[4]AN-K'!#REF!</definedName>
    <definedName name="_72_512" localSheetId="5">'[4]AN-K'!#REF!</definedName>
    <definedName name="_72_512" localSheetId="6">'[4]AN-K'!#REF!</definedName>
    <definedName name="_72_512" localSheetId="7">'[4]AN-K'!#REF!</definedName>
    <definedName name="_72_512" localSheetId="8">'[4]AN-K'!#REF!</definedName>
    <definedName name="_72_512">'[4]AN-K'!#REF!</definedName>
    <definedName name="_720" localSheetId="10">'[6]AN-K'!#REF!</definedName>
    <definedName name="_720" localSheetId="5">'[6]AN-K'!#REF!</definedName>
    <definedName name="_720" localSheetId="6">'[6]AN-K'!#REF!</definedName>
    <definedName name="_720" localSheetId="7">'[6]AN-K'!#REF!</definedName>
    <definedName name="_720" localSheetId="8">'[6]AN-K'!#REF!</definedName>
    <definedName name="_720">'[6]AN-K'!#REF!</definedName>
    <definedName name="_722" localSheetId="10">'[6]AN-K'!#REF!</definedName>
    <definedName name="_722" localSheetId="5">'[6]AN-K'!#REF!</definedName>
    <definedName name="_722" localSheetId="6">'[6]AN-K'!#REF!</definedName>
    <definedName name="_722" localSheetId="7">'[6]AN-K'!#REF!</definedName>
    <definedName name="_722" localSheetId="8">'[6]AN-K'!#REF!</definedName>
    <definedName name="_722">'[6]AN-K'!#REF!</definedName>
    <definedName name="_725" localSheetId="10">'[6]AN-K'!#REF!</definedName>
    <definedName name="_725" localSheetId="5">'[6]AN-K'!#REF!</definedName>
    <definedName name="_725" localSheetId="6">'[6]AN-K'!#REF!</definedName>
    <definedName name="_725" localSheetId="7">'[6]AN-K'!#REF!</definedName>
    <definedName name="_725" localSheetId="8">'[6]AN-K'!#REF!</definedName>
    <definedName name="_725">'[6]AN-K'!#REF!</definedName>
    <definedName name="_75_514" localSheetId="10">'[4]AN-K'!#REF!</definedName>
    <definedName name="_75_514" localSheetId="5">'[4]AN-K'!#REF!</definedName>
    <definedName name="_75_514" localSheetId="6">'[4]AN-K'!#REF!</definedName>
    <definedName name="_75_514" localSheetId="7">'[4]AN-K'!#REF!</definedName>
    <definedName name="_75_514" localSheetId="8">'[4]AN-K'!#REF!</definedName>
    <definedName name="_75_514">'[4]AN-K'!#REF!</definedName>
    <definedName name="_76_411" localSheetId="10">'[4]AN-K'!#REF!</definedName>
    <definedName name="_76_411" localSheetId="5">'[4]AN-K'!#REF!</definedName>
    <definedName name="_76_411" localSheetId="6">'[4]AN-K'!#REF!</definedName>
    <definedName name="_76_411" localSheetId="7">'[4]AN-K'!#REF!</definedName>
    <definedName name="_76_411" localSheetId="8">'[4]AN-K'!#REF!</definedName>
    <definedName name="_76_411">'[4]AN-K'!#REF!</definedName>
    <definedName name="_78_515" localSheetId="10">'[4]AN-K'!#REF!</definedName>
    <definedName name="_78_515" localSheetId="5">'[4]AN-K'!#REF!</definedName>
    <definedName name="_78_515" localSheetId="6">'[4]AN-K'!#REF!</definedName>
    <definedName name="_78_515" localSheetId="7">'[4]AN-K'!#REF!</definedName>
    <definedName name="_78_515" localSheetId="8">'[4]AN-K'!#REF!</definedName>
    <definedName name="_78_515">'[4]AN-K'!#REF!</definedName>
    <definedName name="_8_016" localSheetId="10">'[4]AN-K'!#REF!</definedName>
    <definedName name="_8_016" localSheetId="5">'[4]AN-K'!#REF!</definedName>
    <definedName name="_8_016" localSheetId="6">'[4]AN-K'!#REF!</definedName>
    <definedName name="_8_016" localSheetId="7">'[4]AN-K'!#REF!</definedName>
    <definedName name="_8_016" localSheetId="8">'[4]AN-K'!#REF!</definedName>
    <definedName name="_8_016">'[4]AN-K'!#REF!</definedName>
    <definedName name="_8_110" localSheetId="10">'[1]AN-K'!#REF!</definedName>
    <definedName name="_8_110" localSheetId="5">'[1]AN-K'!#REF!</definedName>
    <definedName name="_8_110" localSheetId="6">'[1]AN-K'!#REF!</definedName>
    <definedName name="_8_110" localSheetId="7">'[1]AN-K'!#REF!</definedName>
    <definedName name="_8_110" localSheetId="8">'[1]AN-K'!#REF!</definedName>
    <definedName name="_8_110">'[1]AN-K'!#REF!</definedName>
    <definedName name="_80_420" localSheetId="10">'[4]AN-K'!#REF!</definedName>
    <definedName name="_80_420" localSheetId="5">'[4]AN-K'!#REF!</definedName>
    <definedName name="_80_420" localSheetId="6">'[4]AN-K'!#REF!</definedName>
    <definedName name="_80_420" localSheetId="7">'[4]AN-K'!#REF!</definedName>
    <definedName name="_80_420" localSheetId="8">'[4]AN-K'!#REF!</definedName>
    <definedName name="_80_420">'[4]AN-K'!#REF!</definedName>
    <definedName name="_80_516" localSheetId="10">#REF!</definedName>
    <definedName name="_80_516" localSheetId="5">#REF!</definedName>
    <definedName name="_80_516" localSheetId="6">#REF!</definedName>
    <definedName name="_80_516" localSheetId="7">#REF!</definedName>
    <definedName name="_80_516" localSheetId="8">#REF!</definedName>
    <definedName name="_80_516">#REF!</definedName>
    <definedName name="_81_210" localSheetId="10">'[15]AN-K'!#REF!</definedName>
    <definedName name="_81_210" localSheetId="5">'[15]AN-K'!#REF!</definedName>
    <definedName name="_81_210" localSheetId="6">'[15]AN-K'!#REF!</definedName>
    <definedName name="_81_210" localSheetId="7">'[15]AN-K'!#REF!</definedName>
    <definedName name="_81_210" localSheetId="8">'[15]AN-K'!#REF!</definedName>
    <definedName name="_81_210">'[15]AN-K'!#REF!</definedName>
    <definedName name="_810" localSheetId="10">'[6]AN-K'!#REF!</definedName>
    <definedName name="_810" localSheetId="5">'[6]AN-K'!#REF!</definedName>
    <definedName name="_810" localSheetId="6">'[6]AN-K'!#REF!</definedName>
    <definedName name="_810" localSheetId="7">'[6]AN-K'!#REF!</definedName>
    <definedName name="_810" localSheetId="8">'[6]AN-K'!#REF!</definedName>
    <definedName name="_810">'[6]AN-K'!#REF!</definedName>
    <definedName name="_815" localSheetId="10">'[6]AN-K'!#REF!</definedName>
    <definedName name="_815" localSheetId="5">'[6]AN-K'!#REF!</definedName>
    <definedName name="_815" localSheetId="6">'[6]AN-K'!#REF!</definedName>
    <definedName name="_815" localSheetId="7">'[6]AN-K'!#REF!</definedName>
    <definedName name="_815" localSheetId="8">'[6]AN-K'!#REF!</definedName>
    <definedName name="_815">'[6]AN-K'!#REF!</definedName>
    <definedName name="_82_422" localSheetId="10">#REF!</definedName>
    <definedName name="_82_422" localSheetId="5">#REF!</definedName>
    <definedName name="_82_422" localSheetId="6">#REF!</definedName>
    <definedName name="_82_422" localSheetId="7">#REF!</definedName>
    <definedName name="_82_422" localSheetId="8">#REF!</definedName>
    <definedName name="_82_422">#REF!</definedName>
    <definedName name="_83_018" localSheetId="10">'[1]AN-K'!#REF!</definedName>
    <definedName name="_83_018" localSheetId="5">'[1]AN-K'!#REF!</definedName>
    <definedName name="_83_018" localSheetId="6">'[1]AN-K'!#REF!</definedName>
    <definedName name="_83_018" localSheetId="7">'[1]AN-K'!#REF!</definedName>
    <definedName name="_83_018" localSheetId="8">'[1]AN-K'!#REF!</definedName>
    <definedName name="_83_018">'[1]AN-K'!#REF!</definedName>
    <definedName name="_83_520" localSheetId="10">'[4]AN-K'!#REF!</definedName>
    <definedName name="_83_520" localSheetId="5">'[4]AN-K'!#REF!</definedName>
    <definedName name="_83_520" localSheetId="6">'[4]AN-K'!#REF!</definedName>
    <definedName name="_83_520" localSheetId="7">'[4]AN-K'!#REF!</definedName>
    <definedName name="_83_520" localSheetId="8">'[4]AN-K'!#REF!</definedName>
    <definedName name="_83_520">'[4]AN-K'!#REF!</definedName>
    <definedName name="_86_423" localSheetId="10">'[4]AN-K'!#REF!</definedName>
    <definedName name="_86_423" localSheetId="5">'[4]AN-K'!#REF!</definedName>
    <definedName name="_86_423" localSheetId="6">'[4]AN-K'!#REF!</definedName>
    <definedName name="_86_423" localSheetId="7">'[4]AN-K'!#REF!</definedName>
    <definedName name="_86_423" localSheetId="8">'[4]AN-K'!#REF!</definedName>
    <definedName name="_86_423">'[4]AN-K'!#REF!</definedName>
    <definedName name="_86_522" localSheetId="10">'[4]AN-K'!#REF!</definedName>
    <definedName name="_86_522" localSheetId="5">'[4]AN-K'!#REF!</definedName>
    <definedName name="_86_522" localSheetId="6">'[4]AN-K'!#REF!</definedName>
    <definedName name="_86_522" localSheetId="7">'[4]AN-K'!#REF!</definedName>
    <definedName name="_86_522" localSheetId="8">'[4]AN-K'!#REF!</definedName>
    <definedName name="_86_522">'[4]AN-K'!#REF!</definedName>
    <definedName name="_880" localSheetId="10">'[6]AN-K'!#REF!</definedName>
    <definedName name="_880" localSheetId="5">'[6]AN-K'!#REF!</definedName>
    <definedName name="_880" localSheetId="6">'[6]AN-K'!#REF!</definedName>
    <definedName name="_880" localSheetId="7">'[6]AN-K'!#REF!</definedName>
    <definedName name="_880" localSheetId="8">'[6]AN-K'!#REF!</definedName>
    <definedName name="_880">'[6]AN-K'!#REF!</definedName>
    <definedName name="_89_523" localSheetId="10">'[4]AN-K'!#REF!</definedName>
    <definedName name="_89_523" localSheetId="5">'[4]AN-K'!#REF!</definedName>
    <definedName name="_89_523" localSheetId="6">'[4]AN-K'!#REF!</definedName>
    <definedName name="_89_523" localSheetId="7">'[4]AN-K'!#REF!</definedName>
    <definedName name="_89_523" localSheetId="8">'[4]AN-K'!#REF!</definedName>
    <definedName name="_89_523">'[4]AN-K'!#REF!</definedName>
    <definedName name="_9_013" localSheetId="10">'[15]AN-K'!#REF!</definedName>
    <definedName name="_9_013" localSheetId="5">'[15]AN-K'!#REF!</definedName>
    <definedName name="_9_013" localSheetId="6">'[15]AN-K'!#REF!</definedName>
    <definedName name="_9_013" localSheetId="7">'[15]AN-K'!#REF!</definedName>
    <definedName name="_9_013" localSheetId="8">'[15]AN-K'!#REF!</definedName>
    <definedName name="_9_013">'[15]AN-K'!#REF!</definedName>
    <definedName name="_9_210" localSheetId="10">'[1]AN-K'!#REF!</definedName>
    <definedName name="_9_210" localSheetId="5">'[1]AN-K'!#REF!</definedName>
    <definedName name="_9_210" localSheetId="6">'[1]AN-K'!#REF!</definedName>
    <definedName name="_9_210" localSheetId="7">'[1]AN-K'!#REF!</definedName>
    <definedName name="_9_210" localSheetId="8">'[1]AN-K'!#REF!</definedName>
    <definedName name="_9_210">'[1]AN-K'!#REF!</definedName>
    <definedName name="_90_224" localSheetId="10">'[15]AN-K'!#REF!</definedName>
    <definedName name="_90_224" localSheetId="5">'[15]AN-K'!#REF!</definedName>
    <definedName name="_90_224" localSheetId="6">'[15]AN-K'!#REF!</definedName>
    <definedName name="_90_224" localSheetId="7">'[15]AN-K'!#REF!</definedName>
    <definedName name="_90_224" localSheetId="8">'[15]AN-K'!#REF!</definedName>
    <definedName name="_90_224">'[15]AN-K'!#REF!</definedName>
    <definedName name="_90_424" localSheetId="10">'[4]AN-K'!#REF!</definedName>
    <definedName name="_90_424" localSheetId="5">'[4]AN-K'!#REF!</definedName>
    <definedName name="_90_424" localSheetId="6">'[4]AN-K'!#REF!</definedName>
    <definedName name="_90_424" localSheetId="7">'[4]AN-K'!#REF!</definedName>
    <definedName name="_90_424" localSheetId="8">'[4]AN-K'!#REF!</definedName>
    <definedName name="_90_424">'[4]AN-K'!#REF!</definedName>
    <definedName name="_92_618" localSheetId="10">'[4]AN-K'!#REF!</definedName>
    <definedName name="_92_618" localSheetId="5">'[4]AN-K'!#REF!</definedName>
    <definedName name="_92_618" localSheetId="6">'[4]AN-K'!#REF!</definedName>
    <definedName name="_92_618" localSheetId="7">'[4]AN-K'!#REF!</definedName>
    <definedName name="_92_618" localSheetId="8">'[4]AN-K'!#REF!</definedName>
    <definedName name="_92_618">'[4]AN-K'!#REF!</definedName>
    <definedName name="_94_512" localSheetId="10">'[4]AN-K'!#REF!</definedName>
    <definedName name="_94_512" localSheetId="5">'[4]AN-K'!#REF!</definedName>
    <definedName name="_94_512" localSheetId="6">'[4]AN-K'!#REF!</definedName>
    <definedName name="_94_512" localSheetId="7">'[4]AN-K'!#REF!</definedName>
    <definedName name="_94_512" localSheetId="8">'[4]AN-K'!#REF!</definedName>
    <definedName name="_94_512">'[4]AN-K'!#REF!</definedName>
    <definedName name="_95_619" localSheetId="10">'[4]AN-K'!#REF!</definedName>
    <definedName name="_95_619" localSheetId="5">'[4]AN-K'!#REF!</definedName>
    <definedName name="_95_619" localSheetId="6">'[4]AN-K'!#REF!</definedName>
    <definedName name="_95_619" localSheetId="7">'[4]AN-K'!#REF!</definedName>
    <definedName name="_95_619" localSheetId="8">'[4]AN-K'!#REF!</definedName>
    <definedName name="_95_619">'[4]AN-K'!#REF!</definedName>
    <definedName name="_97_026" localSheetId="10">'[1]AN-K'!#REF!</definedName>
    <definedName name="_97_026" localSheetId="5">'[1]AN-K'!#REF!</definedName>
    <definedName name="_97_026" localSheetId="6">'[1]AN-K'!#REF!</definedName>
    <definedName name="_97_026" localSheetId="7">'[1]AN-K'!#REF!</definedName>
    <definedName name="_97_026" localSheetId="8">'[1]AN-K'!#REF!</definedName>
    <definedName name="_97_026">'[1]AN-K'!#REF!</definedName>
    <definedName name="_98_514" localSheetId="10">'[4]AN-K'!#REF!</definedName>
    <definedName name="_98_514" localSheetId="5">'[4]AN-K'!#REF!</definedName>
    <definedName name="_98_514" localSheetId="6">'[4]AN-K'!#REF!</definedName>
    <definedName name="_98_514" localSheetId="7">'[4]AN-K'!#REF!</definedName>
    <definedName name="_98_514" localSheetId="8">'[4]AN-K'!#REF!</definedName>
    <definedName name="_98_514">'[4]AN-K'!#REF!</definedName>
    <definedName name="_98_620" localSheetId="10">'[4]AN-K'!#REF!</definedName>
    <definedName name="_98_620" localSheetId="5">'[4]AN-K'!#REF!</definedName>
    <definedName name="_98_620" localSheetId="6">'[4]AN-K'!#REF!</definedName>
    <definedName name="_98_620" localSheetId="7">'[4]AN-K'!#REF!</definedName>
    <definedName name="_98_620" localSheetId="8">'[4]AN-K'!#REF!</definedName>
    <definedName name="_98_620">'[4]AN-K'!#REF!</definedName>
    <definedName name="_99_225" localSheetId="10">'[15]AN-K'!#REF!</definedName>
    <definedName name="_99_225" localSheetId="5">'[15]AN-K'!#REF!</definedName>
    <definedName name="_99_225" localSheetId="6">'[15]AN-K'!#REF!</definedName>
    <definedName name="_99_225" localSheetId="7">'[15]AN-K'!#REF!</definedName>
    <definedName name="_99_225" localSheetId="8">'[15]AN-K'!#REF!</definedName>
    <definedName name="_99_225">'[15]AN-K'!#REF!</definedName>
    <definedName name="_anl713">'[17]Analisa 7.1.3'!$I$34</definedName>
    <definedName name="_anl715">'[17]Analisa 7.1.5'!$I$34</definedName>
    <definedName name="_baserahterima" localSheetId="10">#REF!</definedName>
    <definedName name="_baserahterima" localSheetId="5">#REF!</definedName>
    <definedName name="_baserahterima" localSheetId="6">#REF!</definedName>
    <definedName name="_baserahterima" localSheetId="7">#REF!</definedName>
    <definedName name="_baserahterima" localSheetId="8">#REF!</definedName>
    <definedName name="_baserahterima">#REF!</definedName>
    <definedName name="_C" localSheetId="10">'[13]ANALISA PEK.UMUM'!#REF!</definedName>
    <definedName name="_C" localSheetId="5">'[13]ANALISA PEK.UMUM'!#REF!</definedName>
    <definedName name="_C" localSheetId="6">'[13]ANALISA PEK.UMUM'!#REF!</definedName>
    <definedName name="_C" localSheetId="7">'[13]ANALISA PEK.UMUM'!#REF!</definedName>
    <definedName name="_C" localSheetId="8">'[13]ANALISA PEK.UMUM'!#REF!</definedName>
    <definedName name="_C">'[13]ANALISA PEK.UMUM'!#REF!</definedName>
    <definedName name="_Fill" localSheetId="10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hidden="1">#REF!</definedName>
    <definedName name="_xlnm._FilterDatabase" localSheetId="4" hidden="1">'BANK 1'!$A$5:$H$1436</definedName>
    <definedName name="_xlnm._FilterDatabase" localSheetId="5" hidden="1">'BANK 2'!$A$5:$H$795</definedName>
    <definedName name="_xlnm._FilterDatabase" localSheetId="6" hidden="1">'BANK 3'!$A$5:$H$795</definedName>
    <definedName name="_xlnm._FilterDatabase" localSheetId="7" hidden="1">'BANK 4'!$A$5:$H$2046</definedName>
    <definedName name="_xlnm._FilterDatabase" localSheetId="8" hidden="1">'JURNAL PENYESUAIAN'!$A$5:$H$1434</definedName>
    <definedName name="_xlnm._FilterDatabase" localSheetId="3" hidden="1">KAS!$A$5:$H$1578</definedName>
    <definedName name="_gk2" localSheetId="10" hidden="1">#REF!</definedName>
    <definedName name="_gk2" localSheetId="5" hidden="1">#REF!</definedName>
    <definedName name="_gk2" localSheetId="6" hidden="1">#REF!</definedName>
    <definedName name="_gk2" localSheetId="7" hidden="1">#REF!</definedName>
    <definedName name="_gk2" localSheetId="8" hidden="1">#REF!</definedName>
    <definedName name="_gk2" hidden="1">#REF!</definedName>
    <definedName name="_gk3" localSheetId="10" hidden="1">#REF!</definedName>
    <definedName name="_gk3" localSheetId="5" hidden="1">#REF!</definedName>
    <definedName name="_gk3" localSheetId="6" hidden="1">#REF!</definedName>
    <definedName name="_gk3" localSheetId="7" hidden="1">#REF!</definedName>
    <definedName name="_gk3" localSheetId="8" hidden="1">#REF!</definedName>
    <definedName name="_gk3" hidden="1">#REF!</definedName>
    <definedName name="_HPS1" localSheetId="10">[2]inst1!#REF!</definedName>
    <definedName name="_HPS1" localSheetId="5">[2]inst1!#REF!</definedName>
    <definedName name="_HPS1" localSheetId="6">[2]inst1!#REF!</definedName>
    <definedName name="_HPS1" localSheetId="7">[2]inst1!#REF!</definedName>
    <definedName name="_HPS1" localSheetId="8">[2]inst1!#REF!</definedName>
    <definedName name="_HPS1">[2]inst1!#REF!</definedName>
    <definedName name="_K23" localSheetId="10">'[15]AN-K'!#REF!</definedName>
    <definedName name="_K23" localSheetId="5">'[15]AN-K'!#REF!</definedName>
    <definedName name="_K23" localSheetId="6">'[15]AN-K'!#REF!</definedName>
    <definedName name="_K23" localSheetId="7">'[15]AN-K'!#REF!</definedName>
    <definedName name="_K23" localSheetId="8">'[15]AN-K'!#REF!</definedName>
    <definedName name="_K23">'[15]AN-K'!#REF!</definedName>
    <definedName name="_Key1" localSheetId="10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hidden="1">#REF!</definedName>
    <definedName name="_Key2" localSheetId="10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8" hidden="1">#REF!</definedName>
    <definedName name="_Key2" hidden="1">#REF!</definedName>
    <definedName name="_MatInverse_In" localSheetId="10" hidden="1">#REF!</definedName>
    <definedName name="_MatInverse_In" localSheetId="5" hidden="1">#REF!</definedName>
    <definedName name="_MatInverse_In" localSheetId="6" hidden="1">#REF!</definedName>
    <definedName name="_MatInverse_In" localSheetId="7" hidden="1">#REF!</definedName>
    <definedName name="_MatInverse_In" localSheetId="8" hidden="1">#REF!</definedName>
    <definedName name="_MatInverse_In" hidden="1">#REF!</definedName>
    <definedName name="_MatInverse_Out" localSheetId="10" hidden="1">#REF!</definedName>
    <definedName name="_MatInverse_Out" localSheetId="5" hidden="1">#REF!</definedName>
    <definedName name="_MatInverse_Out" localSheetId="6" hidden="1">#REF!</definedName>
    <definedName name="_MatInverse_Out" localSheetId="7" hidden="1">#REF!</definedName>
    <definedName name="_MatInverse_Out" localSheetId="8" hidden="1">#REF!</definedName>
    <definedName name="_MatInverse_Out" hidden="1">#REF!</definedName>
    <definedName name="_ok1" localSheetId="10">'[7]Morsip Ht Julu'!#REF!</definedName>
    <definedName name="_ok1" localSheetId="5">'[7]Morsip Ht Julu'!#REF!</definedName>
    <definedName name="_ok1" localSheetId="6">'[7]Morsip Ht Julu'!#REF!</definedName>
    <definedName name="_ok1" localSheetId="7">'[7]Morsip Ht Julu'!#REF!</definedName>
    <definedName name="_ok1" localSheetId="8">'[7]Morsip Ht Julu'!#REF!</definedName>
    <definedName name="_ok1">'[7]Morsip Ht Julu'!#REF!</definedName>
    <definedName name="_Order1" hidden="1">255</definedName>
    <definedName name="_Order2" hidden="1">255</definedName>
    <definedName name="_RAB1" localSheetId="10">#REF!</definedName>
    <definedName name="_RAB1" localSheetId="5">#REF!</definedName>
    <definedName name="_RAB1" localSheetId="6">#REF!</definedName>
    <definedName name="_RAB1" localSheetId="7">#REF!</definedName>
    <definedName name="_RAB1" localSheetId="8">#REF!</definedName>
    <definedName name="_RAB1">#REF!</definedName>
    <definedName name="_RAB2" localSheetId="10">#REF!</definedName>
    <definedName name="_RAB2" localSheetId="5">#REF!</definedName>
    <definedName name="_RAB2" localSheetId="6">#REF!</definedName>
    <definedName name="_RAB2" localSheetId="7">#REF!</definedName>
    <definedName name="_RAB2" localSheetId="8">#REF!</definedName>
    <definedName name="_RAB2">#REF!</definedName>
    <definedName name="_Sort" localSheetId="10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hidden="1">#REF!</definedName>
    <definedName name="_VOL1" localSheetId="10">#REF!</definedName>
    <definedName name="_VOL1" localSheetId="5">#REF!</definedName>
    <definedName name="_VOL1" localSheetId="6">#REF!</definedName>
    <definedName name="_VOL1" localSheetId="7">#REF!</definedName>
    <definedName name="_VOL1" localSheetId="8">#REF!</definedName>
    <definedName name="_VOL1">#REF!</definedName>
    <definedName name="a" localSheetId="10" hidden="1">#REF!</definedName>
    <definedName name="a" localSheetId="5" hidden="1">#REF!</definedName>
    <definedName name="a" localSheetId="6" hidden="1">#REF!</definedName>
    <definedName name="a" localSheetId="7" hidden="1">#REF!</definedName>
    <definedName name="a" localSheetId="8" hidden="1">#REF!</definedName>
    <definedName name="a" hidden="1">#REF!</definedName>
    <definedName name="a.e14" localSheetId="10">[18]Analisa!#REF!</definedName>
    <definedName name="a.e14" localSheetId="5">[18]Analisa!#REF!</definedName>
    <definedName name="a.e14" localSheetId="6">[18]Analisa!#REF!</definedName>
    <definedName name="a.e14" localSheetId="7">[18]Analisa!#REF!</definedName>
    <definedName name="a.e14" localSheetId="8">[18]Analisa!#REF!</definedName>
    <definedName name="a.e14">[18]Analisa!#REF!</definedName>
    <definedName name="a.f16" localSheetId="10">[18]Analisa!#REF!</definedName>
    <definedName name="a.f16" localSheetId="5">[18]Analisa!#REF!</definedName>
    <definedName name="a.f16" localSheetId="6">[18]Analisa!#REF!</definedName>
    <definedName name="a.f16" localSheetId="7">[18]Analisa!#REF!</definedName>
    <definedName name="a.f16" localSheetId="8">[18]Analisa!#REF!</definedName>
    <definedName name="a.f16">[18]Analisa!#REF!</definedName>
    <definedName name="a.f2" localSheetId="10">[18]Analisa!#REF!</definedName>
    <definedName name="a.f2" localSheetId="5">[18]Analisa!#REF!</definedName>
    <definedName name="a.f2" localSheetId="6">[18]Analisa!#REF!</definedName>
    <definedName name="a.f2" localSheetId="7">[18]Analisa!#REF!</definedName>
    <definedName name="a.f2" localSheetId="8">[18]Analisa!#REF!</definedName>
    <definedName name="a.f2">[18]Analisa!#REF!</definedName>
    <definedName name="a.f3" localSheetId="10">[18]Analisa!#REF!</definedName>
    <definedName name="a.f3" localSheetId="5">[18]Analisa!#REF!</definedName>
    <definedName name="a.f3" localSheetId="6">[18]Analisa!#REF!</definedName>
    <definedName name="a.f3" localSheetId="7">[18]Analisa!#REF!</definedName>
    <definedName name="a.f3" localSheetId="8">[18]Analisa!#REF!</definedName>
    <definedName name="a.f3">[18]Analisa!#REF!</definedName>
    <definedName name="a.f5" localSheetId="10">[18]Analisa!#REF!</definedName>
    <definedName name="a.f5" localSheetId="5">[18]Analisa!#REF!</definedName>
    <definedName name="a.f5" localSheetId="6">[18]Analisa!#REF!</definedName>
    <definedName name="a.f5" localSheetId="7">[18]Analisa!#REF!</definedName>
    <definedName name="a.f5" localSheetId="8">[18]Analisa!#REF!</definedName>
    <definedName name="a.f5">[18]Analisa!#REF!</definedName>
    <definedName name="a.f8" localSheetId="10">[18]Analisa!#REF!</definedName>
    <definedName name="a.f8" localSheetId="5">[18]Analisa!#REF!</definedName>
    <definedName name="a.f8" localSheetId="6">[18]Analisa!#REF!</definedName>
    <definedName name="a.f8" localSheetId="7">[18]Analisa!#REF!</definedName>
    <definedName name="a.f8" localSheetId="8">[18]Analisa!#REF!</definedName>
    <definedName name="a.f8">[18]Analisa!#REF!</definedName>
    <definedName name="a.k2" localSheetId="10">[18]Analisa!#REF!</definedName>
    <definedName name="a.k2" localSheetId="5">[18]Analisa!#REF!</definedName>
    <definedName name="a.k2" localSheetId="6">[18]Analisa!#REF!</definedName>
    <definedName name="a.k2" localSheetId="7">[18]Analisa!#REF!</definedName>
    <definedName name="a.k2" localSheetId="8">[18]Analisa!#REF!</definedName>
    <definedName name="a.k2">[18]Analisa!#REF!</definedName>
    <definedName name="a.k23" localSheetId="10">[18]Analisa!#REF!</definedName>
    <definedName name="a.k23" localSheetId="5">[18]Analisa!#REF!</definedName>
    <definedName name="a.k23" localSheetId="6">[18]Analisa!#REF!</definedName>
    <definedName name="a.k23" localSheetId="7">[18]Analisa!#REF!</definedName>
    <definedName name="a.k23" localSheetId="8">[18]Analisa!#REF!</definedName>
    <definedName name="a.k23">[18]Analisa!#REF!</definedName>
    <definedName name="a.k23a" localSheetId="10">[18]Analisa!#REF!</definedName>
    <definedName name="a.k23a" localSheetId="5">[18]Analisa!#REF!</definedName>
    <definedName name="a.k23a" localSheetId="6">[18]Analisa!#REF!</definedName>
    <definedName name="a.k23a" localSheetId="7">[18]Analisa!#REF!</definedName>
    <definedName name="a.k23a" localSheetId="8">[18]Analisa!#REF!</definedName>
    <definedName name="a.k23a">[18]Analisa!#REF!</definedName>
    <definedName name="a.k3" localSheetId="10">[18]Analisa!#REF!</definedName>
    <definedName name="a.k3" localSheetId="5">[18]Analisa!#REF!</definedName>
    <definedName name="a.k3" localSheetId="6">[18]Analisa!#REF!</definedName>
    <definedName name="a.k3" localSheetId="7">[18]Analisa!#REF!</definedName>
    <definedName name="a.k3" localSheetId="8">[18]Analisa!#REF!</definedName>
    <definedName name="a.k3">[18]Analisa!#REF!</definedName>
    <definedName name="a.k36" localSheetId="10">[18]Analisa!#REF!</definedName>
    <definedName name="a.k36" localSheetId="5">[18]Analisa!#REF!</definedName>
    <definedName name="a.k36" localSheetId="6">[18]Analisa!#REF!</definedName>
    <definedName name="a.k36" localSheetId="7">[18]Analisa!#REF!</definedName>
    <definedName name="a.k36" localSheetId="8">[18]Analisa!#REF!</definedName>
    <definedName name="a.k36">[18]Analisa!#REF!</definedName>
    <definedName name="A_001" localSheetId="10">'[13]ANALISA PEK.UMUM'!#REF!</definedName>
    <definedName name="A_001" localSheetId="5">'[13]ANALISA PEK.UMUM'!#REF!</definedName>
    <definedName name="A_001" localSheetId="6">'[13]ANALISA PEK.UMUM'!#REF!</definedName>
    <definedName name="A_001" localSheetId="7">'[13]ANALISA PEK.UMUM'!#REF!</definedName>
    <definedName name="A_001" localSheetId="8">'[13]ANALISA PEK.UMUM'!#REF!</definedName>
    <definedName name="A_001">'[13]ANALISA PEK.UMUM'!#REF!</definedName>
    <definedName name="A_002" localSheetId="10">'[13]ANALISA PEK.UMUM'!#REF!</definedName>
    <definedName name="A_002" localSheetId="5">'[13]ANALISA PEK.UMUM'!#REF!</definedName>
    <definedName name="A_002" localSheetId="6">'[13]ANALISA PEK.UMUM'!#REF!</definedName>
    <definedName name="A_002" localSheetId="7">'[13]ANALISA PEK.UMUM'!#REF!</definedName>
    <definedName name="A_002" localSheetId="8">'[13]ANALISA PEK.UMUM'!#REF!</definedName>
    <definedName name="A_002">'[13]ANALISA PEK.UMUM'!#REF!</definedName>
    <definedName name="A_003" localSheetId="10">'[13]ANALISA PEK.UMUM'!#REF!</definedName>
    <definedName name="A_003" localSheetId="5">'[13]ANALISA PEK.UMUM'!#REF!</definedName>
    <definedName name="A_003" localSheetId="6">'[13]ANALISA PEK.UMUM'!#REF!</definedName>
    <definedName name="A_003" localSheetId="7">'[13]ANALISA PEK.UMUM'!#REF!</definedName>
    <definedName name="A_003" localSheetId="8">'[13]ANALISA PEK.UMUM'!#REF!</definedName>
    <definedName name="A_003">'[13]ANALISA PEK.UMUM'!#REF!</definedName>
    <definedName name="A_004" localSheetId="10">'[13]ANALISA PEK.UMUM'!#REF!</definedName>
    <definedName name="A_004" localSheetId="5">'[13]ANALISA PEK.UMUM'!#REF!</definedName>
    <definedName name="A_004" localSheetId="6">'[13]ANALISA PEK.UMUM'!#REF!</definedName>
    <definedName name="A_004" localSheetId="7">'[13]ANALISA PEK.UMUM'!#REF!</definedName>
    <definedName name="A_004" localSheetId="8">'[13]ANALISA PEK.UMUM'!#REF!</definedName>
    <definedName name="A_004">'[13]ANALISA PEK.UMUM'!#REF!</definedName>
    <definedName name="A_007" localSheetId="10">'[13]ANALISA PEK.UMUM'!#REF!</definedName>
    <definedName name="A_007" localSheetId="5">'[13]ANALISA PEK.UMUM'!#REF!</definedName>
    <definedName name="A_007" localSheetId="6">'[13]ANALISA PEK.UMUM'!#REF!</definedName>
    <definedName name="A_007" localSheetId="7">'[13]ANALISA PEK.UMUM'!#REF!</definedName>
    <definedName name="A_007" localSheetId="8">'[13]ANALISA PEK.UMUM'!#REF!</definedName>
    <definedName name="A_007">'[13]ANALISA PEK.UMUM'!#REF!</definedName>
    <definedName name="A_015" localSheetId="10">'[13]ANALISA PEK.UMUM'!#REF!</definedName>
    <definedName name="A_015" localSheetId="5">'[13]ANALISA PEK.UMUM'!#REF!</definedName>
    <definedName name="A_015" localSheetId="6">'[13]ANALISA PEK.UMUM'!#REF!</definedName>
    <definedName name="A_015" localSheetId="7">'[13]ANALISA PEK.UMUM'!#REF!</definedName>
    <definedName name="A_015" localSheetId="8">'[13]ANALISA PEK.UMUM'!#REF!</definedName>
    <definedName name="A_015">'[13]ANALISA PEK.UMUM'!#REF!</definedName>
    <definedName name="A_027" localSheetId="10">'[13]ANALISA PEK.UMUM'!#REF!</definedName>
    <definedName name="A_027" localSheetId="5">'[13]ANALISA PEK.UMUM'!#REF!</definedName>
    <definedName name="A_027" localSheetId="6">'[13]ANALISA PEK.UMUM'!#REF!</definedName>
    <definedName name="A_027" localSheetId="7">'[13]ANALISA PEK.UMUM'!#REF!</definedName>
    <definedName name="A_027" localSheetId="8">'[13]ANALISA PEK.UMUM'!#REF!</definedName>
    <definedName name="A_027">'[13]ANALISA PEK.UMUM'!#REF!</definedName>
    <definedName name="A_028" localSheetId="10">'[13]ANALISA PEK.UMUM'!#REF!</definedName>
    <definedName name="A_028" localSheetId="5">'[13]ANALISA PEK.UMUM'!#REF!</definedName>
    <definedName name="A_028" localSheetId="6">'[13]ANALISA PEK.UMUM'!#REF!</definedName>
    <definedName name="A_028" localSheetId="7">'[13]ANALISA PEK.UMUM'!#REF!</definedName>
    <definedName name="A_028" localSheetId="8">'[13]ANALISA PEK.UMUM'!#REF!</definedName>
    <definedName name="A_028">'[13]ANALISA PEK.UMUM'!#REF!</definedName>
    <definedName name="A_030" localSheetId="10">'[13]ANALISA PEK.UMUM'!#REF!</definedName>
    <definedName name="A_030" localSheetId="5">'[13]ANALISA PEK.UMUM'!#REF!</definedName>
    <definedName name="A_030" localSheetId="6">'[13]ANALISA PEK.UMUM'!#REF!</definedName>
    <definedName name="A_030" localSheetId="7">'[13]ANALISA PEK.UMUM'!#REF!</definedName>
    <definedName name="A_030" localSheetId="8">'[13]ANALISA PEK.UMUM'!#REF!</definedName>
    <definedName name="A_030">'[13]ANALISA PEK.UMUM'!#REF!</definedName>
    <definedName name="A_031" localSheetId="10">'[13]ANALISA PEK.UMUM'!#REF!</definedName>
    <definedName name="A_031" localSheetId="5">'[13]ANALISA PEK.UMUM'!#REF!</definedName>
    <definedName name="A_031" localSheetId="6">'[13]ANALISA PEK.UMUM'!#REF!</definedName>
    <definedName name="A_031" localSheetId="7">'[13]ANALISA PEK.UMUM'!#REF!</definedName>
    <definedName name="A_031" localSheetId="8">'[13]ANALISA PEK.UMUM'!#REF!</definedName>
    <definedName name="A_031">'[13]ANALISA PEK.UMUM'!#REF!</definedName>
    <definedName name="A_036" localSheetId="10">'[13]ANALISA PEK.UMUM'!#REF!</definedName>
    <definedName name="A_036" localSheetId="5">'[13]ANALISA PEK.UMUM'!#REF!</definedName>
    <definedName name="A_036" localSheetId="6">'[13]ANALISA PEK.UMUM'!#REF!</definedName>
    <definedName name="A_036" localSheetId="7">'[13]ANALISA PEK.UMUM'!#REF!</definedName>
    <definedName name="A_036" localSheetId="8">'[13]ANALISA PEK.UMUM'!#REF!</definedName>
    <definedName name="A_036">'[13]ANALISA PEK.UMUM'!#REF!</definedName>
    <definedName name="A_039" localSheetId="10">'[13]ANALISA PEK.UMUM'!#REF!</definedName>
    <definedName name="A_039" localSheetId="5">'[13]ANALISA PEK.UMUM'!#REF!</definedName>
    <definedName name="A_039" localSheetId="6">'[13]ANALISA PEK.UMUM'!#REF!</definedName>
    <definedName name="A_039" localSheetId="7">'[13]ANALISA PEK.UMUM'!#REF!</definedName>
    <definedName name="A_039" localSheetId="8">'[13]ANALISA PEK.UMUM'!#REF!</definedName>
    <definedName name="A_039">'[13]ANALISA PEK.UMUM'!#REF!</definedName>
    <definedName name="A_041" localSheetId="10">'[13]ANALISA PEK.UMUM'!#REF!</definedName>
    <definedName name="A_041" localSheetId="5">'[13]ANALISA PEK.UMUM'!#REF!</definedName>
    <definedName name="A_041" localSheetId="6">'[13]ANALISA PEK.UMUM'!#REF!</definedName>
    <definedName name="A_041" localSheetId="7">'[13]ANALISA PEK.UMUM'!#REF!</definedName>
    <definedName name="A_041" localSheetId="8">'[13]ANALISA PEK.UMUM'!#REF!</definedName>
    <definedName name="A_041">'[13]ANALISA PEK.UMUM'!#REF!</definedName>
    <definedName name="A_046" localSheetId="10">'[13]ANALISA PEK.UMUM'!#REF!</definedName>
    <definedName name="A_046" localSheetId="5">'[13]ANALISA PEK.UMUM'!#REF!</definedName>
    <definedName name="A_046" localSheetId="6">'[13]ANALISA PEK.UMUM'!#REF!</definedName>
    <definedName name="A_046" localSheetId="7">'[13]ANALISA PEK.UMUM'!#REF!</definedName>
    <definedName name="A_046" localSheetId="8">'[13]ANALISA PEK.UMUM'!#REF!</definedName>
    <definedName name="A_046">'[13]ANALISA PEK.UMUM'!#REF!</definedName>
    <definedName name="A_047" localSheetId="10">'[13]ANALISA PEK.UMUM'!#REF!</definedName>
    <definedName name="A_047" localSheetId="5">'[13]ANALISA PEK.UMUM'!#REF!</definedName>
    <definedName name="A_047" localSheetId="6">'[13]ANALISA PEK.UMUM'!#REF!</definedName>
    <definedName name="A_047" localSheetId="7">'[13]ANALISA PEK.UMUM'!#REF!</definedName>
    <definedName name="A_047" localSheetId="8">'[13]ANALISA PEK.UMUM'!#REF!</definedName>
    <definedName name="A_047">'[13]ANALISA PEK.UMUM'!#REF!</definedName>
    <definedName name="A_049" localSheetId="10">'[13]ANALISA PEK.UMUM'!#REF!</definedName>
    <definedName name="A_049" localSheetId="5">'[13]ANALISA PEK.UMUM'!#REF!</definedName>
    <definedName name="A_049" localSheetId="6">'[13]ANALISA PEK.UMUM'!#REF!</definedName>
    <definedName name="A_049" localSheetId="7">'[13]ANALISA PEK.UMUM'!#REF!</definedName>
    <definedName name="A_049" localSheetId="8">'[13]ANALISA PEK.UMUM'!#REF!</definedName>
    <definedName name="A_049">'[13]ANALISA PEK.UMUM'!#REF!</definedName>
    <definedName name="A_050" localSheetId="10">'[13]ANALISA PEK.UMUM'!#REF!</definedName>
    <definedName name="A_050" localSheetId="5">'[13]ANALISA PEK.UMUM'!#REF!</definedName>
    <definedName name="A_050" localSheetId="6">'[13]ANALISA PEK.UMUM'!#REF!</definedName>
    <definedName name="A_050" localSheetId="7">'[13]ANALISA PEK.UMUM'!#REF!</definedName>
    <definedName name="A_050" localSheetId="8">'[13]ANALISA PEK.UMUM'!#REF!</definedName>
    <definedName name="A_050">'[13]ANALISA PEK.UMUM'!#REF!</definedName>
    <definedName name="A_054" localSheetId="10">'[13]ANALISA PEK.UMUM'!#REF!</definedName>
    <definedName name="A_054" localSheetId="5">'[13]ANALISA PEK.UMUM'!#REF!</definedName>
    <definedName name="A_054" localSheetId="6">'[13]ANALISA PEK.UMUM'!#REF!</definedName>
    <definedName name="A_054" localSheetId="7">'[13]ANALISA PEK.UMUM'!#REF!</definedName>
    <definedName name="A_054" localSheetId="8">'[13]ANALISA PEK.UMUM'!#REF!</definedName>
    <definedName name="A_054">'[13]ANALISA PEK.UMUM'!#REF!</definedName>
    <definedName name="A_056" localSheetId="10">'[13]ANALISA PEK.UMUM'!#REF!</definedName>
    <definedName name="A_056" localSheetId="5">'[13]ANALISA PEK.UMUM'!#REF!</definedName>
    <definedName name="A_056" localSheetId="6">'[13]ANALISA PEK.UMUM'!#REF!</definedName>
    <definedName name="A_056" localSheetId="7">'[13]ANALISA PEK.UMUM'!#REF!</definedName>
    <definedName name="A_056" localSheetId="8">'[13]ANALISA PEK.UMUM'!#REF!</definedName>
    <definedName name="A_056">'[13]ANALISA PEK.UMUM'!#REF!</definedName>
    <definedName name="A_058" localSheetId="10">'[13]ANALISA PEK.UMUM'!#REF!</definedName>
    <definedName name="A_058" localSheetId="5">'[13]ANALISA PEK.UMUM'!#REF!</definedName>
    <definedName name="A_058" localSheetId="6">'[13]ANALISA PEK.UMUM'!#REF!</definedName>
    <definedName name="A_058" localSheetId="7">'[13]ANALISA PEK.UMUM'!#REF!</definedName>
    <definedName name="A_058" localSheetId="8">'[13]ANALISA PEK.UMUM'!#REF!</definedName>
    <definedName name="A_058">'[13]ANALISA PEK.UMUM'!#REF!</definedName>
    <definedName name="A_059" localSheetId="10">'[13]ANALISA PEK.UMUM'!#REF!</definedName>
    <definedName name="A_059" localSheetId="5">'[13]ANALISA PEK.UMUM'!#REF!</definedName>
    <definedName name="A_059" localSheetId="6">'[13]ANALISA PEK.UMUM'!#REF!</definedName>
    <definedName name="A_059" localSheetId="7">'[13]ANALISA PEK.UMUM'!#REF!</definedName>
    <definedName name="A_059" localSheetId="8">'[13]ANALISA PEK.UMUM'!#REF!</definedName>
    <definedName name="A_059">'[13]ANALISA PEK.UMUM'!#REF!</definedName>
    <definedName name="A_061" localSheetId="10">'[13]ANALISA PEK.UMUM'!#REF!</definedName>
    <definedName name="A_061" localSheetId="5">'[13]ANALISA PEK.UMUM'!#REF!</definedName>
    <definedName name="A_061" localSheetId="6">'[13]ANALISA PEK.UMUM'!#REF!</definedName>
    <definedName name="A_061" localSheetId="7">'[13]ANALISA PEK.UMUM'!#REF!</definedName>
    <definedName name="A_061" localSheetId="8">'[13]ANALISA PEK.UMUM'!#REF!</definedName>
    <definedName name="A_061">'[13]ANALISA PEK.UMUM'!#REF!</definedName>
    <definedName name="A_062" localSheetId="10">'[13]ANALISA PEK.UMUM'!#REF!</definedName>
    <definedName name="A_062" localSheetId="5">'[13]ANALISA PEK.UMUM'!#REF!</definedName>
    <definedName name="A_062" localSheetId="6">'[13]ANALISA PEK.UMUM'!#REF!</definedName>
    <definedName name="A_062" localSheetId="7">'[13]ANALISA PEK.UMUM'!#REF!</definedName>
    <definedName name="A_062" localSheetId="8">'[13]ANALISA PEK.UMUM'!#REF!</definedName>
    <definedName name="A_062">'[13]ANALISA PEK.UMUM'!#REF!</definedName>
    <definedName name="A_064" localSheetId="10">'[13]ANALISA PEK.UMUM'!#REF!</definedName>
    <definedName name="A_064" localSheetId="5">'[13]ANALISA PEK.UMUM'!#REF!</definedName>
    <definedName name="A_064" localSheetId="6">'[13]ANALISA PEK.UMUM'!#REF!</definedName>
    <definedName name="A_064" localSheetId="7">'[13]ANALISA PEK.UMUM'!#REF!</definedName>
    <definedName name="A_064" localSheetId="8">'[13]ANALISA PEK.UMUM'!#REF!</definedName>
    <definedName name="A_064">'[13]ANALISA PEK.UMUM'!#REF!</definedName>
    <definedName name="A_065" localSheetId="10">'[13]ANALISA PEK.UMUM'!#REF!</definedName>
    <definedName name="A_065" localSheetId="5">'[13]ANALISA PEK.UMUM'!#REF!</definedName>
    <definedName name="A_065" localSheetId="6">'[13]ANALISA PEK.UMUM'!#REF!</definedName>
    <definedName name="A_065" localSheetId="7">'[13]ANALISA PEK.UMUM'!#REF!</definedName>
    <definedName name="A_065" localSheetId="8">'[13]ANALISA PEK.UMUM'!#REF!</definedName>
    <definedName name="A_065">'[13]ANALISA PEK.UMUM'!#REF!</definedName>
    <definedName name="A_071" localSheetId="10">'[13]ANALISA PEK.UMUM'!#REF!</definedName>
    <definedName name="A_071" localSheetId="5">'[13]ANALISA PEK.UMUM'!#REF!</definedName>
    <definedName name="A_071" localSheetId="6">'[13]ANALISA PEK.UMUM'!#REF!</definedName>
    <definedName name="A_071" localSheetId="7">'[13]ANALISA PEK.UMUM'!#REF!</definedName>
    <definedName name="A_071" localSheetId="8">'[13]ANALISA PEK.UMUM'!#REF!</definedName>
    <definedName name="A_071">'[13]ANALISA PEK.UMUM'!#REF!</definedName>
    <definedName name="A_072" localSheetId="10">'[13]ANALISA PEK.UMUM'!#REF!</definedName>
    <definedName name="A_072" localSheetId="5">'[13]ANALISA PEK.UMUM'!#REF!</definedName>
    <definedName name="A_072" localSheetId="6">'[13]ANALISA PEK.UMUM'!#REF!</definedName>
    <definedName name="A_072" localSheetId="7">'[13]ANALISA PEK.UMUM'!#REF!</definedName>
    <definedName name="A_072" localSheetId="8">'[13]ANALISA PEK.UMUM'!#REF!</definedName>
    <definedName name="A_072">'[13]ANALISA PEK.UMUM'!#REF!</definedName>
    <definedName name="A_074" localSheetId="10">'[13]ANALISA PEK.UMUM'!#REF!</definedName>
    <definedName name="A_074" localSheetId="5">'[13]ANALISA PEK.UMUM'!#REF!</definedName>
    <definedName name="A_074" localSheetId="6">'[13]ANALISA PEK.UMUM'!#REF!</definedName>
    <definedName name="A_074" localSheetId="7">'[13]ANALISA PEK.UMUM'!#REF!</definedName>
    <definedName name="A_074" localSheetId="8">'[13]ANALISA PEK.UMUM'!#REF!</definedName>
    <definedName name="A_074">'[13]ANALISA PEK.UMUM'!#REF!</definedName>
    <definedName name="A_076" localSheetId="10">'[13]ANALISA PEK.UMUM'!#REF!</definedName>
    <definedName name="A_076" localSheetId="5">'[13]ANALISA PEK.UMUM'!#REF!</definedName>
    <definedName name="A_076" localSheetId="6">'[13]ANALISA PEK.UMUM'!#REF!</definedName>
    <definedName name="A_076" localSheetId="7">'[13]ANALISA PEK.UMUM'!#REF!</definedName>
    <definedName name="A_076" localSheetId="8">'[13]ANALISA PEK.UMUM'!#REF!</definedName>
    <definedName name="A_076">'[13]ANALISA PEK.UMUM'!#REF!</definedName>
    <definedName name="A_079" localSheetId="10">'[13]ANALISA PEK.UMUM'!#REF!</definedName>
    <definedName name="A_079" localSheetId="5">'[13]ANALISA PEK.UMUM'!#REF!</definedName>
    <definedName name="A_079" localSheetId="6">'[13]ANALISA PEK.UMUM'!#REF!</definedName>
    <definedName name="A_079" localSheetId="7">'[13]ANALISA PEK.UMUM'!#REF!</definedName>
    <definedName name="A_079" localSheetId="8">'[13]ANALISA PEK.UMUM'!#REF!</definedName>
    <definedName name="A_079">'[13]ANALISA PEK.UMUM'!#REF!</definedName>
    <definedName name="A_080" localSheetId="10">'[13]ANALISA PEK.UMUM'!#REF!</definedName>
    <definedName name="A_080" localSheetId="5">'[13]ANALISA PEK.UMUM'!#REF!</definedName>
    <definedName name="A_080" localSheetId="6">'[13]ANALISA PEK.UMUM'!#REF!</definedName>
    <definedName name="A_080" localSheetId="7">'[13]ANALISA PEK.UMUM'!#REF!</definedName>
    <definedName name="A_080" localSheetId="8">'[13]ANALISA PEK.UMUM'!#REF!</definedName>
    <definedName name="A_080">'[13]ANALISA PEK.UMUM'!#REF!</definedName>
    <definedName name="A_081" localSheetId="10">'[13]ANALISA PEK.UMUM'!#REF!</definedName>
    <definedName name="A_081" localSheetId="5">'[13]ANALISA PEK.UMUM'!#REF!</definedName>
    <definedName name="A_081" localSheetId="6">'[13]ANALISA PEK.UMUM'!#REF!</definedName>
    <definedName name="A_081" localSheetId="7">'[13]ANALISA PEK.UMUM'!#REF!</definedName>
    <definedName name="A_081" localSheetId="8">'[13]ANALISA PEK.UMUM'!#REF!</definedName>
    <definedName name="A_081">'[13]ANALISA PEK.UMUM'!#REF!</definedName>
    <definedName name="A_087" localSheetId="10">'[13]ANALISA PEK.UMUM'!#REF!</definedName>
    <definedName name="A_087" localSheetId="5">'[13]ANALISA PEK.UMUM'!#REF!</definedName>
    <definedName name="A_087" localSheetId="6">'[13]ANALISA PEK.UMUM'!#REF!</definedName>
    <definedName name="A_087" localSheetId="7">'[13]ANALISA PEK.UMUM'!#REF!</definedName>
    <definedName name="A_087" localSheetId="8">'[13]ANALISA PEK.UMUM'!#REF!</definedName>
    <definedName name="A_087">'[13]ANALISA PEK.UMUM'!#REF!</definedName>
    <definedName name="A_088" localSheetId="10">'[13]ANALISA PEK.UMUM'!#REF!</definedName>
    <definedName name="A_088" localSheetId="5">'[13]ANALISA PEK.UMUM'!#REF!</definedName>
    <definedName name="A_088" localSheetId="6">'[13]ANALISA PEK.UMUM'!#REF!</definedName>
    <definedName name="A_088" localSheetId="7">'[13]ANALISA PEK.UMUM'!#REF!</definedName>
    <definedName name="A_088" localSheetId="8">'[13]ANALISA PEK.UMUM'!#REF!</definedName>
    <definedName name="A_088">'[13]ANALISA PEK.UMUM'!#REF!</definedName>
    <definedName name="A_089" localSheetId="10">'[13]ANALISA PEK.UMUM'!#REF!</definedName>
    <definedName name="A_089" localSheetId="5">'[13]ANALISA PEK.UMUM'!#REF!</definedName>
    <definedName name="A_089" localSheetId="6">'[13]ANALISA PEK.UMUM'!#REF!</definedName>
    <definedName name="A_089" localSheetId="7">'[13]ANALISA PEK.UMUM'!#REF!</definedName>
    <definedName name="A_089" localSheetId="8">'[13]ANALISA PEK.UMUM'!#REF!</definedName>
    <definedName name="A_089">'[13]ANALISA PEK.UMUM'!#REF!</definedName>
    <definedName name="A_097" localSheetId="10">'[13]ANALISA PEK.UMUM'!#REF!</definedName>
    <definedName name="A_097" localSheetId="5">'[13]ANALISA PEK.UMUM'!#REF!</definedName>
    <definedName name="A_097" localSheetId="6">'[13]ANALISA PEK.UMUM'!#REF!</definedName>
    <definedName name="A_097" localSheetId="7">'[13]ANALISA PEK.UMUM'!#REF!</definedName>
    <definedName name="A_097" localSheetId="8">'[13]ANALISA PEK.UMUM'!#REF!</definedName>
    <definedName name="A_097">'[13]ANALISA PEK.UMUM'!#REF!</definedName>
    <definedName name="A_100" localSheetId="10">'[13]ANALISA PEK.UMUM'!#REF!</definedName>
    <definedName name="A_100" localSheetId="5">'[13]ANALISA PEK.UMUM'!#REF!</definedName>
    <definedName name="A_100" localSheetId="6">'[13]ANALISA PEK.UMUM'!#REF!</definedName>
    <definedName name="A_100" localSheetId="7">'[13]ANALISA PEK.UMUM'!#REF!</definedName>
    <definedName name="A_100" localSheetId="8">'[13]ANALISA PEK.UMUM'!#REF!</definedName>
    <definedName name="A_100">'[13]ANALISA PEK.UMUM'!#REF!</definedName>
    <definedName name="A_101" localSheetId="10">'[13]ANALISA PEK.UMUM'!#REF!</definedName>
    <definedName name="A_101" localSheetId="5">'[13]ANALISA PEK.UMUM'!#REF!</definedName>
    <definedName name="A_101" localSheetId="6">'[13]ANALISA PEK.UMUM'!#REF!</definedName>
    <definedName name="A_101" localSheetId="7">'[13]ANALISA PEK.UMUM'!#REF!</definedName>
    <definedName name="A_101" localSheetId="8">'[13]ANALISA PEK.UMUM'!#REF!</definedName>
    <definedName name="A_101">'[13]ANALISA PEK.UMUM'!#REF!</definedName>
    <definedName name="A_102" localSheetId="10">'[13]ANALISA PEK.UMUM'!#REF!</definedName>
    <definedName name="A_102" localSheetId="5">'[13]ANALISA PEK.UMUM'!#REF!</definedName>
    <definedName name="A_102" localSheetId="6">'[13]ANALISA PEK.UMUM'!#REF!</definedName>
    <definedName name="A_102" localSheetId="7">'[13]ANALISA PEK.UMUM'!#REF!</definedName>
    <definedName name="A_102" localSheetId="8">'[13]ANALISA PEK.UMUM'!#REF!</definedName>
    <definedName name="A_102">'[13]ANALISA PEK.UMUM'!#REF!</definedName>
    <definedName name="A_102r" localSheetId="10">'[13]ANALISA PEK.UMUM'!#REF!</definedName>
    <definedName name="A_102r" localSheetId="5">'[13]ANALISA PEK.UMUM'!#REF!</definedName>
    <definedName name="A_102r" localSheetId="6">'[13]ANALISA PEK.UMUM'!#REF!</definedName>
    <definedName name="A_102r" localSheetId="7">'[13]ANALISA PEK.UMUM'!#REF!</definedName>
    <definedName name="A_102r" localSheetId="8">'[13]ANALISA PEK.UMUM'!#REF!</definedName>
    <definedName name="A_102r">'[13]ANALISA PEK.UMUM'!#REF!</definedName>
    <definedName name="A_103" localSheetId="10">'[13]ANALISA PEK.UMUM'!#REF!</definedName>
    <definedName name="A_103" localSheetId="5">'[13]ANALISA PEK.UMUM'!#REF!</definedName>
    <definedName name="A_103" localSheetId="6">'[13]ANALISA PEK.UMUM'!#REF!</definedName>
    <definedName name="A_103" localSheetId="7">'[13]ANALISA PEK.UMUM'!#REF!</definedName>
    <definedName name="A_103" localSheetId="8">'[13]ANALISA PEK.UMUM'!#REF!</definedName>
    <definedName name="A_103">'[13]ANALISA PEK.UMUM'!#REF!</definedName>
    <definedName name="A_105" localSheetId="10">'[13]ANALISA PEK.UMUM'!#REF!</definedName>
    <definedName name="A_105" localSheetId="5">'[13]ANALISA PEK.UMUM'!#REF!</definedName>
    <definedName name="A_105" localSheetId="6">'[13]ANALISA PEK.UMUM'!#REF!</definedName>
    <definedName name="A_105" localSheetId="7">'[13]ANALISA PEK.UMUM'!#REF!</definedName>
    <definedName name="A_105" localSheetId="8">'[13]ANALISA PEK.UMUM'!#REF!</definedName>
    <definedName name="A_105">'[13]ANALISA PEK.UMUM'!#REF!</definedName>
    <definedName name="A_106r" localSheetId="10">'[13]ANALISA PEK.UMUM'!#REF!</definedName>
    <definedName name="A_106r" localSheetId="5">'[13]ANALISA PEK.UMUM'!#REF!</definedName>
    <definedName name="A_106r" localSheetId="6">'[13]ANALISA PEK.UMUM'!#REF!</definedName>
    <definedName name="A_106r" localSheetId="7">'[13]ANALISA PEK.UMUM'!#REF!</definedName>
    <definedName name="A_106r" localSheetId="8">'[13]ANALISA PEK.UMUM'!#REF!</definedName>
    <definedName name="A_106r">'[13]ANALISA PEK.UMUM'!#REF!</definedName>
    <definedName name="A_108" localSheetId="10">'[13]ANALISA PEK.UMUM'!#REF!</definedName>
    <definedName name="A_108" localSheetId="5">'[13]ANALISA PEK.UMUM'!#REF!</definedName>
    <definedName name="A_108" localSheetId="6">'[13]ANALISA PEK.UMUM'!#REF!</definedName>
    <definedName name="A_108" localSheetId="7">'[13]ANALISA PEK.UMUM'!#REF!</definedName>
    <definedName name="A_108" localSheetId="8">'[13]ANALISA PEK.UMUM'!#REF!</definedName>
    <definedName name="A_108">'[13]ANALISA PEK.UMUM'!#REF!</definedName>
    <definedName name="A_111" localSheetId="10">'[13]ANALISA PEK.UMUM'!#REF!</definedName>
    <definedName name="A_111" localSheetId="5">'[13]ANALISA PEK.UMUM'!#REF!</definedName>
    <definedName name="A_111" localSheetId="6">'[13]ANALISA PEK.UMUM'!#REF!</definedName>
    <definedName name="A_111" localSheetId="7">'[13]ANALISA PEK.UMUM'!#REF!</definedName>
    <definedName name="A_111" localSheetId="8">'[13]ANALISA PEK.UMUM'!#REF!</definedName>
    <definedName name="A_111">'[13]ANALISA PEK.UMUM'!#REF!</definedName>
    <definedName name="A_112" localSheetId="10">'[13]ANALISA PEK.UMUM'!#REF!</definedName>
    <definedName name="A_112" localSheetId="5">'[13]ANALISA PEK.UMUM'!#REF!</definedName>
    <definedName name="A_112" localSheetId="6">'[13]ANALISA PEK.UMUM'!#REF!</definedName>
    <definedName name="A_112" localSheetId="7">'[13]ANALISA PEK.UMUM'!#REF!</definedName>
    <definedName name="A_112" localSheetId="8">'[13]ANALISA PEK.UMUM'!#REF!</definedName>
    <definedName name="A_112">'[13]ANALISA PEK.UMUM'!#REF!</definedName>
    <definedName name="A_113r" localSheetId="10">'[13]ANALISA PEK.UMUM'!#REF!</definedName>
    <definedName name="A_113r" localSheetId="5">'[13]ANALISA PEK.UMUM'!#REF!</definedName>
    <definedName name="A_113r" localSheetId="6">'[13]ANALISA PEK.UMUM'!#REF!</definedName>
    <definedName name="A_113r" localSheetId="7">'[13]ANALISA PEK.UMUM'!#REF!</definedName>
    <definedName name="A_113r" localSheetId="8">'[13]ANALISA PEK.UMUM'!#REF!</definedName>
    <definedName name="A_113r">'[13]ANALISA PEK.UMUM'!#REF!</definedName>
    <definedName name="A_116" localSheetId="10">'[13]ANALISA PEK.UMUM'!#REF!</definedName>
    <definedName name="A_116" localSheetId="5">'[13]ANALISA PEK.UMUM'!#REF!</definedName>
    <definedName name="A_116" localSheetId="6">'[13]ANALISA PEK.UMUM'!#REF!</definedName>
    <definedName name="A_116" localSheetId="7">'[13]ANALISA PEK.UMUM'!#REF!</definedName>
    <definedName name="A_116" localSheetId="8">'[13]ANALISA PEK.UMUM'!#REF!</definedName>
    <definedName name="A_116">'[13]ANALISA PEK.UMUM'!#REF!</definedName>
    <definedName name="A_116r" localSheetId="10">'[13]ANALISA PEK.UMUM'!#REF!</definedName>
    <definedName name="A_116r" localSheetId="5">'[13]ANALISA PEK.UMUM'!#REF!</definedName>
    <definedName name="A_116r" localSheetId="6">'[13]ANALISA PEK.UMUM'!#REF!</definedName>
    <definedName name="A_116r" localSheetId="7">'[13]ANALISA PEK.UMUM'!#REF!</definedName>
    <definedName name="A_116r" localSheetId="8">'[13]ANALISA PEK.UMUM'!#REF!</definedName>
    <definedName name="A_116r">'[13]ANALISA PEK.UMUM'!#REF!</definedName>
    <definedName name="A_117" localSheetId="10">'[13]ANALISA PEK.UMUM'!#REF!</definedName>
    <definedName name="A_117" localSheetId="5">'[13]ANALISA PEK.UMUM'!#REF!</definedName>
    <definedName name="A_117" localSheetId="6">'[13]ANALISA PEK.UMUM'!#REF!</definedName>
    <definedName name="A_117" localSheetId="7">'[13]ANALISA PEK.UMUM'!#REF!</definedName>
    <definedName name="A_117" localSheetId="8">'[13]ANALISA PEK.UMUM'!#REF!</definedName>
    <definedName name="A_117">'[13]ANALISA PEK.UMUM'!#REF!</definedName>
    <definedName name="A_118" localSheetId="10">'[13]ANALISA PEK.UMUM'!#REF!</definedName>
    <definedName name="A_118" localSheetId="5">'[13]ANALISA PEK.UMUM'!#REF!</definedName>
    <definedName name="A_118" localSheetId="6">'[13]ANALISA PEK.UMUM'!#REF!</definedName>
    <definedName name="A_118" localSheetId="7">'[13]ANALISA PEK.UMUM'!#REF!</definedName>
    <definedName name="A_118" localSheetId="8">'[13]ANALISA PEK.UMUM'!#REF!</definedName>
    <definedName name="A_118">'[13]ANALISA PEK.UMUM'!#REF!</definedName>
    <definedName name="A_119" localSheetId="10">'[13]ANALISA PEK.UMUM'!#REF!</definedName>
    <definedName name="A_119" localSheetId="5">'[13]ANALISA PEK.UMUM'!#REF!</definedName>
    <definedName name="A_119" localSheetId="6">'[13]ANALISA PEK.UMUM'!#REF!</definedName>
    <definedName name="A_119" localSheetId="7">'[13]ANALISA PEK.UMUM'!#REF!</definedName>
    <definedName name="A_119" localSheetId="8">'[13]ANALISA PEK.UMUM'!#REF!</definedName>
    <definedName name="A_119">'[13]ANALISA PEK.UMUM'!#REF!</definedName>
    <definedName name="A_119r" localSheetId="10">'[13]ANALISA PEK.UMUM'!#REF!</definedName>
    <definedName name="A_119r" localSheetId="5">'[13]ANALISA PEK.UMUM'!#REF!</definedName>
    <definedName name="A_119r" localSheetId="6">'[13]ANALISA PEK.UMUM'!#REF!</definedName>
    <definedName name="A_119r" localSheetId="7">'[13]ANALISA PEK.UMUM'!#REF!</definedName>
    <definedName name="A_119r" localSheetId="8">'[13]ANALISA PEK.UMUM'!#REF!</definedName>
    <definedName name="A_119r">'[13]ANALISA PEK.UMUM'!#REF!</definedName>
    <definedName name="A_120" localSheetId="10">'[13]ANALISA PEK.UMUM'!#REF!</definedName>
    <definedName name="A_120" localSheetId="5">'[13]ANALISA PEK.UMUM'!#REF!</definedName>
    <definedName name="A_120" localSheetId="6">'[13]ANALISA PEK.UMUM'!#REF!</definedName>
    <definedName name="A_120" localSheetId="7">'[13]ANALISA PEK.UMUM'!#REF!</definedName>
    <definedName name="A_120" localSheetId="8">'[13]ANALISA PEK.UMUM'!#REF!</definedName>
    <definedName name="A_120">'[13]ANALISA PEK.UMUM'!#REF!</definedName>
    <definedName name="A_124" localSheetId="10">'[13]ANALISA PEK.UMUM'!#REF!</definedName>
    <definedName name="A_124" localSheetId="5">'[13]ANALISA PEK.UMUM'!#REF!</definedName>
    <definedName name="A_124" localSheetId="6">'[13]ANALISA PEK.UMUM'!#REF!</definedName>
    <definedName name="A_124" localSheetId="7">'[13]ANALISA PEK.UMUM'!#REF!</definedName>
    <definedName name="A_124" localSheetId="8">'[13]ANALISA PEK.UMUM'!#REF!</definedName>
    <definedName name="A_124">'[13]ANALISA PEK.UMUM'!#REF!</definedName>
    <definedName name="A_124r" localSheetId="10">'[13]ANALISA PEK.UMUM'!#REF!</definedName>
    <definedName name="A_124r" localSheetId="5">'[13]ANALISA PEK.UMUM'!#REF!</definedName>
    <definedName name="A_124r" localSheetId="6">'[13]ANALISA PEK.UMUM'!#REF!</definedName>
    <definedName name="A_124r" localSheetId="7">'[13]ANALISA PEK.UMUM'!#REF!</definedName>
    <definedName name="A_124r" localSheetId="8">'[13]ANALISA PEK.UMUM'!#REF!</definedName>
    <definedName name="A_124r">'[13]ANALISA PEK.UMUM'!#REF!</definedName>
    <definedName name="A_137" localSheetId="10">'[13]ANALISA PEK.UMUM'!#REF!</definedName>
    <definedName name="A_137" localSheetId="5">'[13]ANALISA PEK.UMUM'!#REF!</definedName>
    <definedName name="A_137" localSheetId="6">'[13]ANALISA PEK.UMUM'!#REF!</definedName>
    <definedName name="A_137" localSheetId="7">'[13]ANALISA PEK.UMUM'!#REF!</definedName>
    <definedName name="A_137" localSheetId="8">'[13]ANALISA PEK.UMUM'!#REF!</definedName>
    <definedName name="A_137">'[13]ANALISA PEK.UMUM'!#REF!</definedName>
    <definedName name="A_141" localSheetId="10">'[13]ANALISA PEK.UMUM'!#REF!</definedName>
    <definedName name="A_141" localSheetId="5">'[13]ANALISA PEK.UMUM'!#REF!</definedName>
    <definedName name="A_141" localSheetId="6">'[13]ANALISA PEK.UMUM'!#REF!</definedName>
    <definedName name="A_141" localSheetId="7">'[13]ANALISA PEK.UMUM'!#REF!</definedName>
    <definedName name="A_141" localSheetId="8">'[13]ANALISA PEK.UMUM'!#REF!</definedName>
    <definedName name="A_141">'[13]ANALISA PEK.UMUM'!#REF!</definedName>
    <definedName name="A_143" localSheetId="10">'[13]ANALISA PEK.UMUM'!#REF!</definedName>
    <definedName name="A_143" localSheetId="5">'[13]ANALISA PEK.UMUM'!#REF!</definedName>
    <definedName name="A_143" localSheetId="6">'[13]ANALISA PEK.UMUM'!#REF!</definedName>
    <definedName name="A_143" localSheetId="7">'[13]ANALISA PEK.UMUM'!#REF!</definedName>
    <definedName name="A_143" localSheetId="8">'[13]ANALISA PEK.UMUM'!#REF!</definedName>
    <definedName name="A_143">'[13]ANALISA PEK.UMUM'!#REF!</definedName>
    <definedName name="A_143r" localSheetId="10">'[13]ANALISA PEK.UMUM'!#REF!</definedName>
    <definedName name="A_143r" localSheetId="5">'[13]ANALISA PEK.UMUM'!#REF!</definedName>
    <definedName name="A_143r" localSheetId="6">'[13]ANALISA PEK.UMUM'!#REF!</definedName>
    <definedName name="A_143r" localSheetId="7">'[13]ANALISA PEK.UMUM'!#REF!</definedName>
    <definedName name="A_143r" localSheetId="8">'[13]ANALISA PEK.UMUM'!#REF!</definedName>
    <definedName name="A_143r">'[13]ANALISA PEK.UMUM'!#REF!</definedName>
    <definedName name="A_144" localSheetId="10">'[13]ANALISA PEK.UMUM'!#REF!</definedName>
    <definedName name="A_144" localSheetId="5">'[13]ANALISA PEK.UMUM'!#REF!</definedName>
    <definedName name="A_144" localSheetId="6">'[13]ANALISA PEK.UMUM'!#REF!</definedName>
    <definedName name="A_144" localSheetId="7">'[13]ANALISA PEK.UMUM'!#REF!</definedName>
    <definedName name="A_144" localSheetId="8">'[13]ANALISA PEK.UMUM'!#REF!</definedName>
    <definedName name="A_144">'[13]ANALISA PEK.UMUM'!#REF!</definedName>
    <definedName name="a_2r" localSheetId="10">'[13]ANALISA PEK.UMUM'!#REF!</definedName>
    <definedName name="a_2r" localSheetId="5">'[13]ANALISA PEK.UMUM'!#REF!</definedName>
    <definedName name="a_2r" localSheetId="6">'[13]ANALISA PEK.UMUM'!#REF!</definedName>
    <definedName name="a_2r" localSheetId="7">'[13]ANALISA PEK.UMUM'!#REF!</definedName>
    <definedName name="a_2r" localSheetId="8">'[13]ANALISA PEK.UMUM'!#REF!</definedName>
    <definedName name="a_2r">'[13]ANALISA PEK.UMUM'!#REF!</definedName>
    <definedName name="A_46009" localSheetId="10">'[13]ANALISA PEK.UMUM'!#REF!</definedName>
    <definedName name="A_46009" localSheetId="5">'[13]ANALISA PEK.UMUM'!#REF!</definedName>
    <definedName name="A_46009" localSheetId="6">'[13]ANALISA PEK.UMUM'!#REF!</definedName>
    <definedName name="A_46009" localSheetId="7">'[13]ANALISA PEK.UMUM'!#REF!</definedName>
    <definedName name="A_46009" localSheetId="8">'[13]ANALISA PEK.UMUM'!#REF!</definedName>
    <definedName name="A_46009">'[13]ANALISA PEK.UMUM'!#REF!</definedName>
    <definedName name="A_46012" localSheetId="10">'[13]ANALISA PEK.UMUM'!#REF!</definedName>
    <definedName name="A_46012" localSheetId="5">'[13]ANALISA PEK.UMUM'!#REF!</definedName>
    <definedName name="A_46012" localSheetId="6">'[13]ANALISA PEK.UMUM'!#REF!</definedName>
    <definedName name="A_46012" localSheetId="7">'[13]ANALISA PEK.UMUM'!#REF!</definedName>
    <definedName name="A_46012" localSheetId="8">'[13]ANALISA PEK.UMUM'!#REF!</definedName>
    <definedName name="A_46012">'[13]ANALISA PEK.UMUM'!#REF!</definedName>
    <definedName name="A_46020" localSheetId="10">'[13]ANALISA PEK.UMUM'!#REF!</definedName>
    <definedName name="A_46020" localSheetId="5">'[13]ANALISA PEK.UMUM'!#REF!</definedName>
    <definedName name="A_46020" localSheetId="6">'[13]ANALISA PEK.UMUM'!#REF!</definedName>
    <definedName name="A_46020" localSheetId="7">'[13]ANALISA PEK.UMUM'!#REF!</definedName>
    <definedName name="A_46020" localSheetId="8">'[13]ANALISA PEK.UMUM'!#REF!</definedName>
    <definedName name="A_46020">'[13]ANALISA PEK.UMUM'!#REF!</definedName>
    <definedName name="A_65002" localSheetId="10">'[13]ANALISA PEK.UMUM'!#REF!</definedName>
    <definedName name="A_65002" localSheetId="5">'[13]ANALISA PEK.UMUM'!#REF!</definedName>
    <definedName name="A_65002" localSheetId="6">'[13]ANALISA PEK.UMUM'!#REF!</definedName>
    <definedName name="A_65002" localSheetId="7">'[13]ANALISA PEK.UMUM'!#REF!</definedName>
    <definedName name="A_65002" localSheetId="8">'[13]ANALISA PEK.UMUM'!#REF!</definedName>
    <definedName name="A_65002">'[13]ANALISA PEK.UMUM'!#REF!</definedName>
    <definedName name="A_65003" localSheetId="10">'[13]ANALISA PEK.UMUM'!#REF!</definedName>
    <definedName name="A_65003" localSheetId="5">'[13]ANALISA PEK.UMUM'!#REF!</definedName>
    <definedName name="A_65003" localSheetId="6">'[13]ANALISA PEK.UMUM'!#REF!</definedName>
    <definedName name="A_65003" localSheetId="7">'[13]ANALISA PEK.UMUM'!#REF!</definedName>
    <definedName name="A_65003" localSheetId="8">'[13]ANALISA PEK.UMUM'!#REF!</definedName>
    <definedName name="A_65003">'[13]ANALISA PEK.UMUM'!#REF!</definedName>
    <definedName name="A_85002" localSheetId="10">'[13]ANALISA PEK.UMUM'!#REF!</definedName>
    <definedName name="A_85002" localSheetId="5">'[13]ANALISA PEK.UMUM'!#REF!</definedName>
    <definedName name="A_85002" localSheetId="6">'[13]ANALISA PEK.UMUM'!#REF!</definedName>
    <definedName name="A_85002" localSheetId="7">'[13]ANALISA PEK.UMUM'!#REF!</definedName>
    <definedName name="A_85002" localSheetId="8">'[13]ANALISA PEK.UMUM'!#REF!</definedName>
    <definedName name="A_85002">'[13]ANALISA PEK.UMUM'!#REF!</definedName>
    <definedName name="A_85005" localSheetId="10">'[13]ANALISA PEK.UMUM'!#REF!</definedName>
    <definedName name="A_85005" localSheetId="5">'[13]ANALISA PEK.UMUM'!#REF!</definedName>
    <definedName name="A_85005" localSheetId="6">'[13]ANALISA PEK.UMUM'!#REF!</definedName>
    <definedName name="A_85005" localSheetId="7">'[13]ANALISA PEK.UMUM'!#REF!</definedName>
    <definedName name="A_85005" localSheetId="8">'[13]ANALISA PEK.UMUM'!#REF!</definedName>
    <definedName name="A_85005">'[13]ANALISA PEK.UMUM'!#REF!</definedName>
    <definedName name="A_85006" localSheetId="10">'[13]ANALISA PEK.UMUM'!#REF!</definedName>
    <definedName name="A_85006" localSheetId="5">'[13]ANALISA PEK.UMUM'!#REF!</definedName>
    <definedName name="A_85006" localSheetId="6">'[13]ANALISA PEK.UMUM'!#REF!</definedName>
    <definedName name="A_85006" localSheetId="7">'[13]ANALISA PEK.UMUM'!#REF!</definedName>
    <definedName name="A_85006" localSheetId="8">'[13]ANALISA PEK.UMUM'!#REF!</definedName>
    <definedName name="A_85006">'[13]ANALISA PEK.UMUM'!#REF!</definedName>
    <definedName name="A_85007" localSheetId="10">'[13]ANALISA PEK.UMUM'!#REF!</definedName>
    <definedName name="A_85007" localSheetId="5">'[13]ANALISA PEK.UMUM'!#REF!</definedName>
    <definedName name="A_85007" localSheetId="6">'[13]ANALISA PEK.UMUM'!#REF!</definedName>
    <definedName name="A_85007" localSheetId="7">'[13]ANALISA PEK.UMUM'!#REF!</definedName>
    <definedName name="A_85007" localSheetId="8">'[13]ANALISA PEK.UMUM'!#REF!</definedName>
    <definedName name="A_85007">'[13]ANALISA PEK.UMUM'!#REF!</definedName>
    <definedName name="A_85008" localSheetId="10">'[13]ANALISA PEK.UMUM'!#REF!</definedName>
    <definedName name="A_85008" localSheetId="5">'[13]ANALISA PEK.UMUM'!#REF!</definedName>
    <definedName name="A_85008" localSheetId="6">'[13]ANALISA PEK.UMUM'!#REF!</definedName>
    <definedName name="A_85008" localSheetId="7">'[13]ANALISA PEK.UMUM'!#REF!</definedName>
    <definedName name="A_85008" localSheetId="8">'[13]ANALISA PEK.UMUM'!#REF!</definedName>
    <definedName name="A_85008">'[13]ANALISA PEK.UMUM'!#REF!</definedName>
    <definedName name="A_85009" localSheetId="10">'[13]ANALISA PEK.UMUM'!#REF!</definedName>
    <definedName name="A_85009" localSheetId="5">'[13]ANALISA PEK.UMUM'!#REF!</definedName>
    <definedName name="A_85009" localSheetId="6">'[13]ANALISA PEK.UMUM'!#REF!</definedName>
    <definedName name="A_85009" localSheetId="7">'[13]ANALISA PEK.UMUM'!#REF!</definedName>
    <definedName name="A_85009" localSheetId="8">'[13]ANALISA PEK.UMUM'!#REF!</definedName>
    <definedName name="A_85009">'[13]ANALISA PEK.UMUM'!#REF!</definedName>
    <definedName name="A_85016" localSheetId="10">'[13]ANALISA PEK.UMUM'!#REF!</definedName>
    <definedName name="A_85016" localSheetId="5">'[13]ANALISA PEK.UMUM'!#REF!</definedName>
    <definedName name="A_85016" localSheetId="6">'[13]ANALISA PEK.UMUM'!#REF!</definedName>
    <definedName name="A_85016" localSheetId="7">'[13]ANALISA PEK.UMUM'!#REF!</definedName>
    <definedName name="A_85016" localSheetId="8">'[13]ANALISA PEK.UMUM'!#REF!</definedName>
    <definedName name="A_85016">'[13]ANALISA PEK.UMUM'!#REF!</definedName>
    <definedName name="A_85017" localSheetId="10">'[13]ANALISA PEK.UMUM'!#REF!</definedName>
    <definedName name="A_85017" localSheetId="5">'[13]ANALISA PEK.UMUM'!#REF!</definedName>
    <definedName name="A_85017" localSheetId="6">'[13]ANALISA PEK.UMUM'!#REF!</definedName>
    <definedName name="A_85017" localSheetId="7">'[13]ANALISA PEK.UMUM'!#REF!</definedName>
    <definedName name="A_85017" localSheetId="8">'[13]ANALISA PEK.UMUM'!#REF!</definedName>
    <definedName name="A_85017">'[13]ANALISA PEK.UMUM'!#REF!</definedName>
    <definedName name="A_90013" localSheetId="10">'[13]ANALISA PEK.UMUM'!#REF!</definedName>
    <definedName name="A_90013" localSheetId="5">'[13]ANALISA PEK.UMUM'!#REF!</definedName>
    <definedName name="A_90013" localSheetId="6">'[13]ANALISA PEK.UMUM'!#REF!</definedName>
    <definedName name="A_90013" localSheetId="7">'[13]ANALISA PEK.UMUM'!#REF!</definedName>
    <definedName name="A_90013" localSheetId="8">'[13]ANALISA PEK.UMUM'!#REF!</definedName>
    <definedName name="A_90013">'[13]ANALISA PEK.UMUM'!#REF!</definedName>
    <definedName name="A_90018" localSheetId="10">'[13]ANALISA PEK.UMUM'!#REF!</definedName>
    <definedName name="A_90018" localSheetId="5">'[13]ANALISA PEK.UMUM'!#REF!</definedName>
    <definedName name="A_90018" localSheetId="6">'[13]ANALISA PEK.UMUM'!#REF!</definedName>
    <definedName name="A_90018" localSheetId="7">'[13]ANALISA PEK.UMUM'!#REF!</definedName>
    <definedName name="A_90018" localSheetId="8">'[13]ANALISA PEK.UMUM'!#REF!</definedName>
    <definedName name="A_90018">'[13]ANALISA PEK.UMUM'!#REF!</definedName>
    <definedName name="A_90019" localSheetId="10">'[13]ANALISA PEK.UMUM'!#REF!</definedName>
    <definedName name="A_90019" localSheetId="5">'[13]ANALISA PEK.UMUM'!#REF!</definedName>
    <definedName name="A_90019" localSheetId="6">'[13]ANALISA PEK.UMUM'!#REF!</definedName>
    <definedName name="A_90019" localSheetId="7">'[13]ANALISA PEK.UMUM'!#REF!</definedName>
    <definedName name="A_90019" localSheetId="8">'[13]ANALISA PEK.UMUM'!#REF!</definedName>
    <definedName name="A_90019">'[13]ANALISA PEK.UMUM'!#REF!</definedName>
    <definedName name="aa" localSheetId="10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>#REF!</definedName>
    <definedName name="aaa" localSheetId="10">#REF!</definedName>
    <definedName name="aaa" localSheetId="5">#REF!</definedName>
    <definedName name="aaa" localSheetId="6">#REF!</definedName>
    <definedName name="aaa" localSheetId="7">#REF!</definedName>
    <definedName name="aaa" localSheetId="8">#REF!</definedName>
    <definedName name="aaa">#REF!</definedName>
    <definedName name="AAAAA" localSheetId="10">[19]SINGK!#REF!</definedName>
    <definedName name="AAAAA" localSheetId="5">[19]SINGK!#REF!</definedName>
    <definedName name="AAAAA" localSheetId="6">[19]SINGK!#REF!</definedName>
    <definedName name="AAAAA" localSheetId="7">[19]SINGK!#REF!</definedName>
    <definedName name="AAAAA" localSheetId="8">[19]SINGK!#REF!</definedName>
    <definedName name="AAAAA">[19]SINGK!#REF!</definedName>
    <definedName name="AAAS" localSheetId="10">[19]SINGK!#REF!</definedName>
    <definedName name="AAAS" localSheetId="5">[19]SINGK!#REF!</definedName>
    <definedName name="AAAS" localSheetId="6">[19]SINGK!#REF!</definedName>
    <definedName name="AAAS" localSheetId="7">[19]SINGK!#REF!</definedName>
    <definedName name="AAAS" localSheetId="8">[19]SINGK!#REF!</definedName>
    <definedName name="AAAS">[19]SINGK!#REF!</definedName>
    <definedName name="AASS">[20]Analisa!$A$1792:$K$1852</definedName>
    <definedName name="ABC" localSheetId="10">#REF!</definedName>
    <definedName name="ABC" localSheetId="5">#REF!</definedName>
    <definedName name="ABC" localSheetId="6">#REF!</definedName>
    <definedName name="ABC" localSheetId="7">#REF!</definedName>
    <definedName name="ABC" localSheetId="8">#REF!</definedName>
    <definedName name="ABC">#REF!</definedName>
    <definedName name="adffgg">[20]Analisa!$A$1792:$K$1852</definedName>
    <definedName name="agfage" localSheetId="10">[21]Analisa!#REF!</definedName>
    <definedName name="agfage" localSheetId="5">[21]Analisa!#REF!</definedName>
    <definedName name="agfage" localSheetId="6">[21]Analisa!#REF!</definedName>
    <definedName name="agfage" localSheetId="7">[21]Analisa!#REF!</definedName>
    <definedName name="agfage" localSheetId="8">[21]Analisa!#REF!</definedName>
    <definedName name="agfage">[21]Analisa!#REF!</definedName>
    <definedName name="AI" localSheetId="10">#REF!</definedName>
    <definedName name="AI" localSheetId="5">#REF!</definedName>
    <definedName name="AI" localSheetId="6">#REF!</definedName>
    <definedName name="AI" localSheetId="7">#REF!</definedName>
    <definedName name="AI" localSheetId="8">#REF!</definedName>
    <definedName name="AI">#REF!</definedName>
    <definedName name="AII" localSheetId="10">#REF!</definedName>
    <definedName name="AII" localSheetId="5">#REF!</definedName>
    <definedName name="AII" localSheetId="6">#REF!</definedName>
    <definedName name="AII" localSheetId="7">#REF!</definedName>
    <definedName name="AII" localSheetId="8">#REF!</definedName>
    <definedName name="AII">#REF!</definedName>
    <definedName name="AIII" localSheetId="10">#REF!</definedName>
    <definedName name="AIII" localSheetId="5">#REF!</definedName>
    <definedName name="AIII" localSheetId="6">#REF!</definedName>
    <definedName name="AIII" localSheetId="7">#REF!</definedName>
    <definedName name="AIII" localSheetId="8">#REF!</definedName>
    <definedName name="AIII">#REF!</definedName>
    <definedName name="Air_keras" localSheetId="10">#REF!</definedName>
    <definedName name="Air_keras" localSheetId="5">#REF!</definedName>
    <definedName name="Air_keras" localSheetId="6">#REF!</definedName>
    <definedName name="Air_keras" localSheetId="7">#REF!</definedName>
    <definedName name="Air_keras" localSheetId="8">#REF!</definedName>
    <definedName name="Air_keras">#REF!</definedName>
    <definedName name="AIV" localSheetId="10">#REF!</definedName>
    <definedName name="AIV" localSheetId="5">#REF!</definedName>
    <definedName name="AIV" localSheetId="6">#REF!</definedName>
    <definedName name="AIV" localSheetId="7">#REF!</definedName>
    <definedName name="AIV" localSheetId="8">#REF!</definedName>
    <definedName name="AIV">#REF!</definedName>
    <definedName name="AIX" localSheetId="10">#REF!</definedName>
    <definedName name="AIX" localSheetId="5">#REF!</definedName>
    <definedName name="AIX" localSheetId="6">#REF!</definedName>
    <definedName name="AIX" localSheetId="7">#REF!</definedName>
    <definedName name="AIX" localSheetId="8">#REF!</definedName>
    <definedName name="AIX">#REF!</definedName>
    <definedName name="Alat_bantu_Eriction_kuda2_besi" localSheetId="10">#REF!</definedName>
    <definedName name="Alat_bantu_Eriction_kuda2_besi" localSheetId="5">#REF!</definedName>
    <definedName name="Alat_bantu_Eriction_kuda2_besi" localSheetId="6">#REF!</definedName>
    <definedName name="Alat_bantu_Eriction_kuda2_besi" localSheetId="7">#REF!</definedName>
    <definedName name="Alat_bantu_Eriction_kuda2_besi" localSheetId="8">#REF!</definedName>
    <definedName name="Alat_bantu_Eriction_kuda2_besi">#REF!</definedName>
    <definedName name="Alat_bantu_kuda2_baja_IWF" localSheetId="10">#REF!</definedName>
    <definedName name="Alat_bantu_kuda2_baja_IWF" localSheetId="5">#REF!</definedName>
    <definedName name="Alat_bantu_kuda2_baja_IWF" localSheetId="6">#REF!</definedName>
    <definedName name="Alat_bantu_kuda2_baja_IWF" localSheetId="7">#REF!</definedName>
    <definedName name="Alat_bantu_kuda2_baja_IWF" localSheetId="8">#REF!</definedName>
    <definedName name="Alat_bantu_kuda2_baja_IWF">#REF!</definedName>
    <definedName name="Alat_bantu_lantai" localSheetId="10">#REF!</definedName>
    <definedName name="Alat_bantu_lantai" localSheetId="5">#REF!</definedName>
    <definedName name="Alat_bantu_lantai" localSheetId="6">#REF!</definedName>
    <definedName name="Alat_bantu_lantai" localSheetId="7">#REF!</definedName>
    <definedName name="Alat_bantu_lantai" localSheetId="8">#REF!</definedName>
    <definedName name="Alat_bantu_lantai">#REF!</definedName>
    <definedName name="Alat_Bantu_Mesin_Bor_listrik" localSheetId="10">#REF!</definedName>
    <definedName name="Alat_Bantu_Mesin_Bor_listrik" localSheetId="5">#REF!</definedName>
    <definedName name="Alat_Bantu_Mesin_Bor_listrik" localSheetId="6">#REF!</definedName>
    <definedName name="Alat_Bantu_Mesin_Bor_listrik" localSheetId="7">#REF!</definedName>
    <definedName name="Alat_Bantu_Mesin_Bor_listrik" localSheetId="8">#REF!</definedName>
    <definedName name="Alat_Bantu_Mesin_Bor_listrik">#REF!</definedName>
    <definedName name="Alat_Bantu_Mesin_las_listrik" localSheetId="10">#REF!</definedName>
    <definedName name="Alat_Bantu_Mesin_las_listrik" localSheetId="5">#REF!</definedName>
    <definedName name="Alat_Bantu_Mesin_las_listrik" localSheetId="6">#REF!</definedName>
    <definedName name="Alat_Bantu_Mesin_las_listrik" localSheetId="7">#REF!</definedName>
    <definedName name="Alat_Bantu_Mesin_las_listrik" localSheetId="8">#REF!</definedName>
    <definedName name="Alat_Bantu_Mesin_las_listrik">#REF!</definedName>
    <definedName name="amal" localSheetId="10">'[22]Kuant dan Harga'!#REF!</definedName>
    <definedName name="amal" localSheetId="5">'[22]Kuant dan Harga'!#REF!</definedName>
    <definedName name="amal" localSheetId="6">'[22]Kuant dan Harga'!#REF!</definedName>
    <definedName name="amal" localSheetId="7">'[22]Kuant dan Harga'!#REF!</definedName>
    <definedName name="amal" localSheetId="8">'[22]Kuant dan Harga'!#REF!</definedName>
    <definedName name="amal">'[22]Kuant dan Harga'!#REF!</definedName>
    <definedName name="amp">'[23]Harga Satuan Alat'!$I$8</definedName>
    <definedName name="analisa" localSheetId="10">#REF!</definedName>
    <definedName name="analisa" localSheetId="5">#REF!</definedName>
    <definedName name="analisa" localSheetId="6">#REF!</definedName>
    <definedName name="analisa" localSheetId="7">#REF!</definedName>
    <definedName name="analisa" localSheetId="8">#REF!</definedName>
    <definedName name="analisa">#REF!</definedName>
    <definedName name="Analisa_Harga_Satuan">'[24]Morsip Ht Julu'!$BM$289:$BV$348</definedName>
    <definedName name="ang">'[25]K1 Durp'!$A$1:$AA$62</definedName>
    <definedName name="ANJINGGGG" localSheetId="10">#REF!</definedName>
    <definedName name="ANJINGGGG" localSheetId="5">#REF!</definedName>
    <definedName name="ANJINGGGG" localSheetId="6">#REF!</definedName>
    <definedName name="ANJINGGGG" localSheetId="7">#REF!</definedName>
    <definedName name="ANJINGGGG" localSheetId="8">#REF!</definedName>
    <definedName name="ANJINGGGG">#REF!</definedName>
    <definedName name="anls21" localSheetId="10">#REF!</definedName>
    <definedName name="anls21" localSheetId="5">#REF!</definedName>
    <definedName name="anls21" localSheetId="6">#REF!</definedName>
    <definedName name="anls21" localSheetId="7">#REF!</definedName>
    <definedName name="anls21" localSheetId="8">#REF!</definedName>
    <definedName name="anls21">#REF!</definedName>
    <definedName name="anls22" localSheetId="10">#REF!</definedName>
    <definedName name="anls22" localSheetId="5">#REF!</definedName>
    <definedName name="anls22" localSheetId="6">#REF!</definedName>
    <definedName name="anls22" localSheetId="7">#REF!</definedName>
    <definedName name="anls22" localSheetId="8">#REF!</definedName>
    <definedName name="anls22">#REF!</definedName>
    <definedName name="anls232" localSheetId="10">#REF!</definedName>
    <definedName name="anls232" localSheetId="5">#REF!</definedName>
    <definedName name="anls232" localSheetId="6">#REF!</definedName>
    <definedName name="anls232" localSheetId="7">#REF!</definedName>
    <definedName name="anls232" localSheetId="8">#REF!</definedName>
    <definedName name="anls232">#REF!</definedName>
    <definedName name="anls233" localSheetId="10">#REF!</definedName>
    <definedName name="anls233" localSheetId="5">#REF!</definedName>
    <definedName name="anls233" localSheetId="6">#REF!</definedName>
    <definedName name="anls233" localSheetId="7">#REF!</definedName>
    <definedName name="anls233" localSheetId="8">#REF!</definedName>
    <definedName name="anls233">#REF!</definedName>
    <definedName name="anls237" localSheetId="10">#REF!</definedName>
    <definedName name="anls237" localSheetId="5">#REF!</definedName>
    <definedName name="anls237" localSheetId="6">#REF!</definedName>
    <definedName name="anls237" localSheetId="7">#REF!</definedName>
    <definedName name="anls237" localSheetId="8">#REF!</definedName>
    <definedName name="anls237">#REF!</definedName>
    <definedName name="anls241" localSheetId="10">#REF!</definedName>
    <definedName name="anls241" localSheetId="5">#REF!</definedName>
    <definedName name="anls241" localSheetId="6">#REF!</definedName>
    <definedName name="anls241" localSheetId="7">#REF!</definedName>
    <definedName name="anls241" localSheetId="8">#REF!</definedName>
    <definedName name="anls241">#REF!</definedName>
    <definedName name="anls242" localSheetId="10">#REF!</definedName>
    <definedName name="anls242" localSheetId="5">#REF!</definedName>
    <definedName name="anls242" localSheetId="6">#REF!</definedName>
    <definedName name="anls242" localSheetId="7">#REF!</definedName>
    <definedName name="anls242" localSheetId="8">#REF!</definedName>
    <definedName name="anls242">#REF!</definedName>
    <definedName name="anls243" localSheetId="10">#REF!</definedName>
    <definedName name="anls243" localSheetId="5">#REF!</definedName>
    <definedName name="anls243" localSheetId="6">#REF!</definedName>
    <definedName name="anls243" localSheetId="7">#REF!</definedName>
    <definedName name="anls243" localSheetId="8">#REF!</definedName>
    <definedName name="anls243">#REF!</definedName>
    <definedName name="anls311" localSheetId="10">#REF!</definedName>
    <definedName name="anls311" localSheetId="5">#REF!</definedName>
    <definedName name="anls311" localSheetId="6">#REF!</definedName>
    <definedName name="anls311" localSheetId="7">#REF!</definedName>
    <definedName name="anls311" localSheetId="8">#REF!</definedName>
    <definedName name="anls311">#REF!</definedName>
    <definedName name="anls312" localSheetId="10">#REF!</definedName>
    <definedName name="anls312" localSheetId="5">#REF!</definedName>
    <definedName name="anls312" localSheetId="6">#REF!</definedName>
    <definedName name="anls312" localSheetId="7">#REF!</definedName>
    <definedName name="anls312" localSheetId="8">#REF!</definedName>
    <definedName name="anls312">#REF!</definedName>
    <definedName name="anls313" localSheetId="10">#REF!</definedName>
    <definedName name="anls313" localSheetId="5">#REF!</definedName>
    <definedName name="anls313" localSheetId="6">#REF!</definedName>
    <definedName name="anls313" localSheetId="7">#REF!</definedName>
    <definedName name="anls313" localSheetId="8">#REF!</definedName>
    <definedName name="anls313">#REF!</definedName>
    <definedName name="anls314" localSheetId="10">#REF!</definedName>
    <definedName name="anls314" localSheetId="5">#REF!</definedName>
    <definedName name="anls314" localSheetId="6">#REF!</definedName>
    <definedName name="anls314" localSheetId="7">#REF!</definedName>
    <definedName name="anls314" localSheetId="8">#REF!</definedName>
    <definedName name="anls314">#REF!</definedName>
    <definedName name="anls315" localSheetId="10">#REF!</definedName>
    <definedName name="anls315" localSheetId="5">#REF!</definedName>
    <definedName name="anls315" localSheetId="6">#REF!</definedName>
    <definedName name="anls315" localSheetId="7">#REF!</definedName>
    <definedName name="anls315" localSheetId="8">#REF!</definedName>
    <definedName name="anls315">#REF!</definedName>
    <definedName name="anls321" localSheetId="10">#REF!</definedName>
    <definedName name="anls321" localSheetId="5">#REF!</definedName>
    <definedName name="anls321" localSheetId="6">#REF!</definedName>
    <definedName name="anls321" localSheetId="7">#REF!</definedName>
    <definedName name="anls321" localSheetId="8">#REF!</definedName>
    <definedName name="anls321">#REF!</definedName>
    <definedName name="anls322" localSheetId="10">#REF!</definedName>
    <definedName name="anls322" localSheetId="5">#REF!</definedName>
    <definedName name="anls322" localSheetId="6">#REF!</definedName>
    <definedName name="anls322" localSheetId="7">#REF!</definedName>
    <definedName name="anls322" localSheetId="8">#REF!</definedName>
    <definedName name="anls322">#REF!</definedName>
    <definedName name="anls33" localSheetId="10">#REF!</definedName>
    <definedName name="anls33" localSheetId="5">#REF!</definedName>
    <definedName name="anls33" localSheetId="6">#REF!</definedName>
    <definedName name="anls33" localSheetId="7">#REF!</definedName>
    <definedName name="anls33" localSheetId="8">#REF!</definedName>
    <definedName name="anls33">#REF!</definedName>
    <definedName name="anls421" localSheetId="10">#REF!</definedName>
    <definedName name="anls421" localSheetId="5">#REF!</definedName>
    <definedName name="anls421" localSheetId="6">#REF!</definedName>
    <definedName name="anls421" localSheetId="7">#REF!</definedName>
    <definedName name="anls421" localSheetId="8">#REF!</definedName>
    <definedName name="anls421">#REF!</definedName>
    <definedName name="anls422" localSheetId="10">#REF!</definedName>
    <definedName name="anls422" localSheetId="5">#REF!</definedName>
    <definedName name="anls422" localSheetId="6">#REF!</definedName>
    <definedName name="anls422" localSheetId="7">#REF!</definedName>
    <definedName name="anls422" localSheetId="8">#REF!</definedName>
    <definedName name="anls422">#REF!</definedName>
    <definedName name="anls423" localSheetId="10">#REF!</definedName>
    <definedName name="anls423" localSheetId="5">#REF!</definedName>
    <definedName name="anls423" localSheetId="6">#REF!</definedName>
    <definedName name="anls423" localSheetId="7">#REF!</definedName>
    <definedName name="anls423" localSheetId="8">#REF!</definedName>
    <definedName name="anls423">#REF!</definedName>
    <definedName name="anls424" localSheetId="10">#REF!</definedName>
    <definedName name="anls424" localSheetId="5">#REF!</definedName>
    <definedName name="anls424" localSheetId="6">#REF!</definedName>
    <definedName name="anls424" localSheetId="7">#REF!</definedName>
    <definedName name="anls424" localSheetId="8">#REF!</definedName>
    <definedName name="anls424">#REF!</definedName>
    <definedName name="anls425" localSheetId="10">#REF!</definedName>
    <definedName name="anls425" localSheetId="5">#REF!</definedName>
    <definedName name="anls425" localSheetId="6">#REF!</definedName>
    <definedName name="anls425" localSheetId="7">#REF!</definedName>
    <definedName name="anls425" localSheetId="8">#REF!</definedName>
    <definedName name="anls425">#REF!</definedName>
    <definedName name="anls426" localSheetId="10">#REF!</definedName>
    <definedName name="anls426" localSheetId="5">#REF!</definedName>
    <definedName name="anls426" localSheetId="6">#REF!</definedName>
    <definedName name="anls426" localSheetId="7">#REF!</definedName>
    <definedName name="anls426" localSheetId="8">#REF!</definedName>
    <definedName name="anls426">#REF!</definedName>
    <definedName name="anls427" localSheetId="10">#REF!</definedName>
    <definedName name="anls427" localSheetId="5">#REF!</definedName>
    <definedName name="anls427" localSheetId="6">#REF!</definedName>
    <definedName name="anls427" localSheetId="7">#REF!</definedName>
    <definedName name="anls427" localSheetId="8">#REF!</definedName>
    <definedName name="anls427">#REF!</definedName>
    <definedName name="anls511" localSheetId="10">#REF!</definedName>
    <definedName name="anls511" localSheetId="5">#REF!</definedName>
    <definedName name="anls511" localSheetId="6">#REF!</definedName>
    <definedName name="anls511" localSheetId="7">#REF!</definedName>
    <definedName name="anls511" localSheetId="8">#REF!</definedName>
    <definedName name="anls511">#REF!</definedName>
    <definedName name="anls512" localSheetId="10">#REF!</definedName>
    <definedName name="anls512" localSheetId="5">#REF!</definedName>
    <definedName name="anls512" localSheetId="6">#REF!</definedName>
    <definedName name="anls512" localSheetId="7">#REF!</definedName>
    <definedName name="anls512" localSheetId="8">#REF!</definedName>
    <definedName name="anls512">#REF!</definedName>
    <definedName name="anls521" localSheetId="10">#REF!</definedName>
    <definedName name="anls521" localSheetId="5">#REF!</definedName>
    <definedName name="anls521" localSheetId="6">#REF!</definedName>
    <definedName name="anls521" localSheetId="7">#REF!</definedName>
    <definedName name="anls521" localSheetId="8">#REF!</definedName>
    <definedName name="anls521">#REF!</definedName>
    <definedName name="anls522" localSheetId="10">#REF!</definedName>
    <definedName name="anls522" localSheetId="5">#REF!</definedName>
    <definedName name="anls522" localSheetId="6">#REF!</definedName>
    <definedName name="anls522" localSheetId="7">#REF!</definedName>
    <definedName name="anls522" localSheetId="8">#REF!</definedName>
    <definedName name="anls522">#REF!</definedName>
    <definedName name="anls523" localSheetId="10">#REF!</definedName>
    <definedName name="anls523" localSheetId="5">#REF!</definedName>
    <definedName name="anls523" localSheetId="6">#REF!</definedName>
    <definedName name="anls523" localSheetId="7">#REF!</definedName>
    <definedName name="anls523" localSheetId="8">#REF!</definedName>
    <definedName name="anls523">#REF!</definedName>
    <definedName name="anls541" localSheetId="10">#REF!</definedName>
    <definedName name="anls541" localSheetId="5">#REF!</definedName>
    <definedName name="anls541" localSheetId="6">#REF!</definedName>
    <definedName name="anls541" localSheetId="7">#REF!</definedName>
    <definedName name="anls541" localSheetId="8">#REF!</definedName>
    <definedName name="anls541">#REF!</definedName>
    <definedName name="anls542" localSheetId="10">#REF!</definedName>
    <definedName name="anls542" localSheetId="5">#REF!</definedName>
    <definedName name="anls542" localSheetId="6">#REF!</definedName>
    <definedName name="anls542" localSheetId="7">#REF!</definedName>
    <definedName name="anls542" localSheetId="8">#REF!</definedName>
    <definedName name="anls542">#REF!</definedName>
    <definedName name="anls611" localSheetId="10">#REF!</definedName>
    <definedName name="anls611" localSheetId="5">#REF!</definedName>
    <definedName name="anls611" localSheetId="6">#REF!</definedName>
    <definedName name="anls611" localSheetId="7">#REF!</definedName>
    <definedName name="anls611" localSheetId="8">#REF!</definedName>
    <definedName name="anls611">#REF!</definedName>
    <definedName name="anls612" localSheetId="10">#REF!</definedName>
    <definedName name="anls612" localSheetId="5">#REF!</definedName>
    <definedName name="anls612" localSheetId="6">#REF!</definedName>
    <definedName name="anls612" localSheetId="7">#REF!</definedName>
    <definedName name="anls612" localSheetId="8">#REF!</definedName>
    <definedName name="anls612">#REF!</definedName>
    <definedName name="anls621" localSheetId="10">#REF!</definedName>
    <definedName name="anls621" localSheetId="5">#REF!</definedName>
    <definedName name="anls621" localSheetId="6">#REF!</definedName>
    <definedName name="anls621" localSheetId="7">#REF!</definedName>
    <definedName name="anls621" localSheetId="8">#REF!</definedName>
    <definedName name="anls621">#REF!</definedName>
    <definedName name="anls622" localSheetId="10">#REF!</definedName>
    <definedName name="anls622" localSheetId="5">#REF!</definedName>
    <definedName name="anls622" localSheetId="6">#REF!</definedName>
    <definedName name="anls622" localSheetId="7">#REF!</definedName>
    <definedName name="anls622" localSheetId="8">#REF!</definedName>
    <definedName name="anls622">#REF!</definedName>
    <definedName name="anls623" localSheetId="10">#REF!</definedName>
    <definedName name="anls623" localSheetId="5">#REF!</definedName>
    <definedName name="anls623" localSheetId="6">#REF!</definedName>
    <definedName name="anls623" localSheetId="7">#REF!</definedName>
    <definedName name="anls623" localSheetId="8">#REF!</definedName>
    <definedName name="anls623">#REF!</definedName>
    <definedName name="anls633" localSheetId="10">#REF!</definedName>
    <definedName name="anls633" localSheetId="5">#REF!</definedName>
    <definedName name="anls633" localSheetId="6">#REF!</definedName>
    <definedName name="anls633" localSheetId="7">#REF!</definedName>
    <definedName name="anls633" localSheetId="8">#REF!</definedName>
    <definedName name="anls633">#REF!</definedName>
    <definedName name="anls634" localSheetId="10">#REF!</definedName>
    <definedName name="anls634" localSheetId="5">#REF!</definedName>
    <definedName name="anls634" localSheetId="6">#REF!</definedName>
    <definedName name="anls634" localSheetId="7">#REF!</definedName>
    <definedName name="anls634" localSheetId="8">#REF!</definedName>
    <definedName name="anls634">#REF!</definedName>
    <definedName name="anls634a" localSheetId="10">#REF!</definedName>
    <definedName name="anls634a" localSheetId="5">#REF!</definedName>
    <definedName name="anls634a" localSheetId="6">#REF!</definedName>
    <definedName name="anls634a" localSheetId="7">#REF!</definedName>
    <definedName name="anls634a" localSheetId="8">#REF!</definedName>
    <definedName name="anls634a">#REF!</definedName>
    <definedName name="anls635a" localSheetId="10">#REF!</definedName>
    <definedName name="anls635a" localSheetId="5">#REF!</definedName>
    <definedName name="anls635a" localSheetId="6">#REF!</definedName>
    <definedName name="anls635a" localSheetId="7">#REF!</definedName>
    <definedName name="anls635a" localSheetId="8">#REF!</definedName>
    <definedName name="anls635a">#REF!</definedName>
    <definedName name="anls636a" localSheetId="10">#REF!</definedName>
    <definedName name="anls636a" localSheetId="5">#REF!</definedName>
    <definedName name="anls636a" localSheetId="6">#REF!</definedName>
    <definedName name="anls636a" localSheetId="7">#REF!</definedName>
    <definedName name="anls636a" localSheetId="8">#REF!</definedName>
    <definedName name="anls636a">#REF!</definedName>
    <definedName name="anls636c" localSheetId="10">#REF!</definedName>
    <definedName name="anls636c" localSheetId="5">#REF!</definedName>
    <definedName name="anls636c" localSheetId="6">#REF!</definedName>
    <definedName name="anls636c" localSheetId="7">#REF!</definedName>
    <definedName name="anls636c" localSheetId="8">#REF!</definedName>
    <definedName name="anls636c">#REF!</definedName>
    <definedName name="anls651" localSheetId="10">#REF!</definedName>
    <definedName name="anls651" localSheetId="5">#REF!</definedName>
    <definedName name="anls651" localSheetId="6">#REF!</definedName>
    <definedName name="anls651" localSheetId="7">#REF!</definedName>
    <definedName name="anls651" localSheetId="8">#REF!</definedName>
    <definedName name="anls651">#REF!</definedName>
    <definedName name="anls66" localSheetId="10">#REF!</definedName>
    <definedName name="anls66" localSheetId="5">#REF!</definedName>
    <definedName name="anls66" localSheetId="6">#REF!</definedName>
    <definedName name="anls66" localSheetId="7">#REF!</definedName>
    <definedName name="anls66" localSheetId="8">#REF!</definedName>
    <definedName name="anls66">#REF!</definedName>
    <definedName name="anls7101" localSheetId="10">#REF!</definedName>
    <definedName name="anls7101" localSheetId="5">#REF!</definedName>
    <definedName name="anls7101" localSheetId="6">#REF!</definedName>
    <definedName name="anls7101" localSheetId="7">#REF!</definedName>
    <definedName name="anls7101" localSheetId="8">#REF!</definedName>
    <definedName name="anls7101">#REF!</definedName>
    <definedName name="anls7102" localSheetId="10">#REF!</definedName>
    <definedName name="anls7102" localSheetId="5">#REF!</definedName>
    <definedName name="anls7102" localSheetId="6">#REF!</definedName>
    <definedName name="anls7102" localSheetId="7">#REF!</definedName>
    <definedName name="anls7102" localSheetId="8">#REF!</definedName>
    <definedName name="anls7102">#REF!</definedName>
    <definedName name="anls7103" localSheetId="10">#REF!</definedName>
    <definedName name="anls7103" localSheetId="5">#REF!</definedName>
    <definedName name="anls7103" localSheetId="6">#REF!</definedName>
    <definedName name="anls7103" localSheetId="7">#REF!</definedName>
    <definedName name="anls7103" localSheetId="8">#REF!</definedName>
    <definedName name="anls7103">#REF!</definedName>
    <definedName name="anls711" localSheetId="10">#REF!</definedName>
    <definedName name="anls711" localSheetId="5">#REF!</definedName>
    <definedName name="anls711" localSheetId="6">#REF!</definedName>
    <definedName name="anls711" localSheetId="7">#REF!</definedName>
    <definedName name="anls711" localSheetId="8">#REF!</definedName>
    <definedName name="anls711">#REF!</definedName>
    <definedName name="anls712" localSheetId="10">#REF!</definedName>
    <definedName name="anls712" localSheetId="5">#REF!</definedName>
    <definedName name="anls712" localSheetId="6">#REF!</definedName>
    <definedName name="anls712" localSheetId="7">#REF!</definedName>
    <definedName name="anls712" localSheetId="8">#REF!</definedName>
    <definedName name="anls712">#REF!</definedName>
    <definedName name="anls713" localSheetId="10">#REF!</definedName>
    <definedName name="anls713" localSheetId="5">#REF!</definedName>
    <definedName name="anls713" localSheetId="6">#REF!</definedName>
    <definedName name="anls713" localSheetId="7">#REF!</definedName>
    <definedName name="anls713" localSheetId="8">#REF!</definedName>
    <definedName name="anls713">#REF!</definedName>
    <definedName name="anls7134" localSheetId="10">#REF!</definedName>
    <definedName name="anls7134" localSheetId="5">#REF!</definedName>
    <definedName name="anls7134" localSheetId="6">#REF!</definedName>
    <definedName name="anls7134" localSheetId="7">#REF!</definedName>
    <definedName name="anls7134" localSheetId="8">#REF!</definedName>
    <definedName name="anls7134">#REF!</definedName>
    <definedName name="anls714" localSheetId="10">#REF!</definedName>
    <definedName name="anls714" localSheetId="5">#REF!</definedName>
    <definedName name="anls714" localSheetId="6">#REF!</definedName>
    <definedName name="anls714" localSheetId="7">#REF!</definedName>
    <definedName name="anls714" localSheetId="8">#REF!</definedName>
    <definedName name="anls714">#REF!</definedName>
    <definedName name="anls715" localSheetId="10">#REF!</definedName>
    <definedName name="anls715" localSheetId="5">#REF!</definedName>
    <definedName name="anls715" localSheetId="6">#REF!</definedName>
    <definedName name="anls715" localSheetId="7">#REF!</definedName>
    <definedName name="anls715" localSheetId="8">#REF!</definedName>
    <definedName name="anls715">#REF!</definedName>
    <definedName name="anls717" localSheetId="10">#REF!</definedName>
    <definedName name="anls717" localSheetId="5">#REF!</definedName>
    <definedName name="anls717" localSheetId="6">#REF!</definedName>
    <definedName name="anls717" localSheetId="7">#REF!</definedName>
    <definedName name="anls717" localSheetId="8">#REF!</definedName>
    <definedName name="anls717">#REF!</definedName>
    <definedName name="anls718" localSheetId="10">#REF!</definedName>
    <definedName name="anls718" localSheetId="5">#REF!</definedName>
    <definedName name="anls718" localSheetId="6">#REF!</definedName>
    <definedName name="anls718" localSheetId="7">#REF!</definedName>
    <definedName name="anls718" localSheetId="8">#REF!</definedName>
    <definedName name="anls718">#REF!</definedName>
    <definedName name="anls731" localSheetId="10">#REF!</definedName>
    <definedName name="anls731" localSheetId="5">#REF!</definedName>
    <definedName name="anls731" localSheetId="6">#REF!</definedName>
    <definedName name="anls731" localSheetId="7">#REF!</definedName>
    <definedName name="anls731" localSheetId="8">#REF!</definedName>
    <definedName name="anls731">#REF!</definedName>
    <definedName name="anls751" localSheetId="10">#REF!</definedName>
    <definedName name="anls751" localSheetId="5">#REF!</definedName>
    <definedName name="anls751" localSheetId="6">#REF!</definedName>
    <definedName name="anls751" localSheetId="7">#REF!</definedName>
    <definedName name="anls751" localSheetId="8">#REF!</definedName>
    <definedName name="anls751">#REF!</definedName>
    <definedName name="anls752" localSheetId="10">#REF!</definedName>
    <definedName name="anls752" localSheetId="5">#REF!</definedName>
    <definedName name="anls752" localSheetId="6">#REF!</definedName>
    <definedName name="anls752" localSheetId="7">#REF!</definedName>
    <definedName name="anls752" localSheetId="8">#REF!</definedName>
    <definedName name="anls752">#REF!</definedName>
    <definedName name="anls765" localSheetId="10">#REF!</definedName>
    <definedName name="anls765" localSheetId="5">#REF!</definedName>
    <definedName name="anls765" localSheetId="6">#REF!</definedName>
    <definedName name="anls765" localSheetId="7">#REF!</definedName>
    <definedName name="anls765" localSheetId="8">#REF!</definedName>
    <definedName name="anls765">#REF!</definedName>
    <definedName name="anls79" localSheetId="10">#REF!</definedName>
    <definedName name="anls79" localSheetId="5">#REF!</definedName>
    <definedName name="anls79" localSheetId="6">#REF!</definedName>
    <definedName name="anls79" localSheetId="7">#REF!</definedName>
    <definedName name="anls79" localSheetId="8">#REF!</definedName>
    <definedName name="anls79">#REF!</definedName>
    <definedName name="anls811" localSheetId="10">#REF!</definedName>
    <definedName name="anls811" localSheetId="5">#REF!</definedName>
    <definedName name="anls811" localSheetId="6">#REF!</definedName>
    <definedName name="anls811" localSheetId="7">#REF!</definedName>
    <definedName name="anls811" localSheetId="8">#REF!</definedName>
    <definedName name="anls811">#REF!</definedName>
    <definedName name="anls812" localSheetId="10">#REF!</definedName>
    <definedName name="anls812" localSheetId="5">#REF!</definedName>
    <definedName name="anls812" localSheetId="6">#REF!</definedName>
    <definedName name="anls812" localSheetId="7">#REF!</definedName>
    <definedName name="anls812" localSheetId="8">#REF!</definedName>
    <definedName name="anls812">#REF!</definedName>
    <definedName name="anls813" localSheetId="10">#REF!</definedName>
    <definedName name="anls813" localSheetId="5">#REF!</definedName>
    <definedName name="anls813" localSheetId="6">#REF!</definedName>
    <definedName name="anls813" localSheetId="7">#REF!</definedName>
    <definedName name="anls813" localSheetId="8">#REF!</definedName>
    <definedName name="anls813">#REF!</definedName>
    <definedName name="anls814" localSheetId="10">#REF!</definedName>
    <definedName name="anls814" localSheetId="5">#REF!</definedName>
    <definedName name="anls814" localSheetId="6">#REF!</definedName>
    <definedName name="anls814" localSheetId="7">#REF!</definedName>
    <definedName name="anls814" localSheetId="8">#REF!</definedName>
    <definedName name="anls814">#REF!</definedName>
    <definedName name="anls815" localSheetId="10">#REF!</definedName>
    <definedName name="anls815" localSheetId="5">#REF!</definedName>
    <definedName name="anls815" localSheetId="6">#REF!</definedName>
    <definedName name="anls815" localSheetId="7">#REF!</definedName>
    <definedName name="anls815" localSheetId="8">#REF!</definedName>
    <definedName name="anls815">#REF!</definedName>
    <definedName name="anls817" localSheetId="10">#REF!</definedName>
    <definedName name="anls817" localSheetId="5">#REF!</definedName>
    <definedName name="anls817" localSheetId="6">#REF!</definedName>
    <definedName name="anls817" localSheetId="7">#REF!</definedName>
    <definedName name="anls817" localSheetId="8">#REF!</definedName>
    <definedName name="anls817">#REF!</definedName>
    <definedName name="anls818" localSheetId="10">#REF!</definedName>
    <definedName name="anls818" localSheetId="5">#REF!</definedName>
    <definedName name="anls818" localSheetId="6">#REF!</definedName>
    <definedName name="anls818" localSheetId="7">#REF!</definedName>
    <definedName name="anls818" localSheetId="8">#REF!</definedName>
    <definedName name="anls818">#REF!</definedName>
    <definedName name="anls819" localSheetId="10">#REF!</definedName>
    <definedName name="anls819" localSheetId="5">#REF!</definedName>
    <definedName name="anls819" localSheetId="6">#REF!</definedName>
    <definedName name="anls819" localSheetId="7">#REF!</definedName>
    <definedName name="anls819" localSheetId="8">#REF!</definedName>
    <definedName name="anls819">#REF!</definedName>
    <definedName name="anls821" localSheetId="10">#REF!</definedName>
    <definedName name="anls821" localSheetId="5">#REF!</definedName>
    <definedName name="anls821" localSheetId="6">#REF!</definedName>
    <definedName name="anls821" localSheetId="7">#REF!</definedName>
    <definedName name="anls821" localSheetId="8">#REF!</definedName>
    <definedName name="anls821">#REF!</definedName>
    <definedName name="anls831" localSheetId="10">#REF!</definedName>
    <definedName name="anls831" localSheetId="5">#REF!</definedName>
    <definedName name="anls831" localSheetId="6">#REF!</definedName>
    <definedName name="anls831" localSheetId="7">#REF!</definedName>
    <definedName name="anls831" localSheetId="8">#REF!</definedName>
    <definedName name="anls831">#REF!</definedName>
    <definedName name="anlsa18b">'[26]Anls G'!$M$27</definedName>
    <definedName name="anlsg50i">'[26]Anls G'!$M$10</definedName>
    <definedName name="anlsg52i">'[26]Anls G'!$M$10</definedName>
    <definedName name="are" localSheetId="10">#REF!</definedName>
    <definedName name="are" localSheetId="5">#REF!</definedName>
    <definedName name="are" localSheetId="6">#REF!</definedName>
    <definedName name="are" localSheetId="7">#REF!</definedName>
    <definedName name="are" localSheetId="8">#REF!</definedName>
    <definedName name="are">#REF!</definedName>
    <definedName name="area" localSheetId="10">#REF!</definedName>
    <definedName name="area" localSheetId="5">#REF!</definedName>
    <definedName name="area" localSheetId="6">#REF!</definedName>
    <definedName name="area" localSheetId="7">#REF!</definedName>
    <definedName name="area" localSheetId="8">#REF!</definedName>
    <definedName name="area">#REF!</definedName>
    <definedName name="AreaJudulBaris1..D4" localSheetId="5">#REF!</definedName>
    <definedName name="AreaJudulBaris1..D4" localSheetId="6">#REF!</definedName>
    <definedName name="AreaJudulBaris1..D4">#REF!</definedName>
    <definedName name="AreaJudulBaris2..D11" localSheetId="5">#REF!</definedName>
    <definedName name="AreaJudulBaris2..D11" localSheetId="6">#REF!</definedName>
    <definedName name="AreaJudulBaris2..D11">#REF!</definedName>
    <definedName name="as" localSheetId="10" hidden="1">#REF!</definedName>
    <definedName name="as" localSheetId="5" hidden="1">#REF!</definedName>
    <definedName name="as" localSheetId="6" hidden="1">#REF!</definedName>
    <definedName name="as" localSheetId="7" hidden="1">#REF!</definedName>
    <definedName name="as" localSheetId="8" hidden="1">#REF!</definedName>
    <definedName name="as" hidden="1">#REF!</definedName>
    <definedName name="ASD" localSheetId="10">#REF!</definedName>
    <definedName name="ASD" localSheetId="5">#REF!</definedName>
    <definedName name="ASD" localSheetId="6">#REF!</definedName>
    <definedName name="ASD" localSheetId="7">#REF!</definedName>
    <definedName name="ASD" localSheetId="8">#REF!</definedName>
    <definedName name="ASD">#REF!</definedName>
    <definedName name="ASLI" localSheetId="10">'[27]AN-K'!#REF!</definedName>
    <definedName name="ASLI" localSheetId="5">'[27]AN-K'!#REF!</definedName>
    <definedName name="ASLI" localSheetId="6">'[27]AN-K'!#REF!</definedName>
    <definedName name="ASLI" localSheetId="7">'[27]AN-K'!#REF!</definedName>
    <definedName name="ASLI" localSheetId="8">'[27]AN-K'!#REF!</definedName>
    <definedName name="ASLI">'[27]AN-K'!#REF!</definedName>
    <definedName name="asq" localSheetId="10">#REF!</definedName>
    <definedName name="asq" localSheetId="5">#REF!</definedName>
    <definedName name="asq" localSheetId="6">#REF!</definedName>
    <definedName name="asq" localSheetId="7">#REF!</definedName>
    <definedName name="asq" localSheetId="8">#REF!</definedName>
    <definedName name="asq">#REF!</definedName>
    <definedName name="ASTE5YV">[28]Analisa!$A$1792:$K$1852</definedName>
    <definedName name="AV" localSheetId="10">#REF!</definedName>
    <definedName name="AV" localSheetId="5">#REF!</definedName>
    <definedName name="AV" localSheetId="6">#REF!</definedName>
    <definedName name="AV" localSheetId="7">#REF!</definedName>
    <definedName name="AV" localSheetId="8">#REF!</definedName>
    <definedName name="AV">#REF!</definedName>
    <definedName name="AVI" localSheetId="10">#REF!</definedName>
    <definedName name="AVI" localSheetId="5">#REF!</definedName>
    <definedName name="AVI" localSheetId="6">#REF!</definedName>
    <definedName name="AVI" localSheetId="7">#REF!</definedName>
    <definedName name="AVI" localSheetId="8">#REF!</definedName>
    <definedName name="AVI">#REF!</definedName>
    <definedName name="AVII" localSheetId="10">#REF!</definedName>
    <definedName name="AVII" localSheetId="5">#REF!</definedName>
    <definedName name="AVII" localSheetId="6">#REF!</definedName>
    <definedName name="AVII" localSheetId="7">#REF!</definedName>
    <definedName name="AVII" localSheetId="8">#REF!</definedName>
    <definedName name="AVII">#REF!</definedName>
    <definedName name="AVIII" localSheetId="10">#REF!</definedName>
    <definedName name="AVIII" localSheetId="5">#REF!</definedName>
    <definedName name="AVIII" localSheetId="6">#REF!</definedName>
    <definedName name="AVIII" localSheetId="7">#REF!</definedName>
    <definedName name="AVIII" localSheetId="8">#REF!</definedName>
    <definedName name="AVIII">#REF!</definedName>
    <definedName name="AX" localSheetId="10">#REF!</definedName>
    <definedName name="AX" localSheetId="5">#REF!</definedName>
    <definedName name="AX" localSheetId="6">#REF!</definedName>
    <definedName name="AX" localSheetId="7">#REF!</definedName>
    <definedName name="AX" localSheetId="8">#REF!</definedName>
    <definedName name="AX">#REF!</definedName>
    <definedName name="B" localSheetId="10">'[13]ANALISA PEK.UMUM'!#REF!</definedName>
    <definedName name="B" localSheetId="5">'[13]ANALISA PEK.UMUM'!#REF!</definedName>
    <definedName name="B" localSheetId="6">'[13]ANALISA PEK.UMUM'!#REF!</definedName>
    <definedName name="B" localSheetId="7">'[13]ANALISA PEK.UMUM'!#REF!</definedName>
    <definedName name="B" localSheetId="8">'[13]ANALISA PEK.UMUM'!#REF!</definedName>
    <definedName name="B">'[13]ANALISA PEK.UMUM'!#REF!</definedName>
    <definedName name="B.Aparatur" localSheetId="10">#REF!</definedName>
    <definedName name="B.Aparatur" localSheetId="5">#REF!</definedName>
    <definedName name="B.Aparatur" localSheetId="6">#REF!</definedName>
    <definedName name="B.Aparatur" localSheetId="7">#REF!</definedName>
    <definedName name="B.Aparatur" localSheetId="8">#REF!</definedName>
    <definedName name="B.Aparatur">#REF!</definedName>
    <definedName name="B.Publik" localSheetId="10">#REF!</definedName>
    <definedName name="B.Publik" localSheetId="5">#REF!</definedName>
    <definedName name="B.Publik" localSheetId="6">#REF!</definedName>
    <definedName name="B.Publik" localSheetId="7">#REF!</definedName>
    <definedName name="B.Publik" localSheetId="8">#REF!</definedName>
    <definedName name="B.Publik">#REF!</definedName>
    <definedName name="B_3r" localSheetId="10">'[13]ANALISA PEK.UMUM'!#REF!</definedName>
    <definedName name="B_3r" localSheetId="5">'[13]ANALISA PEK.UMUM'!#REF!</definedName>
    <definedName name="B_3r" localSheetId="6">'[13]ANALISA PEK.UMUM'!#REF!</definedName>
    <definedName name="B_3r" localSheetId="7">'[13]ANALISA PEK.UMUM'!#REF!</definedName>
    <definedName name="B_3r" localSheetId="8">'[13]ANALISA PEK.UMUM'!#REF!</definedName>
    <definedName name="B_3r">'[13]ANALISA PEK.UMUM'!#REF!</definedName>
    <definedName name="BA" localSheetId="10">'[6]AN-K'!#REF!</definedName>
    <definedName name="BA" localSheetId="5">'[6]AN-K'!#REF!</definedName>
    <definedName name="BA" localSheetId="6">'[6]AN-K'!#REF!</definedName>
    <definedName name="BA" localSheetId="7">'[6]AN-K'!#REF!</definedName>
    <definedName name="BA" localSheetId="8">'[6]AN-K'!#REF!</definedName>
    <definedName name="BA">'[6]AN-K'!#REF!</definedName>
    <definedName name="BAHAN" localSheetId="10">#REF!</definedName>
    <definedName name="BAHAN" localSheetId="5">#REF!</definedName>
    <definedName name="BAHAN" localSheetId="6">#REF!</definedName>
    <definedName name="BAHAN" localSheetId="7">#REF!</definedName>
    <definedName name="BAHAN" localSheetId="8">#REF!</definedName>
    <definedName name="BAHAN">#REF!</definedName>
    <definedName name="BAHAN?" localSheetId="10">#REF!</definedName>
    <definedName name="BAHAN?" localSheetId="5">#REF!</definedName>
    <definedName name="BAHAN?" localSheetId="6">#REF!</definedName>
    <definedName name="BAHAN?" localSheetId="7">#REF!</definedName>
    <definedName name="BAHAN?" localSheetId="8">#REF!</definedName>
    <definedName name="BAHAN?">#REF!</definedName>
    <definedName name="BAPP" localSheetId="10">#REF!</definedName>
    <definedName name="BAPP" localSheetId="5">#REF!</definedName>
    <definedName name="BAPP" localSheetId="6">#REF!</definedName>
    <definedName name="BAPP" localSheetId="7">#REF!</definedName>
    <definedName name="BAPP" localSheetId="8">#REF!</definedName>
    <definedName name="BAPP">#REF!</definedName>
    <definedName name="Bata_Merah" localSheetId="10">[13]BAHAN!#REF!</definedName>
    <definedName name="Bata_Merah" localSheetId="5">[13]BAHAN!#REF!</definedName>
    <definedName name="Bata_Merah" localSheetId="6">[13]BAHAN!#REF!</definedName>
    <definedName name="Bata_Merah" localSheetId="7">[13]BAHAN!#REF!</definedName>
    <definedName name="Bata_Merah" localSheetId="8">[13]BAHAN!#REF!</definedName>
    <definedName name="Bata_Merah">[13]BAHAN!#REF!</definedName>
    <definedName name="Bata_Merah_Bakar" localSheetId="10">[13]BAHAN!#REF!</definedName>
    <definedName name="Bata_Merah_Bakar" localSheetId="5">[13]BAHAN!#REF!</definedName>
    <definedName name="Bata_Merah_Bakar" localSheetId="6">[13]BAHAN!#REF!</definedName>
    <definedName name="Bata_Merah_Bakar" localSheetId="7">[13]BAHAN!#REF!</definedName>
    <definedName name="Bata_Merah_Bakar" localSheetId="8">[13]BAHAN!#REF!</definedName>
    <definedName name="Bata_Merah_Bakar">[13]BAHAN!#REF!</definedName>
    <definedName name="Batu_Kali" localSheetId="10">[13]BAHAN!#REF!</definedName>
    <definedName name="Batu_Kali" localSheetId="5">[13]BAHAN!#REF!</definedName>
    <definedName name="Batu_Kali" localSheetId="6">[13]BAHAN!#REF!</definedName>
    <definedName name="Batu_Kali" localSheetId="7">[13]BAHAN!#REF!</definedName>
    <definedName name="Batu_Kali" localSheetId="8">[13]BAHAN!#REF!</definedName>
    <definedName name="Batu_Kali">[13]BAHAN!#REF!</definedName>
    <definedName name="Batu_Pecah_Mesin_2_3" localSheetId="10">[13]BAHAN!#REF!</definedName>
    <definedName name="Batu_Pecah_Mesin_2_3" localSheetId="5">[13]BAHAN!#REF!</definedName>
    <definedName name="Batu_Pecah_Mesin_2_3" localSheetId="6">[13]BAHAN!#REF!</definedName>
    <definedName name="Batu_Pecah_Mesin_2_3" localSheetId="7">[13]BAHAN!#REF!</definedName>
    <definedName name="Batu_Pecah_Mesin_2_3" localSheetId="8">[13]BAHAN!#REF!</definedName>
    <definedName name="Batu_Pecah_Mesin_2_3">[13]BAHAN!#REF!</definedName>
    <definedName name="bb" localSheetId="10">#REF!</definedName>
    <definedName name="bb" localSheetId="5">#REF!</definedName>
    <definedName name="bb" localSheetId="6">#REF!</definedName>
    <definedName name="bb" localSheetId="7">#REF!</definedName>
    <definedName name="bb" localSheetId="8">#REF!</definedName>
    <definedName name="bb">#REF!</definedName>
    <definedName name="bh" localSheetId="10">#REF!</definedName>
    <definedName name="bh" localSheetId="5">#REF!</definedName>
    <definedName name="bh" localSheetId="6">#REF!</definedName>
    <definedName name="bh" localSheetId="7">#REF!</definedName>
    <definedName name="bh" localSheetId="8">#REF!</definedName>
    <definedName name="bh">#REF!</definedName>
    <definedName name="bhjilkguyil" localSheetId="10">#REF!</definedName>
    <definedName name="bhjilkguyil" localSheetId="5">#REF!</definedName>
    <definedName name="bhjilkguyil" localSheetId="6">#REF!</definedName>
    <definedName name="bhjilkguyil" localSheetId="7">#REF!</definedName>
    <definedName name="bhjilkguyil" localSheetId="8">#REF!</definedName>
    <definedName name="bhjilkguyil">#REF!</definedName>
    <definedName name="BI" localSheetId="10">#REF!</definedName>
    <definedName name="BI" localSheetId="5">#REF!</definedName>
    <definedName name="BI" localSheetId="6">#REF!</definedName>
    <definedName name="BI" localSheetId="7">#REF!</definedName>
    <definedName name="BI" localSheetId="8">#REF!</definedName>
    <definedName name="BI">#REF!</definedName>
    <definedName name="BII" localSheetId="10">#REF!</definedName>
    <definedName name="BII" localSheetId="5">#REF!</definedName>
    <definedName name="BII" localSheetId="6">#REF!</definedName>
    <definedName name="BII" localSheetId="7">#REF!</definedName>
    <definedName name="BII" localSheetId="8">#REF!</definedName>
    <definedName name="BII">#REF!</definedName>
    <definedName name="BIII" localSheetId="10">#REF!</definedName>
    <definedName name="BIII" localSheetId="5">#REF!</definedName>
    <definedName name="BIII" localSheetId="6">#REF!</definedName>
    <definedName name="BIII" localSheetId="7">#REF!</definedName>
    <definedName name="BIII" localSheetId="8">#REF!</definedName>
    <definedName name="BIII">#REF!</definedName>
    <definedName name="BIV" localSheetId="10">#REF!</definedName>
    <definedName name="BIV" localSheetId="5">#REF!</definedName>
    <definedName name="BIV" localSheetId="6">#REF!</definedName>
    <definedName name="BIV" localSheetId="7">#REF!</definedName>
    <definedName name="BIV" localSheetId="8">#REF!</definedName>
    <definedName name="BIV">#REF!</definedName>
    <definedName name="bU" localSheetId="10">#REF!</definedName>
    <definedName name="bU" localSheetId="5">#REF!</definedName>
    <definedName name="bU" localSheetId="6">#REF!</definedName>
    <definedName name="bU" localSheetId="7">#REF!</definedName>
    <definedName name="bU" localSheetId="8">#REF!</definedName>
    <definedName name="bU">#REF!</definedName>
    <definedName name="Bulan2" localSheetId="10">#REF!</definedName>
    <definedName name="Bulan2" localSheetId="5">#REF!</definedName>
    <definedName name="Bulan2" localSheetId="6">#REF!</definedName>
    <definedName name="Bulan2" localSheetId="7">#REF!</definedName>
    <definedName name="Bulan2" localSheetId="8">#REF!</definedName>
    <definedName name="Bulan2">#REF!</definedName>
    <definedName name="bunga">'[26]Informasi Umum'!$H$41</definedName>
    <definedName name="BV" localSheetId="10">#REF!</definedName>
    <definedName name="BV" localSheetId="5">#REF!</definedName>
    <definedName name="BV" localSheetId="6">#REF!</definedName>
    <definedName name="BV" localSheetId="7">#REF!</definedName>
    <definedName name="BV" localSheetId="8">#REF!</definedName>
    <definedName name="BV">#REF!</definedName>
    <definedName name="BVI" localSheetId="10">#REF!</definedName>
    <definedName name="BVI" localSheetId="5">#REF!</definedName>
    <definedName name="BVI" localSheetId="6">#REF!</definedName>
    <definedName name="BVI" localSheetId="7">#REF!</definedName>
    <definedName name="BVI" localSheetId="8">#REF!</definedName>
    <definedName name="BVI">#REF!</definedName>
    <definedName name="BVII" localSheetId="10">#REF!</definedName>
    <definedName name="BVII" localSheetId="5">#REF!</definedName>
    <definedName name="BVII" localSheetId="6">#REF!</definedName>
    <definedName name="BVII" localSheetId="7">#REF!</definedName>
    <definedName name="BVII" localSheetId="8">#REF!</definedName>
    <definedName name="BVII">#REF!</definedName>
    <definedName name="BVIII" localSheetId="10">#REF!</definedName>
    <definedName name="BVIII" localSheetId="5">#REF!</definedName>
    <definedName name="BVIII" localSheetId="6">#REF!</definedName>
    <definedName name="BVIII" localSheetId="7">#REF!</definedName>
    <definedName name="BVIII" localSheetId="8">#REF!</definedName>
    <definedName name="BVIII">#REF!</definedName>
    <definedName name="C_10">'[29]ANALISA PEK.UMUM'!$G$408</definedName>
    <definedName name="C_18">'[29]ANALISA PEK.UMUM'!$G$508</definedName>
    <definedName name="C_19">'[13]ANALISA PEK.UMUM'!$G$523</definedName>
    <definedName name="C_2">'[29]ANALISA PEK.UMUM'!$G$304</definedName>
    <definedName name="C_20">'[29]ANALISA PEK.UMUM'!$G$536</definedName>
    <definedName name="C_21">'[13]ANALISA PEK.UMUM'!$G$551</definedName>
    <definedName name="C_22">'[29]ANALISA PEK.UMUM'!$G$563</definedName>
    <definedName name="C_3">'[29]ANALISA PEK.UMUM'!$G$318</definedName>
    <definedName name="C_4">'[29]ANALISA PEK.UMUM'!$G$332</definedName>
    <definedName name="C_5">'[13]ANALISA PEK.UMUM'!$G$347</definedName>
    <definedName name="C_6">'[13]ANALISA PEK.UMUM'!$G$359</definedName>
    <definedName name="C_6\" localSheetId="10">'[13]ANALISA PEK.UMUM'!#REF!</definedName>
    <definedName name="C_6\" localSheetId="5">'[13]ANALISA PEK.UMUM'!#REF!</definedName>
    <definedName name="C_6\" localSheetId="6">'[13]ANALISA PEK.UMUM'!#REF!</definedName>
    <definedName name="C_6\" localSheetId="7">'[13]ANALISA PEK.UMUM'!#REF!</definedName>
    <definedName name="C_6\" localSheetId="8">'[13]ANALISA PEK.UMUM'!#REF!</definedName>
    <definedName name="C_6\">'[13]ANALISA PEK.UMUM'!#REF!</definedName>
    <definedName name="C_7">'[13]ANALISA PEK.UMUM'!$G$371</definedName>
    <definedName name="C_8">'[13]ANALISA PEK.UMUM'!$G$383</definedName>
    <definedName name="C_9">'[29]ANALISA PEK.UMUM'!$G$395</definedName>
    <definedName name="Capex_opt_Amort" localSheetId="10">[30]Capex!#REF!</definedName>
    <definedName name="Capex_opt_Amort" localSheetId="5">[30]Capex!#REF!</definedName>
    <definedName name="Capex_opt_Amort" localSheetId="6">[30]Capex!#REF!</definedName>
    <definedName name="Capex_opt_Amort" localSheetId="7">[30]Capex!#REF!</definedName>
    <definedName name="Capex_opt_Amort" localSheetId="8">[30]Capex!#REF!</definedName>
    <definedName name="Capex_opt_Amort">[30]Capex!#REF!</definedName>
    <definedName name="Capex_opt_Amort1" localSheetId="10">[31]Capex!#REF!</definedName>
    <definedName name="Capex_opt_Amort1" localSheetId="5">[31]Capex!#REF!</definedName>
    <definedName name="Capex_opt_Amort1" localSheetId="6">[31]Capex!#REF!</definedName>
    <definedName name="Capex_opt_Amort1" localSheetId="7">[31]Capex!#REF!</definedName>
    <definedName name="Capex_opt_Amort1" localSheetId="8">[31]Capex!#REF!</definedName>
    <definedName name="Capex_opt_Amort1">[31]Capex!#REF!</definedName>
    <definedName name="Cat_Besi_Glotex" localSheetId="10">[13]BAHAN!#REF!</definedName>
    <definedName name="Cat_Besi_Glotex" localSheetId="5">[13]BAHAN!#REF!</definedName>
    <definedName name="Cat_Besi_Glotex" localSheetId="6">[13]BAHAN!#REF!</definedName>
    <definedName name="Cat_Besi_Glotex" localSheetId="7">[13]BAHAN!#REF!</definedName>
    <definedName name="Cat_Besi_Glotex" localSheetId="8">[13]BAHAN!#REF!</definedName>
    <definedName name="Cat_Besi_Glotex">[13]BAHAN!#REF!</definedName>
    <definedName name="Cat_Kayu_Glotex" localSheetId="10">[13]BAHAN!#REF!</definedName>
    <definedName name="Cat_Kayu_Glotex" localSheetId="5">[13]BAHAN!#REF!</definedName>
    <definedName name="Cat_Kayu_Glotex" localSheetId="6">[13]BAHAN!#REF!</definedName>
    <definedName name="Cat_Kayu_Glotex" localSheetId="7">[13]BAHAN!#REF!</definedName>
    <definedName name="Cat_Kayu_Glotex" localSheetId="8">[13]BAHAN!#REF!</definedName>
    <definedName name="Cat_Kayu_Glotex">[13]BAHAN!#REF!</definedName>
    <definedName name="cc" localSheetId="10">#REF!</definedName>
    <definedName name="cc" localSheetId="5">#REF!</definedName>
    <definedName name="cc" localSheetId="6">#REF!</definedName>
    <definedName name="cc" localSheetId="7">#REF!</definedName>
    <definedName name="cc" localSheetId="8">#REF!</definedName>
    <definedName name="cc">#REF!</definedName>
    <definedName name="cfghjfyu" localSheetId="10">#REF!</definedName>
    <definedName name="cfghjfyu" localSheetId="5">#REF!</definedName>
    <definedName name="cfghjfyu" localSheetId="6">#REF!</definedName>
    <definedName name="cfghjfyu" localSheetId="7">#REF!</definedName>
    <definedName name="cfghjfyu" localSheetId="8">#REF!</definedName>
    <definedName name="cfghjfyu">#REF!</definedName>
    <definedName name="ches">[32]Analisa!$A$2596:$I$2606</definedName>
    <definedName name="Clam" localSheetId="10">#REF!</definedName>
    <definedName name="Clam" localSheetId="5">#REF!</definedName>
    <definedName name="Clam" localSheetId="6">#REF!</definedName>
    <definedName name="Clam" localSheetId="7">#REF!</definedName>
    <definedName name="Clam" localSheetId="8">#REF!</definedName>
    <definedName name="Clam">#REF!</definedName>
    <definedName name="Coating" localSheetId="10">#REF!</definedName>
    <definedName name="Coating" localSheetId="5">#REF!</definedName>
    <definedName name="Coating" localSheetId="6">#REF!</definedName>
    <definedName name="Coating" localSheetId="7">#REF!</definedName>
    <definedName name="Coating" localSheetId="8">#REF!</definedName>
    <definedName name="Coating">#REF!</definedName>
    <definedName name="coba" hidden="1">'[33]SITE-E'!$AI$33:$AI$144</definedName>
    <definedName name="Code" localSheetId="10">#REF!</definedName>
    <definedName name="Code" localSheetId="5">#REF!</definedName>
    <definedName name="Code" localSheetId="6">#REF!</definedName>
    <definedName name="Code" localSheetId="7">#REF!</definedName>
    <definedName name="Code" localSheetId="8">#REF!</definedName>
    <definedName name="Code">#REF!</definedName>
    <definedName name="comp">'[23]Harga Satuan Alat'!$I$12</definedName>
    <definedName name="concr">'[17]Analisa Alat'!$V$26</definedName>
    <definedName name="Consumable_mate" localSheetId="10">#REF!</definedName>
    <definedName name="Consumable_mate" localSheetId="5">#REF!</definedName>
    <definedName name="Consumable_mate" localSheetId="6">#REF!</definedName>
    <definedName name="Consumable_mate" localSheetId="7">#REF!</definedName>
    <definedName name="Consumable_mate" localSheetId="8">#REF!</definedName>
    <definedName name="Consumable_mate">#REF!</definedName>
    <definedName name="Consumable_tool" localSheetId="10">#REF!</definedName>
    <definedName name="Consumable_tool" localSheetId="5">#REF!</definedName>
    <definedName name="Consumable_tool" localSheetId="6">#REF!</definedName>
    <definedName name="Consumable_tool" localSheetId="7">#REF!</definedName>
    <definedName name="Consumable_tool" localSheetId="8">#REF!</definedName>
    <definedName name="Consumable_tool">#REF!</definedName>
    <definedName name="COVER." localSheetId="10">'[34]AN-K'!#REF!</definedName>
    <definedName name="COVER." localSheetId="5">'[34]AN-K'!#REF!</definedName>
    <definedName name="COVER." localSheetId="6">'[34]AN-K'!#REF!</definedName>
    <definedName name="COVER." localSheetId="7">'[34]AN-K'!#REF!</definedName>
    <definedName name="COVER." localSheetId="8">'[34]AN-K'!#REF!</definedName>
    <definedName name="COVER.">'[34]AN-K'!#REF!</definedName>
    <definedName name="crane">'[17]Analisa Alat'!$V$27</definedName>
    <definedName name="Cutting_Pipe" localSheetId="10">#REF!</definedName>
    <definedName name="Cutting_Pipe" localSheetId="5">#REF!</definedName>
    <definedName name="Cutting_Pipe" localSheetId="6">#REF!</definedName>
    <definedName name="Cutting_Pipe" localSheetId="7">#REF!</definedName>
    <definedName name="Cutting_Pipe" localSheetId="8">#REF!</definedName>
    <definedName name="Cutting_Pipe">#REF!</definedName>
    <definedName name="Cutting_Wheel" localSheetId="10">#REF!</definedName>
    <definedName name="Cutting_Wheel" localSheetId="5">#REF!</definedName>
    <definedName name="Cutting_Wheel" localSheetId="6">#REF!</definedName>
    <definedName name="Cutting_Wheel" localSheetId="7">#REF!</definedName>
    <definedName name="Cutting_Wheel" localSheetId="8">#REF!</definedName>
    <definedName name="Cutting_Wheel">#REF!</definedName>
    <definedName name="D" localSheetId="10">'[13]ANALISA PEK.UMUM'!#REF!</definedName>
    <definedName name="D" localSheetId="5">'[13]ANALISA PEK.UMUM'!#REF!</definedName>
    <definedName name="D" localSheetId="6">'[13]ANALISA PEK.UMUM'!#REF!</definedName>
    <definedName name="D" localSheetId="7">'[13]ANALISA PEK.UMUM'!#REF!</definedName>
    <definedName name="D" localSheetId="8">'[13]ANALISA PEK.UMUM'!#REF!</definedName>
    <definedName name="D">'[13]ANALISA PEK.UMUM'!#REF!</definedName>
    <definedName name="D_2r" localSheetId="10">'[13]ANALISA PEK.UMUM'!#REF!</definedName>
    <definedName name="D_2r" localSheetId="5">'[13]ANALISA PEK.UMUM'!#REF!</definedName>
    <definedName name="D_2r" localSheetId="6">'[13]ANALISA PEK.UMUM'!#REF!</definedName>
    <definedName name="D_2r" localSheetId="7">'[13]ANALISA PEK.UMUM'!#REF!</definedName>
    <definedName name="D_2r" localSheetId="8">'[13]ANALISA PEK.UMUM'!#REF!</definedName>
    <definedName name="D_2r">'[13]ANALISA PEK.UMUM'!#REF!</definedName>
    <definedName name="DAERAH" localSheetId="10">#REF!</definedName>
    <definedName name="DAERAH" localSheetId="5">#REF!</definedName>
    <definedName name="DAERAH" localSheetId="6">#REF!</definedName>
    <definedName name="DAERAH" localSheetId="7">#REF!</definedName>
    <definedName name="DAERAH" localSheetId="8">#REF!</definedName>
    <definedName name="DAERAH">#REF!</definedName>
    <definedName name="Daf_Analisa" localSheetId="10">#REF!</definedName>
    <definedName name="Daf_Analisa" localSheetId="5">#REF!</definedName>
    <definedName name="Daf_Analisa" localSheetId="6">#REF!</definedName>
    <definedName name="Daf_Analisa" localSheetId="7">#REF!</definedName>
    <definedName name="Daf_Analisa" localSheetId="8">#REF!</definedName>
    <definedName name="Daf_Analisa">#REF!</definedName>
    <definedName name="Daftar_Kuantitas" localSheetId="10">#REF!</definedName>
    <definedName name="Daftar_Kuantitas" localSheetId="5">#REF!</definedName>
    <definedName name="Daftar_Kuantitas" localSheetId="6">#REF!</definedName>
    <definedName name="Daftar_Kuantitas" localSheetId="7">#REF!</definedName>
    <definedName name="Daftar_Kuantitas" localSheetId="8">#REF!</definedName>
    <definedName name="Daftar_Kuantitas">#REF!</definedName>
    <definedName name="DARA" localSheetId="10">#REF!</definedName>
    <definedName name="DARA" localSheetId="5">#REF!</definedName>
    <definedName name="DARA" localSheetId="6">#REF!</definedName>
    <definedName name="DARA" localSheetId="7">#REF!</definedName>
    <definedName name="DARA" localSheetId="8">#REF!</definedName>
    <definedName name="DARA">#REF!</definedName>
    <definedName name="data" localSheetId="10">#REF!</definedName>
    <definedName name="data" localSheetId="5">#REF!</definedName>
    <definedName name="data" localSheetId="6">#REF!</definedName>
    <definedName name="data" localSheetId="7">#REF!</definedName>
    <definedName name="data" localSheetId="8">#REF!</definedName>
    <definedName name="data">#REF!</definedName>
    <definedName name="data64" localSheetId="10">#REF!</definedName>
    <definedName name="data64" localSheetId="5">#REF!</definedName>
    <definedName name="data64" localSheetId="6">#REF!</definedName>
    <definedName name="data64" localSheetId="7">#REF!</definedName>
    <definedName name="data64" localSheetId="8">#REF!</definedName>
    <definedName name="data64">#REF!</definedName>
    <definedName name="DD" localSheetId="10">#REF!</definedName>
    <definedName name="DD" localSheetId="5">#REF!</definedName>
    <definedName name="DD" localSheetId="6">#REF!</definedName>
    <definedName name="DD" localSheetId="7">#REF!</definedName>
    <definedName name="DD" localSheetId="8">#REF!</definedName>
    <definedName name="DD">#REF!</definedName>
    <definedName name="dfdegdg">'[35]Morsip Ht Julu'!$P$118:$T$128</definedName>
    <definedName name="DG" localSheetId="10">#REF!</definedName>
    <definedName name="DG" localSheetId="5">#REF!</definedName>
    <definedName name="DG" localSheetId="6">#REF!</definedName>
    <definedName name="DG" localSheetId="7">#REF!</definedName>
    <definedName name="DG" localSheetId="8">#REF!</definedName>
    <definedName name="DG">#REF!</definedName>
    <definedName name="dhi" localSheetId="10">#REF!</definedName>
    <definedName name="dhi" localSheetId="5">#REF!</definedName>
    <definedName name="dhi" localSheetId="6">#REF!</definedName>
    <definedName name="dhi" localSheetId="7">#REF!</definedName>
    <definedName name="dhi" localSheetId="8">#REF!</definedName>
    <definedName name="dhi">#REF!</definedName>
    <definedName name="Dibulatkan" localSheetId="10">'[13]ANALISA PEK.UMUM'!#REF!</definedName>
    <definedName name="Dibulatkan" localSheetId="5">'[13]ANALISA PEK.UMUM'!#REF!</definedName>
    <definedName name="Dibulatkan" localSheetId="6">'[13]ANALISA PEK.UMUM'!#REF!</definedName>
    <definedName name="Dibulatkan" localSheetId="7">'[13]ANALISA PEK.UMUM'!#REF!</definedName>
    <definedName name="Dibulatkan" localSheetId="8">'[13]ANALISA PEK.UMUM'!#REF!</definedName>
    <definedName name="Dibulatkan">'[13]ANALISA PEK.UMUM'!#REF!</definedName>
    <definedName name="DIHIT_FOOT" localSheetId="10">'[13]ANALISA PEK.UMUM'!#REF!</definedName>
    <definedName name="DIHIT_FOOT" localSheetId="5">'[13]ANALISA PEK.UMUM'!#REF!</definedName>
    <definedName name="DIHIT_FOOT" localSheetId="6">'[13]ANALISA PEK.UMUM'!#REF!</definedName>
    <definedName name="DIHIT_FOOT" localSheetId="7">'[13]ANALISA PEK.UMUM'!#REF!</definedName>
    <definedName name="DIHIT_FOOT" localSheetId="8">'[13]ANALISA PEK.UMUM'!#REF!</definedName>
    <definedName name="DIHIT_FOOT">'[13]ANALISA PEK.UMUM'!#REF!</definedName>
    <definedName name="dihit3" localSheetId="10">[36]analisa!#REF!</definedName>
    <definedName name="dihit3" localSheetId="5">[36]analisa!#REF!</definedName>
    <definedName name="dihit3" localSheetId="6">[36]analisa!#REF!</definedName>
    <definedName name="dihit3" localSheetId="7">[36]analisa!#REF!</definedName>
    <definedName name="dihit3" localSheetId="8">[36]analisa!#REF!</definedName>
    <definedName name="dihit3">[36]analisa!#REF!</definedName>
    <definedName name="dir" localSheetId="10">#REF!</definedName>
    <definedName name="dir" localSheetId="5">#REF!</definedName>
    <definedName name="dir" localSheetId="6">#REF!</definedName>
    <definedName name="dir" localSheetId="7">#REF!</definedName>
    <definedName name="dir" localSheetId="8">#REF!</definedName>
    <definedName name="dir">#REF!</definedName>
    <definedName name="dire">'[26]Kuant dan Harga'!$B$57</definedName>
    <definedName name="DO" localSheetId="10">[2]inst1!#REF!</definedName>
    <definedName name="DO" localSheetId="5">[2]inst1!#REF!</definedName>
    <definedName name="DO" localSheetId="6">[2]inst1!#REF!</definedName>
    <definedName name="DO" localSheetId="7">[2]inst1!#REF!</definedName>
    <definedName name="DO" localSheetId="8">[2]inst1!#REF!</definedName>
    <definedName name="DO">[2]inst1!#REF!</definedName>
    <definedName name="Dolken_5_7" localSheetId="10">[13]BAHAN!#REF!</definedName>
    <definedName name="Dolken_5_7" localSheetId="5">[13]BAHAN!#REF!</definedName>
    <definedName name="Dolken_5_7" localSheetId="6">[13]BAHAN!#REF!</definedName>
    <definedName name="Dolken_5_7" localSheetId="7">[13]BAHAN!#REF!</definedName>
    <definedName name="Dolken_5_7" localSheetId="8">[13]BAHAN!#REF!</definedName>
    <definedName name="Dolken_5_7">[13]BAHAN!#REF!</definedName>
    <definedName name="Dolken_7_10" localSheetId="10">[13]BAHAN!#REF!</definedName>
    <definedName name="Dolken_7_10" localSheetId="5">[13]BAHAN!#REF!</definedName>
    <definedName name="Dolken_7_10" localSheetId="6">[13]BAHAN!#REF!</definedName>
    <definedName name="Dolken_7_10" localSheetId="7">[13]BAHAN!#REF!</definedName>
    <definedName name="Dolken_7_10" localSheetId="8">[13]BAHAN!#REF!</definedName>
    <definedName name="Dolken_7_10">[13]BAHAN!#REF!</definedName>
    <definedName name="DOOO" localSheetId="10">#REF!</definedName>
    <definedName name="DOOO" localSheetId="5">#REF!</definedName>
    <definedName name="DOOO" localSheetId="6">#REF!</definedName>
    <definedName name="DOOO" localSheetId="7">#REF!</definedName>
    <definedName name="DOOO" localSheetId="8">#REF!</definedName>
    <definedName name="DOOO">#REF!</definedName>
    <definedName name="dot" localSheetId="10" hidden="1">#REF!</definedName>
    <definedName name="dot" localSheetId="5" hidden="1">#REF!</definedName>
    <definedName name="dot" localSheetId="6" hidden="1">#REF!</definedName>
    <definedName name="dot" localSheetId="7" hidden="1">#REF!</definedName>
    <definedName name="dot" localSheetId="8" hidden="1">#REF!</definedName>
    <definedName name="dot" hidden="1">#REF!</definedName>
    <definedName name="dozer">'[23]Harga Satuan Alat'!$I$11</definedName>
    <definedName name="Drilling" localSheetId="10">#REF!</definedName>
    <definedName name="Drilling" localSheetId="5">#REF!</definedName>
    <definedName name="Drilling" localSheetId="6">#REF!</definedName>
    <definedName name="Drilling" localSheetId="7">#REF!</definedName>
    <definedName name="Drilling" localSheetId="8">#REF!</definedName>
    <definedName name="Drilling">#REF!</definedName>
    <definedName name="driver">'[26]Satuan Upah'!$G$25</definedName>
    <definedName name="DSFS" localSheetId="10">#REF!</definedName>
    <definedName name="DSFS" localSheetId="5">#REF!</definedName>
    <definedName name="DSFS" localSheetId="6">#REF!</definedName>
    <definedName name="DSFS" localSheetId="7">#REF!</definedName>
    <definedName name="DSFS" localSheetId="8">#REF!</definedName>
    <definedName name="DSFS">#REF!</definedName>
    <definedName name="dump">'[23]Harga Satuan Alat'!$I$16</definedName>
    <definedName name="dw" localSheetId="10">[2]inst1!#REF!</definedName>
    <definedName name="dw" localSheetId="5">[2]inst1!#REF!</definedName>
    <definedName name="dw" localSheetId="6">[2]inst1!#REF!</definedName>
    <definedName name="dw" localSheetId="7">[2]inst1!#REF!</definedName>
    <definedName name="dw" localSheetId="8">[2]inst1!#REF!</definedName>
    <definedName name="dw">[2]inst1!#REF!</definedName>
    <definedName name="ee" localSheetId="10">#REF!</definedName>
    <definedName name="ee" localSheetId="5">#REF!</definedName>
    <definedName name="ee" localSheetId="6">#REF!</definedName>
    <definedName name="ee" localSheetId="7">#REF!</definedName>
    <definedName name="ee" localSheetId="8">#REF!</definedName>
    <definedName name="ee">#REF!</definedName>
    <definedName name="exc">'[23]Harga Satuan Alat'!$I$17</definedName>
    <definedName name="F.9" localSheetId="10">'[15]AN-K'!#REF!</definedName>
    <definedName name="F.9" localSheetId="5">'[15]AN-K'!#REF!</definedName>
    <definedName name="F.9" localSheetId="6">'[15]AN-K'!#REF!</definedName>
    <definedName name="F.9" localSheetId="7">'[15]AN-K'!#REF!</definedName>
    <definedName name="F.9" localSheetId="8">'[15]AN-K'!#REF!</definedName>
    <definedName name="F.9">'[15]AN-K'!#REF!</definedName>
    <definedName name="FD" localSheetId="10">#REF!</definedName>
    <definedName name="FD" localSheetId="5">#REF!</definedName>
    <definedName name="FD" localSheetId="6">#REF!</definedName>
    <definedName name="FD" localSheetId="7">#REF!</definedName>
    <definedName name="FD" localSheetId="8">#REF!</definedName>
    <definedName name="FD">#REF!</definedName>
    <definedName name="fery" localSheetId="10">#REF!</definedName>
    <definedName name="fery" localSheetId="5">#REF!</definedName>
    <definedName name="fery" localSheetId="6">#REF!</definedName>
    <definedName name="fery" localSheetId="7">#REF!</definedName>
    <definedName name="fery" localSheetId="8">#REF!</definedName>
    <definedName name="fery">#REF!</definedName>
    <definedName name="ff" localSheetId="10" hidden="1">#REF!</definedName>
    <definedName name="ff" localSheetId="5" hidden="1">#REF!</definedName>
    <definedName name="ff" localSheetId="6" hidden="1">#REF!</definedName>
    <definedName name="ff" localSheetId="7" hidden="1">#REF!</definedName>
    <definedName name="ff" localSheetId="8" hidden="1">#REF!</definedName>
    <definedName name="ff" hidden="1">#REF!</definedName>
    <definedName name="fh" localSheetId="10">#REF!</definedName>
    <definedName name="fh" localSheetId="5">#REF!</definedName>
    <definedName name="fh" localSheetId="6">#REF!</definedName>
    <definedName name="fh" localSheetId="7">#REF!</definedName>
    <definedName name="fh" localSheetId="8">#REF!</definedName>
    <definedName name="fh">#REF!</definedName>
    <definedName name="finis">'[23]Harga Satuan Alat'!$I$9</definedName>
    <definedName name="Flincote" localSheetId="10">[13]BAHAN!#REF!</definedName>
    <definedName name="Flincote" localSheetId="5">[13]BAHAN!#REF!</definedName>
    <definedName name="Flincote" localSheetId="6">[13]BAHAN!#REF!</definedName>
    <definedName name="Flincote" localSheetId="7">[13]BAHAN!#REF!</definedName>
    <definedName name="Flincote" localSheetId="8">[13]BAHAN!#REF!</definedName>
    <definedName name="Flincote">[13]BAHAN!#REF!</definedName>
    <definedName name="FORM21" localSheetId="10">#REF!</definedName>
    <definedName name="FORM21" localSheetId="5">#REF!</definedName>
    <definedName name="FORM21" localSheetId="6">#REF!</definedName>
    <definedName name="FORM21" localSheetId="7">#REF!</definedName>
    <definedName name="FORM21" localSheetId="8">#REF!</definedName>
    <definedName name="FORM21">#REF!</definedName>
    <definedName name="FORM22E" localSheetId="10">#REF!</definedName>
    <definedName name="FORM22E" localSheetId="5">#REF!</definedName>
    <definedName name="FORM22E" localSheetId="6">#REF!</definedName>
    <definedName name="FORM22E" localSheetId="7">#REF!</definedName>
    <definedName name="FORM22E" localSheetId="8">#REF!</definedName>
    <definedName name="FORM22E">#REF!</definedName>
    <definedName name="FORM22L" localSheetId="10">#REF!</definedName>
    <definedName name="FORM22L" localSheetId="5">#REF!</definedName>
    <definedName name="FORM22L" localSheetId="6">#REF!</definedName>
    <definedName name="FORM22L" localSheetId="7">#REF!</definedName>
    <definedName name="FORM22L" localSheetId="8">#REF!</definedName>
    <definedName name="FORM22L">#REF!</definedName>
    <definedName name="FORM231" localSheetId="10">#REF!</definedName>
    <definedName name="FORM231" localSheetId="5">#REF!</definedName>
    <definedName name="FORM231" localSheetId="6">#REF!</definedName>
    <definedName name="FORM231" localSheetId="7">#REF!</definedName>
    <definedName name="FORM231" localSheetId="8">#REF!</definedName>
    <definedName name="FORM231">#REF!</definedName>
    <definedName name="FORM232" localSheetId="10">#REF!</definedName>
    <definedName name="FORM232" localSheetId="5">#REF!</definedName>
    <definedName name="FORM232" localSheetId="6">#REF!</definedName>
    <definedName name="FORM232" localSheetId="7">#REF!</definedName>
    <definedName name="FORM232" localSheetId="8">#REF!</definedName>
    <definedName name="FORM232">#REF!</definedName>
    <definedName name="FORM233" localSheetId="10">#REF!</definedName>
    <definedName name="FORM233" localSheetId="5">#REF!</definedName>
    <definedName name="FORM233" localSheetId="6">#REF!</definedName>
    <definedName name="FORM233" localSheetId="7">#REF!</definedName>
    <definedName name="FORM233" localSheetId="8">#REF!</definedName>
    <definedName name="FORM233">#REF!</definedName>
    <definedName name="Form234" localSheetId="10">#REF!</definedName>
    <definedName name="Form234" localSheetId="5">#REF!</definedName>
    <definedName name="Form234" localSheetId="6">#REF!</definedName>
    <definedName name="Form234" localSheetId="7">#REF!</definedName>
    <definedName name="Form234" localSheetId="8">#REF!</definedName>
    <definedName name="Form234">#REF!</definedName>
    <definedName name="Form235" localSheetId="10">#REF!</definedName>
    <definedName name="Form235" localSheetId="5">#REF!</definedName>
    <definedName name="Form235" localSheetId="6">#REF!</definedName>
    <definedName name="Form235" localSheetId="7">#REF!</definedName>
    <definedName name="Form235" localSheetId="8">#REF!</definedName>
    <definedName name="Form235">#REF!</definedName>
    <definedName name="Form236" localSheetId="10">#REF!</definedName>
    <definedName name="Form236" localSheetId="5">#REF!</definedName>
    <definedName name="Form236" localSheetId="6">#REF!</definedName>
    <definedName name="Form236" localSheetId="7">#REF!</definedName>
    <definedName name="Form236" localSheetId="8">#REF!</definedName>
    <definedName name="Form236">#REF!</definedName>
    <definedName name="FORM241" localSheetId="10">#REF!</definedName>
    <definedName name="FORM241" localSheetId="5">#REF!</definedName>
    <definedName name="FORM241" localSheetId="6">#REF!</definedName>
    <definedName name="FORM241" localSheetId="7">#REF!</definedName>
    <definedName name="FORM241" localSheetId="8">#REF!</definedName>
    <definedName name="FORM241">#REF!</definedName>
    <definedName name="FORM242" localSheetId="10">#REF!</definedName>
    <definedName name="FORM242" localSheetId="5">#REF!</definedName>
    <definedName name="FORM242" localSheetId="6">#REF!</definedName>
    <definedName name="FORM242" localSheetId="7">#REF!</definedName>
    <definedName name="FORM242" localSheetId="8">#REF!</definedName>
    <definedName name="FORM242">#REF!</definedName>
    <definedName name="FORM243" localSheetId="10">#REF!</definedName>
    <definedName name="FORM243" localSheetId="5">#REF!</definedName>
    <definedName name="FORM243" localSheetId="6">#REF!</definedName>
    <definedName name="FORM243" localSheetId="7">#REF!</definedName>
    <definedName name="FORM243" localSheetId="8">#REF!</definedName>
    <definedName name="FORM243">#REF!</definedName>
    <definedName name="FORM311" localSheetId="10">#REF!</definedName>
    <definedName name="FORM311" localSheetId="5">#REF!</definedName>
    <definedName name="FORM311" localSheetId="6">#REF!</definedName>
    <definedName name="FORM311" localSheetId="7">#REF!</definedName>
    <definedName name="FORM311" localSheetId="8">#REF!</definedName>
    <definedName name="FORM311">#REF!</definedName>
    <definedName name="FORM312" localSheetId="10">#REF!</definedName>
    <definedName name="FORM312" localSheetId="5">#REF!</definedName>
    <definedName name="FORM312" localSheetId="6">#REF!</definedName>
    <definedName name="FORM312" localSheetId="7">#REF!</definedName>
    <definedName name="FORM312" localSheetId="8">#REF!</definedName>
    <definedName name="FORM312">#REF!</definedName>
    <definedName name="FORM313" localSheetId="10">#REF!</definedName>
    <definedName name="FORM313" localSheetId="5">#REF!</definedName>
    <definedName name="FORM313" localSheetId="6">#REF!</definedName>
    <definedName name="FORM313" localSheetId="7">#REF!</definedName>
    <definedName name="FORM313" localSheetId="8">#REF!</definedName>
    <definedName name="FORM313">#REF!</definedName>
    <definedName name="FORM314" localSheetId="10">#REF!</definedName>
    <definedName name="FORM314" localSheetId="5">#REF!</definedName>
    <definedName name="FORM314" localSheetId="6">#REF!</definedName>
    <definedName name="FORM314" localSheetId="7">#REF!</definedName>
    <definedName name="FORM314" localSheetId="8">#REF!</definedName>
    <definedName name="FORM314">#REF!</definedName>
    <definedName name="FORM315" localSheetId="10">#REF!</definedName>
    <definedName name="FORM315" localSheetId="5">#REF!</definedName>
    <definedName name="FORM315" localSheetId="6">#REF!</definedName>
    <definedName name="FORM315" localSheetId="7">#REF!</definedName>
    <definedName name="FORM315" localSheetId="8">#REF!</definedName>
    <definedName name="FORM315">#REF!</definedName>
    <definedName name="FORM319" localSheetId="10">#REF!</definedName>
    <definedName name="FORM319" localSheetId="5">#REF!</definedName>
    <definedName name="FORM319" localSheetId="6">#REF!</definedName>
    <definedName name="FORM319" localSheetId="7">#REF!</definedName>
    <definedName name="FORM319" localSheetId="8">#REF!</definedName>
    <definedName name="FORM319">#REF!</definedName>
    <definedName name="FORM322" localSheetId="10">#REF!</definedName>
    <definedName name="FORM322" localSheetId="5">#REF!</definedName>
    <definedName name="FORM322" localSheetId="6">#REF!</definedName>
    <definedName name="FORM322" localSheetId="7">#REF!</definedName>
    <definedName name="FORM322" localSheetId="8">#REF!</definedName>
    <definedName name="FORM322">#REF!</definedName>
    <definedName name="FORM323" localSheetId="10">#REF!</definedName>
    <definedName name="FORM323" localSheetId="5">#REF!</definedName>
    <definedName name="FORM323" localSheetId="6">#REF!</definedName>
    <definedName name="FORM323" localSheetId="7">#REF!</definedName>
    <definedName name="FORM323" localSheetId="8">#REF!</definedName>
    <definedName name="FORM323">#REF!</definedName>
    <definedName name="FORM323L" localSheetId="10">#REF!</definedName>
    <definedName name="FORM323L" localSheetId="5">#REF!</definedName>
    <definedName name="FORM323L" localSheetId="6">#REF!</definedName>
    <definedName name="FORM323L" localSheetId="7">#REF!</definedName>
    <definedName name="FORM323L" localSheetId="8">#REF!</definedName>
    <definedName name="FORM323L">#REF!</definedName>
    <definedName name="FORM324" localSheetId="10">#REF!</definedName>
    <definedName name="FORM324" localSheetId="5">#REF!</definedName>
    <definedName name="FORM324" localSheetId="6">#REF!</definedName>
    <definedName name="FORM324" localSheetId="7">#REF!</definedName>
    <definedName name="FORM324" localSheetId="8">#REF!</definedName>
    <definedName name="FORM324">#REF!</definedName>
    <definedName name="FORM331" localSheetId="10">#REF!</definedName>
    <definedName name="FORM331" localSheetId="5">#REF!</definedName>
    <definedName name="FORM331" localSheetId="6">#REF!</definedName>
    <definedName name="FORM331" localSheetId="7">#REF!</definedName>
    <definedName name="FORM331" localSheetId="8">#REF!</definedName>
    <definedName name="FORM331">#REF!</definedName>
    <definedName name="FORM346" localSheetId="10">#REF!</definedName>
    <definedName name="FORM346" localSheetId="5">#REF!</definedName>
    <definedName name="FORM346" localSheetId="6">#REF!</definedName>
    <definedName name="FORM346" localSheetId="7">#REF!</definedName>
    <definedName name="FORM346" localSheetId="8">#REF!</definedName>
    <definedName name="FORM346">#REF!</definedName>
    <definedName name="FORM421" localSheetId="10">#REF!</definedName>
    <definedName name="FORM421" localSheetId="5">#REF!</definedName>
    <definedName name="FORM421" localSheetId="6">#REF!</definedName>
    <definedName name="FORM421" localSheetId="7">#REF!</definedName>
    <definedName name="FORM421" localSheetId="8">#REF!</definedName>
    <definedName name="FORM421">#REF!</definedName>
    <definedName name="FORM422" localSheetId="10">#REF!</definedName>
    <definedName name="FORM422" localSheetId="5">#REF!</definedName>
    <definedName name="FORM422" localSheetId="6">#REF!</definedName>
    <definedName name="FORM422" localSheetId="7">#REF!</definedName>
    <definedName name="FORM422" localSheetId="8">#REF!</definedName>
    <definedName name="FORM422">#REF!</definedName>
    <definedName name="FORM423" localSheetId="10">#REF!</definedName>
    <definedName name="FORM423" localSheetId="5">#REF!</definedName>
    <definedName name="FORM423" localSheetId="6">#REF!</definedName>
    <definedName name="FORM423" localSheetId="7">#REF!</definedName>
    <definedName name="FORM423" localSheetId="8">#REF!</definedName>
    <definedName name="FORM423">#REF!</definedName>
    <definedName name="FORM424" localSheetId="10">#REF!</definedName>
    <definedName name="FORM424" localSheetId="5">#REF!</definedName>
    <definedName name="FORM424" localSheetId="6">#REF!</definedName>
    <definedName name="FORM424" localSheetId="7">#REF!</definedName>
    <definedName name="FORM424" localSheetId="8">#REF!</definedName>
    <definedName name="FORM424">#REF!</definedName>
    <definedName name="FORM425" localSheetId="10">#REF!</definedName>
    <definedName name="FORM425" localSheetId="5">#REF!</definedName>
    <definedName name="FORM425" localSheetId="6">#REF!</definedName>
    <definedName name="FORM425" localSheetId="7">#REF!</definedName>
    <definedName name="FORM425" localSheetId="8">#REF!</definedName>
    <definedName name="FORM425">#REF!</definedName>
    <definedName name="FORM426" localSheetId="10">#REF!</definedName>
    <definedName name="FORM426" localSheetId="5">#REF!</definedName>
    <definedName name="FORM426" localSheetId="6">#REF!</definedName>
    <definedName name="FORM426" localSheetId="7">#REF!</definedName>
    <definedName name="FORM426" localSheetId="8">#REF!</definedName>
    <definedName name="FORM426">#REF!</definedName>
    <definedName name="FORM427" localSheetId="10">#REF!</definedName>
    <definedName name="FORM427" localSheetId="5">#REF!</definedName>
    <definedName name="FORM427" localSheetId="6">#REF!</definedName>
    <definedName name="FORM427" localSheetId="7">#REF!</definedName>
    <definedName name="FORM427" localSheetId="8">#REF!</definedName>
    <definedName name="FORM427">#REF!</definedName>
    <definedName name="FORM511" localSheetId="10">#REF!</definedName>
    <definedName name="FORM511" localSheetId="5">#REF!</definedName>
    <definedName name="FORM511" localSheetId="6">#REF!</definedName>
    <definedName name="FORM511" localSheetId="7">#REF!</definedName>
    <definedName name="FORM511" localSheetId="8">#REF!</definedName>
    <definedName name="FORM511">#REF!</definedName>
    <definedName name="FORM512" localSheetId="10">#REF!</definedName>
    <definedName name="FORM512" localSheetId="5">#REF!</definedName>
    <definedName name="FORM512" localSheetId="6">#REF!</definedName>
    <definedName name="FORM512" localSheetId="7">#REF!</definedName>
    <definedName name="FORM512" localSheetId="8">#REF!</definedName>
    <definedName name="FORM512">#REF!</definedName>
    <definedName name="FORM521" localSheetId="10">#REF!</definedName>
    <definedName name="FORM521" localSheetId="5">#REF!</definedName>
    <definedName name="FORM521" localSheetId="6">#REF!</definedName>
    <definedName name="FORM521" localSheetId="7">#REF!</definedName>
    <definedName name="FORM521" localSheetId="8">#REF!</definedName>
    <definedName name="FORM521">#REF!</definedName>
    <definedName name="FORM522" localSheetId="10">#REF!</definedName>
    <definedName name="FORM522" localSheetId="5">#REF!</definedName>
    <definedName name="FORM522" localSheetId="6">#REF!</definedName>
    <definedName name="FORM522" localSheetId="7">#REF!</definedName>
    <definedName name="FORM522" localSheetId="8">#REF!</definedName>
    <definedName name="FORM522">#REF!</definedName>
    <definedName name="FORM541" localSheetId="10">#REF!</definedName>
    <definedName name="FORM541" localSheetId="5">#REF!</definedName>
    <definedName name="FORM541" localSheetId="6">#REF!</definedName>
    <definedName name="FORM541" localSheetId="7">#REF!</definedName>
    <definedName name="FORM541" localSheetId="8">#REF!</definedName>
    <definedName name="FORM541">#REF!</definedName>
    <definedName name="FORM542" localSheetId="10">#REF!</definedName>
    <definedName name="FORM542" localSheetId="5">#REF!</definedName>
    <definedName name="FORM542" localSheetId="6">#REF!</definedName>
    <definedName name="FORM542" localSheetId="7">#REF!</definedName>
    <definedName name="FORM542" localSheetId="8">#REF!</definedName>
    <definedName name="FORM542">#REF!</definedName>
    <definedName name="FORM611" localSheetId="10">#REF!</definedName>
    <definedName name="FORM611" localSheetId="5">#REF!</definedName>
    <definedName name="FORM611" localSheetId="6">#REF!</definedName>
    <definedName name="FORM611" localSheetId="7">#REF!</definedName>
    <definedName name="FORM611" localSheetId="8">#REF!</definedName>
    <definedName name="FORM611">#REF!</definedName>
    <definedName name="FORM612" localSheetId="10">#REF!</definedName>
    <definedName name="FORM612" localSheetId="5">#REF!</definedName>
    <definedName name="FORM612" localSheetId="6">#REF!</definedName>
    <definedName name="FORM612" localSheetId="7">#REF!</definedName>
    <definedName name="FORM612" localSheetId="8">#REF!</definedName>
    <definedName name="FORM612">#REF!</definedName>
    <definedName name="FORM621" localSheetId="10">#REF!</definedName>
    <definedName name="FORM621" localSheetId="5">#REF!</definedName>
    <definedName name="FORM621" localSheetId="6">#REF!</definedName>
    <definedName name="FORM621" localSheetId="7">#REF!</definedName>
    <definedName name="FORM621" localSheetId="8">#REF!</definedName>
    <definedName name="FORM621">#REF!</definedName>
    <definedName name="FORM622" localSheetId="10">#REF!</definedName>
    <definedName name="FORM622" localSheetId="5">#REF!</definedName>
    <definedName name="FORM622" localSheetId="6">#REF!</definedName>
    <definedName name="FORM622" localSheetId="7">#REF!</definedName>
    <definedName name="FORM622" localSheetId="8">#REF!</definedName>
    <definedName name="FORM622">#REF!</definedName>
    <definedName name="FORM623" localSheetId="10">#REF!</definedName>
    <definedName name="FORM623" localSheetId="5">#REF!</definedName>
    <definedName name="FORM623" localSheetId="6">#REF!</definedName>
    <definedName name="FORM623" localSheetId="7">#REF!</definedName>
    <definedName name="FORM623" localSheetId="8">#REF!</definedName>
    <definedName name="FORM623">#REF!</definedName>
    <definedName name="FORM631" localSheetId="10">#REF!</definedName>
    <definedName name="FORM631" localSheetId="5">#REF!</definedName>
    <definedName name="FORM631" localSheetId="6">#REF!</definedName>
    <definedName name="FORM631" localSheetId="7">#REF!</definedName>
    <definedName name="FORM631" localSheetId="8">#REF!</definedName>
    <definedName name="FORM631">#REF!</definedName>
    <definedName name="FORM632" localSheetId="10">#REF!</definedName>
    <definedName name="FORM632" localSheetId="5">#REF!</definedName>
    <definedName name="FORM632" localSheetId="6">#REF!</definedName>
    <definedName name="FORM632" localSheetId="7">#REF!</definedName>
    <definedName name="FORM632" localSheetId="8">#REF!</definedName>
    <definedName name="FORM632">#REF!</definedName>
    <definedName name="FORM633" localSheetId="10">#REF!</definedName>
    <definedName name="FORM633" localSheetId="5">#REF!</definedName>
    <definedName name="FORM633" localSheetId="6">#REF!</definedName>
    <definedName name="FORM633" localSheetId="7">#REF!</definedName>
    <definedName name="FORM633" localSheetId="8">#REF!</definedName>
    <definedName name="FORM633">#REF!</definedName>
    <definedName name="FORM634" localSheetId="10">#REF!</definedName>
    <definedName name="FORM634" localSheetId="5">#REF!</definedName>
    <definedName name="FORM634" localSheetId="6">#REF!</definedName>
    <definedName name="FORM634" localSheetId="7">#REF!</definedName>
    <definedName name="FORM634" localSheetId="8">#REF!</definedName>
    <definedName name="FORM634">#REF!</definedName>
    <definedName name="FORM635" localSheetId="10">#REF!</definedName>
    <definedName name="FORM635" localSheetId="5">#REF!</definedName>
    <definedName name="FORM635" localSheetId="6">#REF!</definedName>
    <definedName name="FORM635" localSheetId="7">#REF!</definedName>
    <definedName name="FORM635" localSheetId="8">#REF!</definedName>
    <definedName name="FORM635">#REF!</definedName>
    <definedName name="FORM635A" localSheetId="10">#REF!</definedName>
    <definedName name="FORM635A" localSheetId="5">#REF!</definedName>
    <definedName name="FORM635A" localSheetId="6">#REF!</definedName>
    <definedName name="FORM635A" localSheetId="7">#REF!</definedName>
    <definedName name="FORM635A" localSheetId="8">#REF!</definedName>
    <definedName name="FORM635A">#REF!</definedName>
    <definedName name="FORM636" localSheetId="10">#REF!</definedName>
    <definedName name="FORM636" localSheetId="5">#REF!</definedName>
    <definedName name="FORM636" localSheetId="6">#REF!</definedName>
    <definedName name="FORM636" localSheetId="7">#REF!</definedName>
    <definedName name="FORM636" localSheetId="8">#REF!</definedName>
    <definedName name="FORM636">#REF!</definedName>
    <definedName name="FORM641L" localSheetId="10">#REF!</definedName>
    <definedName name="FORM641L" localSheetId="5">#REF!</definedName>
    <definedName name="FORM641L" localSheetId="6">#REF!</definedName>
    <definedName name="FORM641L" localSheetId="7">#REF!</definedName>
    <definedName name="FORM641L" localSheetId="8">#REF!</definedName>
    <definedName name="FORM641L">#REF!</definedName>
    <definedName name="FORM642" localSheetId="10">#REF!</definedName>
    <definedName name="FORM642" localSheetId="5">#REF!</definedName>
    <definedName name="FORM642" localSheetId="6">#REF!</definedName>
    <definedName name="FORM642" localSheetId="7">#REF!</definedName>
    <definedName name="FORM642" localSheetId="8">#REF!</definedName>
    <definedName name="FORM642">#REF!</definedName>
    <definedName name="FORM65" localSheetId="10">#REF!</definedName>
    <definedName name="FORM65" localSheetId="5">#REF!</definedName>
    <definedName name="FORM65" localSheetId="6">#REF!</definedName>
    <definedName name="FORM65" localSheetId="7">#REF!</definedName>
    <definedName name="FORM65" localSheetId="8">#REF!</definedName>
    <definedName name="FORM65">#REF!</definedName>
    <definedName name="FORM66PERATA" localSheetId="10">#REF!</definedName>
    <definedName name="FORM66PERATA" localSheetId="5">#REF!</definedName>
    <definedName name="FORM66PERATA" localSheetId="6">#REF!</definedName>
    <definedName name="FORM66PERATA" localSheetId="7">#REF!</definedName>
    <definedName name="FORM66PERATA" localSheetId="8">#REF!</definedName>
    <definedName name="FORM66PERATA">#REF!</definedName>
    <definedName name="FORM66PERMUKAAN" localSheetId="10">#REF!</definedName>
    <definedName name="FORM66PERMUKAAN" localSheetId="5">#REF!</definedName>
    <definedName name="FORM66PERMUKAAN" localSheetId="6">#REF!</definedName>
    <definedName name="FORM66PERMUKAAN" localSheetId="7">#REF!</definedName>
    <definedName name="FORM66PERMUKAAN" localSheetId="8">#REF!</definedName>
    <definedName name="FORM66PERMUKAAN">#REF!</definedName>
    <definedName name="FORM7101" localSheetId="10">#REF!</definedName>
    <definedName name="FORM7101" localSheetId="5">#REF!</definedName>
    <definedName name="FORM7101" localSheetId="6">#REF!</definedName>
    <definedName name="FORM7101" localSheetId="7">#REF!</definedName>
    <definedName name="FORM7101" localSheetId="8">#REF!</definedName>
    <definedName name="FORM7101">#REF!</definedName>
    <definedName name="FORM7102" localSheetId="10">#REF!</definedName>
    <definedName name="FORM7102" localSheetId="5">#REF!</definedName>
    <definedName name="FORM7102" localSheetId="6">#REF!</definedName>
    <definedName name="FORM7102" localSheetId="7">#REF!</definedName>
    <definedName name="FORM7102" localSheetId="8">#REF!</definedName>
    <definedName name="FORM7102">#REF!</definedName>
    <definedName name="FORM7103" localSheetId="10">#REF!</definedName>
    <definedName name="FORM7103" localSheetId="5">#REF!</definedName>
    <definedName name="FORM7103" localSheetId="6">#REF!</definedName>
    <definedName name="FORM7103" localSheetId="7">#REF!</definedName>
    <definedName name="FORM7103" localSheetId="8">#REF!</definedName>
    <definedName name="FORM7103">#REF!</definedName>
    <definedName name="FORM711" localSheetId="10">#REF!</definedName>
    <definedName name="FORM711" localSheetId="5">#REF!</definedName>
    <definedName name="FORM711" localSheetId="6">#REF!</definedName>
    <definedName name="FORM711" localSheetId="7">#REF!</definedName>
    <definedName name="FORM711" localSheetId="8">#REF!</definedName>
    <definedName name="FORM711">#REF!</definedName>
    <definedName name="FORM712" localSheetId="10">#REF!</definedName>
    <definedName name="FORM712" localSheetId="5">#REF!</definedName>
    <definedName name="FORM712" localSheetId="6">#REF!</definedName>
    <definedName name="FORM712" localSheetId="7">#REF!</definedName>
    <definedName name="FORM712" localSheetId="8">#REF!</definedName>
    <definedName name="FORM712">#REF!</definedName>
    <definedName name="FORM713" localSheetId="10">#REF!</definedName>
    <definedName name="FORM713" localSheetId="5">#REF!</definedName>
    <definedName name="FORM713" localSheetId="6">#REF!</definedName>
    <definedName name="FORM713" localSheetId="7">#REF!</definedName>
    <definedName name="FORM713" localSheetId="8">#REF!</definedName>
    <definedName name="FORM713">#REF!</definedName>
    <definedName name="FORM714" localSheetId="10">#REF!</definedName>
    <definedName name="FORM714" localSheetId="5">#REF!</definedName>
    <definedName name="FORM714" localSheetId="6">#REF!</definedName>
    <definedName name="FORM714" localSheetId="7">#REF!</definedName>
    <definedName name="FORM714" localSheetId="8">#REF!</definedName>
    <definedName name="FORM714">#REF!</definedName>
    <definedName name="FORM715" localSheetId="10">#REF!</definedName>
    <definedName name="FORM715" localSheetId="5">#REF!</definedName>
    <definedName name="FORM715" localSheetId="6">#REF!</definedName>
    <definedName name="FORM715" localSheetId="7">#REF!</definedName>
    <definedName name="FORM715" localSheetId="8">#REF!</definedName>
    <definedName name="FORM715">#REF!</definedName>
    <definedName name="FORM716" localSheetId="10">#REF!</definedName>
    <definedName name="FORM716" localSheetId="5">#REF!</definedName>
    <definedName name="FORM716" localSheetId="6">#REF!</definedName>
    <definedName name="FORM716" localSheetId="7">#REF!</definedName>
    <definedName name="FORM716" localSheetId="8">#REF!</definedName>
    <definedName name="FORM716">#REF!</definedName>
    <definedName name="FORM717" localSheetId="10">#REF!</definedName>
    <definedName name="FORM717" localSheetId="5">#REF!</definedName>
    <definedName name="FORM717" localSheetId="6">#REF!</definedName>
    <definedName name="FORM717" localSheetId="7">#REF!</definedName>
    <definedName name="FORM717" localSheetId="8">#REF!</definedName>
    <definedName name="FORM717">#REF!</definedName>
    <definedName name="FORM718" localSheetId="10">#REF!</definedName>
    <definedName name="FORM718" localSheetId="5">#REF!</definedName>
    <definedName name="FORM718" localSheetId="6">#REF!</definedName>
    <definedName name="FORM718" localSheetId="7">#REF!</definedName>
    <definedName name="FORM718" localSheetId="8">#REF!</definedName>
    <definedName name="FORM718">#REF!</definedName>
    <definedName name="FORM721" localSheetId="10">#REF!</definedName>
    <definedName name="FORM721" localSheetId="5">#REF!</definedName>
    <definedName name="FORM721" localSheetId="6">#REF!</definedName>
    <definedName name="FORM721" localSheetId="7">#REF!</definedName>
    <definedName name="FORM721" localSheetId="8">#REF!</definedName>
    <definedName name="FORM721">#REF!</definedName>
    <definedName name="FORM731" localSheetId="10">#REF!</definedName>
    <definedName name="FORM731" localSheetId="5">#REF!</definedName>
    <definedName name="FORM731" localSheetId="6">#REF!</definedName>
    <definedName name="FORM731" localSheetId="7">#REF!</definedName>
    <definedName name="FORM731" localSheetId="8">#REF!</definedName>
    <definedName name="FORM731">#REF!</definedName>
    <definedName name="FORM732" localSheetId="10">#REF!</definedName>
    <definedName name="FORM732" localSheetId="5">#REF!</definedName>
    <definedName name="FORM732" localSheetId="6">#REF!</definedName>
    <definedName name="FORM732" localSheetId="7">#REF!</definedName>
    <definedName name="FORM732" localSheetId="8">#REF!</definedName>
    <definedName name="FORM732">#REF!</definedName>
    <definedName name="FORM733" localSheetId="10">#REF!</definedName>
    <definedName name="FORM733" localSheetId="5">#REF!</definedName>
    <definedName name="FORM733" localSheetId="6">#REF!</definedName>
    <definedName name="FORM733" localSheetId="7">#REF!</definedName>
    <definedName name="FORM733" localSheetId="8">#REF!</definedName>
    <definedName name="FORM733">#REF!</definedName>
    <definedName name="FORM734" localSheetId="10">#REF!</definedName>
    <definedName name="FORM734" localSheetId="5">#REF!</definedName>
    <definedName name="FORM734" localSheetId="6">#REF!</definedName>
    <definedName name="FORM734" localSheetId="7">#REF!</definedName>
    <definedName name="FORM734" localSheetId="8">#REF!</definedName>
    <definedName name="FORM734">#REF!</definedName>
    <definedName name="FORM735" localSheetId="10">#REF!</definedName>
    <definedName name="FORM735" localSheetId="5">#REF!</definedName>
    <definedName name="FORM735" localSheetId="6">#REF!</definedName>
    <definedName name="FORM735" localSheetId="7">#REF!</definedName>
    <definedName name="FORM735" localSheetId="8">#REF!</definedName>
    <definedName name="FORM735">#REF!</definedName>
    <definedName name="FORM744" localSheetId="10">#REF!</definedName>
    <definedName name="FORM744" localSheetId="5">#REF!</definedName>
    <definedName name="FORM744" localSheetId="6">#REF!</definedName>
    <definedName name="FORM744" localSheetId="7">#REF!</definedName>
    <definedName name="FORM744" localSheetId="8">#REF!</definedName>
    <definedName name="FORM744">#REF!</definedName>
    <definedName name="FORM745" localSheetId="10">#REF!</definedName>
    <definedName name="FORM745" localSheetId="5">#REF!</definedName>
    <definedName name="FORM745" localSheetId="6">#REF!</definedName>
    <definedName name="FORM745" localSheetId="7">#REF!</definedName>
    <definedName name="FORM745" localSheetId="8">#REF!</definedName>
    <definedName name="FORM745">#REF!</definedName>
    <definedName name="FORM7610" localSheetId="10">#REF!</definedName>
    <definedName name="FORM7610" localSheetId="5">#REF!</definedName>
    <definedName name="FORM7610" localSheetId="6">#REF!</definedName>
    <definedName name="FORM7610" localSheetId="7">#REF!</definedName>
    <definedName name="FORM7610" localSheetId="8">#REF!</definedName>
    <definedName name="FORM7610">#REF!</definedName>
    <definedName name="FORM7612a" localSheetId="10">#REF!</definedName>
    <definedName name="FORM7612a" localSheetId="5">#REF!</definedName>
    <definedName name="FORM7612a" localSheetId="6">#REF!</definedName>
    <definedName name="FORM7612a" localSheetId="7">#REF!</definedName>
    <definedName name="FORM7612a" localSheetId="8">#REF!</definedName>
    <definedName name="FORM7612a">#REF!</definedName>
    <definedName name="FORM7612b" localSheetId="10">#REF!</definedName>
    <definedName name="FORM7612b" localSheetId="5">#REF!</definedName>
    <definedName name="FORM7612b" localSheetId="6">#REF!</definedName>
    <definedName name="FORM7612b" localSheetId="7">#REF!</definedName>
    <definedName name="FORM7612b" localSheetId="8">#REF!</definedName>
    <definedName name="FORM7612b">#REF!</definedName>
    <definedName name="FORM7612c" localSheetId="10">#REF!</definedName>
    <definedName name="FORM7612c" localSheetId="5">#REF!</definedName>
    <definedName name="FORM7612c" localSheetId="6">#REF!</definedName>
    <definedName name="FORM7612c" localSheetId="7">#REF!</definedName>
    <definedName name="FORM7612c" localSheetId="8">#REF!</definedName>
    <definedName name="FORM7612c">#REF!</definedName>
    <definedName name="FORM7613a" localSheetId="10">#REF!</definedName>
    <definedName name="FORM7613a" localSheetId="5">#REF!</definedName>
    <definedName name="FORM7613a" localSheetId="6">#REF!</definedName>
    <definedName name="FORM7613a" localSheetId="7">#REF!</definedName>
    <definedName name="FORM7613a" localSheetId="8">#REF!</definedName>
    <definedName name="FORM7613a">#REF!</definedName>
    <definedName name="FORM7613b" localSheetId="10">#REF!</definedName>
    <definedName name="FORM7613b" localSheetId="5">#REF!</definedName>
    <definedName name="FORM7613b" localSheetId="6">#REF!</definedName>
    <definedName name="FORM7613b" localSheetId="7">#REF!</definedName>
    <definedName name="FORM7613b" localSheetId="8">#REF!</definedName>
    <definedName name="FORM7613b">#REF!</definedName>
    <definedName name="FORM7613c" localSheetId="10">#REF!</definedName>
    <definedName name="FORM7613c" localSheetId="5">#REF!</definedName>
    <definedName name="FORM7613c" localSheetId="6">#REF!</definedName>
    <definedName name="FORM7613c" localSheetId="7">#REF!</definedName>
    <definedName name="FORM7613c" localSheetId="8">#REF!</definedName>
    <definedName name="FORM7613c">#REF!</definedName>
    <definedName name="FORM7614a" localSheetId="10">#REF!</definedName>
    <definedName name="FORM7614a" localSheetId="5">#REF!</definedName>
    <definedName name="FORM7614a" localSheetId="6">#REF!</definedName>
    <definedName name="FORM7614a" localSheetId="7">#REF!</definedName>
    <definedName name="FORM7614a" localSheetId="8">#REF!</definedName>
    <definedName name="FORM7614a">#REF!</definedName>
    <definedName name="FORM7614b" localSheetId="10">#REF!</definedName>
    <definedName name="FORM7614b" localSheetId="5">#REF!</definedName>
    <definedName name="FORM7614b" localSheetId="6">#REF!</definedName>
    <definedName name="FORM7614b" localSheetId="7">#REF!</definedName>
    <definedName name="FORM7614b" localSheetId="8">#REF!</definedName>
    <definedName name="FORM7614b">#REF!</definedName>
    <definedName name="FORM7614c" localSheetId="10">#REF!</definedName>
    <definedName name="FORM7614c" localSheetId="5">#REF!</definedName>
    <definedName name="FORM7614c" localSheetId="6">#REF!</definedName>
    <definedName name="FORM7614c" localSheetId="7">#REF!</definedName>
    <definedName name="FORM7614c" localSheetId="8">#REF!</definedName>
    <definedName name="FORM7614c">#REF!</definedName>
    <definedName name="FORM7614d" localSheetId="10">#REF!</definedName>
    <definedName name="FORM7614d" localSheetId="5">#REF!</definedName>
    <definedName name="FORM7614d" localSheetId="6">#REF!</definedName>
    <definedName name="FORM7614d" localSheetId="7">#REF!</definedName>
    <definedName name="FORM7614d" localSheetId="8">#REF!</definedName>
    <definedName name="FORM7614d">#REF!</definedName>
    <definedName name="FORM7614e" localSheetId="10">#REF!</definedName>
    <definedName name="FORM7614e" localSheetId="5">#REF!</definedName>
    <definedName name="FORM7614e" localSheetId="6">#REF!</definedName>
    <definedName name="FORM7614e" localSheetId="7">#REF!</definedName>
    <definedName name="FORM7614e" localSheetId="8">#REF!</definedName>
    <definedName name="FORM7614e">#REF!</definedName>
    <definedName name="FORM7618" localSheetId="10">#REF!</definedName>
    <definedName name="FORM7618" localSheetId="5">#REF!</definedName>
    <definedName name="FORM7618" localSheetId="6">#REF!</definedName>
    <definedName name="FORM7618" localSheetId="7">#REF!</definedName>
    <definedName name="FORM7618" localSheetId="8">#REF!</definedName>
    <definedName name="FORM7618">#REF!</definedName>
    <definedName name="FORM7619" localSheetId="10">#REF!</definedName>
    <definedName name="FORM7619" localSheetId="5">#REF!</definedName>
    <definedName name="FORM7619" localSheetId="6">#REF!</definedName>
    <definedName name="FORM7619" localSheetId="7">#REF!</definedName>
    <definedName name="FORM7619" localSheetId="8">#REF!</definedName>
    <definedName name="FORM7619">#REF!</definedName>
    <definedName name="FORM768" localSheetId="10">#REF!</definedName>
    <definedName name="FORM768" localSheetId="5">#REF!</definedName>
    <definedName name="FORM768" localSheetId="6">#REF!</definedName>
    <definedName name="FORM768" localSheetId="7">#REF!</definedName>
    <definedName name="FORM768" localSheetId="8">#REF!</definedName>
    <definedName name="FORM768">#REF!</definedName>
    <definedName name="FORM769" localSheetId="10">#REF!</definedName>
    <definedName name="FORM769" localSheetId="5">#REF!</definedName>
    <definedName name="FORM769" localSheetId="6">#REF!</definedName>
    <definedName name="FORM769" localSheetId="7">#REF!</definedName>
    <definedName name="FORM769" localSheetId="8">#REF!</definedName>
    <definedName name="FORM769">#REF!</definedName>
    <definedName name="FORM76X" localSheetId="10">#REF!</definedName>
    <definedName name="FORM76X" localSheetId="5">#REF!</definedName>
    <definedName name="FORM76X" localSheetId="6">#REF!</definedName>
    <definedName name="FORM76X" localSheetId="7">#REF!</definedName>
    <definedName name="FORM76X" localSheetId="8">#REF!</definedName>
    <definedName name="FORM76X">#REF!</definedName>
    <definedName name="FORM771a" localSheetId="10">#REF!</definedName>
    <definedName name="FORM771a" localSheetId="5">#REF!</definedName>
    <definedName name="FORM771a" localSheetId="6">#REF!</definedName>
    <definedName name="FORM771a" localSheetId="7">#REF!</definedName>
    <definedName name="FORM771a" localSheetId="8">#REF!</definedName>
    <definedName name="FORM771a">#REF!</definedName>
    <definedName name="FORM771b" localSheetId="10">#REF!</definedName>
    <definedName name="FORM771b" localSheetId="5">#REF!</definedName>
    <definedName name="FORM771b" localSheetId="6">#REF!</definedName>
    <definedName name="FORM771b" localSheetId="7">#REF!</definedName>
    <definedName name="FORM771b" localSheetId="8">#REF!</definedName>
    <definedName name="FORM771b">#REF!</definedName>
    <definedName name="FORM771c" localSheetId="10">#REF!</definedName>
    <definedName name="FORM771c" localSheetId="5">#REF!</definedName>
    <definedName name="FORM771c" localSheetId="6">#REF!</definedName>
    <definedName name="FORM771c" localSheetId="7">#REF!</definedName>
    <definedName name="FORM771c" localSheetId="8">#REF!</definedName>
    <definedName name="FORM771c">#REF!</definedName>
    <definedName name="FORM771d" localSheetId="10">#REF!</definedName>
    <definedName name="FORM771d" localSheetId="5">#REF!</definedName>
    <definedName name="FORM771d" localSheetId="6">#REF!</definedName>
    <definedName name="FORM771d" localSheetId="7">#REF!</definedName>
    <definedName name="FORM771d" localSheetId="8">#REF!</definedName>
    <definedName name="FORM771d">#REF!</definedName>
    <definedName name="FORM772a" localSheetId="10">#REF!</definedName>
    <definedName name="FORM772a" localSheetId="5">#REF!</definedName>
    <definedName name="FORM772a" localSheetId="6">#REF!</definedName>
    <definedName name="FORM772a" localSheetId="7">#REF!</definedName>
    <definedName name="FORM772a" localSheetId="8">#REF!</definedName>
    <definedName name="FORM772a">#REF!</definedName>
    <definedName name="FORM772b" localSheetId="10">#REF!</definedName>
    <definedName name="FORM772b" localSheetId="5">#REF!</definedName>
    <definedName name="FORM772b" localSheetId="6">#REF!</definedName>
    <definedName name="FORM772b" localSheetId="7">#REF!</definedName>
    <definedName name="FORM772b" localSheetId="8">#REF!</definedName>
    <definedName name="FORM772b">#REF!</definedName>
    <definedName name="FORM772c" localSheetId="10">#REF!</definedName>
    <definedName name="FORM772c" localSheetId="5">#REF!</definedName>
    <definedName name="FORM772c" localSheetId="6">#REF!</definedName>
    <definedName name="FORM772c" localSheetId="7">#REF!</definedName>
    <definedName name="FORM772c" localSheetId="8">#REF!</definedName>
    <definedName name="FORM772c">#REF!</definedName>
    <definedName name="FORM772d" localSheetId="10">#REF!</definedName>
    <definedName name="FORM772d" localSheetId="5">#REF!</definedName>
    <definedName name="FORM772d" localSheetId="6">#REF!</definedName>
    <definedName name="FORM772d" localSheetId="7">#REF!</definedName>
    <definedName name="FORM772d" localSheetId="8">#REF!</definedName>
    <definedName name="FORM772d">#REF!</definedName>
    <definedName name="FORM79manual" localSheetId="10">#REF!</definedName>
    <definedName name="FORM79manual" localSheetId="5">#REF!</definedName>
    <definedName name="FORM79manual" localSheetId="6">#REF!</definedName>
    <definedName name="FORM79manual" localSheetId="7">#REF!</definedName>
    <definedName name="FORM79manual" localSheetId="8">#REF!</definedName>
    <definedName name="FORM79manual">#REF!</definedName>
    <definedName name="FORM79mekanis" localSheetId="10">#REF!</definedName>
    <definedName name="FORM79mekanis" localSheetId="5">#REF!</definedName>
    <definedName name="FORM79mekanis" localSheetId="6">#REF!</definedName>
    <definedName name="FORM79mekanis" localSheetId="7">#REF!</definedName>
    <definedName name="FORM79mekanis" localSheetId="8">#REF!</definedName>
    <definedName name="FORM79mekanis">#REF!</definedName>
    <definedName name="FORMGEOTEKSTIL" localSheetId="10">#REF!</definedName>
    <definedName name="FORMGEOTEKSTIL" localSheetId="5">#REF!</definedName>
    <definedName name="FORMGEOTEKSTIL" localSheetId="6">#REF!</definedName>
    <definedName name="FORMGEOTEKSTIL" localSheetId="7">#REF!</definedName>
    <definedName name="FORMGEOTEKSTIL" localSheetId="8">#REF!</definedName>
    <definedName name="FORMGEOTEKSTIL">#REF!</definedName>
    <definedName name="Formika_ukuran_120_x_240" localSheetId="10">[13]BAHAN!#REF!</definedName>
    <definedName name="Formika_ukuran_120_x_240" localSheetId="5">[13]BAHAN!#REF!</definedName>
    <definedName name="Formika_ukuran_120_x_240" localSheetId="6">[13]BAHAN!#REF!</definedName>
    <definedName name="Formika_ukuran_120_x_240" localSheetId="7">[13]BAHAN!#REF!</definedName>
    <definedName name="Formika_ukuran_120_x_240" localSheetId="8">[13]BAHAN!#REF!</definedName>
    <definedName name="Formika_ukuran_120_x_240">[13]BAHAN!#REF!</definedName>
    <definedName name="fred" localSheetId="10">#REF!</definedName>
    <definedName name="fred" localSheetId="5">#REF!</definedName>
    <definedName name="fred" localSheetId="6">#REF!</definedName>
    <definedName name="fred" localSheetId="7">#REF!</definedName>
    <definedName name="fred" localSheetId="8">#REF!</definedName>
    <definedName name="fred">#REF!</definedName>
    <definedName name="FS" localSheetId="10">#REF!</definedName>
    <definedName name="FS" localSheetId="5">#REF!</definedName>
    <definedName name="FS" localSheetId="6">#REF!</definedName>
    <definedName name="FS" localSheetId="7">#REF!</definedName>
    <definedName name="FS" localSheetId="8">#REF!</definedName>
    <definedName name="FS">#REF!</definedName>
    <definedName name="G.50I">[37]Analisa!$I$58</definedName>
    <definedName name="G_3_A">'[38]ANALISA PEK.UMUM'!$G$1361</definedName>
    <definedName name="G_3_B">'[38]ANALISA PEK.UMUM'!$G$1372</definedName>
    <definedName name="g_50i">'[22]ANB I'!$N$753</definedName>
    <definedName name="g_8_a">'[38]ANALISA PEK.UMUM'!$G$1438</definedName>
    <definedName name="G_9_A">'[38]ANALISA PEK.UMUM'!$G$1460</definedName>
    <definedName name="G1_end_date" localSheetId="10">'[30]Start-up financing'!#REF!</definedName>
    <definedName name="G1_end_date" localSheetId="5">'[30]Start-up financing'!#REF!</definedName>
    <definedName name="G1_end_date" localSheetId="6">'[30]Start-up financing'!#REF!</definedName>
    <definedName name="G1_end_date" localSheetId="7">'[30]Start-up financing'!#REF!</definedName>
    <definedName name="G1_end_date" localSheetId="8">'[30]Start-up financing'!#REF!</definedName>
    <definedName name="G1_end_date">'[30]Start-up financing'!#REF!</definedName>
    <definedName name="G1_intp_date" localSheetId="10">'[30]Start-up financing'!#REF!</definedName>
    <definedName name="G1_intp_date" localSheetId="5">'[30]Start-up financing'!#REF!</definedName>
    <definedName name="G1_intp_date" localSheetId="6">'[30]Start-up financing'!#REF!</definedName>
    <definedName name="G1_intp_date" localSheetId="7">'[30]Start-up financing'!#REF!</definedName>
    <definedName name="G1_intp_date" localSheetId="8">'[30]Start-up financing'!#REF!</definedName>
    <definedName name="G1_intp_date">'[30]Start-up financing'!#REF!</definedName>
    <definedName name="G3_end_date" localSheetId="10">#REF!</definedName>
    <definedName name="G3_end_date" localSheetId="5">#REF!</definedName>
    <definedName name="G3_end_date" localSheetId="6">#REF!</definedName>
    <definedName name="G3_end_date" localSheetId="7">#REF!</definedName>
    <definedName name="G3_end_date" localSheetId="8">#REF!</definedName>
    <definedName name="G3_end_date">#REF!</definedName>
    <definedName name="G4_date" localSheetId="10">#REF!</definedName>
    <definedName name="G4_date" localSheetId="5">#REF!</definedName>
    <definedName name="G4_date" localSheetId="6">#REF!</definedName>
    <definedName name="G4_date" localSheetId="7">#REF!</definedName>
    <definedName name="G4_date" localSheetId="8">#REF!</definedName>
    <definedName name="G4_date">#REF!</definedName>
    <definedName name="G4_int_date" localSheetId="10">#REF!</definedName>
    <definedName name="G4_int_date" localSheetId="5">#REF!</definedName>
    <definedName name="G4_int_date" localSheetId="6">#REF!</definedName>
    <definedName name="G4_int_date" localSheetId="7">#REF!</definedName>
    <definedName name="G4_int_date" localSheetId="8">#REF!</definedName>
    <definedName name="G4_int_date">#REF!</definedName>
    <definedName name="G4_remb_date" localSheetId="10">#REF!</definedName>
    <definedName name="G4_remb_date" localSheetId="5">#REF!</definedName>
    <definedName name="G4_remb_date" localSheetId="6">#REF!</definedName>
    <definedName name="G4_remb_date" localSheetId="7">#REF!</definedName>
    <definedName name="G4_remb_date" localSheetId="8">#REF!</definedName>
    <definedName name="G4_remb_date">#REF!</definedName>
    <definedName name="G5_date" localSheetId="10">#REF!</definedName>
    <definedName name="G5_date" localSheetId="5">#REF!</definedName>
    <definedName name="G5_date" localSheetId="6">#REF!</definedName>
    <definedName name="G5_date" localSheetId="7">#REF!</definedName>
    <definedName name="G5_date" localSheetId="8">#REF!</definedName>
    <definedName name="G5_date">#REF!</definedName>
    <definedName name="G5_int_date" localSheetId="10">#REF!</definedName>
    <definedName name="G5_int_date" localSheetId="5">#REF!</definedName>
    <definedName name="G5_int_date" localSheetId="6">#REF!</definedName>
    <definedName name="G5_int_date" localSheetId="7">#REF!</definedName>
    <definedName name="G5_int_date" localSheetId="8">#REF!</definedName>
    <definedName name="G5_int_date">#REF!</definedName>
    <definedName name="G5_remb_date" localSheetId="10">#REF!</definedName>
    <definedName name="G5_remb_date" localSheetId="5">#REF!</definedName>
    <definedName name="G5_remb_date" localSheetId="6">#REF!</definedName>
    <definedName name="G5_remb_date" localSheetId="7">#REF!</definedName>
    <definedName name="G5_remb_date" localSheetId="8">#REF!</definedName>
    <definedName name="G5_remb_date">#REF!</definedName>
    <definedName name="G50i" localSheetId="10">'[24]Morsip Ht Julu'!#REF!</definedName>
    <definedName name="G50i" localSheetId="5">'[24]Morsip Ht Julu'!#REF!</definedName>
    <definedName name="G50i" localSheetId="6">'[24]Morsip Ht Julu'!#REF!</definedName>
    <definedName name="G50i" localSheetId="7">'[24]Morsip Ht Julu'!#REF!</definedName>
    <definedName name="G50i" localSheetId="8">'[24]Morsip Ht Julu'!#REF!</definedName>
    <definedName name="G50i">'[24]Morsip Ht Julu'!#REF!</definedName>
    <definedName name="G6_int_date" localSheetId="10">#REF!</definedName>
    <definedName name="G6_int_date" localSheetId="5">#REF!</definedName>
    <definedName name="G6_int_date" localSheetId="6">#REF!</definedName>
    <definedName name="G6_int_date" localSheetId="7">#REF!</definedName>
    <definedName name="G6_int_date" localSheetId="8">#REF!</definedName>
    <definedName name="G6_int_date">#REF!</definedName>
    <definedName name="G6_remb_date" localSheetId="10">#REF!</definedName>
    <definedName name="G6_remb_date" localSheetId="5">#REF!</definedName>
    <definedName name="G6_remb_date" localSheetId="6">#REF!</definedName>
    <definedName name="G6_remb_date" localSheetId="7">#REF!</definedName>
    <definedName name="G6_remb_date" localSheetId="8">#REF!</definedName>
    <definedName name="G6_remb_date">#REF!</definedName>
    <definedName name="Gerindel" localSheetId="10">#REF!</definedName>
    <definedName name="Gerindel" localSheetId="5">#REF!</definedName>
    <definedName name="Gerindel" localSheetId="6">#REF!</definedName>
    <definedName name="Gerindel" localSheetId="7">#REF!</definedName>
    <definedName name="Gerindel" localSheetId="8">#REF!</definedName>
    <definedName name="Gerindel">#REF!</definedName>
    <definedName name="GFF" hidden="1">[39]SEX!$P$7:$P$7</definedName>
    <definedName name="gg" localSheetId="10" hidden="1">#REF!</definedName>
    <definedName name="gg" localSheetId="5" hidden="1">#REF!</definedName>
    <definedName name="gg" localSheetId="6" hidden="1">#REF!</definedName>
    <definedName name="gg" localSheetId="7" hidden="1">#REF!</definedName>
    <definedName name="gg" localSheetId="8" hidden="1">#REF!</definedName>
    <definedName name="gg" hidden="1">#REF!</definedName>
    <definedName name="GH" localSheetId="10">#REF!</definedName>
    <definedName name="GH" localSheetId="5">#REF!</definedName>
    <definedName name="GH" localSheetId="6">#REF!</definedName>
    <definedName name="GH" localSheetId="7">#REF!</definedName>
    <definedName name="GH" localSheetId="8">#REF!</definedName>
    <definedName name="GH">#REF!</definedName>
    <definedName name="GHDFHGF" localSheetId="10">#REF!</definedName>
    <definedName name="GHDFHGF" localSheetId="5">#REF!</definedName>
    <definedName name="GHDFHGF" localSheetId="6">#REF!</definedName>
    <definedName name="GHDFHGF" localSheetId="7">#REF!</definedName>
    <definedName name="GHDFHGF" localSheetId="8">#REF!</definedName>
    <definedName name="GHDFHGF">#REF!</definedName>
    <definedName name="ghjdtyg" localSheetId="10">#REF!</definedName>
    <definedName name="ghjdtyg" localSheetId="5">#REF!</definedName>
    <definedName name="ghjdtyg" localSheetId="6">#REF!</definedName>
    <definedName name="ghjdtyg" localSheetId="7">#REF!</definedName>
    <definedName name="ghjdtyg" localSheetId="8">#REF!</definedName>
    <definedName name="ghjdtyg">#REF!</definedName>
    <definedName name="ghuyguyil" localSheetId="10">#REF!</definedName>
    <definedName name="ghuyguyil" localSheetId="5">#REF!</definedName>
    <definedName name="ghuyguyil" localSheetId="6">#REF!</definedName>
    <definedName name="ghuyguyil" localSheetId="7">#REF!</definedName>
    <definedName name="ghuyguyil" localSheetId="8">#REF!</definedName>
    <definedName name="ghuyguyil">#REF!</definedName>
    <definedName name="ghyujkgjh" localSheetId="10">#REF!</definedName>
    <definedName name="ghyujkgjh" localSheetId="5">#REF!</definedName>
    <definedName name="ghyujkgjh" localSheetId="6">#REF!</definedName>
    <definedName name="ghyujkgjh" localSheetId="7">#REF!</definedName>
    <definedName name="ghyujkgjh" localSheetId="8">#REF!</definedName>
    <definedName name="ghyujkgjh">#REF!</definedName>
    <definedName name="gjyt" localSheetId="10">#REF!</definedName>
    <definedName name="gjyt" localSheetId="5">#REF!</definedName>
    <definedName name="gjyt" localSheetId="6">#REF!</definedName>
    <definedName name="gjyt" localSheetId="7">#REF!</definedName>
    <definedName name="gjyt" localSheetId="8">#REF!</definedName>
    <definedName name="gjyt">#REF!</definedName>
    <definedName name="gpek" localSheetId="10">#REF!</definedName>
    <definedName name="gpek" localSheetId="5">#REF!</definedName>
    <definedName name="gpek" localSheetId="6">#REF!</definedName>
    <definedName name="gpek" localSheetId="7">#REF!</definedName>
    <definedName name="gpek" localSheetId="8">#REF!</definedName>
    <definedName name="gpek">#REF!</definedName>
    <definedName name="gtyuftygku" localSheetId="10">#REF!</definedName>
    <definedName name="gtyuftygku" localSheetId="5">#REF!</definedName>
    <definedName name="gtyuftygku" localSheetId="6">#REF!</definedName>
    <definedName name="gtyuftygku" localSheetId="7">#REF!</definedName>
    <definedName name="gtyuftygku" localSheetId="8">#REF!</definedName>
    <definedName name="gtyuftygku">#REF!</definedName>
    <definedName name="Gypsum_uk._1200_x_2400_x_12_mm">[38]BAHAN!$D$152</definedName>
    <definedName name="Gypsum_uk._1200_x_2400_x_9_mm">[38]BAHAN!$D$150</definedName>
    <definedName name="Gypsum_uk._1200_x_2700_x_9_mm">[38]BAHAN!$D$151</definedName>
    <definedName name="gyu" localSheetId="10">#REF!</definedName>
    <definedName name="gyu" localSheetId="5">#REF!</definedName>
    <definedName name="gyu" localSheetId="6">#REF!</definedName>
    <definedName name="gyu" localSheetId="7">#REF!</definedName>
    <definedName name="gyu" localSheetId="8">#REF!</definedName>
    <definedName name="gyu">#REF!</definedName>
    <definedName name="HARAHA" localSheetId="10">[2]inst1!#REF!</definedName>
    <definedName name="HARAHA" localSheetId="5">[2]inst1!#REF!</definedName>
    <definedName name="HARAHA" localSheetId="6">[2]inst1!#REF!</definedName>
    <definedName name="HARAHA" localSheetId="7">[2]inst1!#REF!</definedName>
    <definedName name="HARAHA" localSheetId="8">[2]inst1!#REF!</definedName>
    <definedName name="HARAHA">[2]inst1!#REF!</definedName>
    <definedName name="HARGA" localSheetId="10">#REF!</definedName>
    <definedName name="HARGA" localSheetId="5">#REF!</definedName>
    <definedName name="HARGA" localSheetId="6">#REF!</definedName>
    <definedName name="HARGA" localSheetId="7">#REF!</definedName>
    <definedName name="HARGA" localSheetId="8">#REF!</definedName>
    <definedName name="HARGA">#REF!</definedName>
    <definedName name="hh" localSheetId="10">#REF!</definedName>
    <definedName name="hh" localSheetId="5">#REF!</definedName>
    <definedName name="hh" localSheetId="6">#REF!</definedName>
    <definedName name="hh" localSheetId="7">#REF!</definedName>
    <definedName name="hh" localSheetId="8">#REF!</definedName>
    <definedName name="hh">#REF!</definedName>
    <definedName name="hjkiguyhil" localSheetId="10">#REF!</definedName>
    <definedName name="hjkiguyhil" localSheetId="5">#REF!</definedName>
    <definedName name="hjkiguyhil" localSheetId="6">#REF!</definedName>
    <definedName name="hjkiguyhil" localSheetId="7">#REF!</definedName>
    <definedName name="hjkiguyhil" localSheetId="8">#REF!</definedName>
    <definedName name="hjkiguyhil">#REF!</definedName>
    <definedName name="hjklyhu" localSheetId="10">#REF!</definedName>
    <definedName name="hjklyhu" localSheetId="5">#REF!</definedName>
    <definedName name="hjklyhu" localSheetId="6">#REF!</definedName>
    <definedName name="hjklyhu" localSheetId="7">#REF!</definedName>
    <definedName name="hjklyhu" localSheetId="8">#REF!</definedName>
    <definedName name="hjklyhu">#REF!</definedName>
    <definedName name="hjukhlguil" localSheetId="10">#REF!</definedName>
    <definedName name="hjukhlguil" localSheetId="5">#REF!</definedName>
    <definedName name="hjukhlguil" localSheetId="6">#REF!</definedName>
    <definedName name="hjukhlguil" localSheetId="7">#REF!</definedName>
    <definedName name="hjukhlguil" localSheetId="8">#REF!</definedName>
    <definedName name="hjukhlguil">#REF!</definedName>
    <definedName name="HPS" localSheetId="10">#REF!</definedName>
    <definedName name="HPS" localSheetId="5">#REF!</definedName>
    <definedName name="HPS" localSheetId="6">#REF!</definedName>
    <definedName name="HPS" localSheetId="7">#REF!</definedName>
    <definedName name="HPS" localSheetId="8">#REF!</definedName>
    <definedName name="HPS">#REF!</definedName>
    <definedName name="huighui" localSheetId="10">#REF!</definedName>
    <definedName name="huighui" localSheetId="5">#REF!</definedName>
    <definedName name="huighui" localSheetId="6">#REF!</definedName>
    <definedName name="huighui" localSheetId="7">#REF!</definedName>
    <definedName name="huighui" localSheetId="8">#REF!</definedName>
    <definedName name="huighui">#REF!</definedName>
    <definedName name="hutaimbaru" localSheetId="10">#REF!</definedName>
    <definedName name="hutaimbaru" localSheetId="5">#REF!</definedName>
    <definedName name="hutaimbaru" localSheetId="6">#REF!</definedName>
    <definedName name="hutaimbaru" localSheetId="7">#REF!</definedName>
    <definedName name="hutaimbaru" localSheetId="8">#REF!</definedName>
    <definedName name="hutaimbaru">#REF!</definedName>
    <definedName name="huzein" localSheetId="10">#REF!</definedName>
    <definedName name="huzein" localSheetId="5">#REF!</definedName>
    <definedName name="huzein" localSheetId="6">#REF!</definedName>
    <definedName name="huzein" localSheetId="7">#REF!</definedName>
    <definedName name="huzein" localSheetId="8">#REF!</definedName>
    <definedName name="huzein">#REF!</definedName>
    <definedName name="I_10_A">'[38]ANALISA PEK.UMUM'!$G$1721</definedName>
    <definedName name="I_10_B">'[38]ANALISA PEK.UMUM'!$G$1733</definedName>
    <definedName name="I_11_A">'[38]ANALISA PEK.UMUM'!$G$1755</definedName>
    <definedName name="I_12_A">'[38]ANALISA PEK.UMUM'!$G$1784</definedName>
    <definedName name="Imp_FINANCIALS_1" localSheetId="10">[30]Parameters!#REF!</definedName>
    <definedName name="Imp_FINANCIALS_1" localSheetId="5">[30]Parameters!#REF!</definedName>
    <definedName name="Imp_FINANCIALS_1" localSheetId="6">[30]Parameters!#REF!</definedName>
    <definedName name="Imp_FINANCIALS_1" localSheetId="7">[30]Parameters!#REF!</definedName>
    <definedName name="Imp_FINANCIALS_1" localSheetId="8">[30]Parameters!#REF!</definedName>
    <definedName name="Imp_FINANCIALS_1">[30]Parameters!#REF!</definedName>
    <definedName name="Imp_G4" localSheetId="10">[30]Parameters!#REF!</definedName>
    <definedName name="Imp_G4" localSheetId="5">[30]Parameters!#REF!</definedName>
    <definedName name="Imp_G4" localSheetId="6">[30]Parameters!#REF!</definedName>
    <definedName name="Imp_G4" localSheetId="7">[30]Parameters!#REF!</definedName>
    <definedName name="Imp_G4" localSheetId="8">[30]Parameters!#REF!</definedName>
    <definedName name="Imp_G4">[30]Parameters!#REF!</definedName>
    <definedName name="Imp_G5" localSheetId="10">[30]Parameters!#REF!</definedName>
    <definedName name="Imp_G5" localSheetId="5">[30]Parameters!#REF!</definedName>
    <definedName name="Imp_G5" localSheetId="6">[30]Parameters!#REF!</definedName>
    <definedName name="Imp_G5" localSheetId="7">[30]Parameters!#REF!</definedName>
    <definedName name="Imp_G5" localSheetId="8">[30]Parameters!#REF!</definedName>
    <definedName name="Imp_G5">[30]Parameters!#REF!</definedName>
    <definedName name="Imp_G6" localSheetId="10">[30]Parameters!#REF!</definedName>
    <definedName name="Imp_G6" localSheetId="5">[30]Parameters!#REF!</definedName>
    <definedName name="Imp_G6" localSheetId="6">[30]Parameters!#REF!</definedName>
    <definedName name="Imp_G6" localSheetId="7">[30]Parameters!#REF!</definedName>
    <definedName name="Imp_G6" localSheetId="8">[30]Parameters!#REF!</definedName>
    <definedName name="Imp_G6">[30]Parameters!#REF!</definedName>
    <definedName name="INFORMASI" localSheetId="10">#REF!</definedName>
    <definedName name="INFORMASI" localSheetId="5">#REF!</definedName>
    <definedName name="INFORMASI" localSheetId="6">#REF!</definedName>
    <definedName name="INFORMASI" localSheetId="7">#REF!</definedName>
    <definedName name="INFORMASI" localSheetId="8">#REF!</definedName>
    <definedName name="INFORMASI">#REF!</definedName>
    <definedName name="Insullation" localSheetId="10">#REF!</definedName>
    <definedName name="Insullation" localSheetId="5">#REF!</definedName>
    <definedName name="Insullation" localSheetId="6">#REF!</definedName>
    <definedName name="Insullation" localSheetId="7">#REF!</definedName>
    <definedName name="Insullation" localSheetId="8">#REF!</definedName>
    <definedName name="Insullation">#REF!</definedName>
    <definedName name="IPA" localSheetId="10">#REF!</definedName>
    <definedName name="IPA" localSheetId="5">#REF!</definedName>
    <definedName name="IPA" localSheetId="6">#REF!</definedName>
    <definedName name="IPA" localSheetId="7">#REF!</definedName>
    <definedName name="IPA" localSheetId="8">#REF!</definedName>
    <definedName name="IPA">#REF!</definedName>
    <definedName name="jadahaddddddd" localSheetId="10">#REF!</definedName>
    <definedName name="jadahaddddddd" localSheetId="5">#REF!</definedName>
    <definedName name="jadahaddddddd" localSheetId="6">#REF!</definedName>
    <definedName name="jadahaddddddd" localSheetId="7">#REF!</definedName>
    <definedName name="jadahaddddddd" localSheetId="8">#REF!</definedName>
    <definedName name="jadahaddddddd">#REF!</definedName>
    <definedName name="jhuy" localSheetId="10">#REF!</definedName>
    <definedName name="jhuy" localSheetId="5">#REF!</definedName>
    <definedName name="jhuy" localSheetId="6">#REF!</definedName>
    <definedName name="jhuy" localSheetId="7">#REF!</definedName>
    <definedName name="jhuy" localSheetId="8">#REF!</definedName>
    <definedName name="jhuy">#REF!</definedName>
    <definedName name="jmk" localSheetId="10">#REF!</definedName>
    <definedName name="jmk" localSheetId="5">#REF!</definedName>
    <definedName name="jmk" localSheetId="6">#REF!</definedName>
    <definedName name="jmk" localSheetId="7">#REF!</definedName>
    <definedName name="jmk" localSheetId="8">#REF!</definedName>
    <definedName name="jmk">#REF!</definedName>
    <definedName name="Jmn" localSheetId="10" hidden="1">#REF!</definedName>
    <definedName name="Jmn" localSheetId="5" hidden="1">#REF!</definedName>
    <definedName name="Jmn" localSheetId="6" hidden="1">#REF!</definedName>
    <definedName name="Jmn" localSheetId="7" hidden="1">#REF!</definedName>
    <definedName name="Jmn" localSheetId="8" hidden="1">#REF!</definedName>
    <definedName name="Jmn" hidden="1">#REF!</definedName>
    <definedName name="jrbc">'[26]Informasi Umum'!$H$26</definedName>
    <definedName name="jrq">'[26]Informasi Umum'!$H$25</definedName>
    <definedName name="JUDUL" localSheetId="10">#REF!</definedName>
    <definedName name="JUDUL" localSheetId="5">#REF!</definedName>
    <definedName name="JUDUL" localSheetId="6">#REF!</definedName>
    <definedName name="JUDUL" localSheetId="7">#REF!</definedName>
    <definedName name="JUDUL" localSheetId="8">#REF!</definedName>
    <definedName name="JUDUL">#REF!</definedName>
    <definedName name="JudulKolom1">[40]!Data5[[#Headers],[Kode Barang]]</definedName>
    <definedName name="jum" localSheetId="10">#REF!</definedName>
    <definedName name="jum" localSheetId="5">#REF!</definedName>
    <definedName name="jum" localSheetId="6">#REF!</definedName>
    <definedName name="jum" localSheetId="7">#REF!</definedName>
    <definedName name="jum" localSheetId="8">#REF!</definedName>
    <definedName name="jum">#REF!</definedName>
    <definedName name="jumlah" localSheetId="10">#REF!</definedName>
    <definedName name="jumlah" localSheetId="5">#REF!</definedName>
    <definedName name="jumlah" localSheetId="6">#REF!</definedName>
    <definedName name="jumlah" localSheetId="7">#REF!</definedName>
    <definedName name="jumlah" localSheetId="8">#REF!</definedName>
    <definedName name="jumlah">#REF!</definedName>
    <definedName name="Jumlah_I" localSheetId="10">#REF!</definedName>
    <definedName name="Jumlah_I" localSheetId="5">#REF!</definedName>
    <definedName name="Jumlah_I" localSheetId="6">#REF!</definedName>
    <definedName name="Jumlah_I" localSheetId="7">#REF!</definedName>
    <definedName name="Jumlah_I" localSheetId="8">#REF!</definedName>
    <definedName name="Jumlah_I">#REF!</definedName>
    <definedName name="Jumlah_II" localSheetId="10">#REF!</definedName>
    <definedName name="Jumlah_II" localSheetId="5">#REF!</definedName>
    <definedName name="Jumlah_II" localSheetId="6">#REF!</definedName>
    <definedName name="Jumlah_II" localSheetId="7">#REF!</definedName>
    <definedName name="Jumlah_II" localSheetId="8">#REF!</definedName>
    <definedName name="Jumlah_II">#REF!</definedName>
    <definedName name="Jumlah_III" localSheetId="10">#REF!</definedName>
    <definedName name="Jumlah_III" localSheetId="5">#REF!</definedName>
    <definedName name="Jumlah_III" localSheetId="6">#REF!</definedName>
    <definedName name="Jumlah_III" localSheetId="7">#REF!</definedName>
    <definedName name="Jumlah_III" localSheetId="8">#REF!</definedName>
    <definedName name="Jumlah_III">#REF!</definedName>
    <definedName name="Jumlah_IV" localSheetId="10">#REF!</definedName>
    <definedName name="Jumlah_IV" localSheetId="5">#REF!</definedName>
    <definedName name="Jumlah_IV" localSheetId="6">#REF!</definedName>
    <definedName name="Jumlah_IV" localSheetId="7">#REF!</definedName>
    <definedName name="Jumlah_IV" localSheetId="8">#REF!</definedName>
    <definedName name="Jumlah_IV">#REF!</definedName>
    <definedName name="Jumlah_V" localSheetId="10">#REF!</definedName>
    <definedName name="Jumlah_V" localSheetId="5">#REF!</definedName>
    <definedName name="Jumlah_V" localSheetId="6">#REF!</definedName>
    <definedName name="Jumlah_V" localSheetId="7">#REF!</definedName>
    <definedName name="Jumlah_V" localSheetId="8">#REF!</definedName>
    <definedName name="Jumlah_V">#REF!</definedName>
    <definedName name="Jumlah_VI" localSheetId="10">#REF!</definedName>
    <definedName name="Jumlah_VI" localSheetId="5">#REF!</definedName>
    <definedName name="Jumlah_VI" localSheetId="6">#REF!</definedName>
    <definedName name="Jumlah_VI" localSheetId="7">#REF!</definedName>
    <definedName name="Jumlah_VI" localSheetId="8">#REF!</definedName>
    <definedName name="Jumlah_VI">#REF!</definedName>
    <definedName name="k.012" localSheetId="10">[18]Analisa!#REF!</definedName>
    <definedName name="k.012" localSheetId="5">[18]Analisa!#REF!</definedName>
    <definedName name="k.012" localSheetId="6">[18]Analisa!#REF!</definedName>
    <definedName name="k.012" localSheetId="7">[18]Analisa!#REF!</definedName>
    <definedName name="k.012" localSheetId="8">[18]Analisa!#REF!</definedName>
    <definedName name="k.012">[18]Analisa!#REF!</definedName>
    <definedName name="k.016" localSheetId="10">[18]Analisa!#REF!</definedName>
    <definedName name="k.016" localSheetId="5">[18]Analisa!#REF!</definedName>
    <definedName name="k.016" localSheetId="6">[18]Analisa!#REF!</definedName>
    <definedName name="k.016" localSheetId="7">[18]Analisa!#REF!</definedName>
    <definedName name="k.016" localSheetId="8">[18]Analisa!#REF!</definedName>
    <definedName name="k.016">[18]Analisa!#REF!</definedName>
    <definedName name="K.017" localSheetId="10">#REF!</definedName>
    <definedName name="K.017" localSheetId="5">#REF!</definedName>
    <definedName name="K.017" localSheetId="6">#REF!</definedName>
    <definedName name="K.017" localSheetId="7">#REF!</definedName>
    <definedName name="K.017" localSheetId="8">#REF!</definedName>
    <definedName name="K.017">#REF!</definedName>
    <definedName name="k.018" localSheetId="10">[18]Analisa!#REF!</definedName>
    <definedName name="k.018" localSheetId="5">[18]Analisa!#REF!</definedName>
    <definedName name="k.018" localSheetId="6">[18]Analisa!#REF!</definedName>
    <definedName name="k.018" localSheetId="7">[18]Analisa!#REF!</definedName>
    <definedName name="k.018" localSheetId="8">[18]Analisa!#REF!</definedName>
    <definedName name="k.018">[18]Analisa!#REF!</definedName>
    <definedName name="k.035" localSheetId="10">[18]Analisa!#REF!</definedName>
    <definedName name="k.035" localSheetId="5">[18]Analisa!#REF!</definedName>
    <definedName name="k.035" localSheetId="6">[18]Analisa!#REF!</definedName>
    <definedName name="k.035" localSheetId="7">[18]Analisa!#REF!</definedName>
    <definedName name="k.035" localSheetId="8">[18]Analisa!#REF!</definedName>
    <definedName name="k.035">[18]Analisa!#REF!</definedName>
    <definedName name="k.040" localSheetId="10">[18]Analisa!#REF!</definedName>
    <definedName name="k.040" localSheetId="5">[18]Analisa!#REF!</definedName>
    <definedName name="k.040" localSheetId="6">[18]Analisa!#REF!</definedName>
    <definedName name="k.040" localSheetId="7">[18]Analisa!#REF!</definedName>
    <definedName name="k.040" localSheetId="8">[18]Analisa!#REF!</definedName>
    <definedName name="k.040">[18]Analisa!#REF!</definedName>
    <definedName name="k.110" localSheetId="10">[18]Analisa!#REF!</definedName>
    <definedName name="k.110" localSheetId="5">[18]Analisa!#REF!</definedName>
    <definedName name="k.110" localSheetId="6">[18]Analisa!#REF!</definedName>
    <definedName name="k.110" localSheetId="7">[18]Analisa!#REF!</definedName>
    <definedName name="k.110" localSheetId="8">[18]Analisa!#REF!</definedName>
    <definedName name="k.110">[18]Analisa!#REF!</definedName>
    <definedName name="k.111" localSheetId="10">[18]Analisa!#REF!</definedName>
    <definedName name="k.111" localSheetId="5">[18]Analisa!#REF!</definedName>
    <definedName name="k.111" localSheetId="6">[18]Analisa!#REF!</definedName>
    <definedName name="k.111" localSheetId="7">[18]Analisa!#REF!</definedName>
    <definedName name="k.111" localSheetId="8">[18]Analisa!#REF!</definedName>
    <definedName name="k.111">[18]Analisa!#REF!</definedName>
    <definedName name="k.112" localSheetId="10">[18]Analisa!#REF!</definedName>
    <definedName name="k.112" localSheetId="5">[18]Analisa!#REF!</definedName>
    <definedName name="k.112" localSheetId="6">[18]Analisa!#REF!</definedName>
    <definedName name="k.112" localSheetId="7">[18]Analisa!#REF!</definedName>
    <definedName name="k.112" localSheetId="8">[18]Analisa!#REF!</definedName>
    <definedName name="k.112">[18]Analisa!#REF!</definedName>
    <definedName name="K.2" localSheetId="10">'[15]AN-K'!#REF!</definedName>
    <definedName name="K.2" localSheetId="5">'[15]AN-K'!#REF!</definedName>
    <definedName name="K.2" localSheetId="6">'[15]AN-K'!#REF!</definedName>
    <definedName name="K.2" localSheetId="7">'[15]AN-K'!#REF!</definedName>
    <definedName name="K.2" localSheetId="8">'[15]AN-K'!#REF!</definedName>
    <definedName name="K.2">'[15]AN-K'!#REF!</definedName>
    <definedName name="k.210" localSheetId="10">[18]Analisa!#REF!</definedName>
    <definedName name="k.210" localSheetId="5">[18]Analisa!#REF!</definedName>
    <definedName name="k.210" localSheetId="6">[18]Analisa!#REF!</definedName>
    <definedName name="k.210" localSheetId="7">[18]Analisa!#REF!</definedName>
    <definedName name="k.210" localSheetId="8">[18]Analisa!#REF!</definedName>
    <definedName name="k.210">[18]Analisa!#REF!</definedName>
    <definedName name="k.211" localSheetId="10">[18]Analisa!#REF!</definedName>
    <definedName name="k.211" localSheetId="5">[18]Analisa!#REF!</definedName>
    <definedName name="k.211" localSheetId="6">[18]Analisa!#REF!</definedName>
    <definedName name="k.211" localSheetId="7">[18]Analisa!#REF!</definedName>
    <definedName name="k.211" localSheetId="8">[18]Analisa!#REF!</definedName>
    <definedName name="k.211">[18]Analisa!#REF!</definedName>
    <definedName name="k.221" localSheetId="10">[18]Analisa!#REF!</definedName>
    <definedName name="k.221" localSheetId="5">[18]Analisa!#REF!</definedName>
    <definedName name="k.221" localSheetId="6">[18]Analisa!#REF!</definedName>
    <definedName name="k.221" localSheetId="7">[18]Analisa!#REF!</definedName>
    <definedName name="k.221" localSheetId="8">[18]Analisa!#REF!</definedName>
    <definedName name="k.221">[18]Analisa!#REF!</definedName>
    <definedName name="k.224">[37]Analisa!$I$120</definedName>
    <definedName name="k.225" localSheetId="10">[18]Analisa!#REF!</definedName>
    <definedName name="k.225" localSheetId="5">[18]Analisa!#REF!</definedName>
    <definedName name="k.225" localSheetId="6">[18]Analisa!#REF!</definedName>
    <definedName name="k.225" localSheetId="7">[18]Analisa!#REF!</definedName>
    <definedName name="k.225" localSheetId="8">[18]Analisa!#REF!</definedName>
    <definedName name="k.225">[18]Analisa!#REF!</definedName>
    <definedName name="k.232" localSheetId="10">[18]Analisa!#REF!</definedName>
    <definedName name="k.232" localSheetId="5">[18]Analisa!#REF!</definedName>
    <definedName name="k.232" localSheetId="6">[18]Analisa!#REF!</definedName>
    <definedName name="k.232" localSheetId="7">[18]Analisa!#REF!</definedName>
    <definedName name="k.232" localSheetId="8">[18]Analisa!#REF!</definedName>
    <definedName name="k.232">[18]Analisa!#REF!</definedName>
    <definedName name="k.310">'[37]ANALISA (2)'!$F$41</definedName>
    <definedName name="k.311" localSheetId="10">[18]Analisa!#REF!</definedName>
    <definedName name="k.311" localSheetId="5">[18]Analisa!#REF!</definedName>
    <definedName name="k.311" localSheetId="6">[18]Analisa!#REF!</definedName>
    <definedName name="k.311" localSheetId="7">[18]Analisa!#REF!</definedName>
    <definedName name="k.311" localSheetId="8">[18]Analisa!#REF!</definedName>
    <definedName name="k.311">[18]Analisa!#REF!</definedName>
    <definedName name="k.320" localSheetId="10">[18]Analisa!#REF!</definedName>
    <definedName name="k.320" localSheetId="5">[18]Analisa!#REF!</definedName>
    <definedName name="k.320" localSheetId="6">[18]Analisa!#REF!</definedName>
    <definedName name="k.320" localSheetId="7">[18]Analisa!#REF!</definedName>
    <definedName name="k.320" localSheetId="8">[18]Analisa!#REF!</definedName>
    <definedName name="k.320">[18]Analisa!#REF!</definedName>
    <definedName name="k.321" localSheetId="10">[18]Analisa!#REF!</definedName>
    <definedName name="k.321" localSheetId="5">[18]Analisa!#REF!</definedName>
    <definedName name="k.321" localSheetId="6">[18]Analisa!#REF!</definedName>
    <definedName name="k.321" localSheetId="7">[18]Analisa!#REF!</definedName>
    <definedName name="k.321" localSheetId="8">[18]Analisa!#REF!</definedName>
    <definedName name="k.321">[18]Analisa!#REF!</definedName>
    <definedName name="k.342" localSheetId="10">[18]Analisa!#REF!</definedName>
    <definedName name="k.342" localSheetId="5">[18]Analisa!#REF!</definedName>
    <definedName name="k.342" localSheetId="6">[18]Analisa!#REF!</definedName>
    <definedName name="k.342" localSheetId="7">[18]Analisa!#REF!</definedName>
    <definedName name="k.342" localSheetId="8">[18]Analisa!#REF!</definedName>
    <definedName name="k.342">[18]Analisa!#REF!</definedName>
    <definedName name="k.420" localSheetId="10">[18]Analisa!#REF!</definedName>
    <definedName name="k.420" localSheetId="5">[18]Analisa!#REF!</definedName>
    <definedName name="k.420" localSheetId="6">[18]Analisa!#REF!</definedName>
    <definedName name="k.420" localSheetId="7">[18]Analisa!#REF!</definedName>
    <definedName name="k.420" localSheetId="8">[18]Analisa!#REF!</definedName>
    <definedName name="k.420">[18]Analisa!#REF!</definedName>
    <definedName name="k.421" localSheetId="10">[18]Analisa!#REF!</definedName>
    <definedName name="k.421" localSheetId="5">[18]Analisa!#REF!</definedName>
    <definedName name="k.421" localSheetId="6">[18]Analisa!#REF!</definedName>
    <definedName name="k.421" localSheetId="7">[18]Analisa!#REF!</definedName>
    <definedName name="k.421" localSheetId="8">[18]Analisa!#REF!</definedName>
    <definedName name="k.421">[18]Analisa!#REF!</definedName>
    <definedName name="k.422">'[37]ANALISA (2)'!$F$73</definedName>
    <definedName name="k.424" localSheetId="10">[18]Analisa!#REF!</definedName>
    <definedName name="k.424" localSheetId="5">[18]Analisa!#REF!</definedName>
    <definedName name="k.424" localSheetId="6">[18]Analisa!#REF!</definedName>
    <definedName name="k.424" localSheetId="7">[18]Analisa!#REF!</definedName>
    <definedName name="k.424" localSheetId="8">[18]Analisa!#REF!</definedName>
    <definedName name="k.424">[18]Analisa!#REF!</definedName>
    <definedName name="k.512" localSheetId="10">[18]Analisa!#REF!</definedName>
    <definedName name="k.512" localSheetId="5">[18]Analisa!#REF!</definedName>
    <definedName name="k.512" localSheetId="6">[18]Analisa!#REF!</definedName>
    <definedName name="k.512" localSheetId="7">[18]Analisa!#REF!</definedName>
    <definedName name="k.512" localSheetId="8">[18]Analisa!#REF!</definedName>
    <definedName name="k.512">[18]Analisa!#REF!</definedName>
    <definedName name="k.514" localSheetId="10">[18]Analisa!#REF!</definedName>
    <definedName name="k.514" localSheetId="5">[18]Analisa!#REF!</definedName>
    <definedName name="k.514" localSheetId="6">[18]Analisa!#REF!</definedName>
    <definedName name="k.514" localSheetId="7">[18]Analisa!#REF!</definedName>
    <definedName name="k.514" localSheetId="8">[18]Analisa!#REF!</definedName>
    <definedName name="k.514">[18]Analisa!#REF!</definedName>
    <definedName name="k.515" localSheetId="10">[18]Analisa!#REF!</definedName>
    <definedName name="k.515" localSheetId="5">[18]Analisa!#REF!</definedName>
    <definedName name="k.515" localSheetId="6">[18]Analisa!#REF!</definedName>
    <definedName name="k.515" localSheetId="7">[18]Analisa!#REF!</definedName>
    <definedName name="k.515" localSheetId="8">[18]Analisa!#REF!</definedName>
    <definedName name="k.515">[18]Analisa!#REF!</definedName>
    <definedName name="k.516" localSheetId="10">[18]Analisa!#REF!</definedName>
    <definedName name="k.516" localSheetId="5">[18]Analisa!#REF!</definedName>
    <definedName name="k.516" localSheetId="6">[18]Analisa!#REF!</definedName>
    <definedName name="k.516" localSheetId="7">[18]Analisa!#REF!</definedName>
    <definedName name="k.516" localSheetId="8">[18]Analisa!#REF!</definedName>
    <definedName name="k.516">[18]Analisa!#REF!</definedName>
    <definedName name="k.520" localSheetId="10">[18]Analisa!#REF!</definedName>
    <definedName name="k.520" localSheetId="5">[18]Analisa!#REF!</definedName>
    <definedName name="k.520" localSheetId="6">[18]Analisa!#REF!</definedName>
    <definedName name="k.520" localSheetId="7">[18]Analisa!#REF!</definedName>
    <definedName name="k.520" localSheetId="8">[18]Analisa!#REF!</definedName>
    <definedName name="k.520">[18]Analisa!#REF!</definedName>
    <definedName name="k.521" localSheetId="10">[18]Analisa!#REF!</definedName>
    <definedName name="k.521" localSheetId="5">[18]Analisa!#REF!</definedName>
    <definedName name="k.521" localSheetId="6">[18]Analisa!#REF!</definedName>
    <definedName name="k.521" localSheetId="7">[18]Analisa!#REF!</definedName>
    <definedName name="k.521" localSheetId="8">[18]Analisa!#REF!</definedName>
    <definedName name="k.521">[18]Analisa!#REF!</definedName>
    <definedName name="k.522" localSheetId="10">[18]Analisa!#REF!</definedName>
    <definedName name="k.522" localSheetId="5">[18]Analisa!#REF!</definedName>
    <definedName name="k.522" localSheetId="6">[18]Analisa!#REF!</definedName>
    <definedName name="k.522" localSheetId="7">[18]Analisa!#REF!</definedName>
    <definedName name="k.522" localSheetId="8">[18]Analisa!#REF!</definedName>
    <definedName name="k.522">[18]Analisa!#REF!</definedName>
    <definedName name="k.523" localSheetId="10">[18]Analisa!#REF!</definedName>
    <definedName name="k.523" localSheetId="5">[18]Analisa!#REF!</definedName>
    <definedName name="k.523" localSheetId="6">[18]Analisa!#REF!</definedName>
    <definedName name="k.523" localSheetId="7">[18]Analisa!#REF!</definedName>
    <definedName name="k.523" localSheetId="8">[18]Analisa!#REF!</definedName>
    <definedName name="k.523">[18]Analisa!#REF!</definedName>
    <definedName name="k.530" localSheetId="10">[18]Analisa!#REF!</definedName>
    <definedName name="k.530" localSheetId="5">[18]Analisa!#REF!</definedName>
    <definedName name="k.530" localSheetId="6">[18]Analisa!#REF!</definedName>
    <definedName name="k.530" localSheetId="7">[18]Analisa!#REF!</definedName>
    <definedName name="k.530" localSheetId="8">[18]Analisa!#REF!</definedName>
    <definedName name="k.530">[18]Analisa!#REF!</definedName>
    <definedName name="k.618" localSheetId="10">[18]Analisa!#REF!</definedName>
    <definedName name="k.618" localSheetId="5">[18]Analisa!#REF!</definedName>
    <definedName name="k.618" localSheetId="6">[18]Analisa!#REF!</definedName>
    <definedName name="k.618" localSheetId="7">[18]Analisa!#REF!</definedName>
    <definedName name="k.618" localSheetId="8">[18]Analisa!#REF!</definedName>
    <definedName name="k.618">[18]Analisa!#REF!</definedName>
    <definedName name="k.636" localSheetId="10">[18]Analisa!#REF!</definedName>
    <definedName name="k.636" localSheetId="5">[18]Analisa!#REF!</definedName>
    <definedName name="k.636" localSheetId="6">[18]Analisa!#REF!</definedName>
    <definedName name="k.636" localSheetId="7">[18]Analisa!#REF!</definedName>
    <definedName name="k.636" localSheetId="8">[18]Analisa!#REF!</definedName>
    <definedName name="k.636">[18]Analisa!#REF!</definedName>
    <definedName name="k.641" localSheetId="10">[18]Analisa!#REF!</definedName>
    <definedName name="k.641" localSheetId="5">[18]Analisa!#REF!</definedName>
    <definedName name="k.641" localSheetId="6">[18]Analisa!#REF!</definedName>
    <definedName name="k.641" localSheetId="7">[18]Analisa!#REF!</definedName>
    <definedName name="k.641" localSheetId="8">[18]Analisa!#REF!</definedName>
    <definedName name="k.641">[18]Analisa!#REF!</definedName>
    <definedName name="k.705">[37]Analisa!$I$183</definedName>
    <definedName name="k.710" localSheetId="10">[18]Analisa!#REF!</definedName>
    <definedName name="k.710" localSheetId="5">[18]Analisa!#REF!</definedName>
    <definedName name="k.710" localSheetId="6">[18]Analisa!#REF!</definedName>
    <definedName name="k.710" localSheetId="7">[18]Analisa!#REF!</definedName>
    <definedName name="k.710" localSheetId="8">[18]Analisa!#REF!</definedName>
    <definedName name="k.710">[18]Analisa!#REF!</definedName>
    <definedName name="k.715" localSheetId="10">[18]Analisa!#REF!</definedName>
    <definedName name="k.715" localSheetId="5">[18]Analisa!#REF!</definedName>
    <definedName name="k.715" localSheetId="6">[18]Analisa!#REF!</definedName>
    <definedName name="k.715" localSheetId="7">[18]Analisa!#REF!</definedName>
    <definedName name="k.715" localSheetId="8">[18]Analisa!#REF!</definedName>
    <definedName name="k.715">[18]Analisa!#REF!</definedName>
    <definedName name="k.720" localSheetId="10">[18]Analisa!#REF!</definedName>
    <definedName name="k.720" localSheetId="5">[18]Analisa!#REF!</definedName>
    <definedName name="k.720" localSheetId="6">[18]Analisa!#REF!</definedName>
    <definedName name="k.720" localSheetId="7">[18]Analisa!#REF!</definedName>
    <definedName name="k.720" localSheetId="8">[18]Analisa!#REF!</definedName>
    <definedName name="k.720">[18]Analisa!#REF!</definedName>
    <definedName name="k.721" localSheetId="10">[18]Analisa!#REF!</definedName>
    <definedName name="k.721" localSheetId="5">[18]Analisa!#REF!</definedName>
    <definedName name="k.721" localSheetId="6">[18]Analisa!#REF!</definedName>
    <definedName name="k.721" localSheetId="7">[18]Analisa!#REF!</definedName>
    <definedName name="k.721" localSheetId="8">[18]Analisa!#REF!</definedName>
    <definedName name="k.721">[18]Analisa!#REF!</definedName>
    <definedName name="k.722" localSheetId="10">[18]Analisa!#REF!</definedName>
    <definedName name="k.722" localSheetId="5">[18]Analisa!#REF!</definedName>
    <definedName name="k.722" localSheetId="6">[18]Analisa!#REF!</definedName>
    <definedName name="k.722" localSheetId="7">[18]Analisa!#REF!</definedName>
    <definedName name="k.722" localSheetId="8">[18]Analisa!#REF!</definedName>
    <definedName name="k.722">[18]Analisa!#REF!</definedName>
    <definedName name="k.725" localSheetId="10">[18]Analisa!#REF!</definedName>
    <definedName name="k.725" localSheetId="5">[18]Analisa!#REF!</definedName>
    <definedName name="k.725" localSheetId="6">[18]Analisa!#REF!</definedName>
    <definedName name="k.725" localSheetId="7">[18]Analisa!#REF!</definedName>
    <definedName name="k.725" localSheetId="8">[18]Analisa!#REF!</definedName>
    <definedName name="k.725">[18]Analisa!#REF!</definedName>
    <definedName name="k.727" localSheetId="10">[18]Analisa!#REF!</definedName>
    <definedName name="k.727" localSheetId="5">[18]Analisa!#REF!</definedName>
    <definedName name="k.727" localSheetId="6">[18]Analisa!#REF!</definedName>
    <definedName name="k.727" localSheetId="7">[18]Analisa!#REF!</definedName>
    <definedName name="k.727" localSheetId="8">[18]Analisa!#REF!</definedName>
    <definedName name="k.727">[18]Analisa!#REF!</definedName>
    <definedName name="k.728" localSheetId="10">[18]Analisa!#REF!</definedName>
    <definedName name="k.728" localSheetId="5">[18]Analisa!#REF!</definedName>
    <definedName name="k.728" localSheetId="6">[18]Analisa!#REF!</definedName>
    <definedName name="k.728" localSheetId="7">[18]Analisa!#REF!</definedName>
    <definedName name="k.728" localSheetId="8">[18]Analisa!#REF!</definedName>
    <definedName name="k.728">[18]Analisa!#REF!</definedName>
    <definedName name="k.729" localSheetId="10">[18]Analisa!#REF!</definedName>
    <definedName name="k.729" localSheetId="5">[18]Analisa!#REF!</definedName>
    <definedName name="k.729" localSheetId="6">[18]Analisa!#REF!</definedName>
    <definedName name="k.729" localSheetId="7">[18]Analisa!#REF!</definedName>
    <definedName name="k.729" localSheetId="8">[18]Analisa!#REF!</definedName>
    <definedName name="k.729">[18]Analisa!#REF!</definedName>
    <definedName name="k.815" localSheetId="10">[18]Analisa!#REF!</definedName>
    <definedName name="k.815" localSheetId="5">[18]Analisa!#REF!</definedName>
    <definedName name="k.815" localSheetId="6">[18]Analisa!#REF!</definedName>
    <definedName name="k.815" localSheetId="7">[18]Analisa!#REF!</definedName>
    <definedName name="k.815" localSheetId="8">[18]Analisa!#REF!</definedName>
    <definedName name="k.815">[18]Analisa!#REF!</definedName>
    <definedName name="k.855" localSheetId="10">[18]Analisa!#REF!</definedName>
    <definedName name="k.855" localSheetId="5">[18]Analisa!#REF!</definedName>
    <definedName name="k.855" localSheetId="6">[18]Analisa!#REF!</definedName>
    <definedName name="k.855" localSheetId="7">[18]Analisa!#REF!</definedName>
    <definedName name="k.855" localSheetId="8">[18]Analisa!#REF!</definedName>
    <definedName name="k.855">[18]Analisa!#REF!</definedName>
    <definedName name="k.880" localSheetId="10">[18]Analisa!#REF!</definedName>
    <definedName name="k.880" localSheetId="5">[18]Analisa!#REF!</definedName>
    <definedName name="k.880" localSheetId="6">[18]Analisa!#REF!</definedName>
    <definedName name="k.880" localSheetId="7">[18]Analisa!#REF!</definedName>
    <definedName name="k.880" localSheetId="8">[18]Analisa!#REF!</definedName>
    <definedName name="k.880">[18]Analisa!#REF!</definedName>
    <definedName name="k.881" localSheetId="10">[18]Analisa!#REF!</definedName>
    <definedName name="k.881" localSheetId="5">[18]Analisa!#REF!</definedName>
    <definedName name="k.881" localSheetId="6">[18]Analisa!#REF!</definedName>
    <definedName name="k.881" localSheetId="7">[18]Analisa!#REF!</definedName>
    <definedName name="k.881" localSheetId="8">[18]Analisa!#REF!</definedName>
    <definedName name="k.881">[18]Analisa!#REF!</definedName>
    <definedName name="K_013" localSheetId="10">[19]SINGK!#REF!</definedName>
    <definedName name="K_013" localSheetId="5">[19]SINGK!#REF!</definedName>
    <definedName name="K_013" localSheetId="6">[19]SINGK!#REF!</definedName>
    <definedName name="K_013" localSheetId="7">[19]SINGK!#REF!</definedName>
    <definedName name="K_013" localSheetId="8">[19]SINGK!#REF!</definedName>
    <definedName name="K_013">[19]SINGK!#REF!</definedName>
    <definedName name="K_016" localSheetId="10">#REF!</definedName>
    <definedName name="K_016" localSheetId="5">#REF!</definedName>
    <definedName name="K_016" localSheetId="6">#REF!</definedName>
    <definedName name="K_016" localSheetId="7">#REF!</definedName>
    <definedName name="K_016" localSheetId="8">#REF!</definedName>
    <definedName name="K_016">#REF!</definedName>
    <definedName name="K_017" localSheetId="10">#REF!</definedName>
    <definedName name="K_017" localSheetId="5">#REF!</definedName>
    <definedName name="K_017" localSheetId="6">#REF!</definedName>
    <definedName name="K_017" localSheetId="7">#REF!</definedName>
    <definedName name="K_017" localSheetId="8">#REF!</definedName>
    <definedName name="K_017">#REF!</definedName>
    <definedName name="k_10">'[38]ANALISA PEK.UMUM'!$G$2305</definedName>
    <definedName name="k_11">'[38]ANALISA PEK.UMUM'!$G$2312</definedName>
    <definedName name="K_110">'[24]Morsip Ht Julu'!$BL$477</definedName>
    <definedName name="K_111" localSheetId="10">'[41]tor-banua.raja'!#REF!</definedName>
    <definedName name="K_111" localSheetId="5">'[41]tor-banua.raja'!#REF!</definedName>
    <definedName name="K_111" localSheetId="6">'[41]tor-banua.raja'!#REF!</definedName>
    <definedName name="K_111" localSheetId="7">'[41]tor-banua.raja'!#REF!</definedName>
    <definedName name="K_111" localSheetId="8">'[41]tor-banua.raja'!#REF!</definedName>
    <definedName name="K_111">'[41]tor-banua.raja'!#REF!</definedName>
    <definedName name="K_211MH" localSheetId="10">'[41]tor-banua.raja'!#REF!</definedName>
    <definedName name="K_211MH" localSheetId="5">'[41]tor-banua.raja'!#REF!</definedName>
    <definedName name="K_211MH" localSheetId="6">'[41]tor-banua.raja'!#REF!</definedName>
    <definedName name="K_211MH" localSheetId="7">'[41]tor-banua.raja'!#REF!</definedName>
    <definedName name="K_211MH" localSheetId="8">'[41]tor-banua.raja'!#REF!</definedName>
    <definedName name="K_211MH">'[41]tor-banua.raja'!#REF!</definedName>
    <definedName name="k_224">'[22]ANB I'!$N$587</definedName>
    <definedName name="k_225">'[22]ANB I'!$N$1497</definedName>
    <definedName name="K_310" localSheetId="10">#REF!</definedName>
    <definedName name="K_310" localSheetId="5">#REF!</definedName>
    <definedName name="K_310" localSheetId="6">#REF!</definedName>
    <definedName name="K_310" localSheetId="7">#REF!</definedName>
    <definedName name="K_310" localSheetId="8">#REF!</definedName>
    <definedName name="K_310">#REF!</definedName>
    <definedName name="K_320">'[24]Morsip Ht Julu'!$BL$353</definedName>
    <definedName name="K_321" localSheetId="10">[42]GN.BARINGIN!#REF!</definedName>
    <definedName name="K_321" localSheetId="5">[42]GN.BARINGIN!#REF!</definedName>
    <definedName name="K_321" localSheetId="6">[42]GN.BARINGIN!#REF!</definedName>
    <definedName name="K_321" localSheetId="7">[42]GN.BARINGIN!#REF!</definedName>
    <definedName name="K_321" localSheetId="8">[42]GN.BARINGIN!#REF!</definedName>
    <definedName name="K_321">[42]GN.BARINGIN!#REF!</definedName>
    <definedName name="K_321MH" localSheetId="10">'[41]tor-banua.raja'!#REF!</definedName>
    <definedName name="K_321MH" localSheetId="5">'[41]tor-banua.raja'!#REF!</definedName>
    <definedName name="K_321MH" localSheetId="6">'[41]tor-banua.raja'!#REF!</definedName>
    <definedName name="K_321MH" localSheetId="7">'[41]tor-banua.raja'!#REF!</definedName>
    <definedName name="K_321MH" localSheetId="8">'[41]tor-banua.raja'!#REF!</definedName>
    <definedName name="K_321MH">'[41]tor-banua.raja'!#REF!</definedName>
    <definedName name="k_342">'[26]ANB I'!$N$57</definedName>
    <definedName name="K_410">'[24]Morsip Ht Julu'!$BL$539</definedName>
    <definedName name="K_422">'[24]Morsip Ht Julu'!$BL$677</definedName>
    <definedName name="K_424">'[24]Morsip Ht Julu'!$BL$415</definedName>
    <definedName name="K_516" localSheetId="10">[19]SINGK!#REF!</definedName>
    <definedName name="K_516" localSheetId="5">[19]SINGK!#REF!</definedName>
    <definedName name="K_516" localSheetId="6">[19]SINGK!#REF!</definedName>
    <definedName name="K_516" localSheetId="7">[19]SINGK!#REF!</definedName>
    <definedName name="K_516" localSheetId="8">[19]SINGK!#REF!</definedName>
    <definedName name="K_516">[19]SINGK!#REF!</definedName>
    <definedName name="k_517">'[26]ANB I'!$N$1237</definedName>
    <definedName name="K_520" localSheetId="10">#REF!</definedName>
    <definedName name="K_520" localSheetId="5">#REF!</definedName>
    <definedName name="K_520" localSheetId="6">#REF!</definedName>
    <definedName name="K_520" localSheetId="7">#REF!</definedName>
    <definedName name="K_520" localSheetId="8">#REF!</definedName>
    <definedName name="K_520">#REF!</definedName>
    <definedName name="K_522" localSheetId="10">#REF!</definedName>
    <definedName name="K_522" localSheetId="5">#REF!</definedName>
    <definedName name="K_522" localSheetId="6">#REF!</definedName>
    <definedName name="K_522" localSheetId="7">#REF!</definedName>
    <definedName name="K_522" localSheetId="8">#REF!</definedName>
    <definedName name="K_522">#REF!</definedName>
    <definedName name="k_523">'[26]ANB I'!$N$840</definedName>
    <definedName name="K_618">'[24]Morsip Ht Julu'!$BM$802:$BV$861</definedName>
    <definedName name="K_619">'[24]Morsip Ht Julu'!$BM$864:$BV$923</definedName>
    <definedName name="k_636">'[26]ANB I'!$N$1650</definedName>
    <definedName name="K_641">'[24]Morsip Ht Julu'!$BL$615</definedName>
    <definedName name="k_705">'[26]ANB I'!$N$672</definedName>
    <definedName name="k_710">'[22]ANB I'!$N$2892</definedName>
    <definedName name="k_715">'[22]ANB I'!$N$2978</definedName>
    <definedName name="K_722" localSheetId="10">#REF!</definedName>
    <definedName name="K_722" localSheetId="5">#REF!</definedName>
    <definedName name="K_722" localSheetId="6">#REF!</definedName>
    <definedName name="K_722" localSheetId="7">#REF!</definedName>
    <definedName name="K_722" localSheetId="8">#REF!</definedName>
    <definedName name="K_722">#REF!</definedName>
    <definedName name="K_725" localSheetId="10">[43]Jemb.AekSayur!#REF!</definedName>
    <definedName name="K_725" localSheetId="5">[43]Jemb.AekSayur!#REF!</definedName>
    <definedName name="K_725" localSheetId="6">[43]Jemb.AekSayur!#REF!</definedName>
    <definedName name="K_725" localSheetId="7">[43]Jemb.AekSayur!#REF!</definedName>
    <definedName name="K_725" localSheetId="8">[43]Jemb.AekSayur!#REF!</definedName>
    <definedName name="K_725">[43]Jemb.AekSayur!#REF!</definedName>
    <definedName name="k_728">'[26]ANB I'!$N$3061</definedName>
    <definedName name="k_8">'[38]ANALISA PEK.UMUM'!$G$2291</definedName>
    <definedName name="k_880">'[22]ANB I'!$N$236</definedName>
    <definedName name="k_881">'[26]ANB I'!$O$920</definedName>
    <definedName name="k_881a" localSheetId="10">'[22]ANB I'!#REF!</definedName>
    <definedName name="k_881a" localSheetId="5">'[22]ANB I'!#REF!</definedName>
    <definedName name="k_881a" localSheetId="6">'[22]ANB I'!#REF!</definedName>
    <definedName name="k_881a" localSheetId="7">'[22]ANB I'!#REF!</definedName>
    <definedName name="k_881a" localSheetId="8">'[22]ANB I'!#REF!</definedName>
    <definedName name="k_881a">'[22]ANB I'!#REF!</definedName>
    <definedName name="k_9">'[38]ANALISA PEK.UMUM'!$G$2298</definedName>
    <definedName name="K1DURP" localSheetId="10">#REF!</definedName>
    <definedName name="K1DURP" localSheetId="5">#REF!</definedName>
    <definedName name="K1DURP" localSheetId="6">#REF!</definedName>
    <definedName name="K1DURP" localSheetId="7">#REF!</definedName>
    <definedName name="K1DURP" localSheetId="8">#REF!</definedName>
    <definedName name="K1DURP">#REF!</definedName>
    <definedName name="Kas0_5_7_Borneo_SP__2_x_pakai__50" localSheetId="10">#REF!</definedName>
    <definedName name="Kas0_5_7_Borneo_SP__2_x_pakai__50" localSheetId="5">#REF!</definedName>
    <definedName name="Kas0_5_7_Borneo_SP__2_x_pakai__50" localSheetId="6">#REF!</definedName>
    <definedName name="Kas0_5_7_Borneo_SP__2_x_pakai__50" localSheetId="7">#REF!</definedName>
    <definedName name="Kas0_5_7_Borneo_SP__2_x_pakai__50" localSheetId="8">#REF!</definedName>
    <definedName name="Kas0_5_7_Borneo_SP__2_x_pakai__50">#REF!</definedName>
    <definedName name="kayu_papan_cor__borneo" localSheetId="10">[13]BAHAN!#REF!</definedName>
    <definedName name="kayu_papan_cor__borneo" localSheetId="5">[13]BAHAN!#REF!</definedName>
    <definedName name="kayu_papan_cor__borneo" localSheetId="6">[13]BAHAN!#REF!</definedName>
    <definedName name="kayu_papan_cor__borneo" localSheetId="7">[13]BAHAN!#REF!</definedName>
    <definedName name="kayu_papan_cor__borneo" localSheetId="8">[13]BAHAN!#REF!</definedName>
    <definedName name="kayu_papan_cor__borneo">[13]BAHAN!#REF!</definedName>
    <definedName name="Kayu_Reng_2_3_Kamper_Medan" localSheetId="10">[13]BAHAN!#REF!</definedName>
    <definedName name="Kayu_Reng_2_3_Kamper_Medan" localSheetId="5">[13]BAHAN!#REF!</definedName>
    <definedName name="Kayu_Reng_2_3_Kamper_Medan" localSheetId="6">[13]BAHAN!#REF!</definedName>
    <definedName name="Kayu_Reng_2_3_Kamper_Medan" localSheetId="7">[13]BAHAN!#REF!</definedName>
    <definedName name="Kayu_Reng_2_3_Kamper_Medan" localSheetId="8">[13]BAHAN!#REF!</definedName>
    <definedName name="Kayu_Reng_2_3_Kamper_Medan">[13]BAHAN!#REF!</definedName>
    <definedName name="Kayu_Reng_3_4_Borneo_Super" localSheetId="10">[13]BAHAN!#REF!</definedName>
    <definedName name="Kayu_Reng_3_4_Borneo_Super" localSheetId="5">[13]BAHAN!#REF!</definedName>
    <definedName name="Kayu_Reng_3_4_Borneo_Super" localSheetId="6">[13]BAHAN!#REF!</definedName>
    <definedName name="Kayu_Reng_3_4_Borneo_Super" localSheetId="7">[13]BAHAN!#REF!</definedName>
    <definedName name="Kayu_Reng_3_4_Borneo_Super" localSheetId="8">[13]BAHAN!#REF!</definedName>
    <definedName name="Kayu_Reng_3_4_Borneo_Super">[13]BAHAN!#REF!</definedName>
    <definedName name="Kayu_Reng_3_4_Kamper_Medan" localSheetId="10">[13]BAHAN!#REF!</definedName>
    <definedName name="Kayu_Reng_3_4_Kamper_Medan" localSheetId="5">[13]BAHAN!#REF!</definedName>
    <definedName name="Kayu_Reng_3_4_Kamper_Medan" localSheetId="6">[13]BAHAN!#REF!</definedName>
    <definedName name="Kayu_Reng_3_4_Kamper_Medan" localSheetId="7">[13]BAHAN!#REF!</definedName>
    <definedName name="Kayu_Reng_3_4_Kamper_Medan" localSheetId="8">[13]BAHAN!#REF!</definedName>
    <definedName name="Kayu_Reng_3_4_Kamper_Medan">[13]BAHAN!#REF!</definedName>
    <definedName name="kayu_stoot_dinding__2_x_pakai_75" localSheetId="10">#REF!</definedName>
    <definedName name="kayu_stoot_dinding__2_x_pakai_75" localSheetId="5">#REF!</definedName>
    <definedName name="kayu_stoot_dinding__2_x_pakai_75" localSheetId="6">#REF!</definedName>
    <definedName name="kayu_stoot_dinding__2_x_pakai_75" localSheetId="7">#REF!</definedName>
    <definedName name="kayu_stoot_dinding__2_x_pakai_75" localSheetId="8">#REF!</definedName>
    <definedName name="kayu_stoot_dinding__2_x_pakai_75">#REF!</definedName>
    <definedName name="Kayu_Terentang" localSheetId="10">[13]BAHAN!#REF!</definedName>
    <definedName name="Kayu_Terentang" localSheetId="5">[13]BAHAN!#REF!</definedName>
    <definedName name="Kayu_Terentang" localSheetId="6">[13]BAHAN!#REF!</definedName>
    <definedName name="Kayu_Terentang" localSheetId="7">[13]BAHAN!#REF!</definedName>
    <definedName name="Kayu_Terentang" localSheetId="8">[13]BAHAN!#REF!</definedName>
    <definedName name="Kayu_Terentang">[13]BAHAN!#REF!</definedName>
    <definedName name="keg">'[26]Informasi Umum'!$G$9</definedName>
    <definedName name="KEPALA">[14]A!$A$2:$H$4</definedName>
    <definedName name="Ketua" localSheetId="10">#REF!</definedName>
    <definedName name="Ketua" localSheetId="5">#REF!</definedName>
    <definedName name="Ketua" localSheetId="6">#REF!</definedName>
    <definedName name="Ketua" localSheetId="7">#REF!</definedName>
    <definedName name="Ketua" localSheetId="8">#REF!</definedName>
    <definedName name="Ketua">#REF!</definedName>
    <definedName name="kk" localSheetId="10">#REF!</definedName>
    <definedName name="kk" localSheetId="5">#REF!</definedName>
    <definedName name="kk" localSheetId="6">#REF!</definedName>
    <definedName name="kk" localSheetId="7">#REF!</definedName>
    <definedName name="kk" localSheetId="8">#REF!</definedName>
    <definedName name="kk">#REF!</definedName>
    <definedName name="kpa" localSheetId="10">#REF!</definedName>
    <definedName name="kpa" localSheetId="5">#REF!</definedName>
    <definedName name="kpa" localSheetId="6">#REF!</definedName>
    <definedName name="kpa" localSheetId="7">#REF!</definedName>
    <definedName name="kpa" localSheetId="8">#REF!</definedName>
    <definedName name="kpa">#REF!</definedName>
    <definedName name="kriteria">OFFSET([44]INPUT!$H$28,,,7)</definedName>
    <definedName name="lampiran" localSheetId="10">[2]inst1!#REF!</definedName>
    <definedName name="lampiran" localSheetId="5">[2]inst1!#REF!</definedName>
    <definedName name="lampiran" localSheetId="6">[2]inst1!#REF!</definedName>
    <definedName name="lampiran" localSheetId="7">[2]inst1!#REF!</definedName>
    <definedName name="lampiran" localSheetId="8">[2]inst1!#REF!</definedName>
    <definedName name="lampiran">[2]inst1!#REF!</definedName>
    <definedName name="Lantai_kerja" localSheetId="10">#REF!</definedName>
    <definedName name="Lantai_kerja" localSheetId="5">#REF!</definedName>
    <definedName name="Lantai_kerja" localSheetId="6">#REF!</definedName>
    <definedName name="Lantai_kerja" localSheetId="7">#REF!</definedName>
    <definedName name="Lantai_kerja" localSheetId="8">#REF!</definedName>
    <definedName name="Lantai_kerja">#REF!</definedName>
    <definedName name="Lem_Kuning" localSheetId="10">[13]BAHAN!#REF!</definedName>
    <definedName name="Lem_Kuning" localSheetId="5">[13]BAHAN!#REF!</definedName>
    <definedName name="Lem_Kuning" localSheetId="6">[13]BAHAN!#REF!</definedName>
    <definedName name="Lem_Kuning" localSheetId="7">[13]BAHAN!#REF!</definedName>
    <definedName name="Lem_Kuning" localSheetId="8">[13]BAHAN!#REF!</definedName>
    <definedName name="Lem_Kuning">[13]BAHAN!#REF!</definedName>
    <definedName name="Lem_Putih" localSheetId="10">[13]BAHAN!#REF!</definedName>
    <definedName name="Lem_Putih" localSheetId="5">[13]BAHAN!#REF!</definedName>
    <definedName name="Lem_Putih" localSheetId="6">[13]BAHAN!#REF!</definedName>
    <definedName name="Lem_Putih" localSheetId="7">[13]BAHAN!#REF!</definedName>
    <definedName name="Lem_Putih" localSheetId="8">[13]BAHAN!#REF!</definedName>
    <definedName name="Lem_Putih">[13]BAHAN!#REF!</definedName>
    <definedName name="Lem_putih__FOX" localSheetId="10">#REF!</definedName>
    <definedName name="Lem_putih__FOX" localSheetId="5">#REF!</definedName>
    <definedName name="Lem_putih__FOX" localSheetId="6">#REF!</definedName>
    <definedName name="Lem_putih__FOX" localSheetId="7">#REF!</definedName>
    <definedName name="Lem_putih__FOX" localSheetId="8">#REF!</definedName>
    <definedName name="Lem_putih__FOX">#REF!</definedName>
    <definedName name="Lempengan_rumput_biasa__teki" localSheetId="10">#REF!</definedName>
    <definedName name="Lempengan_rumput_biasa__teki" localSheetId="5">#REF!</definedName>
    <definedName name="Lempengan_rumput_biasa__teki" localSheetId="6">#REF!</definedName>
    <definedName name="Lempengan_rumput_biasa__teki" localSheetId="7">#REF!</definedName>
    <definedName name="Lempengan_rumput_biasa__teki" localSheetId="8">#REF!</definedName>
    <definedName name="Lempengan_rumput_biasa__teki">#REF!</definedName>
    <definedName name="lengkap">OFFSET('[44]Lamp BAPP'!$AP$6,1,0,COUNTIF('[44]Lamp BAPP'!$AP$1:$AP$65536,"LENGKAP")+COUNTIF('[44]Lamp BAPP'!$AP$1:$AP$65536,"TIDAK LENGKAP"))</definedName>
    <definedName name="lita">[45]Informasi!$A$1:$N$60</definedName>
    <definedName name="lk" localSheetId="10">#REF!</definedName>
    <definedName name="lk" localSheetId="5">#REF!</definedName>
    <definedName name="lk" localSheetId="6">#REF!</definedName>
    <definedName name="lk" localSheetId="7">#REF!</definedName>
    <definedName name="lk" localSheetId="8">#REF!</definedName>
    <definedName name="lk">#REF!</definedName>
    <definedName name="lkoi" localSheetId="10">#REF!</definedName>
    <definedName name="lkoi" localSheetId="5">#REF!</definedName>
    <definedName name="lkoi" localSheetId="6">#REF!</definedName>
    <definedName name="lkoi" localSheetId="7">#REF!</definedName>
    <definedName name="lkoi" localSheetId="8">#REF!</definedName>
    <definedName name="lkoi">#REF!</definedName>
    <definedName name="lok">'[26]Kuant dan Harga'!$D$12</definedName>
    <definedName name="LOKASI" localSheetId="10">[46]analisa!#REF!</definedName>
    <definedName name="LOKASI" localSheetId="5">[46]analisa!#REF!</definedName>
    <definedName name="LOKASI" localSheetId="6">[46]analisa!#REF!</definedName>
    <definedName name="LOKASI" localSheetId="7">[46]analisa!#REF!</definedName>
    <definedName name="LOKASI" localSheetId="8">[46]analisa!#REF!</definedName>
    <definedName name="LOKASI">[46]analisa!#REF!</definedName>
    <definedName name="lpobn" localSheetId="10">#REF!</definedName>
    <definedName name="lpobn" localSheetId="5">#REF!</definedName>
    <definedName name="lpobn" localSheetId="6">#REF!</definedName>
    <definedName name="lpobn" localSheetId="7">#REF!</definedName>
    <definedName name="lpobn" localSheetId="8">#REF!</definedName>
    <definedName name="lpobn">#REF!</definedName>
    <definedName name="M.081" localSheetId="10">'[18]BHN&amp;UPAH'!#REF!</definedName>
    <definedName name="M.081" localSheetId="5">'[18]BHN&amp;UPAH'!#REF!</definedName>
    <definedName name="M.081" localSheetId="6">'[18]BHN&amp;UPAH'!#REF!</definedName>
    <definedName name="M.081" localSheetId="7">'[18]BHN&amp;UPAH'!#REF!</definedName>
    <definedName name="M.081" localSheetId="8">'[18]BHN&amp;UPAH'!#REF!</definedName>
    <definedName name="M.081">'[18]BHN&amp;UPAH'!#REF!</definedName>
    <definedName name="m_10">'[38]ANALISA PEK.UMUM'!$G$2752</definedName>
    <definedName name="m_11">'[38]ANALISA PEK.UMUM'!$G$2759</definedName>
    <definedName name="m_8">'[38]ANALISA PEK.UMUM'!$G$2738</definedName>
    <definedName name="m_9">'[38]ANALISA PEK.UMUM'!$G$2745</definedName>
    <definedName name="man">'[26]Satuan Upah'!$G$19</definedName>
    <definedName name="MASTER" localSheetId="10">#REF!</definedName>
    <definedName name="MASTER" localSheetId="5">#REF!</definedName>
    <definedName name="MASTER" localSheetId="6">#REF!</definedName>
    <definedName name="MASTER" localSheetId="7">#REF!</definedName>
    <definedName name="MASTER" localSheetId="8">#REF!</definedName>
    <definedName name="MASTER">#REF!</definedName>
    <definedName name="Material2">'[24]Morsip Ht Julu'!$P$155:$T$165</definedName>
    <definedName name="MEMEK" localSheetId="10">#REF!</definedName>
    <definedName name="MEMEK" localSheetId="5">#REF!</definedName>
    <definedName name="MEMEK" localSheetId="6">#REF!</definedName>
    <definedName name="MEMEK" localSheetId="7">#REF!</definedName>
    <definedName name="MEMEK" localSheetId="8">#REF!</definedName>
    <definedName name="MEMEK">#REF!</definedName>
    <definedName name="meni_kayu" localSheetId="10">#REF!</definedName>
    <definedName name="meni_kayu" localSheetId="5">#REF!</definedName>
    <definedName name="meni_kayu" localSheetId="6">#REF!</definedName>
    <definedName name="meni_kayu" localSheetId="7">#REF!</definedName>
    <definedName name="meni_kayu" localSheetId="8">#REF!</definedName>
    <definedName name="meni_kayu">#REF!</definedName>
    <definedName name="Mesin_las" localSheetId="10">#REF!</definedName>
    <definedName name="Mesin_las" localSheetId="5">#REF!</definedName>
    <definedName name="Mesin_las" localSheetId="6">#REF!</definedName>
    <definedName name="Mesin_las" localSheetId="7">#REF!</definedName>
    <definedName name="Mesin_las" localSheetId="8">#REF!</definedName>
    <definedName name="Mesin_las">#REF!</definedName>
    <definedName name="Mesin_snay" localSheetId="10">#REF!</definedName>
    <definedName name="Mesin_snay" localSheetId="5">#REF!</definedName>
    <definedName name="Mesin_snay" localSheetId="6">#REF!</definedName>
    <definedName name="Mesin_snay" localSheetId="7">#REF!</definedName>
    <definedName name="Mesin_snay" localSheetId="8">#REF!</definedName>
    <definedName name="Mesin_snay">#REF!</definedName>
    <definedName name="mobil" localSheetId="10">#REF!</definedName>
    <definedName name="mobil" localSheetId="5">#REF!</definedName>
    <definedName name="mobil" localSheetId="6">#REF!</definedName>
    <definedName name="mobil" localSheetId="7">#REF!</definedName>
    <definedName name="mobil" localSheetId="8">#REF!</definedName>
    <definedName name="mobil">#REF!</definedName>
    <definedName name="Multiplek_12_mm__2_x_pakai__75" localSheetId="10">#REF!</definedName>
    <definedName name="Multiplek_12_mm__2_x_pakai__75" localSheetId="5">#REF!</definedName>
    <definedName name="Multiplek_12_mm__2_x_pakai__75" localSheetId="6">#REF!</definedName>
    <definedName name="Multiplek_12_mm__2_x_pakai__75" localSheetId="7">#REF!</definedName>
    <definedName name="Multiplek_12_mm__2_x_pakai__75" localSheetId="8">#REF!</definedName>
    <definedName name="Multiplek_12_mm__2_x_pakai__75">#REF!</definedName>
    <definedName name="Multiplek_12_mm_120_x_241" localSheetId="10">[13]BAHAN!#REF!</definedName>
    <definedName name="Multiplek_12_mm_120_x_241" localSheetId="5">[13]BAHAN!#REF!</definedName>
    <definedName name="Multiplek_12_mm_120_x_241" localSheetId="6">[13]BAHAN!#REF!</definedName>
    <definedName name="Multiplek_12_mm_120_x_241" localSheetId="7">[13]BAHAN!#REF!</definedName>
    <definedName name="Multiplek_12_mm_120_x_241" localSheetId="8">[13]BAHAN!#REF!</definedName>
    <definedName name="Multiplek_12_mm_120_x_241">[13]BAHAN!#REF!</definedName>
    <definedName name="Multiplek_9_mm__2_x_pakai__75" localSheetId="10">#REF!</definedName>
    <definedName name="Multiplek_9_mm__2_x_pakai__75" localSheetId="5">#REF!</definedName>
    <definedName name="Multiplek_9_mm__2_x_pakai__75" localSheetId="6">#REF!</definedName>
    <definedName name="Multiplek_9_mm__2_x_pakai__75" localSheetId="7">#REF!</definedName>
    <definedName name="Multiplek_9_mm__2_x_pakai__75" localSheetId="8">#REF!</definedName>
    <definedName name="Multiplek_9_mm__2_x_pakai__75">#REF!</definedName>
    <definedName name="Nb_common" localSheetId="10">[30]Parameters!#REF!</definedName>
    <definedName name="Nb_common" localSheetId="5">[30]Parameters!#REF!</definedName>
    <definedName name="Nb_common" localSheetId="6">[30]Parameters!#REF!</definedName>
    <definedName name="Nb_common" localSheetId="7">[30]Parameters!#REF!</definedName>
    <definedName name="Nb_common" localSheetId="8">[30]Parameters!#REF!</definedName>
    <definedName name="Nb_common">[30]Parameters!#REF!</definedName>
    <definedName name="Nb_fixed" localSheetId="10">[30]Parameters!#REF!</definedName>
    <definedName name="Nb_fixed" localSheetId="5">[30]Parameters!#REF!</definedName>
    <definedName name="Nb_fixed" localSheetId="6">[30]Parameters!#REF!</definedName>
    <definedName name="Nb_fixed" localSheetId="7">[30]Parameters!#REF!</definedName>
    <definedName name="Nb_fixed" localSheetId="8">[30]Parameters!#REF!</definedName>
    <definedName name="Nb_fixed">[30]Parameters!#REF!</definedName>
    <definedName name="Nb_invests" localSheetId="10">[30]Parameters!#REF!</definedName>
    <definedName name="Nb_invests" localSheetId="5">[30]Parameters!#REF!</definedName>
    <definedName name="Nb_invests" localSheetId="6">[30]Parameters!#REF!</definedName>
    <definedName name="Nb_invests" localSheetId="7">[30]Parameters!#REF!</definedName>
    <definedName name="Nb_invests" localSheetId="8">[30]Parameters!#REF!</definedName>
    <definedName name="Nb_invests">[30]Parameters!#REF!</definedName>
    <definedName name="Nb_variables" localSheetId="10">[30]Parameters!#REF!</definedName>
    <definedName name="Nb_variables" localSheetId="5">[30]Parameters!#REF!</definedName>
    <definedName name="Nb_variables" localSheetId="6">[30]Parameters!#REF!</definedName>
    <definedName name="Nb_variables" localSheetId="7">[30]Parameters!#REF!</definedName>
    <definedName name="Nb_variables" localSheetId="8">[30]Parameters!#REF!</definedName>
    <definedName name="Nb_variables">[30]Parameters!#REF!</definedName>
    <definedName name="Negoharga" localSheetId="10">#REF!</definedName>
    <definedName name="Negoharga" localSheetId="5">#REF!</definedName>
    <definedName name="Negoharga" localSheetId="6">#REF!</definedName>
    <definedName name="Negoharga" localSheetId="7">#REF!</definedName>
    <definedName name="Negoharga" localSheetId="8">#REF!</definedName>
    <definedName name="Negoharga">#REF!</definedName>
    <definedName name="NIP" localSheetId="10">#REF!</definedName>
    <definedName name="NIP" localSheetId="5">#REF!</definedName>
    <definedName name="NIP" localSheetId="6">#REF!</definedName>
    <definedName name="NIP" localSheetId="7">#REF!</definedName>
    <definedName name="NIP" localSheetId="8">#REF!</definedName>
    <definedName name="NIP">#REF!</definedName>
    <definedName name="nipkpa" localSheetId="10">#REF!</definedName>
    <definedName name="nipkpa" localSheetId="5">#REF!</definedName>
    <definedName name="nipkpa" localSheetId="6">#REF!</definedName>
    <definedName name="nipkpa" localSheetId="7">#REF!</definedName>
    <definedName name="nipkpa" localSheetId="8">#REF!</definedName>
    <definedName name="nipkpa">#REF!</definedName>
    <definedName name="njklgvfh" localSheetId="10">#REF!</definedName>
    <definedName name="njklgvfh" localSheetId="5">#REF!</definedName>
    <definedName name="njklgvfh" localSheetId="6">#REF!</definedName>
    <definedName name="njklgvfh" localSheetId="7">#REF!</definedName>
    <definedName name="njklgvfh" localSheetId="8">#REF!</definedName>
    <definedName name="njklgvfh">#REF!</definedName>
    <definedName name="njklyhuyigl" localSheetId="10">#REF!</definedName>
    <definedName name="njklyhuyigl" localSheetId="5">#REF!</definedName>
    <definedName name="njklyhuyigl" localSheetId="6">#REF!</definedName>
    <definedName name="njklyhuyigl" localSheetId="7">#REF!</definedName>
    <definedName name="njklyhuyigl" localSheetId="8">#REF!</definedName>
    <definedName name="njklyhuyigl">#REF!</definedName>
    <definedName name="NO">[47]Upah!$C$14:$G$24</definedName>
    <definedName name="No." localSheetId="10">[2]inst1!#REF!</definedName>
    <definedName name="No." localSheetId="5">[2]inst1!#REF!</definedName>
    <definedName name="No." localSheetId="6">[2]inst1!#REF!</definedName>
    <definedName name="No." localSheetId="7">[2]inst1!#REF!</definedName>
    <definedName name="No." localSheetId="8">[2]inst1!#REF!</definedName>
    <definedName name="No.">[2]inst1!#REF!</definedName>
    <definedName name="NOLAS" localSheetId="10">#REF!</definedName>
    <definedName name="NOLAS" localSheetId="5">#REF!</definedName>
    <definedName name="NOLAS" localSheetId="6">#REF!</definedName>
    <definedName name="NOLAS" localSheetId="7">#REF!</definedName>
    <definedName name="NOLAS" localSheetId="8">#REF!</definedName>
    <definedName name="NOLAS">#REF!</definedName>
    <definedName name="ok">'[48]Morsip Ht Julu'!$BM$289:$BV$348</definedName>
    <definedName name="ONGKOS_ANGKUT" localSheetId="10">#REF!</definedName>
    <definedName name="ONGKOS_ANGKUT" localSheetId="5">#REF!</definedName>
    <definedName name="ONGKOS_ANGKUT" localSheetId="6">#REF!</definedName>
    <definedName name="ONGKOS_ANGKUT" localSheetId="7">#REF!</definedName>
    <definedName name="ONGKOS_ANGKUT" localSheetId="8">#REF!</definedName>
    <definedName name="ONGKOS_ANGKUT">#REF!</definedName>
    <definedName name="Ongkos_Pasang_Papan_Nama" localSheetId="10">#REF!</definedName>
    <definedName name="Ongkos_Pasang_Papan_Nama" localSheetId="5">#REF!</definedName>
    <definedName name="Ongkos_Pasang_Papan_Nama" localSheetId="6">#REF!</definedName>
    <definedName name="Ongkos_Pasang_Papan_Nama" localSheetId="7">#REF!</definedName>
    <definedName name="Ongkos_Pasang_Papan_Nama" localSheetId="8">#REF!</definedName>
    <definedName name="Ongkos_Pasang_Papan_Nama">#REF!</definedName>
    <definedName name="oper">'[26]Satuan Upah'!$G$21</definedName>
    <definedName name="Opex_Common" localSheetId="10">#REF!</definedName>
    <definedName name="Opex_Common" localSheetId="5">#REF!</definedName>
    <definedName name="Opex_Common" localSheetId="6">#REF!</definedName>
    <definedName name="Opex_Common" localSheetId="7">#REF!</definedName>
    <definedName name="Opex_Common" localSheetId="8">#REF!</definedName>
    <definedName name="Opex_Common">#REF!</definedName>
    <definedName name="Opex_date" localSheetId="10">#REF!</definedName>
    <definedName name="Opex_date" localSheetId="5">#REF!</definedName>
    <definedName name="Opex_date" localSheetId="6">#REF!</definedName>
    <definedName name="Opex_date" localSheetId="7">#REF!</definedName>
    <definedName name="Opex_date" localSheetId="8">#REF!</definedName>
    <definedName name="Opex_date">#REF!</definedName>
    <definedName name="Opex_fixed_sewage" localSheetId="10">#REF!</definedName>
    <definedName name="Opex_fixed_sewage" localSheetId="5">#REF!</definedName>
    <definedName name="Opex_fixed_sewage" localSheetId="6">#REF!</definedName>
    <definedName name="Opex_fixed_sewage" localSheetId="7">#REF!</definedName>
    <definedName name="Opex_fixed_sewage" localSheetId="8">#REF!</definedName>
    <definedName name="Opex_fixed_sewage">#REF!</definedName>
    <definedName name="Opex_fixed_water" localSheetId="10">#REF!</definedName>
    <definedName name="Opex_fixed_water" localSheetId="5">#REF!</definedName>
    <definedName name="Opex_fixed_water" localSheetId="6">#REF!</definedName>
    <definedName name="Opex_fixed_water" localSheetId="7">#REF!</definedName>
    <definedName name="Opex_fixed_water" localSheetId="8">#REF!</definedName>
    <definedName name="Opex_fixed_water">#REF!</definedName>
    <definedName name="Opex_Sewage" localSheetId="10">#REF!</definedName>
    <definedName name="Opex_Sewage" localSheetId="5">#REF!</definedName>
    <definedName name="Opex_Sewage" localSheetId="6">#REF!</definedName>
    <definedName name="Opex_Sewage" localSheetId="7">#REF!</definedName>
    <definedName name="Opex_Sewage" localSheetId="8">#REF!</definedName>
    <definedName name="Opex_Sewage">#REF!</definedName>
    <definedName name="Opex_variables_sewage" localSheetId="10">#REF!</definedName>
    <definedName name="Opex_variables_sewage" localSheetId="5">#REF!</definedName>
    <definedName name="Opex_variables_sewage" localSheetId="6">#REF!</definedName>
    <definedName name="Opex_variables_sewage" localSheetId="7">#REF!</definedName>
    <definedName name="Opex_variables_sewage" localSheetId="8">#REF!</definedName>
    <definedName name="Opex_variables_sewage">#REF!</definedName>
    <definedName name="Opex_variables_water" localSheetId="10">#REF!</definedName>
    <definedName name="Opex_variables_water" localSheetId="5">#REF!</definedName>
    <definedName name="Opex_variables_water" localSheetId="6">#REF!</definedName>
    <definedName name="Opex_variables_water" localSheetId="7">#REF!</definedName>
    <definedName name="Opex_variables_water" localSheetId="8">#REF!</definedName>
    <definedName name="Opex_variables_water">#REF!</definedName>
    <definedName name="Opex_Water" localSheetId="10">#REF!</definedName>
    <definedName name="Opex_Water" localSheetId="5">#REF!</definedName>
    <definedName name="Opex_Water" localSheetId="6">#REF!</definedName>
    <definedName name="Opex_Water" localSheetId="7">#REF!</definedName>
    <definedName name="Opex_Water" localSheetId="8">#REF!</definedName>
    <definedName name="Opex_Water">#REF!</definedName>
    <definedName name="P5_K_CONSTANT" localSheetId="10">#REF!</definedName>
    <definedName name="P5_K_CONSTANT" localSheetId="5">#REF!</definedName>
    <definedName name="P5_K_CONSTANT" localSheetId="6">#REF!</definedName>
    <definedName name="P5_K_CONSTANT" localSheetId="7">#REF!</definedName>
    <definedName name="P5_K_CONSTANT" localSheetId="8">#REF!</definedName>
    <definedName name="P5_K_CONSTANT">#REF!</definedName>
    <definedName name="P5_K_NOMINAL" localSheetId="10">#REF!</definedName>
    <definedName name="P5_K_NOMINAL" localSheetId="5">#REF!</definedName>
    <definedName name="P5_K_NOMINAL" localSheetId="6">#REF!</definedName>
    <definedName name="P5_K_NOMINAL" localSheetId="7">#REF!</definedName>
    <definedName name="P5_K_NOMINAL" localSheetId="8">#REF!</definedName>
    <definedName name="P5_K_NOMINAL">#REF!</definedName>
    <definedName name="P5_Opt" localSheetId="10">[30]Capex!#REF!</definedName>
    <definedName name="P5_Opt" localSheetId="5">[30]Capex!#REF!</definedName>
    <definedName name="P5_Opt" localSheetId="6">[30]Capex!#REF!</definedName>
    <definedName name="P5_Opt" localSheetId="7">[30]Capex!#REF!</definedName>
    <definedName name="P5_Opt" localSheetId="8">[30]Capex!#REF!</definedName>
    <definedName name="P5_Opt">[30]Capex!#REF!</definedName>
    <definedName name="P5_Start" localSheetId="10">[30]Capex!#REF!</definedName>
    <definedName name="P5_Start" localSheetId="5">[30]Capex!#REF!</definedName>
    <definedName name="P5_Start" localSheetId="6">[30]Capex!#REF!</definedName>
    <definedName name="P5_Start" localSheetId="7">[30]Capex!#REF!</definedName>
    <definedName name="P5_Start" localSheetId="8">[30]Capex!#REF!</definedName>
    <definedName name="P5_Start">[30]Capex!#REF!</definedName>
    <definedName name="P5_Sub" localSheetId="10">[30]Capex!#REF!</definedName>
    <definedName name="P5_Sub" localSheetId="5">[30]Capex!#REF!</definedName>
    <definedName name="P5_Sub" localSheetId="6">[30]Capex!#REF!</definedName>
    <definedName name="P5_Sub" localSheetId="7">[30]Capex!#REF!</definedName>
    <definedName name="P5_Sub" localSheetId="8">[30]Capex!#REF!</definedName>
    <definedName name="P5_Sub">[30]Capex!#REF!</definedName>
    <definedName name="P5_SUB_CONSTANT" localSheetId="10">#REF!</definedName>
    <definedName name="P5_SUB_CONSTANT" localSheetId="5">#REF!</definedName>
    <definedName name="P5_SUB_CONSTANT" localSheetId="6">#REF!</definedName>
    <definedName name="P5_SUB_CONSTANT" localSheetId="7">#REF!</definedName>
    <definedName name="P5_SUB_CONSTANT" localSheetId="8">#REF!</definedName>
    <definedName name="P5_SUB_CONSTANT">#REF!</definedName>
    <definedName name="P5_SUB_NOMINAL" localSheetId="10">#REF!</definedName>
    <definedName name="P5_SUB_NOMINAL" localSheetId="5">#REF!</definedName>
    <definedName name="P5_SUB_NOMINAL" localSheetId="6">#REF!</definedName>
    <definedName name="P5_SUB_NOMINAL" localSheetId="7">#REF!</definedName>
    <definedName name="P5_SUB_NOMINAL" localSheetId="8">#REF!</definedName>
    <definedName name="P5_SUB_NOMINAL">#REF!</definedName>
    <definedName name="P5_Tech" localSheetId="10">[30]Capex!#REF!</definedName>
    <definedName name="P5_Tech" localSheetId="5">[30]Capex!#REF!</definedName>
    <definedName name="P5_Tech" localSheetId="6">[30]Capex!#REF!</definedName>
    <definedName name="P5_Tech" localSheetId="7">[30]Capex!#REF!</definedName>
    <definedName name="P5_Tech" localSheetId="8">[30]Capex!#REF!</definedName>
    <definedName name="P5_Tech">[30]Capex!#REF!</definedName>
    <definedName name="Paket">'[26]Kuant dan Harga'!$D$223</definedName>
    <definedName name="Paku_sekrup_asbes" localSheetId="10">[13]BAHAN!#REF!</definedName>
    <definedName name="Paku_sekrup_asbes" localSheetId="5">[13]BAHAN!#REF!</definedName>
    <definedName name="Paku_sekrup_asbes" localSheetId="6">[13]BAHAN!#REF!</definedName>
    <definedName name="Paku_sekrup_asbes" localSheetId="7">[13]BAHAN!#REF!</definedName>
    <definedName name="Paku_sekrup_asbes" localSheetId="8">[13]BAHAN!#REF!</definedName>
    <definedName name="Paku_sekrup_asbes">[13]BAHAN!#REF!</definedName>
    <definedName name="Papan_terentang__2_x_pakai__75" localSheetId="10">#REF!</definedName>
    <definedName name="Papan_terentang__2_x_pakai__75" localSheetId="5">#REF!</definedName>
    <definedName name="Papan_terentang__2_x_pakai__75" localSheetId="6">#REF!</definedName>
    <definedName name="Papan_terentang__2_x_pakai__75" localSheetId="7">#REF!</definedName>
    <definedName name="Papan_terentang__2_x_pakai__75" localSheetId="8">#REF!</definedName>
    <definedName name="Papan_terentang__2_x_pakai__75">#REF!</definedName>
    <definedName name="PASANG_ENGSEL_JENDELA" localSheetId="10">#REF!</definedName>
    <definedName name="PASANG_ENGSEL_JENDELA" localSheetId="5">#REF!</definedName>
    <definedName name="PASANG_ENGSEL_JENDELA" localSheetId="6">#REF!</definedName>
    <definedName name="PASANG_ENGSEL_JENDELA" localSheetId="7">#REF!</definedName>
    <definedName name="PASANG_ENGSEL_JENDELA" localSheetId="8">#REF!</definedName>
    <definedName name="PASANG_ENGSEL_JENDELA">#REF!</definedName>
    <definedName name="PC__50__Kg" localSheetId="10">#REF!</definedName>
    <definedName name="PC__50__Kg" localSheetId="5">#REF!</definedName>
    <definedName name="PC__50__Kg" localSheetId="6">#REF!</definedName>
    <definedName name="PC__50__Kg" localSheetId="7">#REF!</definedName>
    <definedName name="PC__50__Kg" localSheetId="8">#REF!</definedName>
    <definedName name="PC__50__Kg">#REF!</definedName>
    <definedName name="PC__50_Kg" localSheetId="10">#REF!</definedName>
    <definedName name="PC__50_Kg" localSheetId="5">#REF!</definedName>
    <definedName name="PC__50_Kg" localSheetId="6">#REF!</definedName>
    <definedName name="PC__50_Kg" localSheetId="7">#REF!</definedName>
    <definedName name="PC__50_Kg" localSheetId="8">#REF!</definedName>
    <definedName name="PC__50_Kg">#REF!</definedName>
    <definedName name="Pc_50_Kg" localSheetId="10">#REF!</definedName>
    <definedName name="Pc_50_Kg" localSheetId="5">#REF!</definedName>
    <definedName name="Pc_50_Kg" localSheetId="6">#REF!</definedName>
    <definedName name="Pc_50_Kg" localSheetId="7">#REF!</definedName>
    <definedName name="Pc_50_Kg" localSheetId="8">#REF!</definedName>
    <definedName name="Pc_50_Kg">#REF!</definedName>
    <definedName name="pek">'[26]Satuan Upah'!$G$15</definedName>
    <definedName name="Pemasangan_kunci_2_slaag_Royal_lengkap" localSheetId="10">[13]BAHAN!#REF!</definedName>
    <definedName name="Pemasangan_kunci_2_slaag_Royal_lengkap" localSheetId="5">[13]BAHAN!#REF!</definedName>
    <definedName name="Pemasangan_kunci_2_slaag_Royal_lengkap" localSheetId="6">[13]BAHAN!#REF!</definedName>
    <definedName name="Pemasangan_kunci_2_slaag_Royal_lengkap" localSheetId="7">[13]BAHAN!#REF!</definedName>
    <definedName name="Pemasangan_kunci_2_slaag_Royal_lengkap" localSheetId="8">[13]BAHAN!#REF!</definedName>
    <definedName name="Pemasangan_kunci_2_slaag_Royal_lengkap">[13]BAHAN!#REF!</definedName>
    <definedName name="pemb">'[26]Satuan Upah'!$G$23</definedName>
    <definedName name="Pendidikan" localSheetId="10">#REF!</definedName>
    <definedName name="Pendidikan" localSheetId="5">#REF!</definedName>
    <definedName name="Pendidikan" localSheetId="6">#REF!</definedName>
    <definedName name="Pendidikan" localSheetId="7">#REF!</definedName>
    <definedName name="Pendidikan" localSheetId="8">#REF!</definedName>
    <definedName name="Pendidikan">#REF!</definedName>
    <definedName name="Pengalaman" localSheetId="10">#REF!</definedName>
    <definedName name="Pengalaman" localSheetId="5">#REF!</definedName>
    <definedName name="Pengalaman" localSheetId="6">#REF!</definedName>
    <definedName name="Pengalaman" localSheetId="7">#REF!</definedName>
    <definedName name="Pengalaman" localSheetId="8">#REF!</definedName>
    <definedName name="Pengalaman">#REF!</definedName>
    <definedName name="Penulisan" localSheetId="10">#REF!</definedName>
    <definedName name="Penulisan" localSheetId="5">#REF!</definedName>
    <definedName name="Penulisan" localSheetId="6">#REF!</definedName>
    <definedName name="Penulisan" localSheetId="7">#REF!</definedName>
    <definedName name="Penulisan" localSheetId="8">#REF!</definedName>
    <definedName name="Penulisan">#REF!</definedName>
    <definedName name="PERALATAN" localSheetId="10">#REF!</definedName>
    <definedName name="PERALATAN" localSheetId="5">#REF!</definedName>
    <definedName name="PERALATAN" localSheetId="6">#REF!</definedName>
    <definedName name="PERALATAN" localSheetId="7">#REF!</definedName>
    <definedName name="PERALATAN" localSheetId="8">#REF!</definedName>
    <definedName name="PERALATAN">#REF!</definedName>
    <definedName name="Peralatan_baja_IWF_Ex_DN" localSheetId="10">#REF!</definedName>
    <definedName name="Peralatan_baja_IWF_Ex_DN" localSheetId="5">#REF!</definedName>
    <definedName name="Peralatan_baja_IWF_Ex_DN" localSheetId="6">#REF!</definedName>
    <definedName name="Peralatan_baja_IWF_Ex_DN" localSheetId="7">#REF!</definedName>
    <definedName name="Peralatan_baja_IWF_Ex_DN" localSheetId="8">#REF!</definedName>
    <definedName name="Peralatan_baja_IWF_Ex_DN">#REF!</definedName>
    <definedName name="Peralatan2">'[24]Morsip Ht Julu'!$Z$197:$AN$223</definedName>
    <definedName name="PERUSAHAAN" localSheetId="10">'[49]no srt'!#REF!</definedName>
    <definedName name="PERUSAHAAN" localSheetId="5">'[49]no srt'!#REF!</definedName>
    <definedName name="PERUSAHAAN" localSheetId="6">'[49]no srt'!#REF!</definedName>
    <definedName name="PERUSAHAAN" localSheetId="7">'[49]no srt'!#REF!</definedName>
    <definedName name="PERUSAHAAN" localSheetId="8">'[49]no srt'!#REF!</definedName>
    <definedName name="PERUSAHAAN">'[49]no srt'!#REF!</definedName>
    <definedName name="PKLM" localSheetId="10">#REF!</definedName>
    <definedName name="PKLM" localSheetId="5">#REF!</definedName>
    <definedName name="PKLM" localSheetId="6">#REF!</definedName>
    <definedName name="PKLM" localSheetId="7">#REF!</definedName>
    <definedName name="PKLM" localSheetId="8">#REF!</definedName>
    <definedName name="PKLM">#REF!</definedName>
    <definedName name="Plesteran" localSheetId="10">#REF!</definedName>
    <definedName name="Plesteran" localSheetId="5">#REF!</definedName>
    <definedName name="Plesteran" localSheetId="6">#REF!</definedName>
    <definedName name="Plesteran" localSheetId="7">#REF!</definedName>
    <definedName name="Plesteran" localSheetId="8">#REF!</definedName>
    <definedName name="Plesteran">#REF!</definedName>
    <definedName name="print" localSheetId="10">#REF!</definedName>
    <definedName name="print" localSheetId="5">#REF!</definedName>
    <definedName name="print" localSheetId="6">#REF!</definedName>
    <definedName name="print" localSheetId="7">#REF!</definedName>
    <definedName name="print" localSheetId="8">#REF!</definedName>
    <definedName name="print">#REF!</definedName>
    <definedName name="_xlnm.Print_Area" localSheetId="10">ASET!$A$1:$V$94</definedName>
    <definedName name="_xlnm.Print_Area" localSheetId="5">#REF!</definedName>
    <definedName name="_xlnm.Print_Area" localSheetId="6">#REF!</definedName>
    <definedName name="_xlnm.Print_Area" localSheetId="7">#REF!</definedName>
    <definedName name="_xlnm.Print_Area" localSheetId="8">#REF!</definedName>
    <definedName name="_xlnm.Print_Area" localSheetId="11">'LABA RUGI'!$A$2:$F$47</definedName>
    <definedName name="_xlnm.Print_Area" localSheetId="15">'LABA RUGI PAJAK'!$A$1:$F$61</definedName>
    <definedName name="_xlnm.Print_Area" localSheetId="12">NERACA!$A$1:$H$30</definedName>
    <definedName name="_xlnm.Print_Area" localSheetId="16">'NERACA PAJAK'!$A$1:$G$48</definedName>
    <definedName name="_xlnm.Print_Area">#REF!</definedName>
    <definedName name="prog">'[22]Kuant dan Harga'!$D$6</definedName>
    <definedName name="progres" localSheetId="10">#REF!</definedName>
    <definedName name="progres" localSheetId="5">#REF!</definedName>
    <definedName name="progres" localSheetId="6">#REF!</definedName>
    <definedName name="progres" localSheetId="7">#REF!</definedName>
    <definedName name="progres" localSheetId="8">#REF!</definedName>
    <definedName name="progres">#REF!</definedName>
    <definedName name="Prov" localSheetId="10">'[22]Kuant dan Harga'!#REF!</definedName>
    <definedName name="Prov" localSheetId="5">'[22]Kuant dan Harga'!#REF!</definedName>
    <definedName name="Prov" localSheetId="6">'[22]Kuant dan Harga'!#REF!</definedName>
    <definedName name="Prov" localSheetId="7">'[22]Kuant dan Harga'!#REF!</definedName>
    <definedName name="Prov" localSheetId="8">'[22]Kuant dan Harga'!#REF!</definedName>
    <definedName name="Prov">'[22]Kuant dan Harga'!#REF!</definedName>
    <definedName name="proyek">'[26]Kuant dan Harga'!$Q$222</definedName>
    <definedName name="PT" localSheetId="10">#REF!</definedName>
    <definedName name="PT" localSheetId="5">#REF!</definedName>
    <definedName name="PT" localSheetId="6">#REF!</definedName>
    <definedName name="PT" localSheetId="7">#REF!</definedName>
    <definedName name="PT" localSheetId="8">#REF!</definedName>
    <definedName name="PT">#REF!</definedName>
    <definedName name="Pugkut1_Hargamaterial" localSheetId="10">#REF!</definedName>
    <definedName name="Pugkut1_Hargamaterial" localSheetId="5">#REF!</definedName>
    <definedName name="Pugkut1_Hargamaterial" localSheetId="6">#REF!</definedName>
    <definedName name="Pugkut1_Hargamaterial" localSheetId="7">#REF!</definedName>
    <definedName name="Pugkut1_Hargamaterial" localSheetId="8">#REF!</definedName>
    <definedName name="Pugkut1_Hargamaterial">#REF!</definedName>
    <definedName name="Pungkut1" localSheetId="10">#REF!</definedName>
    <definedName name="Pungkut1" localSheetId="5">#REF!</definedName>
    <definedName name="Pungkut1" localSheetId="6">#REF!</definedName>
    <definedName name="Pungkut1" localSheetId="7">#REF!</definedName>
    <definedName name="Pungkut1" localSheetId="8">#REF!</definedName>
    <definedName name="Pungkut1">#REF!</definedName>
    <definedName name="Pungkut1_material" localSheetId="10">#REF!</definedName>
    <definedName name="Pungkut1_material" localSheetId="5">#REF!</definedName>
    <definedName name="Pungkut1_material" localSheetId="6">#REF!</definedName>
    <definedName name="Pungkut1_material" localSheetId="7">#REF!</definedName>
    <definedName name="Pungkut1_material" localSheetId="8">#REF!</definedName>
    <definedName name="Pungkut1_material">#REF!</definedName>
    <definedName name="Pungkut1_Peralatan" localSheetId="10">#REF!</definedName>
    <definedName name="Pungkut1_Peralatan" localSheetId="5">#REF!</definedName>
    <definedName name="Pungkut1_Peralatan" localSheetId="6">#REF!</definedName>
    <definedName name="Pungkut1_Peralatan" localSheetId="7">#REF!</definedName>
    <definedName name="Pungkut1_Peralatan" localSheetId="8">#REF!</definedName>
    <definedName name="Pungkut1_Peralatan">#REF!</definedName>
    <definedName name="Pungkut1_upahtenagakerja" localSheetId="10">#REF!</definedName>
    <definedName name="Pungkut1_upahtenagakerja" localSheetId="5">#REF!</definedName>
    <definedName name="Pungkut1_upahtenagakerja" localSheetId="6">#REF!</definedName>
    <definedName name="Pungkut1_upahtenagakerja" localSheetId="7">#REF!</definedName>
    <definedName name="Pungkut1_upahtenagakerja" localSheetId="8">#REF!</definedName>
    <definedName name="Pungkut1_upahtenagakerja">#REF!</definedName>
    <definedName name="PUSAT" localSheetId="10">#REF!</definedName>
    <definedName name="PUSAT" localSheetId="5">#REF!</definedName>
    <definedName name="PUSAT" localSheetId="6">#REF!</definedName>
    <definedName name="PUSAT" localSheetId="7">#REF!</definedName>
    <definedName name="PUSAT" localSheetId="8">#REF!</definedName>
    <definedName name="PUSAT">#REF!</definedName>
    <definedName name="QQ" localSheetId="10">#REF!</definedName>
    <definedName name="QQ" localSheetId="5">#REF!</definedName>
    <definedName name="QQ" localSheetId="6">#REF!</definedName>
    <definedName name="QQ" localSheetId="7">#REF!</definedName>
    <definedName name="QQ" localSheetId="8">#REF!</definedName>
    <definedName name="QQ">#REF!</definedName>
    <definedName name="Quarry" localSheetId="10">#REF!</definedName>
    <definedName name="Quarry" localSheetId="5">#REF!</definedName>
    <definedName name="Quarry" localSheetId="6">#REF!</definedName>
    <definedName name="Quarry" localSheetId="7">#REF!</definedName>
    <definedName name="Quarry" localSheetId="8">#REF!</definedName>
    <definedName name="Quarry">#REF!</definedName>
    <definedName name="qwqer">[50]Analisa!$A$1792:$K$1852</definedName>
    <definedName name="RAB">'[51]DAFTAR  BESI IWF'!$A$1</definedName>
    <definedName name="redy" localSheetId="10">#REF!</definedName>
    <definedName name="redy" localSheetId="5">#REF!</definedName>
    <definedName name="redy" localSheetId="6">#REF!</definedName>
    <definedName name="redy" localSheetId="7">#REF!</definedName>
    <definedName name="redy" localSheetId="8">#REF!</definedName>
    <definedName name="redy">#REF!</definedName>
    <definedName name="REFF">'[52]AN-CK (2007)'!$A$7:$N$1580</definedName>
    <definedName name="REKAB" localSheetId="10">#REF!</definedName>
    <definedName name="REKAB" localSheetId="5">#REF!</definedName>
    <definedName name="REKAB" localSheetId="6">#REF!</definedName>
    <definedName name="REKAB" localSheetId="7">#REF!</definedName>
    <definedName name="REKAB" localSheetId="8">#REF!</definedName>
    <definedName name="REKAB">#REF!</definedName>
    <definedName name="Rekap" localSheetId="10">#REF!</definedName>
    <definedName name="Rekap" localSheetId="5">#REF!</definedName>
    <definedName name="Rekap" localSheetId="6">#REF!</definedName>
    <definedName name="Rekap" localSheetId="7">#REF!</definedName>
    <definedName name="Rekap" localSheetId="8">#REF!</definedName>
    <definedName name="Rekap">#REF!</definedName>
    <definedName name="rekapurut" localSheetId="10">#REF!</definedName>
    <definedName name="rekapurut" localSheetId="5">#REF!</definedName>
    <definedName name="rekapurut" localSheetId="6">#REF!</definedName>
    <definedName name="rekapurut" localSheetId="7">#REF!</definedName>
    <definedName name="rekapurut" localSheetId="8">#REF!</definedName>
    <definedName name="rekapurut">#REF!</definedName>
    <definedName name="retretryt" localSheetId="10">#REF!</definedName>
    <definedName name="retretryt" localSheetId="5">#REF!</definedName>
    <definedName name="retretryt" localSheetId="6">#REF!</definedName>
    <definedName name="retretryt" localSheetId="7">#REF!</definedName>
    <definedName name="retretryt" localSheetId="8">#REF!</definedName>
    <definedName name="retretryt">#REF!</definedName>
    <definedName name="retrt" localSheetId="10">#REF!</definedName>
    <definedName name="retrt" localSheetId="5">#REF!</definedName>
    <definedName name="retrt" localSheetId="6">#REF!</definedName>
    <definedName name="retrt" localSheetId="7">#REF!</definedName>
    <definedName name="retrt" localSheetId="8">#REF!</definedName>
    <definedName name="retrt">#REF!</definedName>
    <definedName name="rewrewr" localSheetId="10">#REF!</definedName>
    <definedName name="rewrewr" localSheetId="5">#REF!</definedName>
    <definedName name="rewrewr" localSheetId="6">#REF!</definedName>
    <definedName name="rewrewr" localSheetId="7">#REF!</definedName>
    <definedName name="rewrewr" localSheetId="8">#REF!</definedName>
    <definedName name="rewrewr">#REF!</definedName>
    <definedName name="RKP">'[51]DAFTAR  BESI IWF'!$A$1</definedName>
    <definedName name="Rol_Cat_Tembok" localSheetId="10">[13]BAHAN!#REF!</definedName>
    <definedName name="Rol_Cat_Tembok" localSheetId="5">[13]BAHAN!#REF!</definedName>
    <definedName name="Rol_Cat_Tembok" localSheetId="6">[13]BAHAN!#REF!</definedName>
    <definedName name="Rol_Cat_Tembok" localSheetId="7">[13]BAHAN!#REF!</definedName>
    <definedName name="Rol_Cat_Tembok" localSheetId="8">[13]BAHAN!#REF!</definedName>
    <definedName name="Rol_Cat_Tembok">[13]BAHAN!#REF!</definedName>
    <definedName name="rtrt" localSheetId="10">#REF!</definedName>
    <definedName name="rtrt" localSheetId="5">#REF!</definedName>
    <definedName name="rtrt" localSheetId="6">#REF!</definedName>
    <definedName name="rtrt" localSheetId="7">#REF!</definedName>
    <definedName name="rtrt" localSheetId="8">#REF!</definedName>
    <definedName name="rtrt">#REF!</definedName>
    <definedName name="s" localSheetId="10">[2]inst1!#REF!</definedName>
    <definedName name="s" localSheetId="5">[2]inst1!#REF!</definedName>
    <definedName name="s" localSheetId="6">[2]inst1!#REF!</definedName>
    <definedName name="s" localSheetId="7">[2]inst1!#REF!</definedName>
    <definedName name="s" localSheetId="8">[2]inst1!#REF!</definedName>
    <definedName name="s">[2]inst1!#REF!</definedName>
    <definedName name="S_1" localSheetId="10">#REF!</definedName>
    <definedName name="S_1" localSheetId="5">#REF!</definedName>
    <definedName name="S_1" localSheetId="6">#REF!</definedName>
    <definedName name="S_1" localSheetId="7">#REF!</definedName>
    <definedName name="S_1" localSheetId="8">#REF!</definedName>
    <definedName name="S_1">#REF!</definedName>
    <definedName name="S_2" localSheetId="10">#REF!</definedName>
    <definedName name="S_2" localSheetId="5">#REF!</definedName>
    <definedName name="S_2" localSheetId="6">#REF!</definedName>
    <definedName name="S_2" localSheetId="7">#REF!</definedName>
    <definedName name="S_2" localSheetId="8">#REF!</definedName>
    <definedName name="S_2">#REF!</definedName>
    <definedName name="SA" localSheetId="10">#REF!</definedName>
    <definedName name="SA" localSheetId="5">#REF!</definedName>
    <definedName name="SA" localSheetId="6">#REF!</definedName>
    <definedName name="SA" localSheetId="7">#REF!</definedName>
    <definedName name="SA" localSheetId="8">#REF!</definedName>
    <definedName name="SA">#REF!</definedName>
    <definedName name="SAMPUL" localSheetId="10">#REF!</definedName>
    <definedName name="SAMPUL" localSheetId="5">#REF!</definedName>
    <definedName name="SAMPUL" localSheetId="6">#REF!</definedName>
    <definedName name="SAMPUL" localSheetId="7">#REF!</definedName>
    <definedName name="SAMPUL" localSheetId="8">#REF!</definedName>
    <definedName name="SAMPUL">#REF!</definedName>
    <definedName name="sampul2" localSheetId="10">#REF!</definedName>
    <definedName name="sampul2" localSheetId="5">#REF!</definedName>
    <definedName name="sampul2" localSheetId="6">#REF!</definedName>
    <definedName name="sampul2" localSheetId="7">#REF!</definedName>
    <definedName name="sampul2" localSheetId="8">#REF!</definedName>
    <definedName name="sampul2">#REF!</definedName>
    <definedName name="sbn">'[26]Kuant dan Harga'!$I$50</definedName>
    <definedName name="sch">[53]Analisa!$A$2607:$I$2649</definedName>
    <definedName name="sche">[32]Analisa!$S$1:$AG$50</definedName>
    <definedName name="sche2">[53]Analisa!$A$1792:$K$1852</definedName>
    <definedName name="sche3">[54]Analisa!$A$1792:$K$1852</definedName>
    <definedName name="SCHEDUL" localSheetId="10">#REF!</definedName>
    <definedName name="SCHEDUL" localSheetId="5">#REF!</definedName>
    <definedName name="SCHEDUL" localSheetId="6">#REF!</definedName>
    <definedName name="SCHEDUL" localSheetId="7">#REF!</definedName>
    <definedName name="SCHEDUL" localSheetId="8">#REF!</definedName>
    <definedName name="SCHEDUL">#REF!</definedName>
    <definedName name="SCHEDULE">'[55]Morsip Ht Julu'!$BL$615</definedName>
    <definedName name="SCHEDULUE" localSheetId="10">[56]Analisa!#REF!</definedName>
    <definedName name="SCHEDULUE" localSheetId="5">[56]Analisa!#REF!</definedName>
    <definedName name="SCHEDULUE" localSheetId="6">[56]Analisa!#REF!</definedName>
    <definedName name="SCHEDULUE" localSheetId="7">[56]Analisa!#REF!</definedName>
    <definedName name="SCHEDULUE" localSheetId="8">[56]Analisa!#REF!</definedName>
    <definedName name="SCHEDULUE">[56]Analisa!#REF!</definedName>
    <definedName name="sda" localSheetId="10" hidden="1">#REF!</definedName>
    <definedName name="sda" localSheetId="5" hidden="1">#REF!</definedName>
    <definedName name="sda" localSheetId="6" hidden="1">#REF!</definedName>
    <definedName name="sda" localSheetId="7" hidden="1">#REF!</definedName>
    <definedName name="sda" localSheetId="8" hidden="1">#REF!</definedName>
    <definedName name="sda" hidden="1">#REF!</definedName>
    <definedName name="sdd" localSheetId="10">'[57]ANALISA PEK.UMUM'!#REF!</definedName>
    <definedName name="sdd" localSheetId="5">'[57]ANALISA PEK.UMUM'!#REF!</definedName>
    <definedName name="sdd" localSheetId="6">'[57]ANALISA PEK.UMUM'!#REF!</definedName>
    <definedName name="sdd" localSheetId="7">'[57]ANALISA PEK.UMUM'!#REF!</definedName>
    <definedName name="sdd" localSheetId="8">'[57]ANALISA PEK.UMUM'!#REF!</definedName>
    <definedName name="sdd">'[57]ANALISA PEK.UMUM'!#REF!</definedName>
    <definedName name="SEMPUL" localSheetId="10">'[34]AN-K'!#REF!</definedName>
    <definedName name="SEMPUL" localSheetId="5">'[34]AN-K'!#REF!</definedName>
    <definedName name="SEMPUL" localSheetId="6">'[34]AN-K'!#REF!</definedName>
    <definedName name="SEMPUL" localSheetId="7">'[34]AN-K'!#REF!</definedName>
    <definedName name="SEMPUL" localSheetId="8">'[34]AN-K'!#REF!</definedName>
    <definedName name="SEMPUL">'[34]AN-K'!#REF!</definedName>
    <definedName name="Seng_Plat_BJLS_30_lbr_90_cm___1_rol_50_m" localSheetId="10">[13]BAHAN!#REF!</definedName>
    <definedName name="Seng_Plat_BJLS_30_lbr_90_cm___1_rol_50_m" localSheetId="5">[13]BAHAN!#REF!</definedName>
    <definedName name="Seng_Plat_BJLS_30_lbr_90_cm___1_rol_50_m" localSheetId="6">[13]BAHAN!#REF!</definedName>
    <definedName name="Seng_Plat_BJLS_30_lbr_90_cm___1_rol_50_m" localSheetId="7">[13]BAHAN!#REF!</definedName>
    <definedName name="Seng_Plat_BJLS_30_lbr_90_cm___1_rol_50_m" localSheetId="8">[13]BAHAN!#REF!</definedName>
    <definedName name="Seng_Plat_BJLS_30_lbr_90_cm___1_rol_50_m">[13]BAHAN!#REF!</definedName>
    <definedName name="Sep_27" localSheetId="10">#REF!</definedName>
    <definedName name="Sep_27" localSheetId="5">#REF!</definedName>
    <definedName name="Sep_27" localSheetId="6">#REF!</definedName>
    <definedName name="Sep_27" localSheetId="7">#REF!</definedName>
    <definedName name="Sep_27" localSheetId="8">#REF!</definedName>
    <definedName name="Sep_27">#REF!</definedName>
    <definedName name="Sertifikat" localSheetId="10">#REF!</definedName>
    <definedName name="Sertifikat" localSheetId="5">#REF!</definedName>
    <definedName name="Sertifikat" localSheetId="6">#REF!</definedName>
    <definedName name="Sertifikat" localSheetId="7">#REF!</definedName>
    <definedName name="Sertifikat" localSheetId="8">#REF!</definedName>
    <definedName name="Sertifikat">#REF!</definedName>
    <definedName name="Shear_Conector" localSheetId="10">#REF!</definedName>
    <definedName name="Shear_Conector" localSheetId="5">#REF!</definedName>
    <definedName name="Shear_Conector" localSheetId="6">#REF!</definedName>
    <definedName name="Shear_Conector" localSheetId="7">#REF!</definedName>
    <definedName name="Shear_Conector" localSheetId="8">#REF!</definedName>
    <definedName name="Shear_Conector">#REF!</definedName>
    <definedName name="Simandolam" localSheetId="10">#REF!</definedName>
    <definedName name="Simandolam" localSheetId="5">#REF!</definedName>
    <definedName name="Simandolam" localSheetId="6">#REF!</definedName>
    <definedName name="Simandolam" localSheetId="7">#REF!</definedName>
    <definedName name="Simandolam" localSheetId="8">#REF!</definedName>
    <definedName name="Simandolam">#REF!</definedName>
    <definedName name="Solatif_ledeng" localSheetId="10">[13]BAHAN!#REF!</definedName>
    <definedName name="Solatif_ledeng" localSheetId="5">[13]BAHAN!#REF!</definedName>
    <definedName name="Solatif_ledeng" localSheetId="6">[13]BAHAN!#REF!</definedName>
    <definedName name="Solatif_ledeng" localSheetId="7">[13]BAHAN!#REF!</definedName>
    <definedName name="Solatif_ledeng" localSheetId="8">[13]BAHAN!#REF!</definedName>
    <definedName name="Solatif_ledeng">[13]BAHAN!#REF!</definedName>
    <definedName name="Split_pecah_mesin_2_3" localSheetId="10">[13]BAHAN!#REF!</definedName>
    <definedName name="Split_pecah_mesin_2_3" localSheetId="5">[13]BAHAN!#REF!</definedName>
    <definedName name="Split_pecah_mesin_2_3" localSheetId="6">[13]BAHAN!#REF!</definedName>
    <definedName name="Split_pecah_mesin_2_3" localSheetId="7">[13]BAHAN!#REF!</definedName>
    <definedName name="Split_pecah_mesin_2_3" localSheetId="8">[13]BAHAN!#REF!</definedName>
    <definedName name="Split_pecah_mesin_2_3">[13]BAHAN!#REF!</definedName>
    <definedName name="spra">'[23]Harga Satuan Alat'!$I$10</definedName>
    <definedName name="SRT">[32]Analisa!$A$2607:$I$2649</definedName>
    <definedName name="ss" localSheetId="10">#REF!</definedName>
    <definedName name="ss" localSheetId="5">#REF!</definedName>
    <definedName name="ss" localSheetId="6">#REF!</definedName>
    <definedName name="ss" localSheetId="7">#REF!</definedName>
    <definedName name="ss" localSheetId="8">#REF!</definedName>
    <definedName name="ss">#REF!</definedName>
    <definedName name="STA_1" localSheetId="10">#REF!</definedName>
    <definedName name="STA_1" localSheetId="5">#REF!</definedName>
    <definedName name="STA_1" localSheetId="6">#REF!</definedName>
    <definedName name="STA_1" localSheetId="7">#REF!</definedName>
    <definedName name="STA_1" localSheetId="8">#REF!</definedName>
    <definedName name="STA_1">#REF!</definedName>
    <definedName name="STA_10" localSheetId="10">#REF!</definedName>
    <definedName name="STA_10" localSheetId="5">#REF!</definedName>
    <definedName name="STA_10" localSheetId="6">#REF!</definedName>
    <definedName name="STA_10" localSheetId="7">#REF!</definedName>
    <definedName name="STA_10" localSheetId="8">#REF!</definedName>
    <definedName name="STA_10">#REF!</definedName>
    <definedName name="STA_11" localSheetId="10">#REF!</definedName>
    <definedName name="STA_11" localSheetId="5">#REF!</definedName>
    <definedName name="STA_11" localSheetId="6">#REF!</definedName>
    <definedName name="STA_11" localSheetId="7">#REF!</definedName>
    <definedName name="STA_11" localSheetId="8">#REF!</definedName>
    <definedName name="STA_11">#REF!</definedName>
    <definedName name="STA_12" localSheetId="10">#REF!</definedName>
    <definedName name="STA_12" localSheetId="5">#REF!</definedName>
    <definedName name="STA_12" localSheetId="6">#REF!</definedName>
    <definedName name="STA_12" localSheetId="7">#REF!</definedName>
    <definedName name="STA_12" localSheetId="8">#REF!</definedName>
    <definedName name="STA_12">#REF!</definedName>
    <definedName name="STA_13" localSheetId="10">#REF!</definedName>
    <definedName name="STA_13" localSheetId="5">#REF!</definedName>
    <definedName name="STA_13" localSheetId="6">#REF!</definedName>
    <definedName name="STA_13" localSheetId="7">#REF!</definedName>
    <definedName name="STA_13" localSheetId="8">#REF!</definedName>
    <definedName name="STA_13">#REF!</definedName>
    <definedName name="STA_2" localSheetId="10">#REF!</definedName>
    <definedName name="STA_2" localSheetId="5">#REF!</definedName>
    <definedName name="STA_2" localSheetId="6">#REF!</definedName>
    <definedName name="STA_2" localSheetId="7">#REF!</definedName>
    <definedName name="STA_2" localSheetId="8">#REF!</definedName>
    <definedName name="STA_2">#REF!</definedName>
    <definedName name="STA_3" localSheetId="10">#REF!</definedName>
    <definedName name="STA_3" localSheetId="5">#REF!</definedName>
    <definedName name="STA_3" localSheetId="6">#REF!</definedName>
    <definedName name="STA_3" localSheetId="7">#REF!</definedName>
    <definedName name="STA_3" localSheetId="8">#REF!</definedName>
    <definedName name="STA_3">#REF!</definedName>
    <definedName name="STA_4" localSheetId="10">#REF!</definedName>
    <definedName name="STA_4" localSheetId="5">#REF!</definedName>
    <definedName name="STA_4" localSheetId="6">#REF!</definedName>
    <definedName name="STA_4" localSheetId="7">#REF!</definedName>
    <definedName name="STA_4" localSheetId="8">#REF!</definedName>
    <definedName name="STA_4">#REF!</definedName>
    <definedName name="STA_5" localSheetId="10">#REF!</definedName>
    <definedName name="STA_5" localSheetId="5">#REF!</definedName>
    <definedName name="STA_5" localSheetId="6">#REF!</definedName>
    <definedName name="STA_5" localSheetId="7">#REF!</definedName>
    <definedName name="STA_5" localSheetId="8">#REF!</definedName>
    <definedName name="STA_5">#REF!</definedName>
    <definedName name="STA_6" localSheetId="10">#REF!</definedName>
    <definedName name="STA_6" localSheetId="5">#REF!</definedName>
    <definedName name="STA_6" localSheetId="6">#REF!</definedName>
    <definedName name="STA_6" localSheetId="7">#REF!</definedName>
    <definedName name="STA_6" localSheetId="8">#REF!</definedName>
    <definedName name="STA_6">#REF!</definedName>
    <definedName name="STA_7" localSheetId="10">#REF!</definedName>
    <definedName name="STA_7" localSheetId="5">#REF!</definedName>
    <definedName name="STA_7" localSheetId="6">#REF!</definedName>
    <definedName name="STA_7" localSheetId="7">#REF!</definedName>
    <definedName name="STA_7" localSheetId="8">#REF!</definedName>
    <definedName name="STA_7">#REF!</definedName>
    <definedName name="STA_8" localSheetId="10">#REF!</definedName>
    <definedName name="STA_8" localSheetId="5">#REF!</definedName>
    <definedName name="STA_8" localSheetId="6">#REF!</definedName>
    <definedName name="STA_8" localSheetId="7">#REF!</definedName>
    <definedName name="STA_8" localSheetId="8">#REF!</definedName>
    <definedName name="STA_8">#REF!</definedName>
    <definedName name="STA_9" localSheetId="10">#REF!</definedName>
    <definedName name="STA_9" localSheetId="5">#REF!</definedName>
    <definedName name="STA_9" localSheetId="6">#REF!</definedName>
    <definedName name="STA_9" localSheetId="7">#REF!</definedName>
    <definedName name="STA_9" localSheetId="8">#REF!</definedName>
    <definedName name="STA_9">#REF!</definedName>
    <definedName name="staf">'[26]Kuant dan Harga'!$I$57</definedName>
    <definedName name="Status" localSheetId="10">#REF!</definedName>
    <definedName name="Status" localSheetId="5">#REF!</definedName>
    <definedName name="Status" localSheetId="6">#REF!</definedName>
    <definedName name="Status" localSheetId="7">#REF!</definedName>
    <definedName name="Status" localSheetId="8">#REF!</definedName>
    <definedName name="Status">#REF!</definedName>
    <definedName name="STB_1" localSheetId="10">#REF!</definedName>
    <definedName name="STB_1" localSheetId="5">#REF!</definedName>
    <definedName name="STB_1" localSheetId="6">#REF!</definedName>
    <definedName name="STB_1" localSheetId="7">#REF!</definedName>
    <definedName name="STB_1" localSheetId="8">#REF!</definedName>
    <definedName name="STB_1">#REF!</definedName>
    <definedName name="STB_2" localSheetId="10">#REF!</definedName>
    <definedName name="STB_2" localSheetId="5">#REF!</definedName>
    <definedName name="STB_2" localSheetId="6">#REF!</definedName>
    <definedName name="STB_2" localSheetId="7">#REF!</definedName>
    <definedName name="STB_2" localSheetId="8">#REF!</definedName>
    <definedName name="STB_2">#REF!</definedName>
    <definedName name="STB_3" localSheetId="10">#REF!</definedName>
    <definedName name="STB_3" localSheetId="5">#REF!</definedName>
    <definedName name="STB_3" localSheetId="6">#REF!</definedName>
    <definedName name="STB_3" localSheetId="7">#REF!</definedName>
    <definedName name="STB_3" localSheetId="8">#REF!</definedName>
    <definedName name="STB_3">#REF!</definedName>
    <definedName name="STB_4" localSheetId="10">#REF!</definedName>
    <definedName name="STB_4" localSheetId="5">#REF!</definedName>
    <definedName name="STB_4" localSheetId="6">#REF!</definedName>
    <definedName name="STB_4" localSheetId="7">#REF!</definedName>
    <definedName name="STB_4" localSheetId="8">#REF!</definedName>
    <definedName name="STB_4">#REF!</definedName>
    <definedName name="STB_5" localSheetId="10">#REF!</definedName>
    <definedName name="STB_5" localSheetId="5">#REF!</definedName>
    <definedName name="STB_5" localSheetId="6">#REF!</definedName>
    <definedName name="STB_5" localSheetId="7">#REF!</definedName>
    <definedName name="STB_5" localSheetId="8">#REF!</definedName>
    <definedName name="STB_5">#REF!</definedName>
    <definedName name="STB_6" localSheetId="10">#REF!</definedName>
    <definedName name="STB_6" localSheetId="5">#REF!</definedName>
    <definedName name="STB_6" localSheetId="6">#REF!</definedName>
    <definedName name="STB_6" localSheetId="7">#REF!</definedName>
    <definedName name="STB_6" localSheetId="8">#REF!</definedName>
    <definedName name="STB_6">#REF!</definedName>
    <definedName name="STB_7" localSheetId="10">#REF!</definedName>
    <definedName name="STB_7" localSheetId="5">#REF!</definedName>
    <definedName name="STB_7" localSheetId="6">#REF!</definedName>
    <definedName name="STB_7" localSheetId="7">#REF!</definedName>
    <definedName name="STB_7" localSheetId="8">#REF!</definedName>
    <definedName name="STB_7">#REF!</definedName>
    <definedName name="STB_8" localSheetId="10">#REF!</definedName>
    <definedName name="STB_8" localSheetId="5">#REF!</definedName>
    <definedName name="STB_8" localSheetId="6">#REF!</definedName>
    <definedName name="STB_8" localSheetId="7">#REF!</definedName>
    <definedName name="STB_8" localSheetId="8">#REF!</definedName>
    <definedName name="STB_8">#REF!</definedName>
    <definedName name="STC_1" localSheetId="10">#REF!</definedName>
    <definedName name="STC_1" localSheetId="5">#REF!</definedName>
    <definedName name="STC_1" localSheetId="6">#REF!</definedName>
    <definedName name="STC_1" localSheetId="7">#REF!</definedName>
    <definedName name="STC_1" localSheetId="8">#REF!</definedName>
    <definedName name="STC_1">#REF!</definedName>
    <definedName name="STC_10" localSheetId="10">#REF!</definedName>
    <definedName name="STC_10" localSheetId="5">#REF!</definedName>
    <definedName name="STC_10" localSheetId="6">#REF!</definedName>
    <definedName name="STC_10" localSheetId="7">#REF!</definedName>
    <definedName name="STC_10" localSheetId="8">#REF!</definedName>
    <definedName name="STC_10">#REF!</definedName>
    <definedName name="STC_11" localSheetId="10">#REF!</definedName>
    <definedName name="STC_11" localSheetId="5">#REF!</definedName>
    <definedName name="STC_11" localSheetId="6">#REF!</definedName>
    <definedName name="STC_11" localSheetId="7">#REF!</definedName>
    <definedName name="STC_11" localSheetId="8">#REF!</definedName>
    <definedName name="STC_11">#REF!</definedName>
    <definedName name="STC_12" localSheetId="10">#REF!</definedName>
    <definedName name="STC_12" localSheetId="5">#REF!</definedName>
    <definedName name="STC_12" localSheetId="6">#REF!</definedName>
    <definedName name="STC_12" localSheetId="7">#REF!</definedName>
    <definedName name="STC_12" localSheetId="8">#REF!</definedName>
    <definedName name="STC_12">#REF!</definedName>
    <definedName name="STC_13" localSheetId="10">#REF!</definedName>
    <definedName name="STC_13" localSheetId="5">#REF!</definedName>
    <definedName name="STC_13" localSheetId="6">#REF!</definedName>
    <definedName name="STC_13" localSheetId="7">#REF!</definedName>
    <definedName name="STC_13" localSheetId="8">#REF!</definedName>
    <definedName name="STC_13">#REF!</definedName>
    <definedName name="STC_14" localSheetId="10">#REF!</definedName>
    <definedName name="STC_14" localSheetId="5">#REF!</definedName>
    <definedName name="STC_14" localSheetId="6">#REF!</definedName>
    <definedName name="STC_14" localSheetId="7">#REF!</definedName>
    <definedName name="STC_14" localSheetId="8">#REF!</definedName>
    <definedName name="STC_14">#REF!</definedName>
    <definedName name="STC_15" localSheetId="10">#REF!</definedName>
    <definedName name="STC_15" localSheetId="5">#REF!</definedName>
    <definedName name="STC_15" localSheetId="6">#REF!</definedName>
    <definedName name="STC_15" localSheetId="7">#REF!</definedName>
    <definedName name="STC_15" localSheetId="8">#REF!</definedName>
    <definedName name="STC_15">#REF!</definedName>
    <definedName name="STC_16" localSheetId="10">#REF!</definedName>
    <definedName name="STC_16" localSheetId="5">#REF!</definedName>
    <definedName name="STC_16" localSheetId="6">#REF!</definedName>
    <definedName name="STC_16" localSheetId="7">#REF!</definedName>
    <definedName name="STC_16" localSheetId="8">#REF!</definedName>
    <definedName name="STC_16">#REF!</definedName>
    <definedName name="STC_17" localSheetId="10">'[58]ANALISA KONST BTN'!#REF!</definedName>
    <definedName name="STC_17" localSheetId="5">'[58]ANALISA KONST BTN'!#REF!</definedName>
    <definedName name="STC_17" localSheetId="6">'[58]ANALISA KONST BTN'!#REF!</definedName>
    <definedName name="STC_17" localSheetId="7">'[58]ANALISA KONST BTN'!#REF!</definedName>
    <definedName name="STC_17" localSheetId="8">'[58]ANALISA KONST BTN'!#REF!</definedName>
    <definedName name="STC_17">'[58]ANALISA KONST BTN'!#REF!</definedName>
    <definedName name="STC_2" localSheetId="10">#REF!</definedName>
    <definedName name="STC_2" localSheetId="5">#REF!</definedName>
    <definedName name="STC_2" localSheetId="6">#REF!</definedName>
    <definedName name="STC_2" localSheetId="7">#REF!</definedName>
    <definedName name="STC_2" localSheetId="8">#REF!</definedName>
    <definedName name="STC_2">#REF!</definedName>
    <definedName name="STC_3" localSheetId="10">#REF!</definedName>
    <definedName name="STC_3" localSheetId="5">#REF!</definedName>
    <definedName name="STC_3" localSheetId="6">#REF!</definedName>
    <definedName name="STC_3" localSheetId="7">#REF!</definedName>
    <definedName name="STC_3" localSheetId="8">#REF!</definedName>
    <definedName name="STC_3">#REF!</definedName>
    <definedName name="STC_4" localSheetId="10">#REF!</definedName>
    <definedName name="STC_4" localSheetId="5">#REF!</definedName>
    <definedName name="STC_4" localSheetId="6">#REF!</definedName>
    <definedName name="STC_4" localSheetId="7">#REF!</definedName>
    <definedName name="STC_4" localSheetId="8">#REF!</definedName>
    <definedName name="STC_4">#REF!</definedName>
    <definedName name="STC_5" localSheetId="10">#REF!</definedName>
    <definedName name="STC_5" localSheetId="5">#REF!</definedName>
    <definedName name="STC_5" localSheetId="6">#REF!</definedName>
    <definedName name="STC_5" localSheetId="7">#REF!</definedName>
    <definedName name="STC_5" localSheetId="8">#REF!</definedName>
    <definedName name="STC_5">#REF!</definedName>
    <definedName name="STC_6" localSheetId="10">#REF!</definedName>
    <definedName name="STC_6" localSheetId="5">#REF!</definedName>
    <definedName name="STC_6" localSheetId="6">#REF!</definedName>
    <definedName name="STC_6" localSheetId="7">#REF!</definedName>
    <definedName name="STC_6" localSheetId="8">#REF!</definedName>
    <definedName name="STC_6">#REF!</definedName>
    <definedName name="STC_7" localSheetId="10">#REF!</definedName>
    <definedName name="STC_7" localSheetId="5">#REF!</definedName>
    <definedName name="STC_7" localSheetId="6">#REF!</definedName>
    <definedName name="STC_7" localSheetId="7">#REF!</definedName>
    <definedName name="STC_7" localSheetId="8">#REF!</definedName>
    <definedName name="STC_7">#REF!</definedName>
    <definedName name="STC_8" localSheetId="10">#REF!</definedName>
    <definedName name="STC_8" localSheetId="5">#REF!</definedName>
    <definedName name="STC_8" localSheetId="6">#REF!</definedName>
    <definedName name="STC_8" localSheetId="7">#REF!</definedName>
    <definedName name="STC_8" localSheetId="8">#REF!</definedName>
    <definedName name="STC_8">#REF!</definedName>
    <definedName name="STC_9" localSheetId="10">#REF!</definedName>
    <definedName name="STC_9" localSheetId="5">#REF!</definedName>
    <definedName name="STC_9" localSheetId="6">#REF!</definedName>
    <definedName name="STC_9" localSheetId="7">#REF!</definedName>
    <definedName name="STC_9" localSheetId="8">#REF!</definedName>
    <definedName name="STC_9">#REF!</definedName>
    <definedName name="STD_1" localSheetId="10">#REF!</definedName>
    <definedName name="STD_1" localSheetId="5">#REF!</definedName>
    <definedName name="STD_1" localSheetId="6">#REF!</definedName>
    <definedName name="STD_1" localSheetId="7">#REF!</definedName>
    <definedName name="STD_1" localSheetId="8">#REF!</definedName>
    <definedName name="STD_1">#REF!</definedName>
    <definedName name="STD_10" localSheetId="10">#REF!</definedName>
    <definedName name="STD_10" localSheetId="5">#REF!</definedName>
    <definedName name="STD_10" localSheetId="6">#REF!</definedName>
    <definedName name="STD_10" localSheetId="7">#REF!</definedName>
    <definedName name="STD_10" localSheetId="8">#REF!</definedName>
    <definedName name="STD_10">#REF!</definedName>
    <definedName name="STD_11" localSheetId="10">#REF!</definedName>
    <definedName name="STD_11" localSheetId="5">#REF!</definedName>
    <definedName name="STD_11" localSheetId="6">#REF!</definedName>
    <definedName name="STD_11" localSheetId="7">#REF!</definedName>
    <definedName name="STD_11" localSheetId="8">#REF!</definedName>
    <definedName name="STD_11">#REF!</definedName>
    <definedName name="STD_12" localSheetId="10">#REF!</definedName>
    <definedName name="STD_12" localSheetId="5">#REF!</definedName>
    <definedName name="STD_12" localSheetId="6">#REF!</definedName>
    <definedName name="STD_12" localSheetId="7">#REF!</definedName>
    <definedName name="STD_12" localSheetId="8">#REF!</definedName>
    <definedName name="STD_12">#REF!</definedName>
    <definedName name="STD_13" localSheetId="10">#REF!</definedName>
    <definedName name="STD_13" localSheetId="5">#REF!</definedName>
    <definedName name="STD_13" localSheetId="6">#REF!</definedName>
    <definedName name="STD_13" localSheetId="7">#REF!</definedName>
    <definedName name="STD_13" localSheetId="8">#REF!</definedName>
    <definedName name="STD_13">#REF!</definedName>
    <definedName name="STD_14" localSheetId="10">#REF!</definedName>
    <definedName name="STD_14" localSheetId="5">#REF!</definedName>
    <definedName name="STD_14" localSheetId="6">#REF!</definedName>
    <definedName name="STD_14" localSheetId="7">#REF!</definedName>
    <definedName name="STD_14" localSheetId="8">#REF!</definedName>
    <definedName name="STD_14">#REF!</definedName>
    <definedName name="STD_15" localSheetId="10">#REF!</definedName>
    <definedName name="STD_15" localSheetId="5">#REF!</definedName>
    <definedName name="STD_15" localSheetId="6">#REF!</definedName>
    <definedName name="STD_15" localSheetId="7">#REF!</definedName>
    <definedName name="STD_15" localSheetId="8">#REF!</definedName>
    <definedName name="STD_15">#REF!</definedName>
    <definedName name="STD_16" localSheetId="10">#REF!</definedName>
    <definedName name="STD_16" localSheetId="5">#REF!</definedName>
    <definedName name="STD_16" localSheetId="6">#REF!</definedName>
    <definedName name="STD_16" localSheetId="7">#REF!</definedName>
    <definedName name="STD_16" localSheetId="8">#REF!</definedName>
    <definedName name="STD_16">#REF!</definedName>
    <definedName name="STD_17" localSheetId="10">#REF!</definedName>
    <definedName name="STD_17" localSheetId="5">#REF!</definedName>
    <definedName name="STD_17" localSheetId="6">#REF!</definedName>
    <definedName name="STD_17" localSheetId="7">#REF!</definedName>
    <definedName name="STD_17" localSheetId="8">#REF!</definedName>
    <definedName name="STD_17">#REF!</definedName>
    <definedName name="STD_18" localSheetId="10">#REF!</definedName>
    <definedName name="STD_18" localSheetId="5">#REF!</definedName>
    <definedName name="STD_18" localSheetId="6">#REF!</definedName>
    <definedName name="STD_18" localSheetId="7">#REF!</definedName>
    <definedName name="STD_18" localSheetId="8">#REF!</definedName>
    <definedName name="STD_18">#REF!</definedName>
    <definedName name="STD_19" localSheetId="10">#REF!</definedName>
    <definedName name="STD_19" localSheetId="5">#REF!</definedName>
    <definedName name="STD_19" localSheetId="6">#REF!</definedName>
    <definedName name="STD_19" localSheetId="7">#REF!</definedName>
    <definedName name="STD_19" localSheetId="8">#REF!</definedName>
    <definedName name="STD_19">#REF!</definedName>
    <definedName name="STD_2" localSheetId="10">#REF!</definedName>
    <definedName name="STD_2" localSheetId="5">#REF!</definedName>
    <definedName name="STD_2" localSheetId="6">#REF!</definedName>
    <definedName name="STD_2" localSheetId="7">#REF!</definedName>
    <definedName name="STD_2" localSheetId="8">#REF!</definedName>
    <definedName name="STD_2">#REF!</definedName>
    <definedName name="STD_20" localSheetId="10">#REF!</definedName>
    <definedName name="STD_20" localSheetId="5">#REF!</definedName>
    <definedName name="STD_20" localSheetId="6">#REF!</definedName>
    <definedName name="STD_20" localSheetId="7">#REF!</definedName>
    <definedName name="STD_20" localSheetId="8">#REF!</definedName>
    <definedName name="STD_20">#REF!</definedName>
    <definedName name="STD_21" localSheetId="10">#REF!</definedName>
    <definedName name="STD_21" localSheetId="5">#REF!</definedName>
    <definedName name="STD_21" localSheetId="6">#REF!</definedName>
    <definedName name="STD_21" localSheetId="7">#REF!</definedName>
    <definedName name="STD_21" localSheetId="8">#REF!</definedName>
    <definedName name="STD_21">#REF!</definedName>
    <definedName name="STD_22" localSheetId="10">#REF!</definedName>
    <definedName name="STD_22" localSheetId="5">#REF!</definedName>
    <definedName name="STD_22" localSheetId="6">#REF!</definedName>
    <definedName name="STD_22" localSheetId="7">#REF!</definedName>
    <definedName name="STD_22" localSheetId="8">#REF!</definedName>
    <definedName name="STD_22">#REF!</definedName>
    <definedName name="STD_23" localSheetId="10">#REF!</definedName>
    <definedName name="STD_23" localSheetId="5">#REF!</definedName>
    <definedName name="STD_23" localSheetId="6">#REF!</definedName>
    <definedName name="STD_23" localSheetId="7">#REF!</definedName>
    <definedName name="STD_23" localSheetId="8">#REF!</definedName>
    <definedName name="STD_23">#REF!</definedName>
    <definedName name="STD_24" localSheetId="10">#REF!</definedName>
    <definedName name="STD_24" localSheetId="5">#REF!</definedName>
    <definedName name="STD_24" localSheetId="6">#REF!</definedName>
    <definedName name="STD_24" localSheetId="7">#REF!</definedName>
    <definedName name="STD_24" localSheetId="8">#REF!</definedName>
    <definedName name="STD_24">#REF!</definedName>
    <definedName name="STD_25" localSheetId="10">#REF!</definedName>
    <definedName name="STD_25" localSheetId="5">#REF!</definedName>
    <definedName name="STD_25" localSheetId="6">#REF!</definedName>
    <definedName name="STD_25" localSheetId="7">#REF!</definedName>
    <definedName name="STD_25" localSheetId="8">#REF!</definedName>
    <definedName name="STD_25">#REF!</definedName>
    <definedName name="STD_26" localSheetId="10">#REF!</definedName>
    <definedName name="STD_26" localSheetId="5">#REF!</definedName>
    <definedName name="STD_26" localSheetId="6">#REF!</definedName>
    <definedName name="STD_26" localSheetId="7">#REF!</definedName>
    <definedName name="STD_26" localSheetId="8">#REF!</definedName>
    <definedName name="STD_26">#REF!</definedName>
    <definedName name="STD_27" localSheetId="10">#REF!</definedName>
    <definedName name="STD_27" localSheetId="5">#REF!</definedName>
    <definedName name="STD_27" localSheetId="6">#REF!</definedName>
    <definedName name="STD_27" localSheetId="7">#REF!</definedName>
    <definedName name="STD_27" localSheetId="8">#REF!</definedName>
    <definedName name="STD_27">#REF!</definedName>
    <definedName name="STD_28" localSheetId="10">#REF!</definedName>
    <definedName name="STD_28" localSheetId="5">#REF!</definedName>
    <definedName name="STD_28" localSheetId="6">#REF!</definedName>
    <definedName name="STD_28" localSheetId="7">#REF!</definedName>
    <definedName name="STD_28" localSheetId="8">#REF!</definedName>
    <definedName name="STD_28">#REF!</definedName>
    <definedName name="STD_29" localSheetId="10">#REF!</definedName>
    <definedName name="STD_29" localSheetId="5">#REF!</definedName>
    <definedName name="STD_29" localSheetId="6">#REF!</definedName>
    <definedName name="STD_29" localSheetId="7">#REF!</definedName>
    <definedName name="STD_29" localSheetId="8">#REF!</definedName>
    <definedName name="STD_29">#REF!</definedName>
    <definedName name="STD_3" localSheetId="10">#REF!</definedName>
    <definedName name="STD_3" localSheetId="5">#REF!</definedName>
    <definedName name="STD_3" localSheetId="6">#REF!</definedName>
    <definedName name="STD_3" localSheetId="7">#REF!</definedName>
    <definedName name="STD_3" localSheetId="8">#REF!</definedName>
    <definedName name="STD_3">#REF!</definedName>
    <definedName name="STD_4" localSheetId="10">#REF!</definedName>
    <definedName name="STD_4" localSheetId="5">#REF!</definedName>
    <definedName name="STD_4" localSheetId="6">#REF!</definedName>
    <definedName name="STD_4" localSheetId="7">#REF!</definedName>
    <definedName name="STD_4" localSheetId="8">#REF!</definedName>
    <definedName name="STD_4">#REF!</definedName>
    <definedName name="STD_5" localSheetId="10">#REF!</definedName>
    <definedName name="STD_5" localSheetId="5">#REF!</definedName>
    <definedName name="STD_5" localSheetId="6">#REF!</definedName>
    <definedName name="STD_5" localSheetId="7">#REF!</definedName>
    <definedName name="STD_5" localSheetId="8">#REF!</definedName>
    <definedName name="STD_5">#REF!</definedName>
    <definedName name="STD_6" localSheetId="10">#REF!</definedName>
    <definedName name="STD_6" localSheetId="5">#REF!</definedName>
    <definedName name="STD_6" localSheetId="6">#REF!</definedName>
    <definedName name="STD_6" localSheetId="7">#REF!</definedName>
    <definedName name="STD_6" localSheetId="8">#REF!</definedName>
    <definedName name="STD_6">#REF!</definedName>
    <definedName name="STD_7" localSheetId="10">#REF!</definedName>
    <definedName name="STD_7" localSheetId="5">#REF!</definedName>
    <definedName name="STD_7" localSheetId="6">#REF!</definedName>
    <definedName name="STD_7" localSheetId="7">#REF!</definedName>
    <definedName name="STD_7" localSheetId="8">#REF!</definedName>
    <definedName name="STD_7">#REF!</definedName>
    <definedName name="STD_8" localSheetId="10">#REF!</definedName>
    <definedName name="STD_8" localSheetId="5">#REF!</definedName>
    <definedName name="STD_8" localSheetId="6">#REF!</definedName>
    <definedName name="STD_8" localSheetId="7">#REF!</definedName>
    <definedName name="STD_8" localSheetId="8">#REF!</definedName>
    <definedName name="STD_8">#REF!</definedName>
    <definedName name="STD_9" localSheetId="10">#REF!</definedName>
    <definedName name="STD_9" localSheetId="5">#REF!</definedName>
    <definedName name="STD_9" localSheetId="6">#REF!</definedName>
    <definedName name="STD_9" localSheetId="7">#REF!</definedName>
    <definedName name="STD_9" localSheetId="8">#REF!</definedName>
    <definedName name="STD_9">#REF!</definedName>
    <definedName name="STE_1" localSheetId="10">#REF!</definedName>
    <definedName name="STE_1" localSheetId="5">#REF!</definedName>
    <definedName name="STE_1" localSheetId="6">#REF!</definedName>
    <definedName name="STE_1" localSheetId="7">#REF!</definedName>
    <definedName name="STE_1" localSheetId="8">#REF!</definedName>
    <definedName name="STE_1">#REF!</definedName>
    <definedName name="STE_10" localSheetId="10">#REF!</definedName>
    <definedName name="STE_10" localSheetId="5">#REF!</definedName>
    <definedName name="STE_10" localSheetId="6">#REF!</definedName>
    <definedName name="STE_10" localSheetId="7">#REF!</definedName>
    <definedName name="STE_10" localSheetId="8">#REF!</definedName>
    <definedName name="STE_10">#REF!</definedName>
    <definedName name="STE_2" localSheetId="10">#REF!</definedName>
    <definedName name="STE_2" localSheetId="5">#REF!</definedName>
    <definedName name="STE_2" localSheetId="6">#REF!</definedName>
    <definedName name="STE_2" localSheetId="7">#REF!</definedName>
    <definedName name="STE_2" localSheetId="8">#REF!</definedName>
    <definedName name="STE_2">#REF!</definedName>
    <definedName name="STE_3" localSheetId="10">#REF!</definedName>
    <definedName name="STE_3" localSheetId="5">#REF!</definedName>
    <definedName name="STE_3" localSheetId="6">#REF!</definedName>
    <definedName name="STE_3" localSheetId="7">#REF!</definedName>
    <definedName name="STE_3" localSheetId="8">#REF!</definedName>
    <definedName name="STE_3">#REF!</definedName>
    <definedName name="STE_4" localSheetId="10">#REF!</definedName>
    <definedName name="STE_4" localSheetId="5">#REF!</definedName>
    <definedName name="STE_4" localSheetId="6">#REF!</definedName>
    <definedName name="STE_4" localSheetId="7">#REF!</definedName>
    <definedName name="STE_4" localSheetId="8">#REF!</definedName>
    <definedName name="STE_4">#REF!</definedName>
    <definedName name="STE_5" localSheetId="10">#REF!</definedName>
    <definedName name="STE_5" localSheetId="5">#REF!</definedName>
    <definedName name="STE_5" localSheetId="6">#REF!</definedName>
    <definedName name="STE_5" localSheetId="7">#REF!</definedName>
    <definedName name="STE_5" localSheetId="8">#REF!</definedName>
    <definedName name="STE_5">#REF!</definedName>
    <definedName name="STE_6" localSheetId="10">#REF!</definedName>
    <definedName name="STE_6" localSheetId="5">#REF!</definedName>
    <definedName name="STE_6" localSheetId="6">#REF!</definedName>
    <definedName name="STE_6" localSheetId="7">#REF!</definedName>
    <definedName name="STE_6" localSheetId="8">#REF!</definedName>
    <definedName name="STE_6">#REF!</definedName>
    <definedName name="STE_7" localSheetId="10">#REF!</definedName>
    <definedName name="STE_7" localSheetId="5">#REF!</definedName>
    <definedName name="STE_7" localSheetId="6">#REF!</definedName>
    <definedName name="STE_7" localSheetId="7">#REF!</definedName>
    <definedName name="STE_7" localSheetId="8">#REF!</definedName>
    <definedName name="STE_7">#REF!</definedName>
    <definedName name="STE_8" localSheetId="10">#REF!</definedName>
    <definedName name="STE_8" localSheetId="5">#REF!</definedName>
    <definedName name="STE_8" localSheetId="6">#REF!</definedName>
    <definedName name="STE_8" localSheetId="7">#REF!</definedName>
    <definedName name="STE_8" localSheetId="8">#REF!</definedName>
    <definedName name="STE_8">#REF!</definedName>
    <definedName name="STE_9" localSheetId="10">#REF!</definedName>
    <definedName name="STE_9" localSheetId="5">#REF!</definedName>
    <definedName name="STE_9" localSheetId="6">#REF!</definedName>
    <definedName name="STE_9" localSheetId="7">#REF!</definedName>
    <definedName name="STE_9" localSheetId="8">#REF!</definedName>
    <definedName name="STE_9">#REF!</definedName>
    <definedName name="Steger_work" localSheetId="10">#REF!</definedName>
    <definedName name="Steger_work" localSheetId="5">#REF!</definedName>
    <definedName name="Steger_work" localSheetId="6">#REF!</definedName>
    <definedName name="Steger_work" localSheetId="7">#REF!</definedName>
    <definedName name="Steger_work" localSheetId="8">#REF!</definedName>
    <definedName name="Steger_work">#REF!</definedName>
    <definedName name="Sub" localSheetId="10">[30]Capex!#REF!</definedName>
    <definedName name="Sub" localSheetId="5">[30]Capex!#REF!</definedName>
    <definedName name="Sub" localSheetId="6">[30]Capex!#REF!</definedName>
    <definedName name="Sub" localSheetId="7">[30]Capex!#REF!</definedName>
    <definedName name="Sub" localSheetId="8">[30]Capex!#REF!</definedName>
    <definedName name="Sub">[30]Capex!#REF!</definedName>
    <definedName name="sumb">'[26]Kuant dan Harga'!$D$10</definedName>
    <definedName name="Supprot_hargger" localSheetId="10">#REF!</definedName>
    <definedName name="Supprot_hargger" localSheetId="5">#REF!</definedName>
    <definedName name="Supprot_hargger" localSheetId="6">#REF!</definedName>
    <definedName name="Supprot_hargger" localSheetId="7">#REF!</definedName>
    <definedName name="Supprot_hargger" localSheetId="8">#REF!</definedName>
    <definedName name="Supprot_hargger">#REF!</definedName>
    <definedName name="SURAT">[32]Analisa!$A$1792:$K$1852</definedName>
    <definedName name="sya">'[26]Kuant dan Harga'!$B$56</definedName>
    <definedName name="SYARAT" localSheetId="10">#REF!</definedName>
    <definedName name="SYARAT" localSheetId="5">#REF!</definedName>
    <definedName name="SYARAT" localSheetId="6">#REF!</definedName>
    <definedName name="SYARAT" localSheetId="7">#REF!</definedName>
    <definedName name="SYARAT" localSheetId="8">#REF!</definedName>
    <definedName name="SYARAT">#REF!</definedName>
    <definedName name="T_Akun" localSheetId="13">#REF!</definedName>
    <definedName name="T_Akun">NS!$A:$G</definedName>
    <definedName name="Teakplywood_4_mm_120_x_240" localSheetId="10">[13]BAHAN!#REF!</definedName>
    <definedName name="Teakplywood_4_mm_120_x_240" localSheetId="5">[13]BAHAN!#REF!</definedName>
    <definedName name="Teakplywood_4_mm_120_x_240" localSheetId="6">[13]BAHAN!#REF!</definedName>
    <definedName name="Teakplywood_4_mm_120_x_240" localSheetId="7">[13]BAHAN!#REF!</definedName>
    <definedName name="Teakplywood_4_mm_120_x_240" localSheetId="8">[13]BAHAN!#REF!</definedName>
    <definedName name="Teakplywood_4_mm_120_x_240">[13]BAHAN!#REF!</definedName>
    <definedName name="Teakplywood_4_mm_ukuran_pintu" localSheetId="10">[13]BAHAN!#REF!</definedName>
    <definedName name="Teakplywood_4_mm_ukuran_pintu" localSheetId="5">[13]BAHAN!#REF!</definedName>
    <definedName name="Teakplywood_4_mm_ukuran_pintu" localSheetId="6">[13]BAHAN!#REF!</definedName>
    <definedName name="Teakplywood_4_mm_ukuran_pintu" localSheetId="7">[13]BAHAN!#REF!</definedName>
    <definedName name="Teakplywood_4_mm_ukuran_pintu" localSheetId="8">[13]BAHAN!#REF!</definedName>
    <definedName name="Teakplywood_4_mm_ukuran_pintu">[13]BAHAN!#REF!</definedName>
    <definedName name="teknik">'[26]Kuant dan Harga'!$I$56</definedName>
    <definedName name="Tenaga_upah">'[24]Morsip Ht Julu'!$P$118:$T$128</definedName>
    <definedName name="TenagaKerja">[59]Upah!$C$14:$G$24</definedName>
    <definedName name="tgl">'[26]Kuant dan Harga'!$I$48</definedName>
    <definedName name="tidak_lengkap">SMALL(IF('[44]Lamp BAPP'!R1:R7="TIDAK LENGKAP",ROW('[44]Lamp BAPP'!$A1:$IV1048571)),ROW('[44]Lamp BAPP'!$A1:$IV1048571))</definedName>
    <definedName name="timah_patri" localSheetId="10">#REF!</definedName>
    <definedName name="timah_patri" localSheetId="5">#REF!</definedName>
    <definedName name="timah_patri" localSheetId="6">#REF!</definedName>
    <definedName name="timah_patri" localSheetId="7">#REF!</definedName>
    <definedName name="timah_patri" localSheetId="8">#REF!</definedName>
    <definedName name="timah_patri">#REF!</definedName>
    <definedName name="time">'[26]Informasi Umum'!$H$39</definedName>
    <definedName name="Tinner" localSheetId="10">[13]BAHAN!#REF!</definedName>
    <definedName name="Tinner" localSheetId="5">[13]BAHAN!#REF!</definedName>
    <definedName name="Tinner" localSheetId="6">[13]BAHAN!#REF!</definedName>
    <definedName name="Tinner" localSheetId="7">[13]BAHAN!#REF!</definedName>
    <definedName name="Tinner" localSheetId="8">[13]BAHAN!#REF!</definedName>
    <definedName name="Tinner">[13]BAHAN!#REF!</definedName>
    <definedName name="Tool__kunci_pipa" localSheetId="10">#REF!</definedName>
    <definedName name="Tool__kunci_pipa" localSheetId="5">#REF!</definedName>
    <definedName name="Tool__kunci_pipa" localSheetId="6">#REF!</definedName>
    <definedName name="Tool__kunci_pipa" localSheetId="7">#REF!</definedName>
    <definedName name="Tool__kunci_pipa" localSheetId="8">#REF!</definedName>
    <definedName name="Tool__kunci_pipa">#REF!</definedName>
    <definedName name="tretret" localSheetId="10">#REF!</definedName>
    <definedName name="tretret" localSheetId="5">#REF!</definedName>
    <definedName name="tretret" localSheetId="6">#REF!</definedName>
    <definedName name="tretret" localSheetId="7">#REF!</definedName>
    <definedName name="tretret" localSheetId="8">#REF!</definedName>
    <definedName name="tretret">#REF!</definedName>
    <definedName name="tretretrtret" localSheetId="10">#REF!</definedName>
    <definedName name="tretretrtret" localSheetId="5">#REF!</definedName>
    <definedName name="tretretrtret" localSheetId="6">#REF!</definedName>
    <definedName name="tretretrtret" localSheetId="7">#REF!</definedName>
    <definedName name="tretretrtret" localSheetId="8">#REF!</definedName>
    <definedName name="tretretrtret">#REF!</definedName>
    <definedName name="tretrewtrw" localSheetId="10">#REF!</definedName>
    <definedName name="tretrewtrw" localSheetId="5">#REF!</definedName>
    <definedName name="tretrewtrw" localSheetId="6">#REF!</definedName>
    <definedName name="tretrewtrw" localSheetId="7">#REF!</definedName>
    <definedName name="tretrewtrw" localSheetId="8">#REF!</definedName>
    <definedName name="tretrewtrw">#REF!</definedName>
    <definedName name="tretrt" localSheetId="10">#REF!</definedName>
    <definedName name="tretrt" localSheetId="5">#REF!</definedName>
    <definedName name="tretrt" localSheetId="6">#REF!</definedName>
    <definedName name="tretrt" localSheetId="7">#REF!</definedName>
    <definedName name="tretrt" localSheetId="8">#REF!</definedName>
    <definedName name="tretrt">#REF!</definedName>
    <definedName name="tretrtretretrt" localSheetId="10">#REF!</definedName>
    <definedName name="tretrtretretrt" localSheetId="5">#REF!</definedName>
    <definedName name="tretrtretretrt" localSheetId="6">#REF!</definedName>
    <definedName name="tretrtretretrt" localSheetId="7">#REF!</definedName>
    <definedName name="tretrtretretrt" localSheetId="8">#REF!</definedName>
    <definedName name="tretrtretretrt">#REF!</definedName>
    <definedName name="trewtrtrt5re" localSheetId="10">#REF!</definedName>
    <definedName name="trewtrtrt5re" localSheetId="5">#REF!</definedName>
    <definedName name="trewtrtrt5re" localSheetId="6">#REF!</definedName>
    <definedName name="trewtrtrt5re" localSheetId="7">#REF!</definedName>
    <definedName name="trewtrtrt5re" localSheetId="8">#REF!</definedName>
    <definedName name="trewtrtrt5re">#REF!</definedName>
    <definedName name="trtrtrtrtrtreter" localSheetId="10">#REF!</definedName>
    <definedName name="trtrtrtrtrtreter" localSheetId="5">#REF!</definedName>
    <definedName name="trtrtrtrtrtreter" localSheetId="6">#REF!</definedName>
    <definedName name="trtrtrtrtrtreter" localSheetId="7">#REF!</definedName>
    <definedName name="trtrtrtrtrtreter" localSheetId="8">#REF!</definedName>
    <definedName name="trtrtrtrtrtreter">#REF!</definedName>
    <definedName name="TT" localSheetId="10">#REF!</definedName>
    <definedName name="TT" localSheetId="5">#REF!</definedName>
    <definedName name="TT" localSheetId="6">#REF!</definedName>
    <definedName name="TT" localSheetId="7">#REF!</definedName>
    <definedName name="TT" localSheetId="8">#REF!</definedName>
    <definedName name="TT">#REF!</definedName>
    <definedName name="tuk">'[26]Satuan Upah'!$G$17</definedName>
    <definedName name="Tukang_las" localSheetId="10">#REF!</definedName>
    <definedName name="Tukang_las" localSheetId="5">#REF!</definedName>
    <definedName name="Tukang_las" localSheetId="6">#REF!</definedName>
    <definedName name="Tukang_las" localSheetId="7">#REF!</definedName>
    <definedName name="Tukang_las" localSheetId="8">#REF!</definedName>
    <definedName name="Tukang_las">#REF!</definedName>
    <definedName name="Tukang_pipa" localSheetId="10">#REF!</definedName>
    <definedName name="Tukang_pipa" localSheetId="5">#REF!</definedName>
    <definedName name="Tukang_pipa" localSheetId="6">#REF!</definedName>
    <definedName name="Tukang_pipa" localSheetId="7">#REF!</definedName>
    <definedName name="Tukang_pipa" localSheetId="8">#REF!</definedName>
    <definedName name="Tukang_pipa">#REF!</definedName>
    <definedName name="Type_activity" localSheetId="10">[30]Parameters!#REF!</definedName>
    <definedName name="Type_activity" localSheetId="5">[30]Parameters!#REF!</definedName>
    <definedName name="Type_activity" localSheetId="6">[30]Parameters!#REF!</definedName>
    <definedName name="Type_activity" localSheetId="7">[30]Parameters!#REF!</definedName>
    <definedName name="Type_activity" localSheetId="8">[30]Parameters!#REF!</definedName>
    <definedName name="Type_activity">[30]Parameters!#REF!</definedName>
    <definedName name="Ubin_abu___abu_20_20" localSheetId="10">[13]BAHAN!#REF!</definedName>
    <definedName name="Ubin_abu___abu_20_20" localSheetId="5">[13]BAHAN!#REF!</definedName>
    <definedName name="Ubin_abu___abu_20_20" localSheetId="6">[13]BAHAN!#REF!</definedName>
    <definedName name="Ubin_abu___abu_20_20" localSheetId="7">[13]BAHAN!#REF!</definedName>
    <definedName name="Ubin_abu___abu_20_20" localSheetId="8">[13]BAHAN!#REF!</definedName>
    <definedName name="Ubin_abu___abu_20_20">[13]BAHAN!#REF!</definedName>
    <definedName name="uiouio0" localSheetId="10">#REF!</definedName>
    <definedName name="uiouio0" localSheetId="5">#REF!</definedName>
    <definedName name="uiouio0" localSheetId="6">#REF!</definedName>
    <definedName name="uiouio0" localSheetId="7">#REF!</definedName>
    <definedName name="uiouio0" localSheetId="8">#REF!</definedName>
    <definedName name="uiouio0">#REF!</definedName>
    <definedName name="UMUM">'[26]Informasi Umum'!$A$1:$N$59</definedName>
    <definedName name="Upah">'[24]Morsip Ht Julu'!$O$106:$T$140</definedName>
    <definedName name="UPAH?" localSheetId="10">#REF!</definedName>
    <definedName name="UPAH?" localSheetId="5">#REF!</definedName>
    <definedName name="UPAH?" localSheetId="6">#REF!</definedName>
    <definedName name="UPAH?" localSheetId="7">#REF!</definedName>
    <definedName name="UPAH?" localSheetId="8">#REF!</definedName>
    <definedName name="UPAH?">#REF!</definedName>
    <definedName name="UPAH___BAHAN" localSheetId="10">#REF!</definedName>
    <definedName name="UPAH___BAHAN" localSheetId="5">#REF!</definedName>
    <definedName name="UPAH___BAHAN" localSheetId="6">#REF!</definedName>
    <definedName name="UPAH___BAHAN" localSheetId="7">#REF!</definedName>
    <definedName name="UPAH___BAHAN" localSheetId="8">#REF!</definedName>
    <definedName name="UPAH___BAHAN">#REF!</definedName>
    <definedName name="Upah_TenagaKerja">'[24]Morsip Ht Julu'!$P$118:$T$128</definedName>
    <definedName name="URAIAN" localSheetId="10">#REF!</definedName>
    <definedName name="URAIAN" localSheetId="5">#REF!</definedName>
    <definedName name="URAIAN" localSheetId="6">#REF!</definedName>
    <definedName name="URAIAN" localSheetId="7">#REF!</definedName>
    <definedName name="URAIAN" localSheetId="8">#REF!</definedName>
    <definedName name="URAIAN">#REF!</definedName>
    <definedName name="URAIAN21" localSheetId="10">#REF!</definedName>
    <definedName name="URAIAN21" localSheetId="5">#REF!</definedName>
    <definedName name="URAIAN21" localSheetId="6">#REF!</definedName>
    <definedName name="URAIAN21" localSheetId="7">#REF!</definedName>
    <definedName name="URAIAN21" localSheetId="8">#REF!</definedName>
    <definedName name="URAIAN21">#REF!</definedName>
    <definedName name="URAIAN22E" localSheetId="10">#REF!</definedName>
    <definedName name="URAIAN22E" localSheetId="5">#REF!</definedName>
    <definedName name="URAIAN22E" localSheetId="6">#REF!</definedName>
    <definedName name="URAIAN22E" localSheetId="7">#REF!</definedName>
    <definedName name="URAIAN22E" localSheetId="8">#REF!</definedName>
    <definedName name="URAIAN22E">#REF!</definedName>
    <definedName name="URAIAN22L" localSheetId="10">#REF!</definedName>
    <definedName name="URAIAN22L" localSheetId="5">#REF!</definedName>
    <definedName name="URAIAN22L" localSheetId="6">#REF!</definedName>
    <definedName name="URAIAN22L" localSheetId="7">#REF!</definedName>
    <definedName name="URAIAN22L" localSheetId="8">#REF!</definedName>
    <definedName name="URAIAN22L">#REF!</definedName>
    <definedName name="URAIAN231" localSheetId="10">#REF!</definedName>
    <definedName name="URAIAN231" localSheetId="5">#REF!</definedName>
    <definedName name="URAIAN231" localSheetId="6">#REF!</definedName>
    <definedName name="URAIAN231" localSheetId="7">#REF!</definedName>
    <definedName name="URAIAN231" localSheetId="8">#REF!</definedName>
    <definedName name="URAIAN231">#REF!</definedName>
    <definedName name="URAIAN232" localSheetId="10">#REF!</definedName>
    <definedName name="URAIAN232" localSheetId="5">#REF!</definedName>
    <definedName name="URAIAN232" localSheetId="6">#REF!</definedName>
    <definedName name="URAIAN232" localSheetId="7">#REF!</definedName>
    <definedName name="URAIAN232" localSheetId="8">#REF!</definedName>
    <definedName name="URAIAN232">#REF!</definedName>
    <definedName name="URAIAN233" localSheetId="10">#REF!</definedName>
    <definedName name="URAIAN233" localSheetId="5">#REF!</definedName>
    <definedName name="URAIAN233" localSheetId="6">#REF!</definedName>
    <definedName name="URAIAN233" localSheetId="7">#REF!</definedName>
    <definedName name="URAIAN233" localSheetId="8">#REF!</definedName>
    <definedName name="URAIAN233">#REF!</definedName>
    <definedName name="Uraian234" localSheetId="10">#REF!</definedName>
    <definedName name="Uraian234" localSheetId="5">#REF!</definedName>
    <definedName name="Uraian234" localSheetId="6">#REF!</definedName>
    <definedName name="Uraian234" localSheetId="7">#REF!</definedName>
    <definedName name="Uraian234" localSheetId="8">#REF!</definedName>
    <definedName name="Uraian234">#REF!</definedName>
    <definedName name="Uraian235" localSheetId="10">#REF!</definedName>
    <definedName name="Uraian235" localSheetId="5">#REF!</definedName>
    <definedName name="Uraian235" localSheetId="6">#REF!</definedName>
    <definedName name="Uraian235" localSheetId="7">#REF!</definedName>
    <definedName name="Uraian235" localSheetId="8">#REF!</definedName>
    <definedName name="Uraian235">#REF!</definedName>
    <definedName name="Uraian236" localSheetId="10">#REF!</definedName>
    <definedName name="Uraian236" localSheetId="5">#REF!</definedName>
    <definedName name="Uraian236" localSheetId="6">#REF!</definedName>
    <definedName name="Uraian236" localSheetId="7">#REF!</definedName>
    <definedName name="Uraian236" localSheetId="8">#REF!</definedName>
    <definedName name="Uraian236">#REF!</definedName>
    <definedName name="URAIAN241" localSheetId="10">#REF!</definedName>
    <definedName name="URAIAN241" localSheetId="5">#REF!</definedName>
    <definedName name="URAIAN241" localSheetId="6">#REF!</definedName>
    <definedName name="URAIAN241" localSheetId="7">#REF!</definedName>
    <definedName name="URAIAN241" localSheetId="8">#REF!</definedName>
    <definedName name="URAIAN241">#REF!</definedName>
    <definedName name="URAIAN242" localSheetId="10">#REF!</definedName>
    <definedName name="URAIAN242" localSheetId="5">#REF!</definedName>
    <definedName name="URAIAN242" localSheetId="6">#REF!</definedName>
    <definedName name="URAIAN242" localSheetId="7">#REF!</definedName>
    <definedName name="URAIAN242" localSheetId="8">#REF!</definedName>
    <definedName name="URAIAN242">#REF!</definedName>
    <definedName name="URAIAN243" localSheetId="10">#REF!</definedName>
    <definedName name="URAIAN243" localSheetId="5">#REF!</definedName>
    <definedName name="URAIAN243" localSheetId="6">#REF!</definedName>
    <definedName name="URAIAN243" localSheetId="7">#REF!</definedName>
    <definedName name="URAIAN243" localSheetId="8">#REF!</definedName>
    <definedName name="URAIAN243">#REF!</definedName>
    <definedName name="Uraian311" localSheetId="10">#REF!</definedName>
    <definedName name="Uraian311" localSheetId="5">#REF!</definedName>
    <definedName name="Uraian311" localSheetId="6">#REF!</definedName>
    <definedName name="Uraian311" localSheetId="7">#REF!</definedName>
    <definedName name="Uraian311" localSheetId="8">#REF!</definedName>
    <definedName name="Uraian311">#REF!</definedName>
    <definedName name="Uraian312" localSheetId="10">#REF!</definedName>
    <definedName name="Uraian312" localSheetId="5">#REF!</definedName>
    <definedName name="Uraian312" localSheetId="6">#REF!</definedName>
    <definedName name="Uraian312" localSheetId="7">#REF!</definedName>
    <definedName name="Uraian312" localSheetId="8">#REF!</definedName>
    <definedName name="Uraian312">#REF!</definedName>
    <definedName name="Uraian313" localSheetId="10">#REF!</definedName>
    <definedName name="Uraian313" localSheetId="5">#REF!</definedName>
    <definedName name="Uraian313" localSheetId="6">#REF!</definedName>
    <definedName name="Uraian313" localSheetId="7">#REF!</definedName>
    <definedName name="Uraian313" localSheetId="8">#REF!</definedName>
    <definedName name="Uraian313">#REF!</definedName>
    <definedName name="Uraian314" localSheetId="10">#REF!</definedName>
    <definedName name="Uraian314" localSheetId="5">#REF!</definedName>
    <definedName name="Uraian314" localSheetId="6">#REF!</definedName>
    <definedName name="Uraian314" localSheetId="7">#REF!</definedName>
    <definedName name="Uraian314" localSheetId="8">#REF!</definedName>
    <definedName name="Uraian314">#REF!</definedName>
    <definedName name="Uraian315" localSheetId="10">#REF!</definedName>
    <definedName name="Uraian315" localSheetId="5">#REF!</definedName>
    <definedName name="Uraian315" localSheetId="6">#REF!</definedName>
    <definedName name="Uraian315" localSheetId="7">#REF!</definedName>
    <definedName name="Uraian315" localSheetId="8">#REF!</definedName>
    <definedName name="Uraian315">#REF!</definedName>
    <definedName name="Uraian319" localSheetId="10">#REF!</definedName>
    <definedName name="Uraian319" localSheetId="5">#REF!</definedName>
    <definedName name="Uraian319" localSheetId="6">#REF!</definedName>
    <definedName name="Uraian319" localSheetId="7">#REF!</definedName>
    <definedName name="Uraian319" localSheetId="8">#REF!</definedName>
    <definedName name="Uraian319">#REF!</definedName>
    <definedName name="Uraian322" localSheetId="10">#REF!</definedName>
    <definedName name="Uraian322" localSheetId="5">#REF!</definedName>
    <definedName name="Uraian322" localSheetId="6">#REF!</definedName>
    <definedName name="Uraian322" localSheetId="7">#REF!</definedName>
    <definedName name="Uraian322" localSheetId="8">#REF!</definedName>
    <definedName name="Uraian322">#REF!</definedName>
    <definedName name="URAIAN323" localSheetId="10">#REF!</definedName>
    <definedName name="URAIAN323" localSheetId="5">#REF!</definedName>
    <definedName name="URAIAN323" localSheetId="6">#REF!</definedName>
    <definedName name="URAIAN323" localSheetId="7">#REF!</definedName>
    <definedName name="URAIAN323" localSheetId="8">#REF!</definedName>
    <definedName name="URAIAN323">#REF!</definedName>
    <definedName name="URAIAN323L" localSheetId="10">#REF!</definedName>
    <definedName name="URAIAN323L" localSheetId="5">#REF!</definedName>
    <definedName name="URAIAN323L" localSheetId="6">#REF!</definedName>
    <definedName name="URAIAN323L" localSheetId="7">#REF!</definedName>
    <definedName name="URAIAN323L" localSheetId="8">#REF!</definedName>
    <definedName name="URAIAN323L">#REF!</definedName>
    <definedName name="Uraian324" localSheetId="10">#REF!</definedName>
    <definedName name="Uraian324" localSheetId="5">#REF!</definedName>
    <definedName name="Uraian324" localSheetId="6">#REF!</definedName>
    <definedName name="Uraian324" localSheetId="7">#REF!</definedName>
    <definedName name="Uraian324" localSheetId="8">#REF!</definedName>
    <definedName name="Uraian324">#REF!</definedName>
    <definedName name="Uraian331" localSheetId="10">#REF!</definedName>
    <definedName name="Uraian331" localSheetId="5">#REF!</definedName>
    <definedName name="Uraian331" localSheetId="6">#REF!</definedName>
    <definedName name="Uraian331" localSheetId="7">#REF!</definedName>
    <definedName name="Uraian331" localSheetId="8">#REF!</definedName>
    <definedName name="Uraian331">#REF!</definedName>
    <definedName name="Uraian346" localSheetId="10">#REF!</definedName>
    <definedName name="Uraian346" localSheetId="5">#REF!</definedName>
    <definedName name="Uraian346" localSheetId="6">#REF!</definedName>
    <definedName name="Uraian346" localSheetId="7">#REF!</definedName>
    <definedName name="Uraian346" localSheetId="8">#REF!</definedName>
    <definedName name="Uraian346">#REF!</definedName>
    <definedName name="URAIAN421" localSheetId="10">#REF!</definedName>
    <definedName name="URAIAN421" localSheetId="5">#REF!</definedName>
    <definedName name="URAIAN421" localSheetId="6">#REF!</definedName>
    <definedName name="URAIAN421" localSheetId="7">#REF!</definedName>
    <definedName name="URAIAN421" localSheetId="8">#REF!</definedName>
    <definedName name="URAIAN421">#REF!</definedName>
    <definedName name="URAIAN422" localSheetId="10">#REF!</definedName>
    <definedName name="URAIAN422" localSheetId="5">#REF!</definedName>
    <definedName name="URAIAN422" localSheetId="6">#REF!</definedName>
    <definedName name="URAIAN422" localSheetId="7">#REF!</definedName>
    <definedName name="URAIAN422" localSheetId="8">#REF!</definedName>
    <definedName name="URAIAN422">#REF!</definedName>
    <definedName name="URAIAN423" localSheetId="10">#REF!</definedName>
    <definedName name="URAIAN423" localSheetId="5">#REF!</definedName>
    <definedName name="URAIAN423" localSheetId="6">#REF!</definedName>
    <definedName name="URAIAN423" localSheetId="7">#REF!</definedName>
    <definedName name="URAIAN423" localSheetId="8">#REF!</definedName>
    <definedName name="URAIAN423">#REF!</definedName>
    <definedName name="URAIAN424" localSheetId="10">#REF!</definedName>
    <definedName name="URAIAN424" localSheetId="5">#REF!</definedName>
    <definedName name="URAIAN424" localSheetId="6">#REF!</definedName>
    <definedName name="URAIAN424" localSheetId="7">#REF!</definedName>
    <definedName name="URAIAN424" localSheetId="8">#REF!</definedName>
    <definedName name="URAIAN424">#REF!</definedName>
    <definedName name="URAIAN425" localSheetId="10">#REF!</definedName>
    <definedName name="URAIAN425" localSheetId="5">#REF!</definedName>
    <definedName name="URAIAN425" localSheetId="6">#REF!</definedName>
    <definedName name="URAIAN425" localSheetId="7">#REF!</definedName>
    <definedName name="URAIAN425" localSheetId="8">#REF!</definedName>
    <definedName name="URAIAN425">#REF!</definedName>
    <definedName name="URAIAN426" localSheetId="10">#REF!</definedName>
    <definedName name="URAIAN426" localSheetId="5">#REF!</definedName>
    <definedName name="URAIAN426" localSheetId="6">#REF!</definedName>
    <definedName name="URAIAN426" localSheetId="7">#REF!</definedName>
    <definedName name="URAIAN426" localSheetId="8">#REF!</definedName>
    <definedName name="URAIAN426">#REF!</definedName>
    <definedName name="URAIAN427" localSheetId="10">#REF!</definedName>
    <definedName name="URAIAN427" localSheetId="5">#REF!</definedName>
    <definedName name="URAIAN427" localSheetId="6">#REF!</definedName>
    <definedName name="URAIAN427" localSheetId="7">#REF!</definedName>
    <definedName name="URAIAN427" localSheetId="8">#REF!</definedName>
    <definedName name="URAIAN427">#REF!</definedName>
    <definedName name="URAIAN511" localSheetId="10">#REF!</definedName>
    <definedName name="URAIAN511" localSheetId="5">#REF!</definedName>
    <definedName name="URAIAN511" localSheetId="6">#REF!</definedName>
    <definedName name="URAIAN511" localSheetId="7">#REF!</definedName>
    <definedName name="URAIAN511" localSheetId="8">#REF!</definedName>
    <definedName name="URAIAN511">#REF!</definedName>
    <definedName name="URAIAN512" localSheetId="10">#REF!</definedName>
    <definedName name="URAIAN512" localSheetId="5">#REF!</definedName>
    <definedName name="URAIAN512" localSheetId="6">#REF!</definedName>
    <definedName name="URAIAN512" localSheetId="7">#REF!</definedName>
    <definedName name="URAIAN512" localSheetId="8">#REF!</definedName>
    <definedName name="URAIAN512">#REF!</definedName>
    <definedName name="URAIAN521" localSheetId="10">#REF!</definedName>
    <definedName name="URAIAN521" localSheetId="5">#REF!</definedName>
    <definedName name="URAIAN521" localSheetId="6">#REF!</definedName>
    <definedName name="URAIAN521" localSheetId="7">#REF!</definedName>
    <definedName name="URAIAN521" localSheetId="8">#REF!</definedName>
    <definedName name="URAIAN521">#REF!</definedName>
    <definedName name="URAIAN522" localSheetId="10">#REF!</definedName>
    <definedName name="URAIAN522" localSheetId="5">#REF!</definedName>
    <definedName name="URAIAN522" localSheetId="6">#REF!</definedName>
    <definedName name="URAIAN522" localSheetId="7">#REF!</definedName>
    <definedName name="URAIAN522" localSheetId="8">#REF!</definedName>
    <definedName name="URAIAN522">#REF!</definedName>
    <definedName name="URAIAN541" localSheetId="10">#REF!</definedName>
    <definedName name="URAIAN541" localSheetId="5">#REF!</definedName>
    <definedName name="URAIAN541" localSheetId="6">#REF!</definedName>
    <definedName name="URAIAN541" localSheetId="7">#REF!</definedName>
    <definedName name="URAIAN541" localSheetId="8">#REF!</definedName>
    <definedName name="URAIAN541">#REF!</definedName>
    <definedName name="URAIAN542" localSheetId="10">#REF!</definedName>
    <definedName name="URAIAN542" localSheetId="5">#REF!</definedName>
    <definedName name="URAIAN542" localSheetId="6">#REF!</definedName>
    <definedName name="URAIAN542" localSheetId="7">#REF!</definedName>
    <definedName name="URAIAN542" localSheetId="8">#REF!</definedName>
    <definedName name="URAIAN542">#REF!</definedName>
    <definedName name="URAIAN611" localSheetId="10">#REF!</definedName>
    <definedName name="URAIAN611" localSheetId="5">#REF!</definedName>
    <definedName name="URAIAN611" localSheetId="6">#REF!</definedName>
    <definedName name="URAIAN611" localSheetId="7">#REF!</definedName>
    <definedName name="URAIAN611" localSheetId="8">#REF!</definedName>
    <definedName name="URAIAN611">#REF!</definedName>
    <definedName name="URAIAN612" localSheetId="10">#REF!</definedName>
    <definedName name="URAIAN612" localSheetId="5">#REF!</definedName>
    <definedName name="URAIAN612" localSheetId="6">#REF!</definedName>
    <definedName name="URAIAN612" localSheetId="7">#REF!</definedName>
    <definedName name="URAIAN612" localSheetId="8">#REF!</definedName>
    <definedName name="URAIAN612">#REF!</definedName>
    <definedName name="URAIAN621" localSheetId="10">#REF!</definedName>
    <definedName name="URAIAN621" localSheetId="5">#REF!</definedName>
    <definedName name="URAIAN621" localSheetId="6">#REF!</definedName>
    <definedName name="URAIAN621" localSheetId="7">#REF!</definedName>
    <definedName name="URAIAN621" localSheetId="8">#REF!</definedName>
    <definedName name="URAIAN621">#REF!</definedName>
    <definedName name="URAIAN622" localSheetId="10">#REF!</definedName>
    <definedName name="URAIAN622" localSheetId="5">#REF!</definedName>
    <definedName name="URAIAN622" localSheetId="6">#REF!</definedName>
    <definedName name="URAIAN622" localSheetId="7">#REF!</definedName>
    <definedName name="URAIAN622" localSheetId="8">#REF!</definedName>
    <definedName name="URAIAN622">#REF!</definedName>
    <definedName name="URAIAN623" localSheetId="10">#REF!</definedName>
    <definedName name="URAIAN623" localSheetId="5">#REF!</definedName>
    <definedName name="URAIAN623" localSheetId="6">#REF!</definedName>
    <definedName name="URAIAN623" localSheetId="7">#REF!</definedName>
    <definedName name="URAIAN623" localSheetId="8">#REF!</definedName>
    <definedName name="URAIAN623">#REF!</definedName>
    <definedName name="URAIAN631" localSheetId="10">#REF!</definedName>
    <definedName name="URAIAN631" localSheetId="5">#REF!</definedName>
    <definedName name="URAIAN631" localSheetId="6">#REF!</definedName>
    <definedName name="URAIAN631" localSheetId="7">#REF!</definedName>
    <definedName name="URAIAN631" localSheetId="8">#REF!</definedName>
    <definedName name="URAIAN631">#REF!</definedName>
    <definedName name="URAIAN632" localSheetId="10">#REF!</definedName>
    <definedName name="URAIAN632" localSheetId="5">#REF!</definedName>
    <definedName name="URAIAN632" localSheetId="6">#REF!</definedName>
    <definedName name="URAIAN632" localSheetId="7">#REF!</definedName>
    <definedName name="URAIAN632" localSheetId="8">#REF!</definedName>
    <definedName name="URAIAN632">#REF!</definedName>
    <definedName name="URAIAN633" localSheetId="10">#REF!</definedName>
    <definedName name="URAIAN633" localSheetId="5">#REF!</definedName>
    <definedName name="URAIAN633" localSheetId="6">#REF!</definedName>
    <definedName name="URAIAN633" localSheetId="7">#REF!</definedName>
    <definedName name="URAIAN633" localSheetId="8">#REF!</definedName>
    <definedName name="URAIAN633">#REF!</definedName>
    <definedName name="URAIAN634" localSheetId="10">#REF!</definedName>
    <definedName name="URAIAN634" localSheetId="5">#REF!</definedName>
    <definedName name="URAIAN634" localSheetId="6">#REF!</definedName>
    <definedName name="URAIAN634" localSheetId="7">#REF!</definedName>
    <definedName name="URAIAN634" localSheetId="8">#REF!</definedName>
    <definedName name="URAIAN634">#REF!</definedName>
    <definedName name="URAIAN635" localSheetId="10">#REF!</definedName>
    <definedName name="URAIAN635" localSheetId="5">#REF!</definedName>
    <definedName name="URAIAN635" localSheetId="6">#REF!</definedName>
    <definedName name="URAIAN635" localSheetId="7">#REF!</definedName>
    <definedName name="URAIAN635" localSheetId="8">#REF!</definedName>
    <definedName name="URAIAN635">#REF!</definedName>
    <definedName name="URAIAN635A" localSheetId="10">#REF!</definedName>
    <definedName name="URAIAN635A" localSheetId="5">#REF!</definedName>
    <definedName name="URAIAN635A" localSheetId="6">#REF!</definedName>
    <definedName name="URAIAN635A" localSheetId="7">#REF!</definedName>
    <definedName name="URAIAN635A" localSheetId="8">#REF!</definedName>
    <definedName name="URAIAN635A">#REF!</definedName>
    <definedName name="URAIAN636" localSheetId="10">#REF!</definedName>
    <definedName name="URAIAN636" localSheetId="5">#REF!</definedName>
    <definedName name="URAIAN636" localSheetId="6">#REF!</definedName>
    <definedName name="URAIAN636" localSheetId="7">#REF!</definedName>
    <definedName name="URAIAN636" localSheetId="8">#REF!</definedName>
    <definedName name="URAIAN636">#REF!</definedName>
    <definedName name="URAIAN641L" localSheetId="10">#REF!</definedName>
    <definedName name="URAIAN641L" localSheetId="5">#REF!</definedName>
    <definedName name="URAIAN641L" localSheetId="6">#REF!</definedName>
    <definedName name="URAIAN641L" localSheetId="7">#REF!</definedName>
    <definedName name="URAIAN641L" localSheetId="8">#REF!</definedName>
    <definedName name="URAIAN641L">#REF!</definedName>
    <definedName name="URAIAN642" localSheetId="10">#REF!</definedName>
    <definedName name="URAIAN642" localSheetId="5">#REF!</definedName>
    <definedName name="URAIAN642" localSheetId="6">#REF!</definedName>
    <definedName name="URAIAN642" localSheetId="7">#REF!</definedName>
    <definedName name="URAIAN642" localSheetId="8">#REF!</definedName>
    <definedName name="URAIAN642">#REF!</definedName>
    <definedName name="URAIAN65" localSheetId="10">#REF!</definedName>
    <definedName name="URAIAN65" localSheetId="5">#REF!</definedName>
    <definedName name="URAIAN65" localSheetId="6">#REF!</definedName>
    <definedName name="URAIAN65" localSheetId="7">#REF!</definedName>
    <definedName name="URAIAN65" localSheetId="8">#REF!</definedName>
    <definedName name="URAIAN65">#REF!</definedName>
    <definedName name="URAIAN66PERATA" localSheetId="10">#REF!</definedName>
    <definedName name="URAIAN66PERATA" localSheetId="5">#REF!</definedName>
    <definedName name="URAIAN66PERATA" localSheetId="6">#REF!</definedName>
    <definedName name="URAIAN66PERATA" localSheetId="7">#REF!</definedName>
    <definedName name="URAIAN66PERATA" localSheetId="8">#REF!</definedName>
    <definedName name="URAIAN66PERATA">#REF!</definedName>
    <definedName name="URAIAN66PERMUKAAN" localSheetId="10">#REF!</definedName>
    <definedName name="URAIAN66PERMUKAAN" localSheetId="5">#REF!</definedName>
    <definedName name="URAIAN66PERMUKAAN" localSheetId="6">#REF!</definedName>
    <definedName name="URAIAN66PERMUKAAN" localSheetId="7">#REF!</definedName>
    <definedName name="URAIAN66PERMUKAAN" localSheetId="8">#REF!</definedName>
    <definedName name="URAIAN66PERMUKAAN">#REF!</definedName>
    <definedName name="URAIAN7101" localSheetId="10">#REF!</definedName>
    <definedName name="URAIAN7101" localSheetId="5">#REF!</definedName>
    <definedName name="URAIAN7101" localSheetId="6">#REF!</definedName>
    <definedName name="URAIAN7101" localSheetId="7">#REF!</definedName>
    <definedName name="URAIAN7101" localSheetId="8">#REF!</definedName>
    <definedName name="URAIAN7101">#REF!</definedName>
    <definedName name="URAIAN7102" localSheetId="10">#REF!</definedName>
    <definedName name="URAIAN7102" localSheetId="5">#REF!</definedName>
    <definedName name="URAIAN7102" localSheetId="6">#REF!</definedName>
    <definedName name="URAIAN7102" localSheetId="7">#REF!</definedName>
    <definedName name="URAIAN7102" localSheetId="8">#REF!</definedName>
    <definedName name="URAIAN7102">#REF!</definedName>
    <definedName name="URAIAN7103" localSheetId="10">#REF!</definedName>
    <definedName name="URAIAN7103" localSheetId="5">#REF!</definedName>
    <definedName name="URAIAN7103" localSheetId="6">#REF!</definedName>
    <definedName name="URAIAN7103" localSheetId="7">#REF!</definedName>
    <definedName name="URAIAN7103" localSheetId="8">#REF!</definedName>
    <definedName name="URAIAN7103">#REF!</definedName>
    <definedName name="URAIAN711" localSheetId="10">#REF!</definedName>
    <definedName name="URAIAN711" localSheetId="5">#REF!</definedName>
    <definedName name="URAIAN711" localSheetId="6">#REF!</definedName>
    <definedName name="URAIAN711" localSheetId="7">#REF!</definedName>
    <definedName name="URAIAN711" localSheetId="8">#REF!</definedName>
    <definedName name="URAIAN711">#REF!</definedName>
    <definedName name="URAIAN712" localSheetId="10">#REF!</definedName>
    <definedName name="URAIAN712" localSheetId="5">#REF!</definedName>
    <definedName name="URAIAN712" localSheetId="6">#REF!</definedName>
    <definedName name="URAIAN712" localSheetId="7">#REF!</definedName>
    <definedName name="URAIAN712" localSheetId="8">#REF!</definedName>
    <definedName name="URAIAN712">#REF!</definedName>
    <definedName name="URAIAN713" localSheetId="10">#REF!</definedName>
    <definedName name="URAIAN713" localSheetId="5">#REF!</definedName>
    <definedName name="URAIAN713" localSheetId="6">#REF!</definedName>
    <definedName name="URAIAN713" localSheetId="7">#REF!</definedName>
    <definedName name="URAIAN713" localSheetId="8">#REF!</definedName>
    <definedName name="URAIAN713">#REF!</definedName>
    <definedName name="URAIAN714" localSheetId="10">#REF!</definedName>
    <definedName name="URAIAN714" localSheetId="5">#REF!</definedName>
    <definedName name="URAIAN714" localSheetId="6">#REF!</definedName>
    <definedName name="URAIAN714" localSheetId="7">#REF!</definedName>
    <definedName name="URAIAN714" localSheetId="8">#REF!</definedName>
    <definedName name="URAIAN714">#REF!</definedName>
    <definedName name="URAIAN715" localSheetId="10">#REF!</definedName>
    <definedName name="URAIAN715" localSheetId="5">#REF!</definedName>
    <definedName name="URAIAN715" localSheetId="6">#REF!</definedName>
    <definedName name="URAIAN715" localSheetId="7">#REF!</definedName>
    <definedName name="URAIAN715" localSheetId="8">#REF!</definedName>
    <definedName name="URAIAN715">#REF!</definedName>
    <definedName name="URAIAN716" localSheetId="10">#REF!</definedName>
    <definedName name="URAIAN716" localSheetId="5">#REF!</definedName>
    <definedName name="URAIAN716" localSheetId="6">#REF!</definedName>
    <definedName name="URAIAN716" localSheetId="7">#REF!</definedName>
    <definedName name="URAIAN716" localSheetId="8">#REF!</definedName>
    <definedName name="URAIAN716">#REF!</definedName>
    <definedName name="URAIAN717" localSheetId="10">#REF!</definedName>
    <definedName name="URAIAN717" localSheetId="5">#REF!</definedName>
    <definedName name="URAIAN717" localSheetId="6">#REF!</definedName>
    <definedName name="URAIAN717" localSheetId="7">#REF!</definedName>
    <definedName name="URAIAN717" localSheetId="8">#REF!</definedName>
    <definedName name="URAIAN717">#REF!</definedName>
    <definedName name="URAIAN718" localSheetId="10">#REF!</definedName>
    <definedName name="URAIAN718" localSheetId="5">#REF!</definedName>
    <definedName name="URAIAN718" localSheetId="6">#REF!</definedName>
    <definedName name="URAIAN718" localSheetId="7">#REF!</definedName>
    <definedName name="URAIAN718" localSheetId="8">#REF!</definedName>
    <definedName name="URAIAN718">#REF!</definedName>
    <definedName name="URAIAN721" localSheetId="10">#REF!</definedName>
    <definedName name="URAIAN721" localSheetId="5">#REF!</definedName>
    <definedName name="URAIAN721" localSheetId="6">#REF!</definedName>
    <definedName name="URAIAN721" localSheetId="7">#REF!</definedName>
    <definedName name="URAIAN721" localSheetId="8">#REF!</definedName>
    <definedName name="URAIAN721">#REF!</definedName>
    <definedName name="URAIAN731" localSheetId="10">#REF!</definedName>
    <definedName name="URAIAN731" localSheetId="5">#REF!</definedName>
    <definedName name="URAIAN731" localSheetId="6">#REF!</definedName>
    <definedName name="URAIAN731" localSheetId="7">#REF!</definedName>
    <definedName name="URAIAN731" localSheetId="8">#REF!</definedName>
    <definedName name="URAIAN731">#REF!</definedName>
    <definedName name="URAIAN732" localSheetId="10">#REF!</definedName>
    <definedName name="URAIAN732" localSheetId="5">#REF!</definedName>
    <definedName name="URAIAN732" localSheetId="6">#REF!</definedName>
    <definedName name="URAIAN732" localSheetId="7">#REF!</definedName>
    <definedName name="URAIAN732" localSheetId="8">#REF!</definedName>
    <definedName name="URAIAN732">#REF!</definedName>
    <definedName name="URAIAN733" localSheetId="10">#REF!</definedName>
    <definedName name="URAIAN733" localSheetId="5">#REF!</definedName>
    <definedName name="URAIAN733" localSheetId="6">#REF!</definedName>
    <definedName name="URAIAN733" localSheetId="7">#REF!</definedName>
    <definedName name="URAIAN733" localSheetId="8">#REF!</definedName>
    <definedName name="URAIAN733">#REF!</definedName>
    <definedName name="URAIAN734" localSheetId="10">#REF!</definedName>
    <definedName name="URAIAN734" localSheetId="5">#REF!</definedName>
    <definedName name="URAIAN734" localSheetId="6">#REF!</definedName>
    <definedName name="URAIAN734" localSheetId="7">#REF!</definedName>
    <definedName name="URAIAN734" localSheetId="8">#REF!</definedName>
    <definedName name="URAIAN734">#REF!</definedName>
    <definedName name="URAIAN735" localSheetId="10">#REF!</definedName>
    <definedName name="URAIAN735" localSheetId="5">#REF!</definedName>
    <definedName name="URAIAN735" localSheetId="6">#REF!</definedName>
    <definedName name="URAIAN735" localSheetId="7">#REF!</definedName>
    <definedName name="URAIAN735" localSheetId="8">#REF!</definedName>
    <definedName name="URAIAN735">#REF!</definedName>
    <definedName name="URAIAN744" localSheetId="10">#REF!</definedName>
    <definedName name="URAIAN744" localSheetId="5">#REF!</definedName>
    <definedName name="URAIAN744" localSheetId="6">#REF!</definedName>
    <definedName name="URAIAN744" localSheetId="7">#REF!</definedName>
    <definedName name="URAIAN744" localSheetId="8">#REF!</definedName>
    <definedName name="URAIAN744">#REF!</definedName>
    <definedName name="URAIAN745" localSheetId="10">#REF!</definedName>
    <definedName name="URAIAN745" localSheetId="5">#REF!</definedName>
    <definedName name="URAIAN745" localSheetId="6">#REF!</definedName>
    <definedName name="URAIAN745" localSheetId="7">#REF!</definedName>
    <definedName name="URAIAN745" localSheetId="8">#REF!</definedName>
    <definedName name="URAIAN745">#REF!</definedName>
    <definedName name="URAIAN7610" localSheetId="10">#REF!</definedName>
    <definedName name="URAIAN7610" localSheetId="5">#REF!</definedName>
    <definedName name="URAIAN7610" localSheetId="6">#REF!</definedName>
    <definedName name="URAIAN7610" localSheetId="7">#REF!</definedName>
    <definedName name="URAIAN7610" localSheetId="8">#REF!</definedName>
    <definedName name="URAIAN7610">#REF!</definedName>
    <definedName name="URAIAN7612a" localSheetId="10">#REF!</definedName>
    <definedName name="URAIAN7612a" localSheetId="5">#REF!</definedName>
    <definedName name="URAIAN7612a" localSheetId="6">#REF!</definedName>
    <definedName name="URAIAN7612a" localSheetId="7">#REF!</definedName>
    <definedName name="URAIAN7612a" localSheetId="8">#REF!</definedName>
    <definedName name="URAIAN7612a">#REF!</definedName>
    <definedName name="URAIAN7612b" localSheetId="10">#REF!</definedName>
    <definedName name="URAIAN7612b" localSheetId="5">#REF!</definedName>
    <definedName name="URAIAN7612b" localSheetId="6">#REF!</definedName>
    <definedName name="URAIAN7612b" localSheetId="7">#REF!</definedName>
    <definedName name="URAIAN7612b" localSheetId="8">#REF!</definedName>
    <definedName name="URAIAN7612b">#REF!</definedName>
    <definedName name="URAIAN7612c" localSheetId="10">#REF!</definedName>
    <definedName name="URAIAN7612c" localSheetId="5">#REF!</definedName>
    <definedName name="URAIAN7612c" localSheetId="6">#REF!</definedName>
    <definedName name="URAIAN7612c" localSheetId="7">#REF!</definedName>
    <definedName name="URAIAN7612c" localSheetId="8">#REF!</definedName>
    <definedName name="URAIAN7612c">#REF!</definedName>
    <definedName name="URAIAN7613a" localSheetId="10">#REF!</definedName>
    <definedName name="URAIAN7613a" localSheetId="5">#REF!</definedName>
    <definedName name="URAIAN7613a" localSheetId="6">#REF!</definedName>
    <definedName name="URAIAN7613a" localSheetId="7">#REF!</definedName>
    <definedName name="URAIAN7613a" localSheetId="8">#REF!</definedName>
    <definedName name="URAIAN7613a">#REF!</definedName>
    <definedName name="URAIAN7613b" localSheetId="10">#REF!</definedName>
    <definedName name="URAIAN7613b" localSheetId="5">#REF!</definedName>
    <definedName name="URAIAN7613b" localSheetId="6">#REF!</definedName>
    <definedName name="URAIAN7613b" localSheetId="7">#REF!</definedName>
    <definedName name="URAIAN7613b" localSheetId="8">#REF!</definedName>
    <definedName name="URAIAN7613b">#REF!</definedName>
    <definedName name="URAIAN7613c" localSheetId="10">#REF!</definedName>
    <definedName name="URAIAN7613c" localSheetId="5">#REF!</definedName>
    <definedName name="URAIAN7613c" localSheetId="6">#REF!</definedName>
    <definedName name="URAIAN7613c" localSheetId="7">#REF!</definedName>
    <definedName name="URAIAN7613c" localSheetId="8">#REF!</definedName>
    <definedName name="URAIAN7613c">#REF!</definedName>
    <definedName name="URAIAN7614a" localSheetId="10">#REF!</definedName>
    <definedName name="URAIAN7614a" localSheetId="5">#REF!</definedName>
    <definedName name="URAIAN7614a" localSheetId="6">#REF!</definedName>
    <definedName name="URAIAN7614a" localSheetId="7">#REF!</definedName>
    <definedName name="URAIAN7614a" localSheetId="8">#REF!</definedName>
    <definedName name="URAIAN7614a">#REF!</definedName>
    <definedName name="URAIAN7614b" localSheetId="10">#REF!</definedName>
    <definedName name="URAIAN7614b" localSheetId="5">#REF!</definedName>
    <definedName name="URAIAN7614b" localSheetId="6">#REF!</definedName>
    <definedName name="URAIAN7614b" localSheetId="7">#REF!</definedName>
    <definedName name="URAIAN7614b" localSheetId="8">#REF!</definedName>
    <definedName name="URAIAN7614b">#REF!</definedName>
    <definedName name="URAIAN7614d" localSheetId="10">#REF!</definedName>
    <definedName name="URAIAN7614d" localSheetId="5">#REF!</definedName>
    <definedName name="URAIAN7614d" localSheetId="6">#REF!</definedName>
    <definedName name="URAIAN7614d" localSheetId="7">#REF!</definedName>
    <definedName name="URAIAN7614d" localSheetId="8">#REF!</definedName>
    <definedName name="URAIAN7614d">#REF!</definedName>
    <definedName name="URAIAN7614e" localSheetId="10">#REF!</definedName>
    <definedName name="URAIAN7614e" localSheetId="5">#REF!</definedName>
    <definedName name="URAIAN7614e" localSheetId="6">#REF!</definedName>
    <definedName name="URAIAN7614e" localSheetId="7">#REF!</definedName>
    <definedName name="URAIAN7614e" localSheetId="8">#REF!</definedName>
    <definedName name="URAIAN7614e">#REF!</definedName>
    <definedName name="URAIAN7618" localSheetId="10">#REF!</definedName>
    <definedName name="URAIAN7618" localSheetId="5">#REF!</definedName>
    <definedName name="URAIAN7618" localSheetId="6">#REF!</definedName>
    <definedName name="URAIAN7618" localSheetId="7">#REF!</definedName>
    <definedName name="URAIAN7618" localSheetId="8">#REF!</definedName>
    <definedName name="URAIAN7618">#REF!</definedName>
    <definedName name="URAIAN7619" localSheetId="10">#REF!</definedName>
    <definedName name="URAIAN7619" localSheetId="5">#REF!</definedName>
    <definedName name="URAIAN7619" localSheetId="6">#REF!</definedName>
    <definedName name="URAIAN7619" localSheetId="7">#REF!</definedName>
    <definedName name="URAIAN7619" localSheetId="8">#REF!</definedName>
    <definedName name="URAIAN7619">#REF!</definedName>
    <definedName name="URAIAN768" localSheetId="10">#REF!</definedName>
    <definedName name="URAIAN768" localSheetId="5">#REF!</definedName>
    <definedName name="URAIAN768" localSheetId="6">#REF!</definedName>
    <definedName name="URAIAN768" localSheetId="7">#REF!</definedName>
    <definedName name="URAIAN768" localSheetId="8">#REF!</definedName>
    <definedName name="URAIAN768">#REF!</definedName>
    <definedName name="URAIAN769" localSheetId="10">#REF!</definedName>
    <definedName name="URAIAN769" localSheetId="5">#REF!</definedName>
    <definedName name="URAIAN769" localSheetId="6">#REF!</definedName>
    <definedName name="URAIAN769" localSheetId="7">#REF!</definedName>
    <definedName name="URAIAN769" localSheetId="8">#REF!</definedName>
    <definedName name="URAIAN769">#REF!</definedName>
    <definedName name="URAIAN76x" localSheetId="10">#REF!</definedName>
    <definedName name="URAIAN76x" localSheetId="5">#REF!</definedName>
    <definedName name="URAIAN76x" localSheetId="6">#REF!</definedName>
    <definedName name="URAIAN76x" localSheetId="7">#REF!</definedName>
    <definedName name="URAIAN76x" localSheetId="8">#REF!</definedName>
    <definedName name="URAIAN76x">#REF!</definedName>
    <definedName name="URAIAN771a" localSheetId="10">#REF!</definedName>
    <definedName name="URAIAN771a" localSheetId="5">#REF!</definedName>
    <definedName name="URAIAN771a" localSheetId="6">#REF!</definedName>
    <definedName name="URAIAN771a" localSheetId="7">#REF!</definedName>
    <definedName name="URAIAN771a" localSheetId="8">#REF!</definedName>
    <definedName name="URAIAN771a">#REF!</definedName>
    <definedName name="URAIAN771b" localSheetId="10">#REF!</definedName>
    <definedName name="URAIAN771b" localSheetId="5">#REF!</definedName>
    <definedName name="URAIAN771b" localSheetId="6">#REF!</definedName>
    <definedName name="URAIAN771b" localSheetId="7">#REF!</definedName>
    <definedName name="URAIAN771b" localSheetId="8">#REF!</definedName>
    <definedName name="URAIAN771b">#REF!</definedName>
    <definedName name="URAIAN771c" localSheetId="10">#REF!</definedName>
    <definedName name="URAIAN771c" localSheetId="5">#REF!</definedName>
    <definedName name="URAIAN771c" localSheetId="6">#REF!</definedName>
    <definedName name="URAIAN771c" localSheetId="7">#REF!</definedName>
    <definedName name="URAIAN771c" localSheetId="8">#REF!</definedName>
    <definedName name="URAIAN771c">#REF!</definedName>
    <definedName name="URAIAN771d" localSheetId="10">#REF!</definedName>
    <definedName name="URAIAN771d" localSheetId="5">#REF!</definedName>
    <definedName name="URAIAN771d" localSheetId="6">#REF!</definedName>
    <definedName name="URAIAN771d" localSheetId="7">#REF!</definedName>
    <definedName name="URAIAN771d" localSheetId="8">#REF!</definedName>
    <definedName name="URAIAN771d">#REF!</definedName>
    <definedName name="URAIAN772a" localSheetId="10">#REF!</definedName>
    <definedName name="URAIAN772a" localSheetId="5">#REF!</definedName>
    <definedName name="URAIAN772a" localSheetId="6">#REF!</definedName>
    <definedName name="URAIAN772a" localSheetId="7">#REF!</definedName>
    <definedName name="URAIAN772a" localSheetId="8">#REF!</definedName>
    <definedName name="URAIAN772a">#REF!</definedName>
    <definedName name="URAIAN772b" localSheetId="10">#REF!</definedName>
    <definedName name="URAIAN772b" localSheetId="5">#REF!</definedName>
    <definedName name="URAIAN772b" localSheetId="6">#REF!</definedName>
    <definedName name="URAIAN772b" localSheetId="7">#REF!</definedName>
    <definedName name="URAIAN772b" localSheetId="8">#REF!</definedName>
    <definedName name="URAIAN772b">#REF!</definedName>
    <definedName name="URAIAN772c" localSheetId="10">#REF!</definedName>
    <definedName name="URAIAN772c" localSheetId="5">#REF!</definedName>
    <definedName name="URAIAN772c" localSheetId="6">#REF!</definedName>
    <definedName name="URAIAN772c" localSheetId="7">#REF!</definedName>
    <definedName name="URAIAN772c" localSheetId="8">#REF!</definedName>
    <definedName name="URAIAN772c">#REF!</definedName>
    <definedName name="URAIAN772d" localSheetId="10">#REF!</definedName>
    <definedName name="URAIAN772d" localSheetId="5">#REF!</definedName>
    <definedName name="URAIAN772d" localSheetId="6">#REF!</definedName>
    <definedName name="URAIAN772d" localSheetId="7">#REF!</definedName>
    <definedName name="URAIAN772d" localSheetId="8">#REF!</definedName>
    <definedName name="URAIAN772d">#REF!</definedName>
    <definedName name="URAIAN79manual" localSheetId="10">#REF!</definedName>
    <definedName name="URAIAN79manual" localSheetId="5">#REF!</definedName>
    <definedName name="URAIAN79manual" localSheetId="6">#REF!</definedName>
    <definedName name="URAIAN79manual" localSheetId="7">#REF!</definedName>
    <definedName name="URAIAN79manual" localSheetId="8">#REF!</definedName>
    <definedName name="URAIAN79manual">#REF!</definedName>
    <definedName name="URAIAN79mekanis" localSheetId="10">#REF!</definedName>
    <definedName name="URAIAN79mekanis" localSheetId="5">#REF!</definedName>
    <definedName name="URAIAN79mekanis" localSheetId="6">#REF!</definedName>
    <definedName name="URAIAN79mekanis" localSheetId="7">#REF!</definedName>
    <definedName name="URAIAN79mekanis" localSheetId="8">#REF!</definedName>
    <definedName name="URAIAN79mekanis">#REF!</definedName>
    <definedName name="URAIANGEOTEKSTIL" localSheetId="10">#REF!</definedName>
    <definedName name="URAIANGEOTEKSTIL" localSheetId="5">#REF!</definedName>
    <definedName name="URAIANGEOTEKSTIL" localSheetId="6">#REF!</definedName>
    <definedName name="URAIANGEOTEKSTIL" localSheetId="7">#REF!</definedName>
    <definedName name="URAIANGEOTEKSTIL" localSheetId="8">#REF!</definedName>
    <definedName name="URAIANGEOTEKSTIL">#REF!</definedName>
    <definedName name="Urutan" localSheetId="10">#REF!</definedName>
    <definedName name="Urutan" localSheetId="5">#REF!</definedName>
    <definedName name="Urutan" localSheetId="6">#REF!</definedName>
    <definedName name="Urutan" localSheetId="7">#REF!</definedName>
    <definedName name="Urutan" localSheetId="8">#REF!</definedName>
    <definedName name="Urutan">#REF!</definedName>
    <definedName name="UTAIAN7614c" localSheetId="10">#REF!</definedName>
    <definedName name="UTAIAN7614c" localSheetId="5">#REF!</definedName>
    <definedName name="UTAIAN7614c" localSheetId="6">#REF!</definedName>
    <definedName name="UTAIAN7614c" localSheetId="7">#REF!</definedName>
    <definedName name="UTAIAN7614c" localSheetId="8">#REF!</definedName>
    <definedName name="UTAIAN7614c">#REF!</definedName>
    <definedName name="v" localSheetId="10">'[57]ANALISA PEK.UMUM'!#REF!</definedName>
    <definedName name="v" localSheetId="5">'[57]ANALISA PEK.UMUM'!#REF!</definedName>
    <definedName name="v" localSheetId="6">'[57]ANALISA PEK.UMUM'!#REF!</definedName>
    <definedName name="v" localSheetId="7">'[57]ANALISA PEK.UMUM'!#REF!</definedName>
    <definedName name="v" localSheetId="8">'[57]ANALISA PEK.UMUM'!#REF!</definedName>
    <definedName name="v">'[57]ANALISA PEK.UMUM'!#REF!</definedName>
    <definedName name="vbnh" localSheetId="10">#REF!</definedName>
    <definedName name="vbnh" localSheetId="5">#REF!</definedName>
    <definedName name="vbnh" localSheetId="6">#REF!</definedName>
    <definedName name="vbnh" localSheetId="7">#REF!</definedName>
    <definedName name="vbnh" localSheetId="8">#REF!</definedName>
    <definedName name="vbnh">#REF!</definedName>
    <definedName name="vfghjdtjy" localSheetId="10">#REF!</definedName>
    <definedName name="vfghjdtjy" localSheetId="5">#REF!</definedName>
    <definedName name="vfghjdtjy" localSheetId="6">#REF!</definedName>
    <definedName name="vfghjdtjy" localSheetId="7">#REF!</definedName>
    <definedName name="vfghjdtjy" localSheetId="8">#REF!</definedName>
    <definedName name="vfghjdtjy">#REF!</definedName>
    <definedName name="wedus" localSheetId="10" hidden="1">#REF!</definedName>
    <definedName name="wedus" localSheetId="5" hidden="1">#REF!</definedName>
    <definedName name="wedus" localSheetId="6" hidden="1">#REF!</definedName>
    <definedName name="wedus" localSheetId="7" hidden="1">#REF!</definedName>
    <definedName name="wedus" localSheetId="8" hidden="1">#REF!</definedName>
    <definedName name="wedus" hidden="1">#REF!</definedName>
    <definedName name="WEGFYT" localSheetId="10">#REF!</definedName>
    <definedName name="WEGFYT" localSheetId="5">#REF!</definedName>
    <definedName name="WEGFYT" localSheetId="6">#REF!</definedName>
    <definedName name="WEGFYT" localSheetId="7">#REF!</definedName>
    <definedName name="WEGFYT" localSheetId="8">#REF!</definedName>
    <definedName name="WEGFYT">#REF!</definedName>
    <definedName name="Wood_Filer__Infra" localSheetId="10">[13]BAHAN!#REF!</definedName>
    <definedName name="Wood_Filer__Infra" localSheetId="5">[13]BAHAN!#REF!</definedName>
    <definedName name="Wood_Filer__Infra" localSheetId="6">[13]BAHAN!#REF!</definedName>
    <definedName name="Wood_Filer__Infra" localSheetId="7">[13]BAHAN!#REF!</definedName>
    <definedName name="Wood_Filer__Infra" localSheetId="8">[13]BAHAN!#REF!</definedName>
    <definedName name="Wood_Filer__Infra">[13]BAHAN!#REF!</definedName>
    <definedName name="WW" localSheetId="10">'[13]ANALISA PEK.UMUM'!#REF!</definedName>
    <definedName name="WW" localSheetId="5">'[13]ANALISA PEK.UMUM'!#REF!</definedName>
    <definedName name="WW" localSheetId="6">'[13]ANALISA PEK.UMUM'!#REF!</definedName>
    <definedName name="WW" localSheetId="7">'[13]ANALISA PEK.UMUM'!#REF!</definedName>
    <definedName name="WW" localSheetId="8">'[13]ANALISA PEK.UMUM'!#REF!</definedName>
    <definedName name="WW">'[13]ANALISA PEK.UMUM'!#REF!</definedName>
    <definedName name="xsxfv" localSheetId="10">#REF!</definedName>
    <definedName name="xsxfv" localSheetId="5">#REF!</definedName>
    <definedName name="xsxfv" localSheetId="6">#REF!</definedName>
    <definedName name="xsxfv" localSheetId="7">#REF!</definedName>
    <definedName name="xsxfv" localSheetId="8">#REF!</definedName>
    <definedName name="xsxfv">#REF!</definedName>
    <definedName name="ZZ" localSheetId="10">'[13]ANALISA PEK.UMUM'!#REF!</definedName>
    <definedName name="ZZ" localSheetId="5">'[13]ANALISA PEK.UMUM'!#REF!</definedName>
    <definedName name="ZZ" localSheetId="6">'[13]ANALISA PEK.UMUM'!#REF!</definedName>
    <definedName name="ZZ" localSheetId="7">'[13]ANALISA PEK.UMUM'!#REF!</definedName>
    <definedName name="ZZ" localSheetId="8">'[13]ANALISA PEK.UMUM'!#REF!</definedName>
    <definedName name="ZZ">'[13]ANALISA PEK.UMUM'!#REF!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6" l="1"/>
  <c r="H7" i="10" l="1"/>
  <c r="A3" i="31" l="1"/>
  <c r="A2" i="31"/>
  <c r="G36" i="30"/>
  <c r="I36" i="30" s="1"/>
  <c r="G35" i="30"/>
  <c r="I35" i="30" s="1"/>
  <c r="G34" i="30"/>
  <c r="I34" i="30" s="1"/>
  <c r="H30" i="30"/>
  <c r="H29" i="30"/>
  <c r="H28" i="30"/>
  <c r="I28" i="30" s="1"/>
  <c r="G24" i="30"/>
  <c r="G23" i="30"/>
  <c r="I23" i="30" s="1"/>
  <c r="G21" i="30"/>
  <c r="I21" i="30" s="1"/>
  <c r="G20" i="30"/>
  <c r="I20" i="30" s="1"/>
  <c r="G19" i="30"/>
  <c r="G18" i="30"/>
  <c r="I18" i="30" s="1"/>
  <c r="H11" i="30"/>
  <c r="G8" i="30"/>
  <c r="F8" i="30"/>
  <c r="D16" i="6"/>
  <c r="C13" i="30" s="1"/>
  <c r="G13" i="30" s="1"/>
  <c r="H38" i="30"/>
  <c r="G32" i="30"/>
  <c r="I30" i="30"/>
  <c r="F30" i="30"/>
  <c r="I29" i="30"/>
  <c r="F29" i="30"/>
  <c r="F28" i="30"/>
  <c r="H25" i="30"/>
  <c r="I24" i="30"/>
  <c r="I19" i="30"/>
  <c r="I11" i="30"/>
  <c r="F11" i="30"/>
  <c r="E10" i="30"/>
  <c r="D10" i="30"/>
  <c r="I8" i="30"/>
  <c r="A3" i="30"/>
  <c r="A2" i="30"/>
  <c r="C4" i="36"/>
  <c r="D35" i="36"/>
  <c r="D34" i="36"/>
  <c r="D25" i="36"/>
  <c r="E23" i="36"/>
  <c r="C23" i="36"/>
  <c r="E22" i="36"/>
  <c r="C22" i="36"/>
  <c r="E21" i="36"/>
  <c r="C21" i="36"/>
  <c r="E20" i="36"/>
  <c r="C20" i="36"/>
  <c r="E19" i="36"/>
  <c r="C19" i="36"/>
  <c r="E18" i="36"/>
  <c r="C18" i="36"/>
  <c r="E17" i="36"/>
  <c r="C17" i="36"/>
  <c r="E16" i="36"/>
  <c r="C16" i="36"/>
  <c r="E15" i="36"/>
  <c r="C15" i="36"/>
  <c r="E14" i="36"/>
  <c r="C14" i="36"/>
  <c r="E13" i="36"/>
  <c r="C13" i="36"/>
  <c r="E12" i="36"/>
  <c r="C12" i="36"/>
  <c r="B11" i="36"/>
  <c r="I13" i="30" l="1"/>
  <c r="E25" i="36"/>
  <c r="D32" i="6"/>
  <c r="C37" i="30" s="1"/>
  <c r="C38" i="30" s="1"/>
  <c r="D31" i="6"/>
  <c r="D26" i="6"/>
  <c r="D23" i="6"/>
  <c r="C17" i="30" s="1"/>
  <c r="D24" i="6"/>
  <c r="D11" i="6"/>
  <c r="C9" i="30" s="1"/>
  <c r="D17" i="6"/>
  <c r="D18" i="6"/>
  <c r="C14" i="30" s="1"/>
  <c r="D19" i="6"/>
  <c r="D20" i="6"/>
  <c r="C22" i="30" s="1"/>
  <c r="G22" i="30" s="1"/>
  <c r="D21" i="6"/>
  <c r="C15" i="30" s="1"/>
  <c r="D22" i="6"/>
  <c r="D7" i="6"/>
  <c r="C7" i="30" s="1"/>
  <c r="H6" i="1"/>
  <c r="H18" i="23"/>
  <c r="I22" i="30" l="1"/>
  <c r="G37" i="30"/>
  <c r="G38" i="30" s="1"/>
  <c r="G39" i="30" s="1"/>
  <c r="K12" i="6"/>
  <c r="K15" i="6" s="1"/>
  <c r="K20" i="6" s="1"/>
  <c r="F7" i="30"/>
  <c r="F10" i="30" s="1"/>
  <c r="C10" i="30"/>
  <c r="H7" i="30"/>
  <c r="H10" i="30" s="1"/>
  <c r="H26" i="30" s="1"/>
  <c r="G9" i="30"/>
  <c r="G10" i="30" s="1"/>
  <c r="G14" i="30"/>
  <c r="I14" i="30" s="1"/>
  <c r="E33" i="6"/>
  <c r="C31" i="30"/>
  <c r="G15" i="30"/>
  <c r="I15" i="30" s="1"/>
  <c r="G17" i="30"/>
  <c r="I17" i="30" s="1"/>
  <c r="B2" i="20"/>
  <c r="B34" i="35"/>
  <c r="B35" i="35"/>
  <c r="B33" i="35"/>
  <c r="B28" i="35"/>
  <c r="B23" i="35"/>
  <c r="B24" i="35"/>
  <c r="B25" i="35"/>
  <c r="B26" i="35"/>
  <c r="B27" i="35"/>
  <c r="B22" i="35"/>
  <c r="B19" i="35"/>
  <c r="B10" i="35"/>
  <c r="B11" i="35"/>
  <c r="B12" i="35"/>
  <c r="B13" i="35"/>
  <c r="B14" i="35"/>
  <c r="B15" i="35"/>
  <c r="B16" i="35"/>
  <c r="B17" i="35"/>
  <c r="B9" i="35"/>
  <c r="C32" i="30" l="1"/>
  <c r="C39" i="30" s="1"/>
  <c r="H31" i="30"/>
  <c r="H32" i="30" s="1"/>
  <c r="H39" i="30" s="1"/>
  <c r="H40" i="30" s="1"/>
  <c r="F31" i="30"/>
  <c r="I9" i="30"/>
  <c r="I7" i="30"/>
  <c r="I37" i="30"/>
  <c r="I38" i="30" s="1"/>
  <c r="E12" i="6"/>
  <c r="C8" i="35"/>
  <c r="H26" i="23"/>
  <c r="J26" i="23" s="1"/>
  <c r="F1006" i="32"/>
  <c r="F1005" i="32"/>
  <c r="F1004" i="32"/>
  <c r="F1003" i="32"/>
  <c r="F1002" i="32"/>
  <c r="F1001" i="32"/>
  <c r="F1000" i="32"/>
  <c r="F999" i="32"/>
  <c r="F998" i="32"/>
  <c r="F997" i="32"/>
  <c r="F996" i="32"/>
  <c r="F995" i="32"/>
  <c r="F994" i="32"/>
  <c r="F993" i="32"/>
  <c r="F992" i="32"/>
  <c r="F991" i="32"/>
  <c r="F990" i="32"/>
  <c r="F989" i="32"/>
  <c r="F988" i="32"/>
  <c r="F987" i="32"/>
  <c r="F986" i="32"/>
  <c r="F985" i="32"/>
  <c r="F984" i="32"/>
  <c r="F983" i="32"/>
  <c r="F982" i="32"/>
  <c r="F981" i="32"/>
  <c r="F980" i="32"/>
  <c r="F979" i="32"/>
  <c r="F978" i="32"/>
  <c r="F977" i="32"/>
  <c r="F976" i="32"/>
  <c r="F975" i="32"/>
  <c r="F974" i="32"/>
  <c r="F973" i="32"/>
  <c r="F972" i="32"/>
  <c r="F971" i="32"/>
  <c r="F970" i="32"/>
  <c r="F969" i="32"/>
  <c r="F968" i="32"/>
  <c r="F967" i="32"/>
  <c r="F966" i="32"/>
  <c r="F965" i="32"/>
  <c r="F964" i="32"/>
  <c r="F963" i="32"/>
  <c r="F962" i="32"/>
  <c r="F961" i="32"/>
  <c r="F960" i="32"/>
  <c r="F959" i="32"/>
  <c r="F958" i="32"/>
  <c r="F957" i="32"/>
  <c r="F956" i="32"/>
  <c r="F955" i="32"/>
  <c r="F954" i="32"/>
  <c r="F953" i="32"/>
  <c r="F952" i="32"/>
  <c r="F951" i="32"/>
  <c r="F950" i="32"/>
  <c r="F949" i="32"/>
  <c r="F948" i="32"/>
  <c r="F947" i="32"/>
  <c r="F946" i="32"/>
  <c r="F945" i="32"/>
  <c r="F944" i="32"/>
  <c r="F943" i="32"/>
  <c r="F942" i="32"/>
  <c r="F941" i="32"/>
  <c r="F940" i="32"/>
  <c r="F939" i="32"/>
  <c r="F938" i="32"/>
  <c r="F937" i="32"/>
  <c r="F936" i="32"/>
  <c r="F935" i="32"/>
  <c r="F934" i="32"/>
  <c r="F933" i="32"/>
  <c r="F932" i="32"/>
  <c r="F931" i="32"/>
  <c r="F930" i="32"/>
  <c r="F929" i="32"/>
  <c r="F928" i="32"/>
  <c r="F927" i="32"/>
  <c r="F926" i="32"/>
  <c r="F925" i="32"/>
  <c r="F924" i="32"/>
  <c r="F923" i="32"/>
  <c r="F922" i="32"/>
  <c r="F921" i="32"/>
  <c r="F920" i="32"/>
  <c r="F919" i="32"/>
  <c r="F918" i="32"/>
  <c r="F917" i="32"/>
  <c r="F916" i="32"/>
  <c r="F915" i="32"/>
  <c r="F914" i="32"/>
  <c r="F913" i="32"/>
  <c r="F912" i="32"/>
  <c r="F911" i="32"/>
  <c r="F910" i="32"/>
  <c r="F909" i="32"/>
  <c r="F908" i="32"/>
  <c r="F907" i="32"/>
  <c r="F906" i="32"/>
  <c r="F905" i="32"/>
  <c r="F904" i="32"/>
  <c r="F903" i="32"/>
  <c r="F902" i="32"/>
  <c r="F901" i="32"/>
  <c r="F900" i="32"/>
  <c r="F899" i="32"/>
  <c r="F898" i="32"/>
  <c r="F897" i="32"/>
  <c r="F896" i="32"/>
  <c r="F895" i="32"/>
  <c r="F894" i="32"/>
  <c r="F893" i="32"/>
  <c r="F892" i="32"/>
  <c r="F891" i="32"/>
  <c r="F890" i="32"/>
  <c r="F889" i="32"/>
  <c r="F888" i="32"/>
  <c r="F887" i="32"/>
  <c r="F886" i="32"/>
  <c r="F885" i="32"/>
  <c r="F884" i="32"/>
  <c r="F883" i="32"/>
  <c r="F882" i="32"/>
  <c r="F881" i="32"/>
  <c r="F880" i="32"/>
  <c r="F879" i="32"/>
  <c r="F878" i="32"/>
  <c r="F877" i="32"/>
  <c r="F876" i="32"/>
  <c r="F875" i="32"/>
  <c r="F874" i="32"/>
  <c r="F873" i="32"/>
  <c r="F872" i="32"/>
  <c r="F871" i="32"/>
  <c r="F870" i="32"/>
  <c r="F869" i="32"/>
  <c r="F868" i="32"/>
  <c r="F867" i="32"/>
  <c r="F866" i="32"/>
  <c r="F865" i="32"/>
  <c r="F864" i="32"/>
  <c r="F863" i="32"/>
  <c r="F862" i="32"/>
  <c r="F861" i="32"/>
  <c r="F860" i="32"/>
  <c r="F859" i="32"/>
  <c r="F858" i="32"/>
  <c r="F857" i="32"/>
  <c r="F856" i="32"/>
  <c r="F855" i="32"/>
  <c r="F854" i="32"/>
  <c r="F853" i="32"/>
  <c r="F852" i="32"/>
  <c r="F851" i="32"/>
  <c r="F850" i="32"/>
  <c r="F849" i="32"/>
  <c r="F848" i="32"/>
  <c r="F847" i="32"/>
  <c r="F846" i="32"/>
  <c r="F845" i="32"/>
  <c r="F844" i="32"/>
  <c r="F843" i="32"/>
  <c r="F842" i="32"/>
  <c r="F841" i="32"/>
  <c r="F840" i="32"/>
  <c r="F839" i="32"/>
  <c r="F838" i="32"/>
  <c r="F837" i="32"/>
  <c r="F836" i="32"/>
  <c r="F835" i="32"/>
  <c r="F834" i="32"/>
  <c r="F833" i="32"/>
  <c r="F832" i="32"/>
  <c r="F831" i="32"/>
  <c r="F830" i="32"/>
  <c r="F829" i="32"/>
  <c r="F828" i="32"/>
  <c r="F827" i="32"/>
  <c r="F826" i="32"/>
  <c r="F825" i="32"/>
  <c r="F824" i="32"/>
  <c r="F823" i="32"/>
  <c r="F822" i="32"/>
  <c r="F821" i="32"/>
  <c r="F820" i="32"/>
  <c r="F819" i="32"/>
  <c r="F818" i="32"/>
  <c r="F817" i="32"/>
  <c r="F816" i="32"/>
  <c r="F815" i="32"/>
  <c r="F814" i="32"/>
  <c r="F813" i="32"/>
  <c r="F812" i="32"/>
  <c r="F811" i="32"/>
  <c r="F810" i="32"/>
  <c r="F809" i="32"/>
  <c r="F808" i="32"/>
  <c r="F807" i="32"/>
  <c r="F806" i="32"/>
  <c r="F805" i="32"/>
  <c r="F804" i="32"/>
  <c r="F803" i="32"/>
  <c r="F802" i="32"/>
  <c r="F801" i="32"/>
  <c r="F800" i="32"/>
  <c r="F799" i="32"/>
  <c r="F798" i="32"/>
  <c r="F797" i="32"/>
  <c r="F796" i="32"/>
  <c r="F795" i="32"/>
  <c r="F794" i="32"/>
  <c r="F793" i="32"/>
  <c r="F792" i="32"/>
  <c r="F791" i="32"/>
  <c r="F790" i="32"/>
  <c r="F789" i="32"/>
  <c r="F788" i="32"/>
  <c r="F787" i="32"/>
  <c r="F786" i="32"/>
  <c r="F785" i="32"/>
  <c r="F784" i="32"/>
  <c r="F783" i="32"/>
  <c r="F782" i="32"/>
  <c r="F781" i="32"/>
  <c r="F780" i="32"/>
  <c r="F779" i="32"/>
  <c r="F778" i="32"/>
  <c r="F777" i="32"/>
  <c r="F776" i="32"/>
  <c r="F775" i="32"/>
  <c r="F774" i="32"/>
  <c r="F773" i="32"/>
  <c r="F772" i="32"/>
  <c r="F771" i="32"/>
  <c r="F770" i="32"/>
  <c r="F769" i="32"/>
  <c r="F768" i="32"/>
  <c r="F767" i="32"/>
  <c r="F766" i="32"/>
  <c r="F765" i="32"/>
  <c r="F764" i="32"/>
  <c r="F763" i="32"/>
  <c r="F762" i="32"/>
  <c r="F761" i="32"/>
  <c r="F760" i="32"/>
  <c r="F759" i="32"/>
  <c r="F758" i="32"/>
  <c r="F757" i="32"/>
  <c r="F756" i="32"/>
  <c r="F755" i="32"/>
  <c r="F754" i="32"/>
  <c r="F753" i="32"/>
  <c r="F752" i="32"/>
  <c r="F751" i="32"/>
  <c r="F750" i="32"/>
  <c r="F749" i="32"/>
  <c r="F748" i="32"/>
  <c r="F747" i="32"/>
  <c r="F746" i="32"/>
  <c r="F745" i="32"/>
  <c r="F744" i="32"/>
  <c r="F743" i="32"/>
  <c r="F742" i="32"/>
  <c r="F741" i="32"/>
  <c r="F740" i="32"/>
  <c r="F739" i="32"/>
  <c r="F738" i="32"/>
  <c r="F737" i="32"/>
  <c r="F736" i="32"/>
  <c r="F735" i="32"/>
  <c r="F734" i="32"/>
  <c r="F733" i="32"/>
  <c r="F732" i="32"/>
  <c r="F731" i="32"/>
  <c r="F730" i="32"/>
  <c r="F729" i="32"/>
  <c r="F728" i="32"/>
  <c r="F727" i="32"/>
  <c r="F726" i="32"/>
  <c r="F725" i="32"/>
  <c r="F724" i="32"/>
  <c r="F723" i="32"/>
  <c r="F722" i="32"/>
  <c r="F721" i="32"/>
  <c r="F720" i="32"/>
  <c r="F719" i="32"/>
  <c r="F718" i="32"/>
  <c r="F717" i="32"/>
  <c r="F716" i="32"/>
  <c r="F715" i="32"/>
  <c r="F714" i="32"/>
  <c r="F713" i="32"/>
  <c r="F712" i="32"/>
  <c r="F711" i="32"/>
  <c r="F710" i="32"/>
  <c r="F709" i="32"/>
  <c r="F708" i="32"/>
  <c r="F707" i="32"/>
  <c r="F706" i="32"/>
  <c r="F705" i="32"/>
  <c r="F704" i="32"/>
  <c r="F703" i="32"/>
  <c r="F702" i="32"/>
  <c r="F701" i="32"/>
  <c r="F700" i="32"/>
  <c r="F699" i="32"/>
  <c r="F698" i="32"/>
  <c r="F697" i="32"/>
  <c r="F696" i="32"/>
  <c r="F695" i="32"/>
  <c r="F694" i="32"/>
  <c r="F693" i="32"/>
  <c r="F692" i="32"/>
  <c r="F691" i="32"/>
  <c r="F690" i="32"/>
  <c r="F689" i="32"/>
  <c r="F688" i="32"/>
  <c r="F687" i="32"/>
  <c r="F686" i="32"/>
  <c r="F685" i="32"/>
  <c r="F684" i="32"/>
  <c r="F683" i="32"/>
  <c r="F682" i="32"/>
  <c r="F681" i="32"/>
  <c r="F680" i="32"/>
  <c r="F679" i="32"/>
  <c r="F678" i="32"/>
  <c r="F677" i="32"/>
  <c r="F676" i="32"/>
  <c r="F675" i="32"/>
  <c r="F674" i="32"/>
  <c r="F673" i="32"/>
  <c r="F672" i="32"/>
  <c r="F671" i="32"/>
  <c r="F670" i="32"/>
  <c r="F669" i="32"/>
  <c r="F668" i="32"/>
  <c r="F667" i="32"/>
  <c r="F666" i="32"/>
  <c r="F665" i="32"/>
  <c r="F664" i="32"/>
  <c r="F663" i="32"/>
  <c r="F662" i="32"/>
  <c r="F661" i="32"/>
  <c r="F660" i="32"/>
  <c r="F659" i="32"/>
  <c r="F658" i="32"/>
  <c r="F657" i="32"/>
  <c r="F656" i="32"/>
  <c r="F655" i="32"/>
  <c r="F654" i="32"/>
  <c r="F653" i="32"/>
  <c r="F652" i="32"/>
  <c r="F651" i="32"/>
  <c r="F650" i="32"/>
  <c r="F649" i="32"/>
  <c r="F648" i="32"/>
  <c r="F647" i="32"/>
  <c r="F646" i="32"/>
  <c r="F645" i="32"/>
  <c r="F644" i="32"/>
  <c r="F643" i="32"/>
  <c r="F642" i="32"/>
  <c r="F641" i="32"/>
  <c r="F640" i="32"/>
  <c r="F639" i="32"/>
  <c r="F638" i="32"/>
  <c r="F637" i="32"/>
  <c r="F636" i="32"/>
  <c r="F635" i="32"/>
  <c r="F634" i="32"/>
  <c r="F633" i="32"/>
  <c r="F632" i="32"/>
  <c r="F631" i="32"/>
  <c r="F630" i="32"/>
  <c r="F629" i="32"/>
  <c r="F628" i="32"/>
  <c r="F627" i="32"/>
  <c r="F626" i="32"/>
  <c r="F625" i="32"/>
  <c r="F624" i="32"/>
  <c r="F623" i="32"/>
  <c r="F622" i="32"/>
  <c r="F621" i="32"/>
  <c r="F620" i="32"/>
  <c r="F619" i="32"/>
  <c r="F618" i="32"/>
  <c r="F617" i="32"/>
  <c r="F616" i="32"/>
  <c r="F615" i="32"/>
  <c r="F614" i="32"/>
  <c r="F613" i="32"/>
  <c r="F612" i="32"/>
  <c r="F611" i="32"/>
  <c r="F610" i="32"/>
  <c r="F609" i="32"/>
  <c r="F608" i="32"/>
  <c r="F607" i="32"/>
  <c r="F606" i="32"/>
  <c r="F605" i="32"/>
  <c r="F604" i="32"/>
  <c r="F603" i="32"/>
  <c r="F602" i="32"/>
  <c r="F601" i="32"/>
  <c r="F600" i="32"/>
  <c r="F599" i="32"/>
  <c r="F598" i="32"/>
  <c r="F597" i="32"/>
  <c r="F596" i="32"/>
  <c r="F595" i="32"/>
  <c r="F594" i="32"/>
  <c r="F593" i="32"/>
  <c r="F592" i="32"/>
  <c r="F591" i="32"/>
  <c r="F590" i="32"/>
  <c r="F589" i="32"/>
  <c r="F588" i="32"/>
  <c r="F587" i="32"/>
  <c r="F586" i="32"/>
  <c r="F585" i="32"/>
  <c r="F584" i="32"/>
  <c r="F583" i="32"/>
  <c r="F582" i="32"/>
  <c r="F581" i="32"/>
  <c r="F580" i="32"/>
  <c r="F579" i="32"/>
  <c r="F578" i="32"/>
  <c r="F577" i="32"/>
  <c r="F576" i="32"/>
  <c r="F575" i="32"/>
  <c r="F574" i="32"/>
  <c r="F573" i="32"/>
  <c r="F572" i="32"/>
  <c r="F571" i="32"/>
  <c r="F570" i="32"/>
  <c r="F569" i="32"/>
  <c r="F568" i="32"/>
  <c r="F567" i="32"/>
  <c r="F566" i="32"/>
  <c r="F565" i="32"/>
  <c r="F564" i="32"/>
  <c r="F563" i="32"/>
  <c r="F562" i="32"/>
  <c r="F561" i="32"/>
  <c r="F560" i="32"/>
  <c r="F559" i="32"/>
  <c r="F558" i="32"/>
  <c r="F557" i="32"/>
  <c r="F556" i="32"/>
  <c r="F555" i="32"/>
  <c r="F554" i="32"/>
  <c r="F553" i="32"/>
  <c r="F552" i="32"/>
  <c r="F551" i="32"/>
  <c r="F550" i="32"/>
  <c r="F549" i="32"/>
  <c r="F548" i="32"/>
  <c r="F547" i="32"/>
  <c r="F546" i="32"/>
  <c r="F545" i="32"/>
  <c r="F544" i="32"/>
  <c r="F543" i="32"/>
  <c r="F542" i="32"/>
  <c r="F541" i="32"/>
  <c r="F540" i="32"/>
  <c r="F539" i="32"/>
  <c r="F538" i="32"/>
  <c r="F537" i="32"/>
  <c r="F536" i="32"/>
  <c r="F535" i="32"/>
  <c r="F534" i="32"/>
  <c r="F533" i="32"/>
  <c r="F532" i="32"/>
  <c r="F531" i="32"/>
  <c r="F530" i="32"/>
  <c r="F529" i="32"/>
  <c r="F528" i="32"/>
  <c r="F527" i="32"/>
  <c r="F526" i="32"/>
  <c r="F525" i="32"/>
  <c r="F524" i="32"/>
  <c r="F523" i="32"/>
  <c r="F522" i="32"/>
  <c r="F521" i="32"/>
  <c r="F520" i="32"/>
  <c r="F519" i="32"/>
  <c r="F518" i="32"/>
  <c r="F517" i="32"/>
  <c r="F516" i="32"/>
  <c r="F515" i="32"/>
  <c r="F514" i="32"/>
  <c r="F513" i="32"/>
  <c r="F512" i="32"/>
  <c r="F511" i="32"/>
  <c r="F510" i="32"/>
  <c r="F509" i="32"/>
  <c r="F508" i="32"/>
  <c r="F507" i="32"/>
  <c r="F506" i="32"/>
  <c r="F505" i="32"/>
  <c r="F504" i="32"/>
  <c r="F503" i="32"/>
  <c r="F502" i="32"/>
  <c r="F501" i="32"/>
  <c r="F500" i="32"/>
  <c r="F499" i="32"/>
  <c r="F498" i="32"/>
  <c r="F497" i="32"/>
  <c r="F496" i="32"/>
  <c r="F495" i="32"/>
  <c r="F494" i="32"/>
  <c r="F493" i="32"/>
  <c r="F492" i="32"/>
  <c r="F491" i="32"/>
  <c r="F490" i="32"/>
  <c r="F489" i="32"/>
  <c r="F488" i="32"/>
  <c r="F487" i="32"/>
  <c r="F486" i="32"/>
  <c r="F485" i="32"/>
  <c r="F484" i="32"/>
  <c r="F483" i="32"/>
  <c r="F482" i="32"/>
  <c r="F481" i="32"/>
  <c r="F480" i="32"/>
  <c r="F479" i="32"/>
  <c r="F478" i="32"/>
  <c r="F477" i="32"/>
  <c r="F476" i="32"/>
  <c r="F475" i="32"/>
  <c r="F474" i="32"/>
  <c r="F473" i="32"/>
  <c r="F472" i="32"/>
  <c r="F471" i="32"/>
  <c r="F470" i="32"/>
  <c r="F469" i="32"/>
  <c r="F468" i="32"/>
  <c r="F467" i="32"/>
  <c r="F466" i="32"/>
  <c r="F465" i="32"/>
  <c r="F464" i="32"/>
  <c r="F463" i="32"/>
  <c r="F462" i="32"/>
  <c r="F461" i="32"/>
  <c r="F460" i="32"/>
  <c r="F459" i="32"/>
  <c r="F458" i="32"/>
  <c r="F457" i="32"/>
  <c r="F456" i="32"/>
  <c r="F455" i="32"/>
  <c r="F454" i="32"/>
  <c r="F453" i="32"/>
  <c r="F452" i="32"/>
  <c r="F451" i="32"/>
  <c r="F450" i="32"/>
  <c r="F449" i="32"/>
  <c r="F448" i="32"/>
  <c r="F447" i="32"/>
  <c r="F446" i="32"/>
  <c r="F445" i="32"/>
  <c r="F444" i="32"/>
  <c r="F443" i="32"/>
  <c r="F442" i="32"/>
  <c r="F441" i="32"/>
  <c r="F440" i="32"/>
  <c r="F439" i="32"/>
  <c r="F438" i="32"/>
  <c r="F437" i="32"/>
  <c r="F436" i="32"/>
  <c r="F435" i="32"/>
  <c r="F434" i="32"/>
  <c r="F433" i="32"/>
  <c r="F432" i="32"/>
  <c r="F431" i="32"/>
  <c r="F430" i="32"/>
  <c r="F429" i="32"/>
  <c r="F428" i="32"/>
  <c r="F427" i="32"/>
  <c r="F426" i="32"/>
  <c r="F425" i="32"/>
  <c r="F424" i="32"/>
  <c r="F423" i="32"/>
  <c r="F422" i="32"/>
  <c r="F421" i="32"/>
  <c r="F420" i="32"/>
  <c r="F419" i="32"/>
  <c r="F418" i="32"/>
  <c r="F417" i="32"/>
  <c r="F416" i="32"/>
  <c r="F415" i="32"/>
  <c r="F414" i="32"/>
  <c r="F413" i="32"/>
  <c r="F412" i="32"/>
  <c r="F411" i="32"/>
  <c r="F410" i="32"/>
  <c r="F409" i="32"/>
  <c r="F408" i="32"/>
  <c r="F407" i="32"/>
  <c r="F406" i="32"/>
  <c r="F405" i="32"/>
  <c r="F404" i="32"/>
  <c r="F403" i="32"/>
  <c r="F402" i="32"/>
  <c r="F401" i="32"/>
  <c r="F400" i="32"/>
  <c r="F399" i="32"/>
  <c r="F398" i="32"/>
  <c r="F397" i="32"/>
  <c r="F396" i="32"/>
  <c r="F395" i="32"/>
  <c r="F394" i="32"/>
  <c r="F393" i="32"/>
  <c r="F392" i="32"/>
  <c r="F391" i="32"/>
  <c r="F390" i="32"/>
  <c r="F389" i="32"/>
  <c r="F388" i="32"/>
  <c r="F387" i="32"/>
  <c r="F386" i="32"/>
  <c r="F385" i="32"/>
  <c r="F384" i="32"/>
  <c r="F383" i="32"/>
  <c r="F382" i="32"/>
  <c r="F381" i="32"/>
  <c r="F380" i="32"/>
  <c r="F379" i="32"/>
  <c r="F378" i="32"/>
  <c r="F377" i="32"/>
  <c r="F376" i="32"/>
  <c r="F375" i="32"/>
  <c r="F374" i="32"/>
  <c r="F373" i="32"/>
  <c r="F372" i="32"/>
  <c r="F371" i="32"/>
  <c r="F370" i="32"/>
  <c r="F369" i="32"/>
  <c r="F368" i="32"/>
  <c r="F367" i="32"/>
  <c r="F366" i="32"/>
  <c r="F365" i="32"/>
  <c r="F364" i="32"/>
  <c r="F363" i="32"/>
  <c r="F362" i="32"/>
  <c r="F361" i="32"/>
  <c r="F360" i="32"/>
  <c r="F359" i="32"/>
  <c r="F358" i="32"/>
  <c r="F357" i="32"/>
  <c r="F356" i="32"/>
  <c r="F355" i="32"/>
  <c r="F354" i="32"/>
  <c r="F353" i="32"/>
  <c r="F352" i="32"/>
  <c r="F351" i="32"/>
  <c r="F350" i="32"/>
  <c r="F349" i="32"/>
  <c r="F348" i="32"/>
  <c r="F347" i="32"/>
  <c r="F346" i="32"/>
  <c r="F345" i="32"/>
  <c r="F344" i="32"/>
  <c r="F343" i="32"/>
  <c r="F342" i="32"/>
  <c r="F341" i="32"/>
  <c r="F340" i="32"/>
  <c r="F339" i="32"/>
  <c r="F338" i="32"/>
  <c r="F337" i="32"/>
  <c r="F336" i="32"/>
  <c r="F335" i="32"/>
  <c r="F334" i="32"/>
  <c r="F333" i="32"/>
  <c r="F332" i="32"/>
  <c r="F331" i="32"/>
  <c r="F330" i="32"/>
  <c r="F329" i="32"/>
  <c r="F328" i="32"/>
  <c r="F327" i="32"/>
  <c r="F326" i="32"/>
  <c r="F325" i="32"/>
  <c r="F324" i="32"/>
  <c r="F323" i="32"/>
  <c r="F322" i="32"/>
  <c r="F321" i="32"/>
  <c r="F320" i="32"/>
  <c r="F319" i="32"/>
  <c r="F318" i="32"/>
  <c r="F317" i="32"/>
  <c r="F316" i="32"/>
  <c r="F315" i="32"/>
  <c r="F314" i="32"/>
  <c r="F313" i="32"/>
  <c r="F312" i="32"/>
  <c r="F311" i="32"/>
  <c r="F310" i="32"/>
  <c r="F309" i="32"/>
  <c r="F308" i="32"/>
  <c r="F307" i="32"/>
  <c r="F306" i="32"/>
  <c r="F305" i="32"/>
  <c r="F304" i="32"/>
  <c r="F303" i="32"/>
  <c r="F302" i="32"/>
  <c r="F301" i="32"/>
  <c r="F300" i="32"/>
  <c r="F299" i="32"/>
  <c r="F298" i="32"/>
  <c r="F297" i="32"/>
  <c r="F296" i="32"/>
  <c r="F295" i="32"/>
  <c r="F294" i="32"/>
  <c r="F293" i="32"/>
  <c r="F292" i="32"/>
  <c r="F291" i="32"/>
  <c r="F290" i="32"/>
  <c r="F289" i="32"/>
  <c r="F288" i="32"/>
  <c r="F287" i="32"/>
  <c r="F286" i="32"/>
  <c r="F285" i="32"/>
  <c r="F284" i="32"/>
  <c r="F283" i="32"/>
  <c r="F282" i="32"/>
  <c r="F281" i="32"/>
  <c r="F280" i="32"/>
  <c r="F279" i="32"/>
  <c r="F278" i="32"/>
  <c r="F277" i="32"/>
  <c r="F276" i="32"/>
  <c r="F275" i="32"/>
  <c r="F274" i="32"/>
  <c r="F273" i="32"/>
  <c r="F272" i="32"/>
  <c r="F271" i="32"/>
  <c r="F270" i="32"/>
  <c r="F269" i="32"/>
  <c r="F268" i="32"/>
  <c r="F267" i="32"/>
  <c r="F266" i="32"/>
  <c r="F265" i="32"/>
  <c r="F264" i="32"/>
  <c r="F263" i="32"/>
  <c r="F262" i="32"/>
  <c r="F261" i="32"/>
  <c r="F260" i="32"/>
  <c r="F259" i="32"/>
  <c r="F258" i="32"/>
  <c r="F257" i="32"/>
  <c r="F256" i="32"/>
  <c r="F255" i="32"/>
  <c r="F254" i="32"/>
  <c r="F253" i="32"/>
  <c r="F252" i="32"/>
  <c r="F251" i="32"/>
  <c r="F250" i="32"/>
  <c r="F249" i="32"/>
  <c r="F248" i="32"/>
  <c r="F247" i="32"/>
  <c r="F246" i="32"/>
  <c r="F245" i="32"/>
  <c r="F244" i="32"/>
  <c r="F243" i="32"/>
  <c r="F242" i="32"/>
  <c r="F241" i="32"/>
  <c r="F240" i="32"/>
  <c r="F239" i="32"/>
  <c r="F238" i="32"/>
  <c r="F237" i="32"/>
  <c r="F236" i="32"/>
  <c r="F235" i="32"/>
  <c r="F234" i="32"/>
  <c r="F233" i="32"/>
  <c r="F232" i="32"/>
  <c r="F231" i="32"/>
  <c r="F230" i="32"/>
  <c r="F229" i="32"/>
  <c r="F228" i="32"/>
  <c r="F227" i="32"/>
  <c r="F226" i="32"/>
  <c r="F225" i="32"/>
  <c r="F224" i="32"/>
  <c r="F223" i="32"/>
  <c r="F222" i="32"/>
  <c r="F221" i="32"/>
  <c r="F220" i="32"/>
  <c r="F219" i="32"/>
  <c r="F218" i="32"/>
  <c r="F217" i="32"/>
  <c r="F216" i="32"/>
  <c r="F215" i="32"/>
  <c r="F214" i="32"/>
  <c r="F213" i="32"/>
  <c r="F212" i="32"/>
  <c r="F211" i="32"/>
  <c r="F210" i="32"/>
  <c r="F209" i="32"/>
  <c r="F208" i="32"/>
  <c r="F207" i="32"/>
  <c r="F206" i="32"/>
  <c r="F205" i="32"/>
  <c r="F204" i="32"/>
  <c r="F203" i="32"/>
  <c r="F202" i="32"/>
  <c r="F201" i="32"/>
  <c r="F200" i="32"/>
  <c r="F199" i="32"/>
  <c r="F198" i="32"/>
  <c r="F197" i="32"/>
  <c r="F196" i="32"/>
  <c r="F195" i="32"/>
  <c r="F194" i="32"/>
  <c r="F193" i="32"/>
  <c r="F192" i="32"/>
  <c r="F191" i="32"/>
  <c r="F190" i="32"/>
  <c r="F189" i="32"/>
  <c r="F188" i="32"/>
  <c r="F187" i="32"/>
  <c r="F186" i="32"/>
  <c r="F185" i="32"/>
  <c r="F184" i="32"/>
  <c r="F183" i="32"/>
  <c r="F182" i="32"/>
  <c r="F181" i="32"/>
  <c r="F180" i="32"/>
  <c r="F179" i="32"/>
  <c r="F178" i="32"/>
  <c r="F177" i="32"/>
  <c r="F176" i="32"/>
  <c r="F175" i="32"/>
  <c r="F174" i="32"/>
  <c r="F173" i="32"/>
  <c r="F172" i="32"/>
  <c r="F171" i="32"/>
  <c r="F170" i="32"/>
  <c r="F169" i="32"/>
  <c r="F168" i="32"/>
  <c r="F167" i="32"/>
  <c r="F166" i="32"/>
  <c r="F165" i="32"/>
  <c r="F164" i="32"/>
  <c r="F163" i="32"/>
  <c r="F162" i="32"/>
  <c r="F161" i="32"/>
  <c r="F160" i="32"/>
  <c r="F159" i="32"/>
  <c r="F158" i="32"/>
  <c r="F157" i="32"/>
  <c r="F156" i="32"/>
  <c r="F155" i="32"/>
  <c r="F154" i="32"/>
  <c r="F153" i="32"/>
  <c r="F152" i="32"/>
  <c r="F151" i="32"/>
  <c r="F150" i="32"/>
  <c r="F149" i="32"/>
  <c r="F148" i="32"/>
  <c r="F147" i="32"/>
  <c r="F146" i="32"/>
  <c r="F145" i="32"/>
  <c r="F144" i="32"/>
  <c r="F143" i="32"/>
  <c r="F142" i="32"/>
  <c r="F141" i="32"/>
  <c r="F140" i="32"/>
  <c r="F139" i="32"/>
  <c r="F138" i="32"/>
  <c r="F137" i="32"/>
  <c r="F136" i="32"/>
  <c r="F135" i="32"/>
  <c r="F134" i="32"/>
  <c r="F133" i="32"/>
  <c r="F132" i="32"/>
  <c r="F131" i="32"/>
  <c r="F130" i="32"/>
  <c r="F129" i="32"/>
  <c r="F128" i="32"/>
  <c r="F127" i="32"/>
  <c r="F126" i="32"/>
  <c r="F125" i="32"/>
  <c r="F124" i="32"/>
  <c r="F123" i="32"/>
  <c r="F122" i="32"/>
  <c r="F121" i="32"/>
  <c r="F120" i="32"/>
  <c r="F119" i="32"/>
  <c r="F118" i="32"/>
  <c r="F117" i="32"/>
  <c r="F116" i="32"/>
  <c r="F115" i="32"/>
  <c r="F114" i="32"/>
  <c r="F113" i="32"/>
  <c r="F112" i="32"/>
  <c r="F111" i="32"/>
  <c r="F110" i="32"/>
  <c r="F109" i="32"/>
  <c r="F108" i="32"/>
  <c r="F107" i="32"/>
  <c r="F106" i="32"/>
  <c r="F105" i="32"/>
  <c r="F104" i="32"/>
  <c r="F103" i="32"/>
  <c r="F102" i="32"/>
  <c r="F101" i="32"/>
  <c r="F100" i="32"/>
  <c r="F99" i="32"/>
  <c r="F98" i="32"/>
  <c r="F97" i="32"/>
  <c r="F96" i="32"/>
  <c r="F95" i="32"/>
  <c r="F94" i="32"/>
  <c r="F93" i="32"/>
  <c r="F92" i="32"/>
  <c r="F91" i="32"/>
  <c r="F90" i="32"/>
  <c r="F89" i="32"/>
  <c r="F88" i="32"/>
  <c r="F87" i="32"/>
  <c r="F86" i="32"/>
  <c r="F85" i="32"/>
  <c r="F84" i="32"/>
  <c r="F83" i="32"/>
  <c r="F82" i="32"/>
  <c r="F81" i="32"/>
  <c r="F80" i="32"/>
  <c r="F79" i="32"/>
  <c r="F78" i="32"/>
  <c r="F77" i="32"/>
  <c r="F76" i="32"/>
  <c r="F75" i="32"/>
  <c r="F74" i="32"/>
  <c r="F73" i="32"/>
  <c r="F72" i="32"/>
  <c r="F71" i="32"/>
  <c r="F70" i="32"/>
  <c r="F69" i="32"/>
  <c r="F68" i="32"/>
  <c r="F67" i="32"/>
  <c r="F66" i="32"/>
  <c r="F65" i="32"/>
  <c r="F64" i="32"/>
  <c r="F63" i="32"/>
  <c r="F62" i="32"/>
  <c r="F61" i="32"/>
  <c r="F60" i="32"/>
  <c r="F59" i="32"/>
  <c r="F58" i="32"/>
  <c r="F57" i="32"/>
  <c r="F56" i="32"/>
  <c r="F55" i="32"/>
  <c r="F54" i="32"/>
  <c r="F53" i="32"/>
  <c r="F52" i="32"/>
  <c r="F51" i="32"/>
  <c r="F50" i="32"/>
  <c r="F49" i="32"/>
  <c r="F48" i="32"/>
  <c r="F47" i="32"/>
  <c r="F46" i="32"/>
  <c r="F45" i="32"/>
  <c r="F44" i="32"/>
  <c r="F43" i="32"/>
  <c r="F42" i="32"/>
  <c r="F41" i="32"/>
  <c r="F40" i="32"/>
  <c r="F39" i="32"/>
  <c r="F38" i="32"/>
  <c r="F37" i="32"/>
  <c r="F36" i="32"/>
  <c r="F35" i="32"/>
  <c r="F34" i="32"/>
  <c r="F33" i="32"/>
  <c r="F32" i="32"/>
  <c r="F31" i="32"/>
  <c r="F30" i="32"/>
  <c r="F29" i="32"/>
  <c r="F28" i="32"/>
  <c r="F27" i="32"/>
  <c r="F26" i="32"/>
  <c r="F25" i="32"/>
  <c r="F24" i="32"/>
  <c r="F23" i="32"/>
  <c r="F22" i="32"/>
  <c r="F21" i="32"/>
  <c r="F20" i="32"/>
  <c r="F19" i="32"/>
  <c r="F18" i="32"/>
  <c r="F17" i="32"/>
  <c r="F16" i="32"/>
  <c r="F15" i="32"/>
  <c r="F14" i="32"/>
  <c r="F13" i="32"/>
  <c r="F12" i="32"/>
  <c r="F11" i="32"/>
  <c r="F10" i="32"/>
  <c r="F9" i="32"/>
  <c r="F8" i="32"/>
  <c r="F7" i="32"/>
  <c r="F6" i="32"/>
  <c r="F5" i="32"/>
  <c r="A2" i="32"/>
  <c r="B2" i="29"/>
  <c r="I10" i="30" l="1"/>
  <c r="I31" i="30"/>
  <c r="I32" i="30" s="1"/>
  <c r="I39" i="30" s="1"/>
  <c r="F1007" i="32"/>
  <c r="H2" i="32" s="1"/>
  <c r="F1576" i="1" s="1"/>
  <c r="G1577" i="1" s="1"/>
  <c r="H6" i="20" l="1"/>
  <c r="H6" i="29"/>
  <c r="H6" i="27"/>
  <c r="H7" i="1"/>
  <c r="H23" i="23"/>
  <c r="I22" i="23"/>
  <c r="I21" i="23"/>
  <c r="H21" i="23"/>
  <c r="H19" i="23"/>
  <c r="H16" i="23"/>
  <c r="I16" i="23"/>
  <c r="H17" i="23"/>
  <c r="I17" i="23"/>
  <c r="I18" i="23"/>
  <c r="H14" i="23"/>
  <c r="I14" i="23"/>
  <c r="H15" i="23"/>
  <c r="I15" i="23"/>
  <c r="I13" i="23"/>
  <c r="H13" i="23"/>
  <c r="I12" i="23"/>
  <c r="H12" i="23"/>
  <c r="C19" i="35"/>
  <c r="C15" i="35"/>
  <c r="C17" i="35"/>
  <c r="C10" i="35"/>
  <c r="C12" i="35"/>
  <c r="G796" i="29"/>
  <c r="F796" i="29"/>
  <c r="H10" i="23" s="1"/>
  <c r="G4" i="29"/>
  <c r="F4" i="29"/>
  <c r="C9" i="35" l="1"/>
  <c r="C11" i="35"/>
  <c r="C16" i="35"/>
  <c r="C14" i="35"/>
  <c r="C13" i="35"/>
  <c r="C20" i="35"/>
  <c r="I10" i="23"/>
  <c r="J10" i="23" s="1"/>
  <c r="H7" i="29" s="1"/>
  <c r="H8" i="29" s="1"/>
  <c r="H9" i="29" s="1"/>
  <c r="H10" i="29" s="1"/>
  <c r="H11" i="29" s="1"/>
  <c r="H12" i="29" s="1"/>
  <c r="H13" i="29" s="1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2" i="29" s="1"/>
  <c r="H33" i="29" s="1"/>
  <c r="H34" i="29" s="1"/>
  <c r="H35" i="29" s="1"/>
  <c r="H36" i="29" s="1"/>
  <c r="H37" i="29" s="1"/>
  <c r="H38" i="29" s="1"/>
  <c r="H39" i="29" s="1"/>
  <c r="H40" i="29" s="1"/>
  <c r="H41" i="29" s="1"/>
  <c r="H42" i="29" s="1"/>
  <c r="H43" i="29" s="1"/>
  <c r="H44" i="29" s="1"/>
  <c r="H45" i="29" s="1"/>
  <c r="H46" i="29" s="1"/>
  <c r="H47" i="29" s="1"/>
  <c r="H48" i="29" s="1"/>
  <c r="H49" i="29" s="1"/>
  <c r="H50" i="29" s="1"/>
  <c r="H51" i="29" s="1"/>
  <c r="H52" i="29" s="1"/>
  <c r="H53" i="29" s="1"/>
  <c r="H54" i="29" s="1"/>
  <c r="H55" i="29" s="1"/>
  <c r="H56" i="29" s="1"/>
  <c r="H57" i="29" s="1"/>
  <c r="H58" i="29" s="1"/>
  <c r="H59" i="29" s="1"/>
  <c r="H60" i="29" s="1"/>
  <c r="H61" i="29" s="1"/>
  <c r="H62" i="29" s="1"/>
  <c r="H63" i="29" s="1"/>
  <c r="H64" i="29" s="1"/>
  <c r="H65" i="29" s="1"/>
  <c r="H66" i="29" s="1"/>
  <c r="H67" i="29" s="1"/>
  <c r="H68" i="29" s="1"/>
  <c r="H69" i="29" s="1"/>
  <c r="H70" i="29" s="1"/>
  <c r="H71" i="29" s="1"/>
  <c r="H72" i="29" s="1"/>
  <c r="H73" i="29" s="1"/>
  <c r="H74" i="29" s="1"/>
  <c r="H75" i="29" s="1"/>
  <c r="H76" i="29" s="1"/>
  <c r="H77" i="29" s="1"/>
  <c r="H78" i="29" s="1"/>
  <c r="H79" i="29" s="1"/>
  <c r="H80" i="29" s="1"/>
  <c r="H81" i="29" s="1"/>
  <c r="H82" i="29" s="1"/>
  <c r="H83" i="29" s="1"/>
  <c r="H84" i="29" s="1"/>
  <c r="H85" i="29" s="1"/>
  <c r="H86" i="29" s="1"/>
  <c r="H87" i="29" s="1"/>
  <c r="H88" i="29" s="1"/>
  <c r="H89" i="29" s="1"/>
  <c r="H90" i="29" s="1"/>
  <c r="H91" i="29" s="1"/>
  <c r="H92" i="29" s="1"/>
  <c r="H93" i="29" s="1"/>
  <c r="H94" i="29" s="1"/>
  <c r="H95" i="29" s="1"/>
  <c r="H96" i="29" s="1"/>
  <c r="H97" i="29" s="1"/>
  <c r="H98" i="29" s="1"/>
  <c r="H99" i="29" s="1"/>
  <c r="H100" i="29" s="1"/>
  <c r="H101" i="29" s="1"/>
  <c r="H102" i="29" s="1"/>
  <c r="H103" i="29" s="1"/>
  <c r="H104" i="29" s="1"/>
  <c r="H105" i="29" s="1"/>
  <c r="H106" i="29" s="1"/>
  <c r="H107" i="29" s="1"/>
  <c r="H108" i="29" s="1"/>
  <c r="H109" i="29" s="1"/>
  <c r="H110" i="29" s="1"/>
  <c r="H111" i="29" s="1"/>
  <c r="H112" i="29" s="1"/>
  <c r="H113" i="29" s="1"/>
  <c r="H114" i="29" s="1"/>
  <c r="H115" i="29" s="1"/>
  <c r="H116" i="29" s="1"/>
  <c r="H117" i="29" s="1"/>
  <c r="H118" i="29" s="1"/>
  <c r="H119" i="29" s="1"/>
  <c r="H120" i="29" s="1"/>
  <c r="H121" i="29" s="1"/>
  <c r="H122" i="29" s="1"/>
  <c r="H123" i="29" s="1"/>
  <c r="H124" i="29" s="1"/>
  <c r="H125" i="29" s="1"/>
  <c r="H126" i="29" s="1"/>
  <c r="H127" i="29" s="1"/>
  <c r="H128" i="29" s="1"/>
  <c r="H129" i="29" s="1"/>
  <c r="H130" i="29" s="1"/>
  <c r="H131" i="29" s="1"/>
  <c r="H132" i="29" s="1"/>
  <c r="H133" i="29" s="1"/>
  <c r="H134" i="29" s="1"/>
  <c r="H135" i="29" s="1"/>
  <c r="H136" i="29" s="1"/>
  <c r="H137" i="29" s="1"/>
  <c r="H138" i="29" s="1"/>
  <c r="H139" i="29" s="1"/>
  <c r="H140" i="29" s="1"/>
  <c r="H141" i="29" s="1"/>
  <c r="H142" i="29" s="1"/>
  <c r="H143" i="29" s="1"/>
  <c r="H144" i="29" s="1"/>
  <c r="H145" i="29" s="1"/>
  <c r="H146" i="29" s="1"/>
  <c r="H147" i="29" s="1"/>
  <c r="H148" i="29" s="1"/>
  <c r="H149" i="29" s="1"/>
  <c r="H150" i="29" s="1"/>
  <c r="H151" i="29" s="1"/>
  <c r="H152" i="29" s="1"/>
  <c r="H153" i="29" s="1"/>
  <c r="H154" i="29" s="1"/>
  <c r="H155" i="29" s="1"/>
  <c r="H156" i="29" s="1"/>
  <c r="H157" i="29" s="1"/>
  <c r="H158" i="29" s="1"/>
  <c r="H159" i="29" s="1"/>
  <c r="H160" i="29" s="1"/>
  <c r="H161" i="29" s="1"/>
  <c r="H162" i="29" s="1"/>
  <c r="H163" i="29" s="1"/>
  <c r="H164" i="29" s="1"/>
  <c r="H165" i="29" s="1"/>
  <c r="H166" i="29" s="1"/>
  <c r="H167" i="29" s="1"/>
  <c r="H168" i="29" s="1"/>
  <c r="H169" i="29" s="1"/>
  <c r="H170" i="29" s="1"/>
  <c r="H171" i="29" s="1"/>
  <c r="H172" i="29" s="1"/>
  <c r="H173" i="29" s="1"/>
  <c r="H174" i="29" s="1"/>
  <c r="H175" i="29" s="1"/>
  <c r="H176" i="29" s="1"/>
  <c r="H177" i="29" s="1"/>
  <c r="H178" i="29" s="1"/>
  <c r="H179" i="29" s="1"/>
  <c r="H180" i="29" s="1"/>
  <c r="H181" i="29" s="1"/>
  <c r="H182" i="29" s="1"/>
  <c r="H183" i="29" s="1"/>
  <c r="H184" i="29" s="1"/>
  <c r="H185" i="29" s="1"/>
  <c r="H186" i="29" s="1"/>
  <c r="H187" i="29" s="1"/>
  <c r="H188" i="29" s="1"/>
  <c r="H189" i="29" s="1"/>
  <c r="H190" i="29" s="1"/>
  <c r="H191" i="29" s="1"/>
  <c r="H192" i="29" s="1"/>
  <c r="H193" i="29" s="1"/>
  <c r="H194" i="29" s="1"/>
  <c r="H195" i="29" s="1"/>
  <c r="H196" i="29" s="1"/>
  <c r="H197" i="29" s="1"/>
  <c r="H198" i="29" s="1"/>
  <c r="H199" i="29" s="1"/>
  <c r="H200" i="29" s="1"/>
  <c r="H201" i="29" s="1"/>
  <c r="H202" i="29" s="1"/>
  <c r="H203" i="29" s="1"/>
  <c r="H204" i="29" s="1"/>
  <c r="H205" i="29" s="1"/>
  <c r="H206" i="29" s="1"/>
  <c r="H207" i="29" s="1"/>
  <c r="H208" i="29" s="1"/>
  <c r="H209" i="29" s="1"/>
  <c r="H210" i="29" s="1"/>
  <c r="H211" i="29" s="1"/>
  <c r="H212" i="29" s="1"/>
  <c r="H213" i="29" s="1"/>
  <c r="H214" i="29" s="1"/>
  <c r="H215" i="29" s="1"/>
  <c r="H216" i="29" s="1"/>
  <c r="H217" i="29" s="1"/>
  <c r="H218" i="29" s="1"/>
  <c r="H219" i="29" s="1"/>
  <c r="H220" i="29" s="1"/>
  <c r="H221" i="29" s="1"/>
  <c r="H222" i="29" s="1"/>
  <c r="H223" i="29" s="1"/>
  <c r="H224" i="29" s="1"/>
  <c r="H225" i="29" s="1"/>
  <c r="H226" i="29" s="1"/>
  <c r="H227" i="29" s="1"/>
  <c r="H228" i="29" s="1"/>
  <c r="H229" i="29" s="1"/>
  <c r="H230" i="29" s="1"/>
  <c r="H231" i="29" s="1"/>
  <c r="H232" i="29" s="1"/>
  <c r="H233" i="29" s="1"/>
  <c r="H234" i="29" s="1"/>
  <c r="H235" i="29" s="1"/>
  <c r="H236" i="29" s="1"/>
  <c r="H237" i="29" s="1"/>
  <c r="H238" i="29" s="1"/>
  <c r="H239" i="29" s="1"/>
  <c r="H240" i="29" s="1"/>
  <c r="H241" i="29" s="1"/>
  <c r="H242" i="29" s="1"/>
  <c r="H243" i="29" s="1"/>
  <c r="H244" i="29" s="1"/>
  <c r="H245" i="29" s="1"/>
  <c r="H246" i="29" s="1"/>
  <c r="H247" i="29" s="1"/>
  <c r="H248" i="29" s="1"/>
  <c r="H249" i="29" s="1"/>
  <c r="H250" i="29" s="1"/>
  <c r="H251" i="29" s="1"/>
  <c r="H252" i="29" s="1"/>
  <c r="H253" i="29" s="1"/>
  <c r="H254" i="29" s="1"/>
  <c r="H255" i="29" s="1"/>
  <c r="H256" i="29" s="1"/>
  <c r="H257" i="29" s="1"/>
  <c r="H258" i="29" s="1"/>
  <c r="H259" i="29" s="1"/>
  <c r="H260" i="29" s="1"/>
  <c r="H261" i="29" s="1"/>
  <c r="H262" i="29" s="1"/>
  <c r="H263" i="29" s="1"/>
  <c r="H264" i="29" s="1"/>
  <c r="H265" i="29" s="1"/>
  <c r="H266" i="29" s="1"/>
  <c r="H267" i="29" s="1"/>
  <c r="H268" i="29" s="1"/>
  <c r="H269" i="29" s="1"/>
  <c r="H270" i="29" s="1"/>
  <c r="H271" i="29" s="1"/>
  <c r="H272" i="29" s="1"/>
  <c r="H273" i="29" s="1"/>
  <c r="H274" i="29" s="1"/>
  <c r="H275" i="29" s="1"/>
  <c r="H276" i="29" s="1"/>
  <c r="H277" i="29" s="1"/>
  <c r="H278" i="29" s="1"/>
  <c r="H279" i="29" s="1"/>
  <c r="H280" i="29" s="1"/>
  <c r="H281" i="29" s="1"/>
  <c r="H282" i="29" s="1"/>
  <c r="H283" i="29" s="1"/>
  <c r="H284" i="29" s="1"/>
  <c r="H285" i="29" s="1"/>
  <c r="H286" i="29" s="1"/>
  <c r="H287" i="29" s="1"/>
  <c r="H288" i="29" s="1"/>
  <c r="H289" i="29" s="1"/>
  <c r="H290" i="29" s="1"/>
  <c r="H291" i="29" s="1"/>
  <c r="H292" i="29" s="1"/>
  <c r="H293" i="29" s="1"/>
  <c r="H294" i="29" s="1"/>
  <c r="H295" i="29" s="1"/>
  <c r="H296" i="29" s="1"/>
  <c r="H297" i="29" s="1"/>
  <c r="H298" i="29" s="1"/>
  <c r="H299" i="29" s="1"/>
  <c r="H300" i="29" s="1"/>
  <c r="H301" i="29" s="1"/>
  <c r="H302" i="29" s="1"/>
  <c r="H303" i="29" s="1"/>
  <c r="H304" i="29" s="1"/>
  <c r="H305" i="29" s="1"/>
  <c r="H306" i="29" s="1"/>
  <c r="H307" i="29" s="1"/>
  <c r="H308" i="29" s="1"/>
  <c r="H309" i="29" s="1"/>
  <c r="H310" i="29" s="1"/>
  <c r="H311" i="29" s="1"/>
  <c r="H312" i="29" s="1"/>
  <c r="H313" i="29" s="1"/>
  <c r="H314" i="29" s="1"/>
  <c r="H315" i="29" s="1"/>
  <c r="H316" i="29" s="1"/>
  <c r="H317" i="29" s="1"/>
  <c r="H318" i="29" s="1"/>
  <c r="H319" i="29" s="1"/>
  <c r="H320" i="29" s="1"/>
  <c r="H321" i="29" s="1"/>
  <c r="H322" i="29" s="1"/>
  <c r="H323" i="29" s="1"/>
  <c r="H324" i="29" s="1"/>
  <c r="H325" i="29" s="1"/>
  <c r="H326" i="29" s="1"/>
  <c r="H327" i="29" s="1"/>
  <c r="H328" i="29" s="1"/>
  <c r="H329" i="29" s="1"/>
  <c r="H330" i="29" s="1"/>
  <c r="H331" i="29" s="1"/>
  <c r="H332" i="29" s="1"/>
  <c r="H333" i="29" s="1"/>
  <c r="H334" i="29" s="1"/>
  <c r="H335" i="29" s="1"/>
  <c r="H336" i="29" s="1"/>
  <c r="H337" i="29" s="1"/>
  <c r="H338" i="29" s="1"/>
  <c r="H339" i="29" s="1"/>
  <c r="H340" i="29" s="1"/>
  <c r="H341" i="29" s="1"/>
  <c r="H342" i="29" s="1"/>
  <c r="H343" i="29" s="1"/>
  <c r="H344" i="29" s="1"/>
  <c r="H345" i="29" s="1"/>
  <c r="H346" i="29" s="1"/>
  <c r="H347" i="29" s="1"/>
  <c r="H348" i="29" s="1"/>
  <c r="H349" i="29" s="1"/>
  <c r="H350" i="29" s="1"/>
  <c r="H351" i="29" s="1"/>
  <c r="H352" i="29" s="1"/>
  <c r="H353" i="29" s="1"/>
  <c r="H354" i="29" s="1"/>
  <c r="H355" i="29" s="1"/>
  <c r="H356" i="29" s="1"/>
  <c r="H357" i="29" s="1"/>
  <c r="H358" i="29" s="1"/>
  <c r="H359" i="29" s="1"/>
  <c r="H360" i="29" s="1"/>
  <c r="H361" i="29" s="1"/>
  <c r="H362" i="29" s="1"/>
  <c r="H363" i="29" s="1"/>
  <c r="H364" i="29" s="1"/>
  <c r="H365" i="29" s="1"/>
  <c r="H366" i="29" s="1"/>
  <c r="H367" i="29" s="1"/>
  <c r="H368" i="29" s="1"/>
  <c r="H369" i="29" s="1"/>
  <c r="H370" i="29" s="1"/>
  <c r="H371" i="29" s="1"/>
  <c r="H372" i="29" s="1"/>
  <c r="H373" i="29" s="1"/>
  <c r="H374" i="29" s="1"/>
  <c r="H375" i="29" s="1"/>
  <c r="H376" i="29" s="1"/>
  <c r="H377" i="29" s="1"/>
  <c r="H378" i="29" s="1"/>
  <c r="H379" i="29" s="1"/>
  <c r="H380" i="29" s="1"/>
  <c r="H381" i="29" s="1"/>
  <c r="H382" i="29" s="1"/>
  <c r="H383" i="29" s="1"/>
  <c r="H384" i="29" s="1"/>
  <c r="H385" i="29" s="1"/>
  <c r="H386" i="29" s="1"/>
  <c r="H387" i="29" s="1"/>
  <c r="H388" i="29" s="1"/>
  <c r="H389" i="29" s="1"/>
  <c r="H390" i="29" s="1"/>
  <c r="H391" i="29" s="1"/>
  <c r="H392" i="29" s="1"/>
  <c r="H393" i="29" s="1"/>
  <c r="H394" i="29" s="1"/>
  <c r="H395" i="29" s="1"/>
  <c r="H396" i="29" s="1"/>
  <c r="H397" i="29" s="1"/>
  <c r="H398" i="29" s="1"/>
  <c r="H399" i="29" s="1"/>
  <c r="H400" i="29" s="1"/>
  <c r="H401" i="29" s="1"/>
  <c r="H402" i="29" s="1"/>
  <c r="H403" i="29" s="1"/>
  <c r="H404" i="29" s="1"/>
  <c r="H405" i="29" s="1"/>
  <c r="H406" i="29" s="1"/>
  <c r="H407" i="29" s="1"/>
  <c r="H408" i="29" s="1"/>
  <c r="H409" i="29" s="1"/>
  <c r="H410" i="29" s="1"/>
  <c r="H411" i="29" s="1"/>
  <c r="H412" i="29" s="1"/>
  <c r="H413" i="29" s="1"/>
  <c r="H414" i="29" s="1"/>
  <c r="H415" i="29" s="1"/>
  <c r="H416" i="29" s="1"/>
  <c r="H417" i="29" s="1"/>
  <c r="H418" i="29" s="1"/>
  <c r="H419" i="29" s="1"/>
  <c r="H420" i="29" s="1"/>
  <c r="H421" i="29" s="1"/>
  <c r="H422" i="29" s="1"/>
  <c r="H423" i="29" s="1"/>
  <c r="H424" i="29" s="1"/>
  <c r="H425" i="29" s="1"/>
  <c r="H426" i="29" s="1"/>
  <c r="H427" i="29" s="1"/>
  <c r="H428" i="29" s="1"/>
  <c r="H429" i="29" s="1"/>
  <c r="H430" i="29" s="1"/>
  <c r="H431" i="29" s="1"/>
  <c r="H432" i="29" s="1"/>
  <c r="H433" i="29" s="1"/>
  <c r="H434" i="29" s="1"/>
  <c r="H435" i="29" s="1"/>
  <c r="H436" i="29" s="1"/>
  <c r="H437" i="29" s="1"/>
  <c r="H438" i="29" s="1"/>
  <c r="H439" i="29" s="1"/>
  <c r="H440" i="29" s="1"/>
  <c r="H441" i="29" s="1"/>
  <c r="H442" i="29" s="1"/>
  <c r="H443" i="29" s="1"/>
  <c r="H444" i="29" s="1"/>
  <c r="H445" i="29" s="1"/>
  <c r="H446" i="29" s="1"/>
  <c r="H447" i="29" s="1"/>
  <c r="H448" i="29" s="1"/>
  <c r="H449" i="29" s="1"/>
  <c r="H450" i="29" s="1"/>
  <c r="H451" i="29" s="1"/>
  <c r="H452" i="29" s="1"/>
  <c r="H453" i="29" s="1"/>
  <c r="H454" i="29" s="1"/>
  <c r="H455" i="29" s="1"/>
  <c r="H456" i="29" s="1"/>
  <c r="H457" i="29" s="1"/>
  <c r="H458" i="29" s="1"/>
  <c r="H459" i="29" s="1"/>
  <c r="H460" i="29" s="1"/>
  <c r="H461" i="29" s="1"/>
  <c r="H462" i="29" s="1"/>
  <c r="H463" i="29" s="1"/>
  <c r="H464" i="29" s="1"/>
  <c r="H465" i="29" s="1"/>
  <c r="H466" i="29" s="1"/>
  <c r="H467" i="29" s="1"/>
  <c r="H468" i="29" s="1"/>
  <c r="H469" i="29" s="1"/>
  <c r="H470" i="29" s="1"/>
  <c r="H471" i="29" s="1"/>
  <c r="H472" i="29" s="1"/>
  <c r="H473" i="29" s="1"/>
  <c r="H474" i="29" s="1"/>
  <c r="H475" i="29" s="1"/>
  <c r="H476" i="29" s="1"/>
  <c r="H477" i="29" s="1"/>
  <c r="H478" i="29" s="1"/>
  <c r="H479" i="29" s="1"/>
  <c r="H480" i="29" s="1"/>
  <c r="H481" i="29" s="1"/>
  <c r="H482" i="29" s="1"/>
  <c r="H483" i="29" s="1"/>
  <c r="H484" i="29" s="1"/>
  <c r="H485" i="29" s="1"/>
  <c r="H486" i="29" s="1"/>
  <c r="H487" i="29" s="1"/>
  <c r="H488" i="29" s="1"/>
  <c r="H489" i="29" s="1"/>
  <c r="H490" i="29" s="1"/>
  <c r="H491" i="29" s="1"/>
  <c r="H492" i="29" s="1"/>
  <c r="H493" i="29" s="1"/>
  <c r="H494" i="29" s="1"/>
  <c r="H495" i="29" s="1"/>
  <c r="H496" i="29" s="1"/>
  <c r="H497" i="29" s="1"/>
  <c r="H498" i="29" s="1"/>
  <c r="H499" i="29" s="1"/>
  <c r="H500" i="29" s="1"/>
  <c r="H501" i="29" s="1"/>
  <c r="H502" i="29" s="1"/>
  <c r="H503" i="29" s="1"/>
  <c r="H504" i="29" s="1"/>
  <c r="H505" i="29" s="1"/>
  <c r="H506" i="29" s="1"/>
  <c r="H507" i="29" s="1"/>
  <c r="H508" i="29" s="1"/>
  <c r="H509" i="29" s="1"/>
  <c r="H510" i="29" s="1"/>
  <c r="H511" i="29" s="1"/>
  <c r="H512" i="29" s="1"/>
  <c r="H513" i="29" s="1"/>
  <c r="H514" i="29" s="1"/>
  <c r="H515" i="29" s="1"/>
  <c r="H516" i="29" s="1"/>
  <c r="H517" i="29" s="1"/>
  <c r="H518" i="29" s="1"/>
  <c r="H519" i="29" s="1"/>
  <c r="H520" i="29" s="1"/>
  <c r="H521" i="29" s="1"/>
  <c r="H522" i="29" s="1"/>
  <c r="H523" i="29" s="1"/>
  <c r="H524" i="29" s="1"/>
  <c r="H525" i="29" s="1"/>
  <c r="H526" i="29" s="1"/>
  <c r="H527" i="29" s="1"/>
  <c r="H528" i="29" s="1"/>
  <c r="H529" i="29" s="1"/>
  <c r="H530" i="29" s="1"/>
  <c r="H531" i="29" s="1"/>
  <c r="H532" i="29" s="1"/>
  <c r="H533" i="29" s="1"/>
  <c r="H534" i="29" s="1"/>
  <c r="H535" i="29" s="1"/>
  <c r="H536" i="29" s="1"/>
  <c r="H537" i="29" s="1"/>
  <c r="H538" i="29" s="1"/>
  <c r="H539" i="29" s="1"/>
  <c r="H540" i="29" s="1"/>
  <c r="H541" i="29" s="1"/>
  <c r="H542" i="29" s="1"/>
  <c r="H543" i="29" s="1"/>
  <c r="H544" i="29" s="1"/>
  <c r="H545" i="29" s="1"/>
  <c r="H546" i="29" s="1"/>
  <c r="H547" i="29" s="1"/>
  <c r="H548" i="29" s="1"/>
  <c r="H549" i="29" s="1"/>
  <c r="H550" i="29" s="1"/>
  <c r="H551" i="29" s="1"/>
  <c r="H552" i="29" s="1"/>
  <c r="H553" i="29" s="1"/>
  <c r="H554" i="29" s="1"/>
  <c r="H555" i="29" s="1"/>
  <c r="H556" i="29" s="1"/>
  <c r="H557" i="29" s="1"/>
  <c r="H558" i="29" s="1"/>
  <c r="H559" i="29" s="1"/>
  <c r="H560" i="29" s="1"/>
  <c r="H561" i="29" s="1"/>
  <c r="H562" i="29" s="1"/>
  <c r="H563" i="29" s="1"/>
  <c r="H564" i="29" s="1"/>
  <c r="H565" i="29" s="1"/>
  <c r="H566" i="29" s="1"/>
  <c r="H567" i="29" s="1"/>
  <c r="H568" i="29" s="1"/>
  <c r="H569" i="29" s="1"/>
  <c r="H570" i="29" s="1"/>
  <c r="H571" i="29" s="1"/>
  <c r="H572" i="29" s="1"/>
  <c r="H573" i="29" s="1"/>
  <c r="H574" i="29" s="1"/>
  <c r="H575" i="29" s="1"/>
  <c r="H576" i="29" s="1"/>
  <c r="H577" i="29" s="1"/>
  <c r="H578" i="29" s="1"/>
  <c r="H579" i="29" s="1"/>
  <c r="H580" i="29" s="1"/>
  <c r="H581" i="29" s="1"/>
  <c r="H582" i="29" s="1"/>
  <c r="H583" i="29" s="1"/>
  <c r="H584" i="29" s="1"/>
  <c r="H585" i="29" s="1"/>
  <c r="H586" i="29" s="1"/>
  <c r="H587" i="29" s="1"/>
  <c r="H588" i="29" s="1"/>
  <c r="H589" i="29" s="1"/>
  <c r="H590" i="29" s="1"/>
  <c r="H591" i="29" s="1"/>
  <c r="H592" i="29" s="1"/>
  <c r="H593" i="29" s="1"/>
  <c r="H594" i="29" s="1"/>
  <c r="H595" i="29" s="1"/>
  <c r="H596" i="29" s="1"/>
  <c r="H597" i="29" s="1"/>
  <c r="H598" i="29" s="1"/>
  <c r="H599" i="29" s="1"/>
  <c r="H600" i="29" s="1"/>
  <c r="H601" i="29" s="1"/>
  <c r="H602" i="29" s="1"/>
  <c r="H603" i="29" s="1"/>
  <c r="H604" i="29" s="1"/>
  <c r="H605" i="29" s="1"/>
  <c r="H606" i="29" s="1"/>
  <c r="H607" i="29" s="1"/>
  <c r="H608" i="29" s="1"/>
  <c r="H609" i="29" s="1"/>
  <c r="H610" i="29" s="1"/>
  <c r="H611" i="29" s="1"/>
  <c r="H612" i="29" s="1"/>
  <c r="H613" i="29" s="1"/>
  <c r="H614" i="29" s="1"/>
  <c r="H615" i="29" s="1"/>
  <c r="H616" i="29" s="1"/>
  <c r="H617" i="29" s="1"/>
  <c r="H618" i="29" s="1"/>
  <c r="H619" i="29" s="1"/>
  <c r="H620" i="29" s="1"/>
  <c r="H621" i="29" s="1"/>
  <c r="H622" i="29" s="1"/>
  <c r="H623" i="29" s="1"/>
  <c r="H624" i="29" s="1"/>
  <c r="H625" i="29" s="1"/>
  <c r="H626" i="29" s="1"/>
  <c r="H627" i="29" s="1"/>
  <c r="H628" i="29" s="1"/>
  <c r="H629" i="29" s="1"/>
  <c r="H630" i="29" s="1"/>
  <c r="H631" i="29" s="1"/>
  <c r="H632" i="29" s="1"/>
  <c r="H633" i="29" s="1"/>
  <c r="H634" i="29" s="1"/>
  <c r="H635" i="29" s="1"/>
  <c r="H636" i="29" s="1"/>
  <c r="H637" i="29" s="1"/>
  <c r="H638" i="29" s="1"/>
  <c r="H639" i="29" s="1"/>
  <c r="H640" i="29" s="1"/>
  <c r="H641" i="29" s="1"/>
  <c r="H642" i="29" s="1"/>
  <c r="H643" i="29" s="1"/>
  <c r="H644" i="29" s="1"/>
  <c r="H645" i="29" s="1"/>
  <c r="H646" i="29" s="1"/>
  <c r="H647" i="29" s="1"/>
  <c r="H648" i="29" s="1"/>
  <c r="H649" i="29" s="1"/>
  <c r="H650" i="29" s="1"/>
  <c r="H651" i="29" s="1"/>
  <c r="H652" i="29" s="1"/>
  <c r="H653" i="29" s="1"/>
  <c r="H654" i="29" s="1"/>
  <c r="H655" i="29" s="1"/>
  <c r="H656" i="29" s="1"/>
  <c r="H657" i="29" s="1"/>
  <c r="H658" i="29" s="1"/>
  <c r="H659" i="29" s="1"/>
  <c r="H660" i="29" s="1"/>
  <c r="H661" i="29" s="1"/>
  <c r="H662" i="29" s="1"/>
  <c r="H663" i="29" s="1"/>
  <c r="H664" i="29" s="1"/>
  <c r="H665" i="29" s="1"/>
  <c r="H666" i="29" s="1"/>
  <c r="H667" i="29" s="1"/>
  <c r="H668" i="29" s="1"/>
  <c r="H669" i="29" s="1"/>
  <c r="H670" i="29" s="1"/>
  <c r="H671" i="29" s="1"/>
  <c r="H672" i="29" s="1"/>
  <c r="H673" i="29" s="1"/>
  <c r="H674" i="29" s="1"/>
  <c r="H675" i="29" s="1"/>
  <c r="H676" i="29" s="1"/>
  <c r="H677" i="29" s="1"/>
  <c r="H678" i="29" s="1"/>
  <c r="H679" i="29" s="1"/>
  <c r="H680" i="29" s="1"/>
  <c r="H681" i="29" s="1"/>
  <c r="H682" i="29" s="1"/>
  <c r="H683" i="29" s="1"/>
  <c r="H684" i="29" s="1"/>
  <c r="H685" i="29" s="1"/>
  <c r="H686" i="29" s="1"/>
  <c r="H687" i="29" s="1"/>
  <c r="H688" i="29" s="1"/>
  <c r="H689" i="29" s="1"/>
  <c r="H690" i="29" s="1"/>
  <c r="H691" i="29" s="1"/>
  <c r="H692" i="29" s="1"/>
  <c r="H693" i="29" s="1"/>
  <c r="H694" i="29" s="1"/>
  <c r="H695" i="29" s="1"/>
  <c r="H696" i="29" s="1"/>
  <c r="H697" i="29" s="1"/>
  <c r="H698" i="29" s="1"/>
  <c r="H699" i="29" s="1"/>
  <c r="H700" i="29" s="1"/>
  <c r="H701" i="29" s="1"/>
  <c r="H702" i="29" s="1"/>
  <c r="H703" i="29" s="1"/>
  <c r="H704" i="29" s="1"/>
  <c r="H705" i="29" s="1"/>
  <c r="H706" i="29" s="1"/>
  <c r="H707" i="29" s="1"/>
  <c r="H708" i="29" s="1"/>
  <c r="H709" i="29" s="1"/>
  <c r="H710" i="29" s="1"/>
  <c r="H711" i="29" s="1"/>
  <c r="H712" i="29" s="1"/>
  <c r="H713" i="29" s="1"/>
  <c r="H714" i="29" s="1"/>
  <c r="H715" i="29" s="1"/>
  <c r="H716" i="29" s="1"/>
  <c r="H717" i="29" s="1"/>
  <c r="H718" i="29" s="1"/>
  <c r="H719" i="29" s="1"/>
  <c r="H720" i="29" s="1"/>
  <c r="H721" i="29" s="1"/>
  <c r="H722" i="29" s="1"/>
  <c r="H723" i="29" s="1"/>
  <c r="H724" i="29" s="1"/>
  <c r="H725" i="29" s="1"/>
  <c r="H726" i="29" s="1"/>
  <c r="H727" i="29" s="1"/>
  <c r="H728" i="29" s="1"/>
  <c r="H729" i="29" s="1"/>
  <c r="H730" i="29" s="1"/>
  <c r="H731" i="29" s="1"/>
  <c r="H732" i="29" s="1"/>
  <c r="H733" i="29" s="1"/>
  <c r="H734" i="29" s="1"/>
  <c r="H735" i="29" s="1"/>
  <c r="H736" i="29" s="1"/>
  <c r="H737" i="29" s="1"/>
  <c r="H738" i="29" s="1"/>
  <c r="H739" i="29" s="1"/>
  <c r="H740" i="29" s="1"/>
  <c r="H741" i="29" s="1"/>
  <c r="H742" i="29" s="1"/>
  <c r="H743" i="29" s="1"/>
  <c r="H744" i="29" s="1"/>
  <c r="H745" i="29" s="1"/>
  <c r="H746" i="29" s="1"/>
  <c r="H747" i="29" s="1"/>
  <c r="H748" i="29" s="1"/>
  <c r="H749" i="29" s="1"/>
  <c r="H750" i="29" s="1"/>
  <c r="H751" i="29" s="1"/>
  <c r="H752" i="29" s="1"/>
  <c r="H753" i="29" s="1"/>
  <c r="H754" i="29" s="1"/>
  <c r="H755" i="29" s="1"/>
  <c r="H756" i="29" s="1"/>
  <c r="H757" i="29" s="1"/>
  <c r="H758" i="29" s="1"/>
  <c r="H759" i="29" s="1"/>
  <c r="H760" i="29" s="1"/>
  <c r="H761" i="29" s="1"/>
  <c r="H762" i="29" s="1"/>
  <c r="H763" i="29" s="1"/>
  <c r="H764" i="29" s="1"/>
  <c r="H765" i="29" s="1"/>
  <c r="H766" i="29" s="1"/>
  <c r="H767" i="29" s="1"/>
  <c r="H768" i="29" s="1"/>
  <c r="H769" i="29" s="1"/>
  <c r="H770" i="29" s="1"/>
  <c r="H771" i="29" s="1"/>
  <c r="H772" i="29" s="1"/>
  <c r="H773" i="29" s="1"/>
  <c r="H774" i="29" s="1"/>
  <c r="H775" i="29" s="1"/>
  <c r="H776" i="29" s="1"/>
  <c r="H777" i="29" s="1"/>
  <c r="H778" i="29" s="1"/>
  <c r="H779" i="29" s="1"/>
  <c r="H780" i="29" s="1"/>
  <c r="H781" i="29" s="1"/>
  <c r="H782" i="29" s="1"/>
  <c r="H783" i="29" s="1"/>
  <c r="H784" i="29" s="1"/>
  <c r="H785" i="29" s="1"/>
  <c r="H786" i="29" s="1"/>
  <c r="H787" i="29" s="1"/>
  <c r="H788" i="29" s="1"/>
  <c r="H789" i="29" s="1"/>
  <c r="H790" i="29" s="1"/>
  <c r="H791" i="29" s="1"/>
  <c r="H792" i="29" s="1"/>
  <c r="H793" i="29" s="1"/>
  <c r="H794" i="29" s="1"/>
  <c r="H795" i="29" s="1"/>
  <c r="G796" i="27"/>
  <c r="F796" i="27"/>
  <c r="H9" i="23" s="1"/>
  <c r="G4" i="27"/>
  <c r="F4" i="27"/>
  <c r="I9" i="23" l="1"/>
  <c r="J9" i="23" s="1"/>
  <c r="H7" i="27" s="1"/>
  <c r="H8" i="27" s="1"/>
  <c r="H9" i="27" s="1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H309" i="27" s="1"/>
  <c r="H310" i="27" s="1"/>
  <c r="H311" i="27" s="1"/>
  <c r="H312" i="27" s="1"/>
  <c r="H313" i="27" s="1"/>
  <c r="H314" i="27" s="1"/>
  <c r="H315" i="27" s="1"/>
  <c r="H316" i="27" s="1"/>
  <c r="H317" i="27" s="1"/>
  <c r="H318" i="27" s="1"/>
  <c r="H319" i="27" s="1"/>
  <c r="H320" i="27" s="1"/>
  <c r="H321" i="27" s="1"/>
  <c r="H322" i="27" s="1"/>
  <c r="H323" i="27" s="1"/>
  <c r="H324" i="27" s="1"/>
  <c r="H325" i="27" s="1"/>
  <c r="H326" i="27" s="1"/>
  <c r="H327" i="27" s="1"/>
  <c r="H328" i="27" s="1"/>
  <c r="H329" i="27" s="1"/>
  <c r="H330" i="27" s="1"/>
  <c r="H331" i="27" s="1"/>
  <c r="H332" i="27" s="1"/>
  <c r="H333" i="27" s="1"/>
  <c r="H334" i="27" s="1"/>
  <c r="H335" i="27" s="1"/>
  <c r="H336" i="27" s="1"/>
  <c r="H337" i="27" s="1"/>
  <c r="H338" i="27" s="1"/>
  <c r="H339" i="27" s="1"/>
  <c r="H340" i="27" s="1"/>
  <c r="H341" i="27" s="1"/>
  <c r="H342" i="27" s="1"/>
  <c r="H343" i="27" s="1"/>
  <c r="H344" i="27" s="1"/>
  <c r="H345" i="27" s="1"/>
  <c r="H346" i="27" s="1"/>
  <c r="H347" i="27" s="1"/>
  <c r="H348" i="27" s="1"/>
  <c r="H349" i="27" s="1"/>
  <c r="H350" i="27" s="1"/>
  <c r="H351" i="27" s="1"/>
  <c r="H352" i="27" s="1"/>
  <c r="H353" i="27" s="1"/>
  <c r="H354" i="27" s="1"/>
  <c r="H355" i="27" s="1"/>
  <c r="H356" i="27" s="1"/>
  <c r="H357" i="27" s="1"/>
  <c r="H358" i="27" s="1"/>
  <c r="H359" i="27" s="1"/>
  <c r="H360" i="27" s="1"/>
  <c r="H361" i="27" s="1"/>
  <c r="H362" i="27" s="1"/>
  <c r="H363" i="27" s="1"/>
  <c r="H364" i="27" s="1"/>
  <c r="H365" i="27" s="1"/>
  <c r="H366" i="27" s="1"/>
  <c r="H367" i="27" s="1"/>
  <c r="H368" i="27" s="1"/>
  <c r="H369" i="27" s="1"/>
  <c r="H370" i="27" s="1"/>
  <c r="H371" i="27" s="1"/>
  <c r="H372" i="27" s="1"/>
  <c r="H373" i="27" s="1"/>
  <c r="H374" i="27" s="1"/>
  <c r="H375" i="27" s="1"/>
  <c r="H376" i="27" s="1"/>
  <c r="H377" i="27" s="1"/>
  <c r="H378" i="27" s="1"/>
  <c r="H379" i="27" s="1"/>
  <c r="H380" i="27" s="1"/>
  <c r="H381" i="27" s="1"/>
  <c r="H382" i="27" s="1"/>
  <c r="H383" i="27" s="1"/>
  <c r="H384" i="27" s="1"/>
  <c r="H385" i="27" s="1"/>
  <c r="H386" i="27" s="1"/>
  <c r="H387" i="27" s="1"/>
  <c r="H388" i="27" s="1"/>
  <c r="H389" i="27" s="1"/>
  <c r="H390" i="27" s="1"/>
  <c r="H391" i="27" s="1"/>
  <c r="H392" i="27" s="1"/>
  <c r="H393" i="27" s="1"/>
  <c r="H394" i="27" s="1"/>
  <c r="H395" i="27" s="1"/>
  <c r="H396" i="27" s="1"/>
  <c r="H397" i="27" s="1"/>
  <c r="H398" i="27" s="1"/>
  <c r="H399" i="27" s="1"/>
  <c r="H400" i="27" s="1"/>
  <c r="H401" i="27" s="1"/>
  <c r="H402" i="27" s="1"/>
  <c r="H403" i="27" s="1"/>
  <c r="H404" i="27" s="1"/>
  <c r="H405" i="27" s="1"/>
  <c r="H406" i="27" s="1"/>
  <c r="H407" i="27" s="1"/>
  <c r="H408" i="27" s="1"/>
  <c r="H409" i="27" s="1"/>
  <c r="H410" i="27" s="1"/>
  <c r="H411" i="27" s="1"/>
  <c r="H412" i="27" s="1"/>
  <c r="H413" i="27" s="1"/>
  <c r="H414" i="27" s="1"/>
  <c r="H415" i="27" s="1"/>
  <c r="H416" i="27" s="1"/>
  <c r="H417" i="27" s="1"/>
  <c r="H418" i="27" s="1"/>
  <c r="H419" i="27" s="1"/>
  <c r="H420" i="27" s="1"/>
  <c r="H421" i="27" s="1"/>
  <c r="H422" i="27" s="1"/>
  <c r="H423" i="27" s="1"/>
  <c r="H424" i="27" s="1"/>
  <c r="H425" i="27" s="1"/>
  <c r="H426" i="27" s="1"/>
  <c r="H427" i="27" s="1"/>
  <c r="H428" i="27" s="1"/>
  <c r="H429" i="27" s="1"/>
  <c r="H430" i="27" s="1"/>
  <c r="H431" i="27" s="1"/>
  <c r="H432" i="27" s="1"/>
  <c r="H433" i="27" s="1"/>
  <c r="H434" i="27" s="1"/>
  <c r="H435" i="27" s="1"/>
  <c r="H436" i="27" s="1"/>
  <c r="H437" i="27" s="1"/>
  <c r="H438" i="27" s="1"/>
  <c r="H439" i="27" s="1"/>
  <c r="H440" i="27" s="1"/>
  <c r="H441" i="27" s="1"/>
  <c r="H442" i="27" s="1"/>
  <c r="H443" i="27" s="1"/>
  <c r="H444" i="27" s="1"/>
  <c r="H445" i="27" s="1"/>
  <c r="H446" i="27" s="1"/>
  <c r="H447" i="27" s="1"/>
  <c r="H448" i="27" s="1"/>
  <c r="H449" i="27" s="1"/>
  <c r="H450" i="27" s="1"/>
  <c r="H451" i="27" s="1"/>
  <c r="H452" i="27" s="1"/>
  <c r="H453" i="27" s="1"/>
  <c r="H454" i="27" s="1"/>
  <c r="H455" i="27" s="1"/>
  <c r="H456" i="27" s="1"/>
  <c r="H457" i="27" s="1"/>
  <c r="H458" i="27" s="1"/>
  <c r="H459" i="27" s="1"/>
  <c r="H460" i="27" s="1"/>
  <c r="H461" i="27" s="1"/>
  <c r="H462" i="27" s="1"/>
  <c r="H463" i="27" s="1"/>
  <c r="H464" i="27" s="1"/>
  <c r="H465" i="27" s="1"/>
  <c r="H466" i="27" s="1"/>
  <c r="H467" i="27" s="1"/>
  <c r="H468" i="27" s="1"/>
  <c r="H469" i="27" s="1"/>
  <c r="H470" i="27" s="1"/>
  <c r="H471" i="27" s="1"/>
  <c r="H472" i="27" s="1"/>
  <c r="H473" i="27" s="1"/>
  <c r="H474" i="27" s="1"/>
  <c r="H475" i="27" s="1"/>
  <c r="H476" i="27" s="1"/>
  <c r="H477" i="27" s="1"/>
  <c r="H478" i="27" s="1"/>
  <c r="H479" i="27" s="1"/>
  <c r="H480" i="27" s="1"/>
  <c r="H481" i="27" s="1"/>
  <c r="H482" i="27" s="1"/>
  <c r="H483" i="27" s="1"/>
  <c r="H484" i="27" s="1"/>
  <c r="H485" i="27" s="1"/>
  <c r="H486" i="27" s="1"/>
  <c r="H487" i="27" s="1"/>
  <c r="H488" i="27" s="1"/>
  <c r="H489" i="27" s="1"/>
  <c r="H490" i="27" s="1"/>
  <c r="H491" i="27" s="1"/>
  <c r="H492" i="27" s="1"/>
  <c r="H493" i="27" s="1"/>
  <c r="H494" i="27" s="1"/>
  <c r="H495" i="27" s="1"/>
  <c r="H496" i="27" s="1"/>
  <c r="H497" i="27" s="1"/>
  <c r="H498" i="27" s="1"/>
  <c r="H499" i="27" s="1"/>
  <c r="H500" i="27" s="1"/>
  <c r="H501" i="27" s="1"/>
  <c r="H502" i="27" s="1"/>
  <c r="H503" i="27" s="1"/>
  <c r="H504" i="27" s="1"/>
  <c r="H505" i="27" s="1"/>
  <c r="H506" i="27" s="1"/>
  <c r="H507" i="27" s="1"/>
  <c r="H508" i="27" s="1"/>
  <c r="H509" i="27" s="1"/>
  <c r="H510" i="27" s="1"/>
  <c r="H511" i="27" s="1"/>
  <c r="H512" i="27" s="1"/>
  <c r="H513" i="27" s="1"/>
  <c r="H514" i="27" s="1"/>
  <c r="H515" i="27" s="1"/>
  <c r="H516" i="27" s="1"/>
  <c r="H517" i="27" s="1"/>
  <c r="H518" i="27" s="1"/>
  <c r="H519" i="27" s="1"/>
  <c r="H520" i="27" s="1"/>
  <c r="H521" i="27" s="1"/>
  <c r="H522" i="27" s="1"/>
  <c r="H523" i="27" s="1"/>
  <c r="H524" i="27" s="1"/>
  <c r="H525" i="27" s="1"/>
  <c r="H526" i="27" s="1"/>
  <c r="H527" i="27" s="1"/>
  <c r="H528" i="27" s="1"/>
  <c r="H529" i="27" s="1"/>
  <c r="H530" i="27" s="1"/>
  <c r="H531" i="27" s="1"/>
  <c r="H532" i="27" s="1"/>
  <c r="H533" i="27" s="1"/>
  <c r="H534" i="27" s="1"/>
  <c r="H535" i="27" s="1"/>
  <c r="H536" i="27" s="1"/>
  <c r="H537" i="27" s="1"/>
  <c r="H538" i="27" s="1"/>
  <c r="H539" i="27" s="1"/>
  <c r="H540" i="27" s="1"/>
  <c r="H541" i="27" s="1"/>
  <c r="H542" i="27" s="1"/>
  <c r="H543" i="27" s="1"/>
  <c r="H544" i="27" s="1"/>
  <c r="H545" i="27" s="1"/>
  <c r="H546" i="27" s="1"/>
  <c r="H547" i="27" s="1"/>
  <c r="H548" i="27" s="1"/>
  <c r="H549" i="27" s="1"/>
  <c r="H550" i="27" s="1"/>
  <c r="H551" i="27" s="1"/>
  <c r="H552" i="27" s="1"/>
  <c r="H553" i="27" s="1"/>
  <c r="H554" i="27" s="1"/>
  <c r="H555" i="27" s="1"/>
  <c r="H556" i="27" s="1"/>
  <c r="H557" i="27" s="1"/>
  <c r="H558" i="27" s="1"/>
  <c r="H559" i="27" s="1"/>
  <c r="H560" i="27" s="1"/>
  <c r="H561" i="27" s="1"/>
  <c r="H562" i="27" s="1"/>
  <c r="H563" i="27" s="1"/>
  <c r="H564" i="27" s="1"/>
  <c r="H565" i="27" s="1"/>
  <c r="H566" i="27" s="1"/>
  <c r="H567" i="27" s="1"/>
  <c r="H568" i="27" s="1"/>
  <c r="H569" i="27" s="1"/>
  <c r="H570" i="27" s="1"/>
  <c r="H571" i="27" s="1"/>
  <c r="H572" i="27" s="1"/>
  <c r="H573" i="27" s="1"/>
  <c r="H574" i="27" s="1"/>
  <c r="H575" i="27" s="1"/>
  <c r="H576" i="27" s="1"/>
  <c r="H577" i="27" s="1"/>
  <c r="H578" i="27" s="1"/>
  <c r="H579" i="27" s="1"/>
  <c r="H580" i="27" s="1"/>
  <c r="H581" i="27" s="1"/>
  <c r="H582" i="27" s="1"/>
  <c r="H583" i="27" s="1"/>
  <c r="H584" i="27" s="1"/>
  <c r="H585" i="27" s="1"/>
  <c r="H586" i="27" s="1"/>
  <c r="H587" i="27" s="1"/>
  <c r="H588" i="27" s="1"/>
  <c r="H589" i="27" s="1"/>
  <c r="H590" i="27" s="1"/>
  <c r="H591" i="27" s="1"/>
  <c r="H592" i="27" s="1"/>
  <c r="H593" i="27" s="1"/>
  <c r="H594" i="27" s="1"/>
  <c r="H595" i="27" s="1"/>
  <c r="H596" i="27" s="1"/>
  <c r="H597" i="27" s="1"/>
  <c r="H598" i="27" s="1"/>
  <c r="H599" i="27" s="1"/>
  <c r="H600" i="27" s="1"/>
  <c r="H601" i="27" s="1"/>
  <c r="H602" i="27" s="1"/>
  <c r="H603" i="27" s="1"/>
  <c r="H604" i="27" s="1"/>
  <c r="H605" i="27" s="1"/>
  <c r="H606" i="27" s="1"/>
  <c r="H607" i="27" s="1"/>
  <c r="H608" i="27" s="1"/>
  <c r="H609" i="27" s="1"/>
  <c r="H610" i="27" s="1"/>
  <c r="H611" i="27" s="1"/>
  <c r="H612" i="27" s="1"/>
  <c r="H613" i="27" s="1"/>
  <c r="H614" i="27" s="1"/>
  <c r="H615" i="27" s="1"/>
  <c r="H616" i="27" s="1"/>
  <c r="H617" i="27" s="1"/>
  <c r="H618" i="27" s="1"/>
  <c r="H619" i="27" s="1"/>
  <c r="H620" i="27" s="1"/>
  <c r="H621" i="27" s="1"/>
  <c r="H622" i="27" s="1"/>
  <c r="H623" i="27" s="1"/>
  <c r="H624" i="27" s="1"/>
  <c r="H625" i="27" s="1"/>
  <c r="H626" i="27" s="1"/>
  <c r="H627" i="27" s="1"/>
  <c r="H628" i="27" s="1"/>
  <c r="H629" i="27" s="1"/>
  <c r="H630" i="27" s="1"/>
  <c r="H631" i="27" s="1"/>
  <c r="H632" i="27" s="1"/>
  <c r="H633" i="27" s="1"/>
  <c r="H634" i="27" s="1"/>
  <c r="H635" i="27" s="1"/>
  <c r="H636" i="27" s="1"/>
  <c r="H637" i="27" s="1"/>
  <c r="H638" i="27" s="1"/>
  <c r="H639" i="27" s="1"/>
  <c r="H640" i="27" s="1"/>
  <c r="H641" i="27" s="1"/>
  <c r="H642" i="27" s="1"/>
  <c r="H643" i="27" s="1"/>
  <c r="H644" i="27" s="1"/>
  <c r="H645" i="27" s="1"/>
  <c r="H646" i="27" s="1"/>
  <c r="H647" i="27" s="1"/>
  <c r="H648" i="27" s="1"/>
  <c r="H649" i="27" s="1"/>
  <c r="H650" i="27" s="1"/>
  <c r="H651" i="27" s="1"/>
  <c r="H652" i="27" s="1"/>
  <c r="H653" i="27" s="1"/>
  <c r="H654" i="27" s="1"/>
  <c r="H655" i="27" s="1"/>
  <c r="H656" i="27" s="1"/>
  <c r="H657" i="27" s="1"/>
  <c r="H658" i="27" s="1"/>
  <c r="H659" i="27" s="1"/>
  <c r="H660" i="27" s="1"/>
  <c r="H661" i="27" s="1"/>
  <c r="H662" i="27" s="1"/>
  <c r="H663" i="27" s="1"/>
  <c r="H664" i="27" s="1"/>
  <c r="H665" i="27" s="1"/>
  <c r="H666" i="27" s="1"/>
  <c r="H667" i="27" s="1"/>
  <c r="H668" i="27" s="1"/>
  <c r="H669" i="27" s="1"/>
  <c r="H670" i="27" s="1"/>
  <c r="H671" i="27" s="1"/>
  <c r="H672" i="27" s="1"/>
  <c r="H673" i="27" s="1"/>
  <c r="H674" i="27" s="1"/>
  <c r="H675" i="27" s="1"/>
  <c r="H676" i="27" s="1"/>
  <c r="H677" i="27" s="1"/>
  <c r="H678" i="27" s="1"/>
  <c r="H679" i="27" s="1"/>
  <c r="H680" i="27" s="1"/>
  <c r="H681" i="27" s="1"/>
  <c r="H682" i="27" s="1"/>
  <c r="H683" i="27" s="1"/>
  <c r="H684" i="27" s="1"/>
  <c r="H685" i="27" s="1"/>
  <c r="H686" i="27" s="1"/>
  <c r="H687" i="27" s="1"/>
  <c r="H688" i="27" s="1"/>
  <c r="H689" i="27" s="1"/>
  <c r="H690" i="27" s="1"/>
  <c r="H691" i="27" s="1"/>
  <c r="H692" i="27" s="1"/>
  <c r="H693" i="27" s="1"/>
  <c r="H694" i="27" s="1"/>
  <c r="H695" i="27" s="1"/>
  <c r="H696" i="27" s="1"/>
  <c r="H697" i="27" s="1"/>
  <c r="H698" i="27" s="1"/>
  <c r="H699" i="27" s="1"/>
  <c r="H700" i="27" s="1"/>
  <c r="H701" i="27" s="1"/>
  <c r="H702" i="27" s="1"/>
  <c r="H703" i="27" s="1"/>
  <c r="H704" i="27" s="1"/>
  <c r="H705" i="27" s="1"/>
  <c r="H706" i="27" s="1"/>
  <c r="H707" i="27" s="1"/>
  <c r="H708" i="27" s="1"/>
  <c r="H709" i="27" s="1"/>
  <c r="H710" i="27" s="1"/>
  <c r="H711" i="27" s="1"/>
  <c r="H712" i="27" s="1"/>
  <c r="H713" i="27" s="1"/>
  <c r="H714" i="27" s="1"/>
  <c r="H715" i="27" s="1"/>
  <c r="H716" i="27" s="1"/>
  <c r="H717" i="27" s="1"/>
  <c r="H718" i="27" s="1"/>
  <c r="H719" i="27" s="1"/>
  <c r="H720" i="27" s="1"/>
  <c r="H721" i="27" s="1"/>
  <c r="H722" i="27" s="1"/>
  <c r="H723" i="27" s="1"/>
  <c r="H724" i="27" s="1"/>
  <c r="H725" i="27" s="1"/>
  <c r="H726" i="27" s="1"/>
  <c r="H727" i="27" s="1"/>
  <c r="H728" i="27" s="1"/>
  <c r="H729" i="27" s="1"/>
  <c r="H730" i="27" s="1"/>
  <c r="H731" i="27" s="1"/>
  <c r="H732" i="27" s="1"/>
  <c r="H733" i="27" s="1"/>
  <c r="H734" i="27" s="1"/>
  <c r="H735" i="27" s="1"/>
  <c r="H736" i="27" s="1"/>
  <c r="H737" i="27" s="1"/>
  <c r="H738" i="27" s="1"/>
  <c r="H739" i="27" s="1"/>
  <c r="H740" i="27" s="1"/>
  <c r="H741" i="27" s="1"/>
  <c r="H742" i="27" s="1"/>
  <c r="H743" i="27" s="1"/>
  <c r="H744" i="27" s="1"/>
  <c r="H745" i="27" s="1"/>
  <c r="H746" i="27" s="1"/>
  <c r="H747" i="27" s="1"/>
  <c r="H748" i="27" s="1"/>
  <c r="H749" i="27" s="1"/>
  <c r="H750" i="27" s="1"/>
  <c r="H751" i="27" s="1"/>
  <c r="H752" i="27" s="1"/>
  <c r="H753" i="27" s="1"/>
  <c r="H754" i="27" s="1"/>
  <c r="H755" i="27" s="1"/>
  <c r="H756" i="27" s="1"/>
  <c r="H757" i="27" s="1"/>
  <c r="H758" i="27" s="1"/>
  <c r="H759" i="27" s="1"/>
  <c r="H760" i="27" s="1"/>
  <c r="H761" i="27" s="1"/>
  <c r="H762" i="27" s="1"/>
  <c r="H763" i="27" s="1"/>
  <c r="H764" i="27" s="1"/>
  <c r="H765" i="27" s="1"/>
  <c r="H766" i="27" s="1"/>
  <c r="H767" i="27" s="1"/>
  <c r="H768" i="27" s="1"/>
  <c r="H769" i="27" s="1"/>
  <c r="H770" i="27" s="1"/>
  <c r="H771" i="27" s="1"/>
  <c r="H772" i="27" s="1"/>
  <c r="H773" i="27" s="1"/>
  <c r="H774" i="27" s="1"/>
  <c r="H775" i="27" s="1"/>
  <c r="H776" i="27" s="1"/>
  <c r="H777" i="27" s="1"/>
  <c r="H778" i="27" s="1"/>
  <c r="H779" i="27" s="1"/>
  <c r="H780" i="27" s="1"/>
  <c r="H781" i="27" s="1"/>
  <c r="H782" i="27" s="1"/>
  <c r="H783" i="27" s="1"/>
  <c r="H784" i="27" s="1"/>
  <c r="H785" i="27" s="1"/>
  <c r="H786" i="27" s="1"/>
  <c r="H787" i="27" s="1"/>
  <c r="H788" i="27" s="1"/>
  <c r="H789" i="27" s="1"/>
  <c r="H790" i="27" s="1"/>
  <c r="H791" i="27" s="1"/>
  <c r="H792" i="27" s="1"/>
  <c r="H793" i="27" s="1"/>
  <c r="H794" i="27" s="1"/>
  <c r="H795" i="27" s="1"/>
  <c r="J15" i="23" l="1"/>
  <c r="B11" i="7" s="1"/>
  <c r="C26" i="35" s="1"/>
  <c r="D11" i="25"/>
  <c r="D10" i="25"/>
  <c r="D9" i="25"/>
  <c r="D8" i="25"/>
  <c r="D7" i="25"/>
  <c r="F38" i="23"/>
  <c r="G38" i="23"/>
  <c r="S35" i="25"/>
  <c r="T35" i="25" s="1"/>
  <c r="S36" i="25"/>
  <c r="T36" i="25"/>
  <c r="S37" i="25"/>
  <c r="T37" i="25"/>
  <c r="S38" i="25"/>
  <c r="T38" i="25"/>
  <c r="S39" i="25"/>
  <c r="T39" i="25"/>
  <c r="S40" i="25"/>
  <c r="T40" i="25" s="1"/>
  <c r="S41" i="25"/>
  <c r="T41" i="25"/>
  <c r="S34" i="25"/>
  <c r="T34" i="25" s="1"/>
  <c r="S18" i="25"/>
  <c r="T18" i="25" s="1"/>
  <c r="S19" i="25"/>
  <c r="T19" i="25"/>
  <c r="S20" i="25"/>
  <c r="T20" i="25" s="1"/>
  <c r="S21" i="25"/>
  <c r="T21" i="25" s="1"/>
  <c r="S22" i="25"/>
  <c r="T22" i="25" s="1"/>
  <c r="S23" i="25"/>
  <c r="T23" i="25" s="1"/>
  <c r="S24" i="25"/>
  <c r="T24" i="25" s="1"/>
  <c r="S25" i="25"/>
  <c r="T25" i="25" s="1"/>
  <c r="S26" i="25"/>
  <c r="T26" i="25" s="1"/>
  <c r="S27" i="25"/>
  <c r="T27" i="25" s="1"/>
  <c r="S28" i="25"/>
  <c r="T28" i="25" s="1"/>
  <c r="S29" i="25"/>
  <c r="T29" i="25" s="1"/>
  <c r="U29" i="25" s="1"/>
  <c r="S30" i="25"/>
  <c r="T30" i="25" s="1"/>
  <c r="S17" i="25"/>
  <c r="T17" i="25" s="1"/>
  <c r="S7" i="25"/>
  <c r="T7" i="25" s="1"/>
  <c r="S8" i="25"/>
  <c r="T8" i="25" s="1"/>
  <c r="S9" i="25"/>
  <c r="T9" i="25" s="1"/>
  <c r="S10" i="25"/>
  <c r="T10" i="25" s="1"/>
  <c r="S11" i="25"/>
  <c r="T11" i="25" s="1"/>
  <c r="S12" i="25"/>
  <c r="T12" i="25" s="1"/>
  <c r="S13" i="25"/>
  <c r="T13" i="25" s="1"/>
  <c r="S6" i="25"/>
  <c r="T6" i="25" s="1"/>
  <c r="D41" i="25"/>
  <c r="D40" i="25"/>
  <c r="D39" i="25"/>
  <c r="D38" i="25"/>
  <c r="D37" i="25"/>
  <c r="D36" i="25"/>
  <c r="D35" i="25"/>
  <c r="D34" i="25"/>
  <c r="D22" i="25"/>
  <c r="D21" i="25"/>
  <c r="D20" i="25"/>
  <c r="D19" i="25"/>
  <c r="D18" i="25"/>
  <c r="D6" i="25"/>
  <c r="S47" i="25"/>
  <c r="T47" i="25" s="1"/>
  <c r="S48" i="25"/>
  <c r="T48" i="25" s="1"/>
  <c r="S49" i="25"/>
  <c r="T49" i="25" s="1"/>
  <c r="S50" i="25"/>
  <c r="T50" i="25" s="1"/>
  <c r="S51" i="25"/>
  <c r="T51" i="25" s="1"/>
  <c r="S52" i="25"/>
  <c r="T52" i="25" s="1"/>
  <c r="S53" i="25"/>
  <c r="T53" i="25" s="1"/>
  <c r="S54" i="25"/>
  <c r="T54" i="25"/>
  <c r="S55" i="25"/>
  <c r="T55" i="25" s="1"/>
  <c r="S56" i="25"/>
  <c r="T56" i="25" s="1"/>
  <c r="S57" i="25"/>
  <c r="T57" i="25" s="1"/>
  <c r="S58" i="25"/>
  <c r="T58" i="25" s="1"/>
  <c r="S59" i="25"/>
  <c r="T59" i="25" s="1"/>
  <c r="S60" i="25"/>
  <c r="T60" i="25" s="1"/>
  <c r="S61" i="25"/>
  <c r="T61" i="25" s="1"/>
  <c r="S62" i="25"/>
  <c r="T62" i="25" s="1"/>
  <c r="S63" i="25"/>
  <c r="T63" i="25" s="1"/>
  <c r="S64" i="25"/>
  <c r="T64" i="25" s="1"/>
  <c r="S65" i="25"/>
  <c r="T65" i="25" s="1"/>
  <c r="S66" i="25"/>
  <c r="T66" i="25" s="1"/>
  <c r="S67" i="25"/>
  <c r="T67" i="25" s="1"/>
  <c r="S68" i="25"/>
  <c r="T68" i="25" s="1"/>
  <c r="S69" i="25"/>
  <c r="T69" i="25" s="1"/>
  <c r="S70" i="25"/>
  <c r="T70" i="25"/>
  <c r="S71" i="25"/>
  <c r="T71" i="25" s="1"/>
  <c r="S72" i="25"/>
  <c r="T72" i="25" s="1"/>
  <c r="S73" i="25"/>
  <c r="T73" i="25" s="1"/>
  <c r="S74" i="25"/>
  <c r="T74" i="25" s="1"/>
  <c r="S75" i="25"/>
  <c r="T75" i="25" s="1"/>
  <c r="S76" i="25"/>
  <c r="T76" i="25" s="1"/>
  <c r="S77" i="25"/>
  <c r="T77" i="25" s="1"/>
  <c r="S78" i="25"/>
  <c r="T78" i="25" s="1"/>
  <c r="S79" i="25"/>
  <c r="T79" i="25" s="1"/>
  <c r="S80" i="25"/>
  <c r="T80" i="25" s="1"/>
  <c r="S81" i="25"/>
  <c r="T81" i="25" s="1"/>
  <c r="S46" i="25"/>
  <c r="T46" i="25" s="1"/>
  <c r="S45" i="25"/>
  <c r="T45" i="25" s="1"/>
  <c r="U45" i="25" s="1"/>
  <c r="J37" i="20" l="1"/>
  <c r="J86" i="20"/>
  <c r="J61" i="20"/>
  <c r="J45" i="20"/>
  <c r="C7" i="35" l="1"/>
  <c r="G1435" i="26"/>
  <c r="F1435" i="26"/>
  <c r="G2047" i="20"/>
  <c r="I11" i="23" s="1"/>
  <c r="F2047" i="20"/>
  <c r="H11" i="23" s="1"/>
  <c r="G1437" i="10"/>
  <c r="I8" i="23" s="1"/>
  <c r="F1437" i="10"/>
  <c r="H8" i="23" s="1"/>
  <c r="G1578" i="1"/>
  <c r="I7" i="23" s="1"/>
  <c r="F1578" i="1"/>
  <c r="H7" i="23" s="1"/>
  <c r="J8" i="23" l="1"/>
  <c r="J11" i="23"/>
  <c r="J17" i="23"/>
  <c r="B13" i="7" s="1"/>
  <c r="C28" i="35" s="1"/>
  <c r="J14" i="23"/>
  <c r="B10" i="7" s="1"/>
  <c r="C25" i="35" s="1"/>
  <c r="K18" i="23" l="1"/>
  <c r="J16" i="23"/>
  <c r="B12" i="7" s="1"/>
  <c r="C27" i="35" s="1"/>
  <c r="J13" i="23"/>
  <c r="B9" i="7" s="1"/>
  <c r="C24" i="35" l="1"/>
  <c r="C18" i="31"/>
  <c r="G8" i="7"/>
  <c r="C34" i="35" l="1"/>
  <c r="G10" i="31"/>
  <c r="J7" i="23"/>
  <c r="B7" i="7" l="1"/>
  <c r="C7" i="31" s="1"/>
  <c r="H34" i="23"/>
  <c r="J34" i="23" s="1"/>
  <c r="C22" i="35" l="1"/>
  <c r="G31" i="28"/>
  <c r="D66" i="25"/>
  <c r="D65" i="25"/>
  <c r="D64" i="25"/>
  <c r="D63" i="25"/>
  <c r="D62" i="25"/>
  <c r="D61" i="25"/>
  <c r="D60" i="25"/>
  <c r="D59" i="25"/>
  <c r="D58" i="25"/>
  <c r="D57" i="25"/>
  <c r="U56" i="25"/>
  <c r="D56" i="25"/>
  <c r="U68" i="25"/>
  <c r="D68" i="25"/>
  <c r="D67" i="25"/>
  <c r="D55" i="25"/>
  <c r="D54" i="25"/>
  <c r="D53" i="25"/>
  <c r="D52" i="25"/>
  <c r="D51" i="25"/>
  <c r="D50" i="25"/>
  <c r="D49" i="25"/>
  <c r="D48" i="25"/>
  <c r="D47" i="25"/>
  <c r="D46" i="25"/>
  <c r="U46" i="25" s="1"/>
  <c r="U53" i="25" l="1"/>
  <c r="U57" i="25"/>
  <c r="U61" i="25"/>
  <c r="U65" i="25"/>
  <c r="U67" i="25"/>
  <c r="U63" i="25"/>
  <c r="U59" i="25"/>
  <c r="U55" i="25"/>
  <c r="U51" i="25"/>
  <c r="U47" i="25"/>
  <c r="U48" i="25"/>
  <c r="U50" i="25"/>
  <c r="U52" i="25"/>
  <c r="U54" i="25"/>
  <c r="U58" i="25"/>
  <c r="U60" i="25"/>
  <c r="U62" i="25"/>
  <c r="U64" i="25"/>
  <c r="U66" i="25"/>
  <c r="U49" i="25" l="1"/>
  <c r="D17" i="25" l="1"/>
  <c r="D73" i="25"/>
  <c r="D72" i="25"/>
  <c r="D71" i="25"/>
  <c r="D70" i="25"/>
  <c r="D45" i="25" l="1"/>
  <c r="D69" i="25"/>
  <c r="H29" i="23" l="1"/>
  <c r="J29" i="23" s="1"/>
  <c r="H30" i="23" l="1"/>
  <c r="J30" i="23" s="1"/>
  <c r="B3" i="6" l="1"/>
  <c r="H28" i="23" l="1"/>
  <c r="J28" i="23" s="1"/>
  <c r="Q83" i="25"/>
  <c r="Q42" i="25"/>
  <c r="Q31" i="25"/>
  <c r="Q14" i="25"/>
  <c r="Q86" i="25" l="1"/>
  <c r="M83" i="25" l="1"/>
  <c r="U24" i="25" l="1"/>
  <c r="U23" i="25"/>
  <c r="U17" i="25"/>
  <c r="U25" i="25"/>
  <c r="U22" i="25"/>
  <c r="U20" i="25"/>
  <c r="U19" i="25"/>
  <c r="U21" i="25"/>
  <c r="U18" i="25"/>
  <c r="D25" i="25"/>
  <c r="D24" i="25"/>
  <c r="D23" i="25"/>
  <c r="D76" i="25"/>
  <c r="D75" i="25"/>
  <c r="D74" i="25"/>
  <c r="U73" i="25" l="1"/>
  <c r="U72" i="25"/>
  <c r="U75" i="25"/>
  <c r="U74" i="25"/>
  <c r="U76" i="25" l="1"/>
  <c r="K24" i="23"/>
  <c r="A1" i="24" l="1"/>
  <c r="H8" i="1" l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l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E8" i="6"/>
  <c r="E13" i="6" s="1"/>
  <c r="C3" i="35" l="1"/>
  <c r="G12" i="28"/>
  <c r="G20" i="28"/>
  <c r="G16" i="28"/>
  <c r="J12" i="23"/>
  <c r="H37" i="23"/>
  <c r="J37" i="23" s="1"/>
  <c r="H35" i="23"/>
  <c r="J35" i="23" s="1"/>
  <c r="H33" i="23"/>
  <c r="J33" i="23" s="1"/>
  <c r="H32" i="23"/>
  <c r="J32" i="23" s="1"/>
  <c r="H31" i="23"/>
  <c r="J31" i="23" s="1"/>
  <c r="H7" i="26"/>
  <c r="H8" i="26" s="1"/>
  <c r="G4" i="26"/>
  <c r="F4" i="26"/>
  <c r="B3" i="26"/>
  <c r="B2" i="26"/>
  <c r="B8" i="7" l="1"/>
  <c r="C8" i="31" s="1"/>
  <c r="C20" i="31" s="1"/>
  <c r="H9" i="26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B7" i="24"/>
  <c r="G16" i="7" s="1"/>
  <c r="K23" i="23"/>
  <c r="B9" i="24" s="1"/>
  <c r="G15" i="7" s="1"/>
  <c r="G36" i="31" s="1"/>
  <c r="K22" i="23"/>
  <c r="C5" i="24" s="1"/>
  <c r="G14" i="7" s="1"/>
  <c r="G32" i="31" s="1"/>
  <c r="K21" i="23"/>
  <c r="J19" i="23"/>
  <c r="R83" i="25"/>
  <c r="P83" i="25"/>
  <c r="O83" i="25"/>
  <c r="N83" i="25"/>
  <c r="L83" i="25"/>
  <c r="K83" i="25"/>
  <c r="J83" i="25"/>
  <c r="I83" i="25"/>
  <c r="H83" i="25"/>
  <c r="G83" i="25"/>
  <c r="E83" i="25"/>
  <c r="U82" i="25"/>
  <c r="D82" i="25"/>
  <c r="D81" i="25"/>
  <c r="U81" i="25" s="1"/>
  <c r="D80" i="25"/>
  <c r="D79" i="25"/>
  <c r="D78" i="25"/>
  <c r="D77" i="25"/>
  <c r="R42" i="25"/>
  <c r="P42" i="25"/>
  <c r="O42" i="25"/>
  <c r="N42" i="25"/>
  <c r="M42" i="25"/>
  <c r="L42" i="25"/>
  <c r="K42" i="25"/>
  <c r="J42" i="25"/>
  <c r="I42" i="25"/>
  <c r="H42" i="25"/>
  <c r="G42" i="25"/>
  <c r="E42" i="25"/>
  <c r="U41" i="25"/>
  <c r="U40" i="25"/>
  <c r="U39" i="25"/>
  <c r="U38" i="25"/>
  <c r="U37" i="25"/>
  <c r="U36" i="25"/>
  <c r="U35" i="25"/>
  <c r="T31" i="25"/>
  <c r="S31" i="25"/>
  <c r="R31" i="25"/>
  <c r="P31" i="25"/>
  <c r="O31" i="25"/>
  <c r="N31" i="25"/>
  <c r="M31" i="25"/>
  <c r="L31" i="25"/>
  <c r="K31" i="25"/>
  <c r="J31" i="25"/>
  <c r="I31" i="25"/>
  <c r="H31" i="25"/>
  <c r="G31" i="25"/>
  <c r="E31" i="25"/>
  <c r="U30" i="25"/>
  <c r="D30" i="25"/>
  <c r="D29" i="25"/>
  <c r="U28" i="25"/>
  <c r="D28" i="25"/>
  <c r="U27" i="25"/>
  <c r="D27" i="25"/>
  <c r="U26" i="25"/>
  <c r="D26" i="25"/>
  <c r="R14" i="25"/>
  <c r="P14" i="25"/>
  <c r="O14" i="25"/>
  <c r="N14" i="25"/>
  <c r="M14" i="25"/>
  <c r="L14" i="25"/>
  <c r="K14" i="25"/>
  <c r="J14" i="25"/>
  <c r="I14" i="25"/>
  <c r="H14" i="25"/>
  <c r="G14" i="25"/>
  <c r="E14" i="25"/>
  <c r="U13" i="25"/>
  <c r="U12" i="25"/>
  <c r="U11" i="25"/>
  <c r="U10" i="25"/>
  <c r="U9" i="25"/>
  <c r="U8" i="25"/>
  <c r="U7" i="25"/>
  <c r="H27" i="23"/>
  <c r="J27" i="23" s="1"/>
  <c r="I25" i="23"/>
  <c r="C23" i="35" l="1"/>
  <c r="C14" i="7"/>
  <c r="G26" i="28" s="1"/>
  <c r="U31" i="25"/>
  <c r="C40" i="35" s="1"/>
  <c r="K25" i="23"/>
  <c r="I38" i="23"/>
  <c r="H21" i="26"/>
  <c r="H22" i="26" s="1"/>
  <c r="H23" i="26" s="1"/>
  <c r="H24" i="26" s="1"/>
  <c r="H25" i="26" s="1"/>
  <c r="H26" i="26" s="1"/>
  <c r="G7" i="7"/>
  <c r="G7" i="31" s="1"/>
  <c r="G19" i="31" s="1"/>
  <c r="G29" i="31" s="1"/>
  <c r="S83" i="25"/>
  <c r="U70" i="25"/>
  <c r="U69" i="25"/>
  <c r="U80" i="25"/>
  <c r="G86" i="25"/>
  <c r="P86" i="25"/>
  <c r="H86" i="25"/>
  <c r="J86" i="25"/>
  <c r="O86" i="25"/>
  <c r="M86" i="25"/>
  <c r="E86" i="25"/>
  <c r="N86" i="25"/>
  <c r="U78" i="25"/>
  <c r="K86" i="25"/>
  <c r="L86" i="25"/>
  <c r="I86" i="25"/>
  <c r="R86" i="25"/>
  <c r="U79" i="25"/>
  <c r="S14" i="25"/>
  <c r="F14" i="25"/>
  <c r="F31" i="25"/>
  <c r="U71" i="25"/>
  <c r="F83" i="25"/>
  <c r="F42" i="25"/>
  <c r="B17" i="7" l="1"/>
  <c r="C23" i="31"/>
  <c r="C33" i="35"/>
  <c r="H27" i="26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H46" i="26" s="1"/>
  <c r="H47" i="26" s="1"/>
  <c r="H48" i="26" s="1"/>
  <c r="H49" i="26" s="1"/>
  <c r="H50" i="26" s="1"/>
  <c r="H51" i="26" s="1"/>
  <c r="H52" i="26" s="1"/>
  <c r="H53" i="26" s="1"/>
  <c r="H54" i="26" s="1"/>
  <c r="H55" i="26" s="1"/>
  <c r="H56" i="26" s="1"/>
  <c r="H57" i="26" s="1"/>
  <c r="H58" i="26" s="1"/>
  <c r="H59" i="26" s="1"/>
  <c r="H60" i="26" s="1"/>
  <c r="H61" i="26" s="1"/>
  <c r="H62" i="26" s="1"/>
  <c r="H63" i="26" s="1"/>
  <c r="H64" i="26" s="1"/>
  <c r="H65" i="26" s="1"/>
  <c r="H66" i="26" s="1"/>
  <c r="H67" i="26" s="1"/>
  <c r="H68" i="26" s="1"/>
  <c r="H69" i="26" s="1"/>
  <c r="H70" i="26" s="1"/>
  <c r="H71" i="26" s="1"/>
  <c r="H72" i="26" s="1"/>
  <c r="H73" i="26" s="1"/>
  <c r="H74" i="26" s="1"/>
  <c r="H75" i="26" s="1"/>
  <c r="H76" i="26" s="1"/>
  <c r="H77" i="26" s="1"/>
  <c r="H78" i="26" s="1"/>
  <c r="H79" i="26" s="1"/>
  <c r="H80" i="26" s="1"/>
  <c r="H81" i="26" s="1"/>
  <c r="H82" i="26" s="1"/>
  <c r="H83" i="26" s="1"/>
  <c r="H84" i="26" s="1"/>
  <c r="H85" i="26" s="1"/>
  <c r="H86" i="26" s="1"/>
  <c r="H87" i="26" s="1"/>
  <c r="H88" i="26" s="1"/>
  <c r="H89" i="26" s="1"/>
  <c r="H90" i="26" s="1"/>
  <c r="H91" i="26" s="1"/>
  <c r="H92" i="26" s="1"/>
  <c r="H93" i="26" s="1"/>
  <c r="H94" i="26" s="1"/>
  <c r="H95" i="26" s="1"/>
  <c r="H96" i="26" s="1"/>
  <c r="H97" i="26" s="1"/>
  <c r="H98" i="26" s="1"/>
  <c r="H99" i="26" s="1"/>
  <c r="H100" i="26" s="1"/>
  <c r="H101" i="26" s="1"/>
  <c r="H102" i="26" s="1"/>
  <c r="H103" i="26" s="1"/>
  <c r="H104" i="26" s="1"/>
  <c r="H105" i="26" s="1"/>
  <c r="H106" i="26" s="1"/>
  <c r="H107" i="26" s="1"/>
  <c r="H108" i="26" s="1"/>
  <c r="H109" i="26" s="1"/>
  <c r="H110" i="26" s="1"/>
  <c r="H111" i="26" s="1"/>
  <c r="H112" i="26" s="1"/>
  <c r="H113" i="26" s="1"/>
  <c r="H114" i="26" s="1"/>
  <c r="H115" i="26" s="1"/>
  <c r="H116" i="26" s="1"/>
  <c r="H117" i="26" s="1"/>
  <c r="H118" i="26" s="1"/>
  <c r="H119" i="26" s="1"/>
  <c r="H120" i="26" s="1"/>
  <c r="H121" i="26" s="1"/>
  <c r="H122" i="26" s="1"/>
  <c r="H123" i="26" s="1"/>
  <c r="H124" i="26" s="1"/>
  <c r="H125" i="26" s="1"/>
  <c r="H126" i="26" s="1"/>
  <c r="H127" i="26" s="1"/>
  <c r="H128" i="26" s="1"/>
  <c r="H129" i="26" s="1"/>
  <c r="H130" i="26" s="1"/>
  <c r="H131" i="26" s="1"/>
  <c r="H132" i="26" s="1"/>
  <c r="H133" i="26" s="1"/>
  <c r="H134" i="26" s="1"/>
  <c r="H135" i="26" s="1"/>
  <c r="H136" i="26" s="1"/>
  <c r="H137" i="26" s="1"/>
  <c r="H138" i="26" s="1"/>
  <c r="H139" i="26" s="1"/>
  <c r="H140" i="26" s="1"/>
  <c r="H141" i="26" s="1"/>
  <c r="H142" i="26" s="1"/>
  <c r="H143" i="26" s="1"/>
  <c r="H144" i="26" s="1"/>
  <c r="H145" i="26" s="1"/>
  <c r="H146" i="26" s="1"/>
  <c r="H147" i="26" s="1"/>
  <c r="H148" i="26" s="1"/>
  <c r="H149" i="26" s="1"/>
  <c r="H150" i="26" s="1"/>
  <c r="H151" i="26" s="1"/>
  <c r="H152" i="26" s="1"/>
  <c r="H153" i="26" s="1"/>
  <c r="H154" i="26" s="1"/>
  <c r="H155" i="26" s="1"/>
  <c r="H156" i="26" s="1"/>
  <c r="H157" i="26" s="1"/>
  <c r="H158" i="26" s="1"/>
  <c r="H159" i="26" s="1"/>
  <c r="H160" i="26" s="1"/>
  <c r="H161" i="26" s="1"/>
  <c r="H162" i="26" s="1"/>
  <c r="H163" i="26" s="1"/>
  <c r="H164" i="26" s="1"/>
  <c r="H165" i="26" s="1"/>
  <c r="H166" i="26" s="1"/>
  <c r="H167" i="26" s="1"/>
  <c r="H168" i="26" s="1"/>
  <c r="H169" i="26" s="1"/>
  <c r="H170" i="26" s="1"/>
  <c r="H171" i="26" s="1"/>
  <c r="H172" i="26" s="1"/>
  <c r="H173" i="26" s="1"/>
  <c r="H174" i="26" s="1"/>
  <c r="H175" i="26" s="1"/>
  <c r="H176" i="26" s="1"/>
  <c r="H177" i="26" s="1"/>
  <c r="H178" i="26" s="1"/>
  <c r="H179" i="26" s="1"/>
  <c r="H180" i="26" s="1"/>
  <c r="H181" i="26" s="1"/>
  <c r="H182" i="26" s="1"/>
  <c r="H183" i="26" s="1"/>
  <c r="H184" i="26" s="1"/>
  <c r="H185" i="26" s="1"/>
  <c r="H186" i="26" s="1"/>
  <c r="H187" i="26" s="1"/>
  <c r="H188" i="26" s="1"/>
  <c r="H189" i="26" s="1"/>
  <c r="H190" i="26" s="1"/>
  <c r="H191" i="26" s="1"/>
  <c r="H192" i="26" s="1"/>
  <c r="H193" i="26" s="1"/>
  <c r="H194" i="26" s="1"/>
  <c r="H195" i="26" s="1"/>
  <c r="H196" i="26" s="1"/>
  <c r="H197" i="26" s="1"/>
  <c r="H198" i="26" s="1"/>
  <c r="H199" i="26" s="1"/>
  <c r="H200" i="26" s="1"/>
  <c r="H201" i="26" s="1"/>
  <c r="H202" i="26" s="1"/>
  <c r="H203" i="26" s="1"/>
  <c r="H204" i="26" s="1"/>
  <c r="H205" i="26" s="1"/>
  <c r="H206" i="26" s="1"/>
  <c r="H207" i="26" s="1"/>
  <c r="H208" i="26" s="1"/>
  <c r="H209" i="26" s="1"/>
  <c r="H210" i="26" s="1"/>
  <c r="H211" i="26" s="1"/>
  <c r="H212" i="26" s="1"/>
  <c r="H213" i="26" s="1"/>
  <c r="H214" i="26" s="1"/>
  <c r="H215" i="26" s="1"/>
  <c r="H216" i="26" s="1"/>
  <c r="H217" i="26" s="1"/>
  <c r="H218" i="26" s="1"/>
  <c r="H219" i="26" s="1"/>
  <c r="H220" i="26" s="1"/>
  <c r="H221" i="26" s="1"/>
  <c r="H222" i="26" s="1"/>
  <c r="H223" i="26" s="1"/>
  <c r="H224" i="26" s="1"/>
  <c r="H225" i="26" s="1"/>
  <c r="H226" i="26" s="1"/>
  <c r="H227" i="26" s="1"/>
  <c r="H228" i="26" s="1"/>
  <c r="H229" i="26" s="1"/>
  <c r="H230" i="26" s="1"/>
  <c r="H231" i="26" s="1"/>
  <c r="H232" i="26" s="1"/>
  <c r="H233" i="26" s="1"/>
  <c r="H234" i="26" s="1"/>
  <c r="H235" i="26" s="1"/>
  <c r="H236" i="26" s="1"/>
  <c r="H237" i="26" s="1"/>
  <c r="H238" i="26" s="1"/>
  <c r="H239" i="26" s="1"/>
  <c r="H240" i="26" s="1"/>
  <c r="H241" i="26" s="1"/>
  <c r="H242" i="26" s="1"/>
  <c r="H243" i="26" s="1"/>
  <c r="H244" i="26" s="1"/>
  <c r="H245" i="26" s="1"/>
  <c r="H246" i="26" s="1"/>
  <c r="H247" i="26" s="1"/>
  <c r="H248" i="26" s="1"/>
  <c r="H249" i="26" s="1"/>
  <c r="H250" i="26" s="1"/>
  <c r="H251" i="26" s="1"/>
  <c r="H252" i="26" s="1"/>
  <c r="H253" i="26" s="1"/>
  <c r="H254" i="26" s="1"/>
  <c r="H255" i="26" s="1"/>
  <c r="H256" i="26" s="1"/>
  <c r="H257" i="26" s="1"/>
  <c r="H258" i="26" s="1"/>
  <c r="H259" i="26" s="1"/>
  <c r="H260" i="26" s="1"/>
  <c r="H261" i="26" s="1"/>
  <c r="H262" i="26" s="1"/>
  <c r="H263" i="26" s="1"/>
  <c r="H264" i="26" s="1"/>
  <c r="H265" i="26" s="1"/>
  <c r="H266" i="26" s="1"/>
  <c r="H267" i="26" s="1"/>
  <c r="H268" i="26" s="1"/>
  <c r="H269" i="26" s="1"/>
  <c r="H270" i="26" s="1"/>
  <c r="H271" i="26" s="1"/>
  <c r="H272" i="26" s="1"/>
  <c r="H273" i="26" s="1"/>
  <c r="H274" i="26" s="1"/>
  <c r="H275" i="26" s="1"/>
  <c r="H276" i="26" s="1"/>
  <c r="H277" i="26" s="1"/>
  <c r="H278" i="26" s="1"/>
  <c r="H279" i="26" s="1"/>
  <c r="H280" i="26" s="1"/>
  <c r="H281" i="26" s="1"/>
  <c r="H282" i="26" s="1"/>
  <c r="H283" i="26" s="1"/>
  <c r="H284" i="26" s="1"/>
  <c r="H285" i="26" s="1"/>
  <c r="H286" i="26" s="1"/>
  <c r="H287" i="26" s="1"/>
  <c r="H288" i="26" s="1"/>
  <c r="H289" i="26" s="1"/>
  <c r="H290" i="26" s="1"/>
  <c r="H291" i="26" s="1"/>
  <c r="H292" i="26" s="1"/>
  <c r="H293" i="26" s="1"/>
  <c r="H294" i="26" s="1"/>
  <c r="H295" i="26" s="1"/>
  <c r="H296" i="26" s="1"/>
  <c r="H297" i="26" s="1"/>
  <c r="H298" i="26" s="1"/>
  <c r="H299" i="26" s="1"/>
  <c r="H300" i="26" s="1"/>
  <c r="H301" i="26" s="1"/>
  <c r="H302" i="26" s="1"/>
  <c r="H303" i="26" s="1"/>
  <c r="H304" i="26" s="1"/>
  <c r="H305" i="26" s="1"/>
  <c r="H306" i="26" s="1"/>
  <c r="H307" i="26" s="1"/>
  <c r="H308" i="26" s="1"/>
  <c r="H309" i="26" s="1"/>
  <c r="H310" i="26" s="1"/>
  <c r="H311" i="26" s="1"/>
  <c r="H312" i="26" s="1"/>
  <c r="H313" i="26" s="1"/>
  <c r="H314" i="26" s="1"/>
  <c r="H315" i="26" s="1"/>
  <c r="H316" i="26" s="1"/>
  <c r="H317" i="26" s="1"/>
  <c r="H318" i="26" s="1"/>
  <c r="H319" i="26" s="1"/>
  <c r="H320" i="26" s="1"/>
  <c r="H321" i="26" s="1"/>
  <c r="H322" i="26" s="1"/>
  <c r="H323" i="26" s="1"/>
  <c r="H324" i="26" s="1"/>
  <c r="H325" i="26" s="1"/>
  <c r="H326" i="26" s="1"/>
  <c r="H327" i="26" s="1"/>
  <c r="H328" i="26" s="1"/>
  <c r="H329" i="26" s="1"/>
  <c r="H330" i="26" s="1"/>
  <c r="H331" i="26" s="1"/>
  <c r="H332" i="26" s="1"/>
  <c r="H333" i="26" s="1"/>
  <c r="H334" i="26" s="1"/>
  <c r="H335" i="26" s="1"/>
  <c r="H336" i="26" s="1"/>
  <c r="H337" i="26" s="1"/>
  <c r="H338" i="26" s="1"/>
  <c r="H339" i="26" s="1"/>
  <c r="H340" i="26" s="1"/>
  <c r="H341" i="26" s="1"/>
  <c r="H342" i="26" s="1"/>
  <c r="H343" i="26" s="1"/>
  <c r="H344" i="26" s="1"/>
  <c r="H345" i="26" s="1"/>
  <c r="H346" i="26" s="1"/>
  <c r="H347" i="26" s="1"/>
  <c r="H348" i="26" s="1"/>
  <c r="H349" i="26" s="1"/>
  <c r="H350" i="26" s="1"/>
  <c r="H351" i="26" s="1"/>
  <c r="H352" i="26" s="1"/>
  <c r="H353" i="26" s="1"/>
  <c r="H354" i="26" s="1"/>
  <c r="H355" i="26" s="1"/>
  <c r="H356" i="26" s="1"/>
  <c r="H357" i="26" s="1"/>
  <c r="H358" i="26" s="1"/>
  <c r="H359" i="26" s="1"/>
  <c r="H360" i="26" s="1"/>
  <c r="H361" i="26" s="1"/>
  <c r="H362" i="26" s="1"/>
  <c r="H363" i="26" s="1"/>
  <c r="H364" i="26" s="1"/>
  <c r="H365" i="26" s="1"/>
  <c r="H366" i="26" s="1"/>
  <c r="H367" i="26" s="1"/>
  <c r="H368" i="26" s="1"/>
  <c r="H369" i="26" s="1"/>
  <c r="H370" i="26" s="1"/>
  <c r="H371" i="26" s="1"/>
  <c r="H372" i="26" s="1"/>
  <c r="H373" i="26" s="1"/>
  <c r="H374" i="26" s="1"/>
  <c r="H375" i="26" s="1"/>
  <c r="H376" i="26" s="1"/>
  <c r="H377" i="26" s="1"/>
  <c r="H378" i="26" s="1"/>
  <c r="H379" i="26" s="1"/>
  <c r="H380" i="26" s="1"/>
  <c r="H381" i="26" s="1"/>
  <c r="H382" i="26" s="1"/>
  <c r="H383" i="26" s="1"/>
  <c r="H384" i="26" s="1"/>
  <c r="H385" i="26" s="1"/>
  <c r="H386" i="26" s="1"/>
  <c r="H387" i="26" s="1"/>
  <c r="H388" i="26" s="1"/>
  <c r="H389" i="26" s="1"/>
  <c r="H390" i="26" s="1"/>
  <c r="H391" i="26" s="1"/>
  <c r="H392" i="26" s="1"/>
  <c r="H393" i="26" s="1"/>
  <c r="H394" i="26" s="1"/>
  <c r="H395" i="26" s="1"/>
  <c r="H396" i="26" s="1"/>
  <c r="H397" i="26" s="1"/>
  <c r="H398" i="26" s="1"/>
  <c r="H399" i="26" s="1"/>
  <c r="H400" i="26" s="1"/>
  <c r="H401" i="26" s="1"/>
  <c r="H402" i="26" s="1"/>
  <c r="H403" i="26" s="1"/>
  <c r="H404" i="26" s="1"/>
  <c r="H405" i="26" s="1"/>
  <c r="H406" i="26" s="1"/>
  <c r="H407" i="26" s="1"/>
  <c r="H408" i="26" s="1"/>
  <c r="H409" i="26" s="1"/>
  <c r="H410" i="26" s="1"/>
  <c r="H411" i="26" s="1"/>
  <c r="H412" i="26" s="1"/>
  <c r="H413" i="26" s="1"/>
  <c r="H414" i="26" s="1"/>
  <c r="H415" i="26" s="1"/>
  <c r="H416" i="26" s="1"/>
  <c r="H417" i="26" s="1"/>
  <c r="H418" i="26" s="1"/>
  <c r="H419" i="26" s="1"/>
  <c r="H420" i="26" s="1"/>
  <c r="H421" i="26" s="1"/>
  <c r="H422" i="26" s="1"/>
  <c r="H423" i="26" s="1"/>
  <c r="H424" i="26" s="1"/>
  <c r="H425" i="26" s="1"/>
  <c r="H426" i="26" s="1"/>
  <c r="H427" i="26" s="1"/>
  <c r="H428" i="26" s="1"/>
  <c r="H429" i="26" s="1"/>
  <c r="H430" i="26" s="1"/>
  <c r="H431" i="26" s="1"/>
  <c r="H432" i="26" s="1"/>
  <c r="H433" i="26" s="1"/>
  <c r="H434" i="26" s="1"/>
  <c r="H435" i="26" s="1"/>
  <c r="H436" i="26" s="1"/>
  <c r="H437" i="26" s="1"/>
  <c r="H438" i="26" s="1"/>
  <c r="H439" i="26" s="1"/>
  <c r="H440" i="26" s="1"/>
  <c r="H441" i="26" s="1"/>
  <c r="H442" i="26" s="1"/>
  <c r="H443" i="26" s="1"/>
  <c r="H444" i="26" s="1"/>
  <c r="H445" i="26" s="1"/>
  <c r="H446" i="26" s="1"/>
  <c r="H447" i="26" s="1"/>
  <c r="H448" i="26" s="1"/>
  <c r="H449" i="26" s="1"/>
  <c r="H450" i="26" s="1"/>
  <c r="H451" i="26" s="1"/>
  <c r="H452" i="26" s="1"/>
  <c r="H453" i="26" s="1"/>
  <c r="H454" i="26" s="1"/>
  <c r="H455" i="26" s="1"/>
  <c r="H456" i="26" s="1"/>
  <c r="H457" i="26" s="1"/>
  <c r="H458" i="26" s="1"/>
  <c r="H459" i="26" s="1"/>
  <c r="H460" i="26" s="1"/>
  <c r="H461" i="26" s="1"/>
  <c r="H462" i="26" s="1"/>
  <c r="H463" i="26" s="1"/>
  <c r="H464" i="26" s="1"/>
  <c r="H465" i="26" s="1"/>
  <c r="H466" i="26" s="1"/>
  <c r="H467" i="26" s="1"/>
  <c r="H468" i="26" s="1"/>
  <c r="H469" i="26" s="1"/>
  <c r="H470" i="26" s="1"/>
  <c r="H471" i="26" s="1"/>
  <c r="H472" i="26" s="1"/>
  <c r="H473" i="26" s="1"/>
  <c r="H474" i="26" s="1"/>
  <c r="H475" i="26" s="1"/>
  <c r="H476" i="26" s="1"/>
  <c r="H477" i="26" s="1"/>
  <c r="H478" i="26" s="1"/>
  <c r="H479" i="26" s="1"/>
  <c r="H480" i="26" s="1"/>
  <c r="H481" i="26" s="1"/>
  <c r="H482" i="26" s="1"/>
  <c r="H483" i="26" s="1"/>
  <c r="H484" i="26" s="1"/>
  <c r="H485" i="26" s="1"/>
  <c r="H486" i="26" s="1"/>
  <c r="H487" i="26" s="1"/>
  <c r="H488" i="26" s="1"/>
  <c r="H489" i="26" s="1"/>
  <c r="H490" i="26" s="1"/>
  <c r="H491" i="26" s="1"/>
  <c r="H492" i="26" s="1"/>
  <c r="H493" i="26" s="1"/>
  <c r="H494" i="26" s="1"/>
  <c r="H495" i="26" s="1"/>
  <c r="H496" i="26" s="1"/>
  <c r="H497" i="26" s="1"/>
  <c r="H498" i="26" s="1"/>
  <c r="H499" i="26" s="1"/>
  <c r="H500" i="26" s="1"/>
  <c r="H501" i="26" s="1"/>
  <c r="H502" i="26" s="1"/>
  <c r="H503" i="26" s="1"/>
  <c r="H504" i="26" s="1"/>
  <c r="H505" i="26" s="1"/>
  <c r="H506" i="26" s="1"/>
  <c r="H507" i="26" s="1"/>
  <c r="H508" i="26" s="1"/>
  <c r="H509" i="26" s="1"/>
  <c r="H510" i="26" s="1"/>
  <c r="H511" i="26" s="1"/>
  <c r="H512" i="26" s="1"/>
  <c r="H513" i="26" s="1"/>
  <c r="H514" i="26" s="1"/>
  <c r="H515" i="26" s="1"/>
  <c r="H516" i="26" s="1"/>
  <c r="H517" i="26" s="1"/>
  <c r="H518" i="26" s="1"/>
  <c r="H519" i="26" s="1"/>
  <c r="H520" i="26" s="1"/>
  <c r="H521" i="26" s="1"/>
  <c r="H522" i="26" s="1"/>
  <c r="H523" i="26" s="1"/>
  <c r="H524" i="26" s="1"/>
  <c r="H525" i="26" s="1"/>
  <c r="H526" i="26" s="1"/>
  <c r="H527" i="26" s="1"/>
  <c r="H528" i="26" s="1"/>
  <c r="H529" i="26" s="1"/>
  <c r="H530" i="26" s="1"/>
  <c r="H531" i="26" s="1"/>
  <c r="H532" i="26" s="1"/>
  <c r="H533" i="26" s="1"/>
  <c r="H534" i="26" s="1"/>
  <c r="H535" i="26" s="1"/>
  <c r="H536" i="26" s="1"/>
  <c r="H537" i="26" s="1"/>
  <c r="H538" i="26" s="1"/>
  <c r="H539" i="26" s="1"/>
  <c r="H540" i="26" s="1"/>
  <c r="H541" i="26" s="1"/>
  <c r="H542" i="26" s="1"/>
  <c r="H543" i="26" s="1"/>
  <c r="H544" i="26" s="1"/>
  <c r="H545" i="26" s="1"/>
  <c r="H546" i="26" s="1"/>
  <c r="H547" i="26" s="1"/>
  <c r="H548" i="26" s="1"/>
  <c r="H549" i="26" s="1"/>
  <c r="H550" i="26" s="1"/>
  <c r="H551" i="26" s="1"/>
  <c r="H552" i="26" s="1"/>
  <c r="H553" i="26" s="1"/>
  <c r="H554" i="26" s="1"/>
  <c r="H555" i="26" s="1"/>
  <c r="H556" i="26" s="1"/>
  <c r="H557" i="26" s="1"/>
  <c r="H558" i="26" s="1"/>
  <c r="H559" i="26" s="1"/>
  <c r="H560" i="26" s="1"/>
  <c r="H561" i="26" s="1"/>
  <c r="H562" i="26" s="1"/>
  <c r="H563" i="26" s="1"/>
  <c r="H564" i="26" s="1"/>
  <c r="H565" i="26" s="1"/>
  <c r="H566" i="26" s="1"/>
  <c r="H567" i="26" s="1"/>
  <c r="H568" i="26" s="1"/>
  <c r="H569" i="26" s="1"/>
  <c r="H570" i="26" s="1"/>
  <c r="H571" i="26" s="1"/>
  <c r="H572" i="26" s="1"/>
  <c r="H573" i="26" s="1"/>
  <c r="H574" i="26" s="1"/>
  <c r="H575" i="26" s="1"/>
  <c r="H576" i="26" s="1"/>
  <c r="H577" i="26" s="1"/>
  <c r="H578" i="26" s="1"/>
  <c r="H579" i="26" s="1"/>
  <c r="H580" i="26" s="1"/>
  <c r="H581" i="26" s="1"/>
  <c r="H582" i="26" s="1"/>
  <c r="H583" i="26" s="1"/>
  <c r="H584" i="26" s="1"/>
  <c r="H585" i="26" s="1"/>
  <c r="H586" i="26" s="1"/>
  <c r="H587" i="26" s="1"/>
  <c r="H588" i="26" s="1"/>
  <c r="H589" i="26" s="1"/>
  <c r="H590" i="26" s="1"/>
  <c r="H591" i="26" s="1"/>
  <c r="H592" i="26" s="1"/>
  <c r="H593" i="26" s="1"/>
  <c r="H594" i="26" s="1"/>
  <c r="H595" i="26" s="1"/>
  <c r="H596" i="26" s="1"/>
  <c r="H597" i="26" s="1"/>
  <c r="H598" i="26" s="1"/>
  <c r="H599" i="26" s="1"/>
  <c r="H600" i="26" s="1"/>
  <c r="H601" i="26" s="1"/>
  <c r="H602" i="26" s="1"/>
  <c r="H603" i="26" s="1"/>
  <c r="H604" i="26" s="1"/>
  <c r="H605" i="26" s="1"/>
  <c r="H606" i="26" s="1"/>
  <c r="H607" i="26" s="1"/>
  <c r="H608" i="26" s="1"/>
  <c r="H609" i="26" s="1"/>
  <c r="H610" i="26" s="1"/>
  <c r="H611" i="26" s="1"/>
  <c r="H612" i="26" s="1"/>
  <c r="H613" i="26" s="1"/>
  <c r="H614" i="26" s="1"/>
  <c r="H615" i="26" s="1"/>
  <c r="H616" i="26" s="1"/>
  <c r="H617" i="26" s="1"/>
  <c r="H618" i="26" s="1"/>
  <c r="H619" i="26" s="1"/>
  <c r="H620" i="26" s="1"/>
  <c r="H621" i="26" s="1"/>
  <c r="H622" i="26" s="1"/>
  <c r="H623" i="26" s="1"/>
  <c r="H624" i="26" s="1"/>
  <c r="H625" i="26" s="1"/>
  <c r="H626" i="26" s="1"/>
  <c r="H627" i="26" s="1"/>
  <c r="H628" i="26" s="1"/>
  <c r="H629" i="26" s="1"/>
  <c r="H630" i="26" s="1"/>
  <c r="H631" i="26" s="1"/>
  <c r="H632" i="26" s="1"/>
  <c r="H633" i="26" s="1"/>
  <c r="H634" i="26" s="1"/>
  <c r="H635" i="26" s="1"/>
  <c r="H636" i="26" s="1"/>
  <c r="H637" i="26" s="1"/>
  <c r="H638" i="26" s="1"/>
  <c r="H639" i="26" s="1"/>
  <c r="H640" i="26" s="1"/>
  <c r="H641" i="26" s="1"/>
  <c r="H642" i="26" s="1"/>
  <c r="H643" i="26" s="1"/>
  <c r="H644" i="26" s="1"/>
  <c r="H645" i="26" s="1"/>
  <c r="H646" i="26" s="1"/>
  <c r="H647" i="26" s="1"/>
  <c r="H648" i="26" s="1"/>
  <c r="H649" i="26" s="1"/>
  <c r="H650" i="26" s="1"/>
  <c r="H651" i="26" s="1"/>
  <c r="H652" i="26" s="1"/>
  <c r="H653" i="26" s="1"/>
  <c r="H654" i="26" s="1"/>
  <c r="H655" i="26" s="1"/>
  <c r="H656" i="26" s="1"/>
  <c r="H657" i="26" s="1"/>
  <c r="H658" i="26" s="1"/>
  <c r="H659" i="26" s="1"/>
  <c r="H660" i="26" s="1"/>
  <c r="H661" i="26" s="1"/>
  <c r="H662" i="26" s="1"/>
  <c r="H663" i="26" s="1"/>
  <c r="H664" i="26" s="1"/>
  <c r="H665" i="26" s="1"/>
  <c r="H666" i="26" s="1"/>
  <c r="H667" i="26" s="1"/>
  <c r="H668" i="26" s="1"/>
  <c r="H669" i="26" s="1"/>
  <c r="H670" i="26" s="1"/>
  <c r="H671" i="26" s="1"/>
  <c r="H672" i="26" s="1"/>
  <c r="H673" i="26" s="1"/>
  <c r="H674" i="26" s="1"/>
  <c r="H675" i="26" s="1"/>
  <c r="H676" i="26" s="1"/>
  <c r="H677" i="26" s="1"/>
  <c r="H678" i="26" s="1"/>
  <c r="H679" i="26" s="1"/>
  <c r="H680" i="26" s="1"/>
  <c r="H681" i="26" s="1"/>
  <c r="H682" i="26" s="1"/>
  <c r="H683" i="26" s="1"/>
  <c r="H684" i="26" s="1"/>
  <c r="H685" i="26" s="1"/>
  <c r="H686" i="26" s="1"/>
  <c r="H687" i="26" s="1"/>
  <c r="H688" i="26" s="1"/>
  <c r="H689" i="26" s="1"/>
  <c r="H690" i="26" s="1"/>
  <c r="H691" i="26" s="1"/>
  <c r="H692" i="26" s="1"/>
  <c r="H693" i="26" s="1"/>
  <c r="H694" i="26" s="1"/>
  <c r="H695" i="26" s="1"/>
  <c r="H696" i="26" s="1"/>
  <c r="H697" i="26" s="1"/>
  <c r="H698" i="26" s="1"/>
  <c r="H699" i="26" s="1"/>
  <c r="H700" i="26" s="1"/>
  <c r="H701" i="26" s="1"/>
  <c r="H702" i="26" s="1"/>
  <c r="H703" i="26" s="1"/>
  <c r="H704" i="26" s="1"/>
  <c r="H705" i="26" s="1"/>
  <c r="H706" i="26" s="1"/>
  <c r="H707" i="26" s="1"/>
  <c r="H708" i="26" s="1"/>
  <c r="H709" i="26" s="1"/>
  <c r="H710" i="26" s="1"/>
  <c r="H711" i="26" s="1"/>
  <c r="H712" i="26" s="1"/>
  <c r="H713" i="26" s="1"/>
  <c r="H714" i="26" s="1"/>
  <c r="H715" i="26" s="1"/>
  <c r="H716" i="26" s="1"/>
  <c r="H717" i="26" s="1"/>
  <c r="H718" i="26" s="1"/>
  <c r="H719" i="26" s="1"/>
  <c r="H720" i="26" s="1"/>
  <c r="H721" i="26" s="1"/>
  <c r="H722" i="26" s="1"/>
  <c r="H723" i="26" s="1"/>
  <c r="H724" i="26" s="1"/>
  <c r="H725" i="26" s="1"/>
  <c r="H726" i="26" s="1"/>
  <c r="H727" i="26" s="1"/>
  <c r="H728" i="26" s="1"/>
  <c r="H729" i="26" s="1"/>
  <c r="H730" i="26" s="1"/>
  <c r="H731" i="26" s="1"/>
  <c r="H732" i="26" s="1"/>
  <c r="H733" i="26" s="1"/>
  <c r="H734" i="26" s="1"/>
  <c r="H735" i="26" s="1"/>
  <c r="H736" i="26" s="1"/>
  <c r="H737" i="26" s="1"/>
  <c r="H738" i="26" s="1"/>
  <c r="H739" i="26" s="1"/>
  <c r="H740" i="26" s="1"/>
  <c r="H741" i="26" s="1"/>
  <c r="H742" i="26" s="1"/>
  <c r="H743" i="26" s="1"/>
  <c r="H744" i="26" s="1"/>
  <c r="H745" i="26" s="1"/>
  <c r="H746" i="26" s="1"/>
  <c r="H747" i="26" s="1"/>
  <c r="H748" i="26" s="1"/>
  <c r="H749" i="26" s="1"/>
  <c r="H750" i="26" s="1"/>
  <c r="H751" i="26" s="1"/>
  <c r="H752" i="26" s="1"/>
  <c r="H753" i="26" s="1"/>
  <c r="H754" i="26" s="1"/>
  <c r="H755" i="26" s="1"/>
  <c r="H756" i="26" s="1"/>
  <c r="H757" i="26" s="1"/>
  <c r="H758" i="26" s="1"/>
  <c r="H759" i="26" s="1"/>
  <c r="H760" i="26" s="1"/>
  <c r="H761" i="26" s="1"/>
  <c r="H762" i="26" s="1"/>
  <c r="H763" i="26" s="1"/>
  <c r="H764" i="26" s="1"/>
  <c r="H765" i="26" s="1"/>
  <c r="H766" i="26" s="1"/>
  <c r="H767" i="26" s="1"/>
  <c r="H768" i="26" s="1"/>
  <c r="H769" i="26" s="1"/>
  <c r="H770" i="26" s="1"/>
  <c r="H771" i="26" s="1"/>
  <c r="H772" i="26" s="1"/>
  <c r="H773" i="26" s="1"/>
  <c r="H774" i="26" s="1"/>
  <c r="H775" i="26" s="1"/>
  <c r="H776" i="26" s="1"/>
  <c r="H777" i="26" s="1"/>
  <c r="H778" i="26" s="1"/>
  <c r="H779" i="26" s="1"/>
  <c r="H780" i="26" s="1"/>
  <c r="H781" i="26" s="1"/>
  <c r="H782" i="26" s="1"/>
  <c r="H783" i="26" s="1"/>
  <c r="H784" i="26" s="1"/>
  <c r="H785" i="26" s="1"/>
  <c r="H786" i="26" s="1"/>
  <c r="H787" i="26" s="1"/>
  <c r="H788" i="26" s="1"/>
  <c r="H789" i="26" s="1"/>
  <c r="H790" i="26" s="1"/>
  <c r="H791" i="26" s="1"/>
  <c r="H792" i="26" s="1"/>
  <c r="H793" i="26" s="1"/>
  <c r="H794" i="26" s="1"/>
  <c r="H795" i="26" s="1"/>
  <c r="H796" i="26" s="1"/>
  <c r="H797" i="26" s="1"/>
  <c r="H798" i="26" s="1"/>
  <c r="H799" i="26" s="1"/>
  <c r="H800" i="26" s="1"/>
  <c r="H801" i="26" s="1"/>
  <c r="H802" i="26" s="1"/>
  <c r="H803" i="26" s="1"/>
  <c r="H804" i="26" s="1"/>
  <c r="H805" i="26" s="1"/>
  <c r="H806" i="26" s="1"/>
  <c r="H807" i="26" s="1"/>
  <c r="H808" i="26" s="1"/>
  <c r="H809" i="26" s="1"/>
  <c r="H810" i="26" s="1"/>
  <c r="H811" i="26" s="1"/>
  <c r="H812" i="26" s="1"/>
  <c r="H813" i="26" s="1"/>
  <c r="H814" i="26" s="1"/>
  <c r="H815" i="26" s="1"/>
  <c r="H816" i="26" s="1"/>
  <c r="H817" i="26" s="1"/>
  <c r="H818" i="26" s="1"/>
  <c r="H819" i="26" s="1"/>
  <c r="H820" i="26" s="1"/>
  <c r="H821" i="26" s="1"/>
  <c r="H822" i="26" s="1"/>
  <c r="H823" i="26" s="1"/>
  <c r="H824" i="26" s="1"/>
  <c r="H825" i="26" s="1"/>
  <c r="H826" i="26" s="1"/>
  <c r="H827" i="26" s="1"/>
  <c r="H828" i="26" s="1"/>
  <c r="H829" i="26" s="1"/>
  <c r="H830" i="26" s="1"/>
  <c r="H831" i="26" s="1"/>
  <c r="H832" i="26" s="1"/>
  <c r="H833" i="26" s="1"/>
  <c r="H834" i="26" s="1"/>
  <c r="H835" i="26" s="1"/>
  <c r="H836" i="26" s="1"/>
  <c r="H837" i="26" s="1"/>
  <c r="H838" i="26" s="1"/>
  <c r="H839" i="26" s="1"/>
  <c r="H840" i="26" s="1"/>
  <c r="H841" i="26" s="1"/>
  <c r="H842" i="26" s="1"/>
  <c r="H843" i="26" s="1"/>
  <c r="H844" i="26" s="1"/>
  <c r="H845" i="26" s="1"/>
  <c r="H846" i="26" s="1"/>
  <c r="H847" i="26" s="1"/>
  <c r="H848" i="26" s="1"/>
  <c r="H849" i="26" s="1"/>
  <c r="H850" i="26" s="1"/>
  <c r="H851" i="26" s="1"/>
  <c r="H852" i="26" s="1"/>
  <c r="H853" i="26" s="1"/>
  <c r="H854" i="26" s="1"/>
  <c r="H855" i="26" s="1"/>
  <c r="H856" i="26" s="1"/>
  <c r="H857" i="26" s="1"/>
  <c r="H858" i="26" s="1"/>
  <c r="H859" i="26" s="1"/>
  <c r="H860" i="26" s="1"/>
  <c r="H861" i="26" s="1"/>
  <c r="H862" i="26" s="1"/>
  <c r="H863" i="26" s="1"/>
  <c r="H864" i="26" s="1"/>
  <c r="H865" i="26" s="1"/>
  <c r="H866" i="26" s="1"/>
  <c r="H867" i="26" s="1"/>
  <c r="H868" i="26" s="1"/>
  <c r="H869" i="26" s="1"/>
  <c r="H870" i="26" s="1"/>
  <c r="H871" i="26" s="1"/>
  <c r="H872" i="26" s="1"/>
  <c r="H873" i="26" s="1"/>
  <c r="H874" i="26" s="1"/>
  <c r="H875" i="26" s="1"/>
  <c r="H876" i="26" s="1"/>
  <c r="H877" i="26" s="1"/>
  <c r="H878" i="26" s="1"/>
  <c r="H879" i="26" s="1"/>
  <c r="H880" i="26" s="1"/>
  <c r="H881" i="26" s="1"/>
  <c r="H882" i="26" s="1"/>
  <c r="H883" i="26" s="1"/>
  <c r="H884" i="26" s="1"/>
  <c r="H885" i="26" s="1"/>
  <c r="H886" i="26" s="1"/>
  <c r="H887" i="26" s="1"/>
  <c r="H888" i="26" s="1"/>
  <c r="H889" i="26" s="1"/>
  <c r="H890" i="26" s="1"/>
  <c r="H891" i="26" s="1"/>
  <c r="H892" i="26" s="1"/>
  <c r="H893" i="26" s="1"/>
  <c r="H894" i="26" s="1"/>
  <c r="H895" i="26" s="1"/>
  <c r="H896" i="26" s="1"/>
  <c r="H897" i="26" s="1"/>
  <c r="H898" i="26" s="1"/>
  <c r="H899" i="26" s="1"/>
  <c r="H900" i="26" s="1"/>
  <c r="H901" i="26" s="1"/>
  <c r="H902" i="26" s="1"/>
  <c r="H903" i="26" s="1"/>
  <c r="H904" i="26" s="1"/>
  <c r="H905" i="26" s="1"/>
  <c r="H906" i="26" s="1"/>
  <c r="H907" i="26" s="1"/>
  <c r="H908" i="26" s="1"/>
  <c r="H909" i="26" s="1"/>
  <c r="H910" i="26" s="1"/>
  <c r="H911" i="26" s="1"/>
  <c r="H912" i="26" s="1"/>
  <c r="H913" i="26" s="1"/>
  <c r="H914" i="26" s="1"/>
  <c r="H915" i="26" s="1"/>
  <c r="H916" i="26" s="1"/>
  <c r="H917" i="26" s="1"/>
  <c r="H918" i="26" s="1"/>
  <c r="H919" i="26" s="1"/>
  <c r="H920" i="26" s="1"/>
  <c r="H921" i="26" s="1"/>
  <c r="H922" i="26" s="1"/>
  <c r="H923" i="26" s="1"/>
  <c r="H924" i="26" s="1"/>
  <c r="H925" i="26" s="1"/>
  <c r="H926" i="26" s="1"/>
  <c r="H927" i="26" s="1"/>
  <c r="H928" i="26" s="1"/>
  <c r="H929" i="26" s="1"/>
  <c r="H930" i="26" s="1"/>
  <c r="H931" i="26" s="1"/>
  <c r="H932" i="26" s="1"/>
  <c r="H933" i="26" s="1"/>
  <c r="H934" i="26" s="1"/>
  <c r="H935" i="26" s="1"/>
  <c r="H936" i="26" s="1"/>
  <c r="H937" i="26" s="1"/>
  <c r="H938" i="26" s="1"/>
  <c r="H939" i="26" s="1"/>
  <c r="H940" i="26" s="1"/>
  <c r="H941" i="26" s="1"/>
  <c r="H942" i="26" s="1"/>
  <c r="H943" i="26" s="1"/>
  <c r="H944" i="26" s="1"/>
  <c r="H945" i="26" s="1"/>
  <c r="H946" i="26" s="1"/>
  <c r="H947" i="26" s="1"/>
  <c r="H948" i="26" s="1"/>
  <c r="H949" i="26" s="1"/>
  <c r="H950" i="26" s="1"/>
  <c r="H951" i="26" s="1"/>
  <c r="H952" i="26" s="1"/>
  <c r="H953" i="26" s="1"/>
  <c r="H954" i="26" s="1"/>
  <c r="H955" i="26" s="1"/>
  <c r="H956" i="26" s="1"/>
  <c r="H957" i="26" s="1"/>
  <c r="H958" i="26" s="1"/>
  <c r="H959" i="26" s="1"/>
  <c r="H960" i="26" s="1"/>
  <c r="H961" i="26" s="1"/>
  <c r="H962" i="26" s="1"/>
  <c r="H963" i="26" s="1"/>
  <c r="H964" i="26" s="1"/>
  <c r="H965" i="26" s="1"/>
  <c r="H966" i="26" s="1"/>
  <c r="H967" i="26" s="1"/>
  <c r="H968" i="26" s="1"/>
  <c r="H969" i="26" s="1"/>
  <c r="H970" i="26" s="1"/>
  <c r="H971" i="26" s="1"/>
  <c r="H972" i="26" s="1"/>
  <c r="H973" i="26" s="1"/>
  <c r="H974" i="26" s="1"/>
  <c r="H975" i="26" s="1"/>
  <c r="H976" i="26" s="1"/>
  <c r="H977" i="26" s="1"/>
  <c r="H978" i="26" s="1"/>
  <c r="H979" i="26" s="1"/>
  <c r="H980" i="26" s="1"/>
  <c r="H981" i="26" s="1"/>
  <c r="H982" i="26" s="1"/>
  <c r="H983" i="26" s="1"/>
  <c r="H984" i="26" s="1"/>
  <c r="H985" i="26" s="1"/>
  <c r="H986" i="26" s="1"/>
  <c r="H987" i="26" s="1"/>
  <c r="H988" i="26" s="1"/>
  <c r="H989" i="26" s="1"/>
  <c r="H990" i="26" s="1"/>
  <c r="H991" i="26" s="1"/>
  <c r="H992" i="26" s="1"/>
  <c r="H993" i="26" s="1"/>
  <c r="H994" i="26" s="1"/>
  <c r="H995" i="26" s="1"/>
  <c r="H996" i="26" s="1"/>
  <c r="H997" i="26" s="1"/>
  <c r="H998" i="26" s="1"/>
  <c r="H999" i="26" s="1"/>
  <c r="H1000" i="26" s="1"/>
  <c r="H1001" i="26" s="1"/>
  <c r="H1002" i="26" s="1"/>
  <c r="H1003" i="26" s="1"/>
  <c r="H1004" i="26" s="1"/>
  <c r="H1005" i="26" s="1"/>
  <c r="H1006" i="26" s="1"/>
  <c r="H1007" i="26" s="1"/>
  <c r="H1008" i="26" s="1"/>
  <c r="H1009" i="26" s="1"/>
  <c r="H1010" i="26" s="1"/>
  <c r="H1011" i="26" s="1"/>
  <c r="H1012" i="26" s="1"/>
  <c r="H1013" i="26" s="1"/>
  <c r="H1014" i="26" s="1"/>
  <c r="H1015" i="26" s="1"/>
  <c r="H1016" i="26" s="1"/>
  <c r="H1017" i="26" s="1"/>
  <c r="H1018" i="26" s="1"/>
  <c r="H1019" i="26" s="1"/>
  <c r="H1020" i="26" s="1"/>
  <c r="H1021" i="26" s="1"/>
  <c r="H1022" i="26" s="1"/>
  <c r="H1023" i="26" s="1"/>
  <c r="H1024" i="26" s="1"/>
  <c r="H1025" i="26" s="1"/>
  <c r="H1026" i="26" s="1"/>
  <c r="H1027" i="26" s="1"/>
  <c r="H1028" i="26" s="1"/>
  <c r="H1029" i="26" s="1"/>
  <c r="H1030" i="26" s="1"/>
  <c r="H1031" i="26" s="1"/>
  <c r="H1032" i="26" s="1"/>
  <c r="H1033" i="26" s="1"/>
  <c r="H1034" i="26" s="1"/>
  <c r="H1035" i="26" s="1"/>
  <c r="H1036" i="26" s="1"/>
  <c r="H1037" i="26" s="1"/>
  <c r="H1038" i="26" s="1"/>
  <c r="H1039" i="26" s="1"/>
  <c r="H1040" i="26" s="1"/>
  <c r="H1041" i="26" s="1"/>
  <c r="H1042" i="26" s="1"/>
  <c r="H1043" i="26" s="1"/>
  <c r="H1044" i="26" s="1"/>
  <c r="H1045" i="26" s="1"/>
  <c r="H1046" i="26" s="1"/>
  <c r="H1047" i="26" s="1"/>
  <c r="H1048" i="26" s="1"/>
  <c r="H1049" i="26" s="1"/>
  <c r="H1050" i="26" s="1"/>
  <c r="H1051" i="26" s="1"/>
  <c r="H1052" i="26" s="1"/>
  <c r="H1053" i="26" s="1"/>
  <c r="H1054" i="26" s="1"/>
  <c r="H1055" i="26" s="1"/>
  <c r="H1056" i="26" s="1"/>
  <c r="H1057" i="26" s="1"/>
  <c r="H1058" i="26" s="1"/>
  <c r="H1059" i="26" s="1"/>
  <c r="H1060" i="26" s="1"/>
  <c r="H1061" i="26" s="1"/>
  <c r="H1062" i="26" s="1"/>
  <c r="H1063" i="26" s="1"/>
  <c r="H1064" i="26" s="1"/>
  <c r="H1065" i="26" s="1"/>
  <c r="H1066" i="26" s="1"/>
  <c r="H1067" i="26" s="1"/>
  <c r="H1068" i="26" s="1"/>
  <c r="H1069" i="26" s="1"/>
  <c r="H1070" i="26" s="1"/>
  <c r="H1071" i="26" s="1"/>
  <c r="H1072" i="26" s="1"/>
  <c r="H1073" i="26" s="1"/>
  <c r="H1074" i="26" s="1"/>
  <c r="H1075" i="26" s="1"/>
  <c r="H1076" i="26" s="1"/>
  <c r="H1077" i="26" s="1"/>
  <c r="H1078" i="26" s="1"/>
  <c r="H1079" i="26" s="1"/>
  <c r="H1080" i="26" s="1"/>
  <c r="H1081" i="26" s="1"/>
  <c r="H1082" i="26" s="1"/>
  <c r="H1083" i="26" s="1"/>
  <c r="H1084" i="26" s="1"/>
  <c r="H1085" i="26" s="1"/>
  <c r="H1086" i="26" s="1"/>
  <c r="H1087" i="26" s="1"/>
  <c r="H1088" i="26" s="1"/>
  <c r="H1089" i="26" s="1"/>
  <c r="H1090" i="26" s="1"/>
  <c r="H1091" i="26" s="1"/>
  <c r="H1092" i="26" s="1"/>
  <c r="H1093" i="26" s="1"/>
  <c r="H1094" i="26" s="1"/>
  <c r="H1095" i="26" s="1"/>
  <c r="H1096" i="26" s="1"/>
  <c r="H1097" i="26" s="1"/>
  <c r="H1098" i="26" s="1"/>
  <c r="H1099" i="26" s="1"/>
  <c r="H1100" i="26" s="1"/>
  <c r="H1101" i="26" s="1"/>
  <c r="H1102" i="26" s="1"/>
  <c r="H1103" i="26" s="1"/>
  <c r="H1104" i="26" s="1"/>
  <c r="H1105" i="26" s="1"/>
  <c r="H1106" i="26" s="1"/>
  <c r="H1107" i="26" s="1"/>
  <c r="H1108" i="26" s="1"/>
  <c r="H1109" i="26" s="1"/>
  <c r="H1110" i="26" s="1"/>
  <c r="H1111" i="26" s="1"/>
  <c r="H1112" i="26" s="1"/>
  <c r="H1113" i="26" s="1"/>
  <c r="H1114" i="26" s="1"/>
  <c r="H1115" i="26" s="1"/>
  <c r="H1116" i="26" s="1"/>
  <c r="H1117" i="26" s="1"/>
  <c r="H1118" i="26" s="1"/>
  <c r="H1119" i="26" s="1"/>
  <c r="H1120" i="26" s="1"/>
  <c r="H1121" i="26" s="1"/>
  <c r="H1122" i="26" s="1"/>
  <c r="H1123" i="26" s="1"/>
  <c r="H1124" i="26" s="1"/>
  <c r="H1125" i="26" s="1"/>
  <c r="H1126" i="26" s="1"/>
  <c r="H1127" i="26" s="1"/>
  <c r="H1128" i="26" s="1"/>
  <c r="H1129" i="26" s="1"/>
  <c r="H1130" i="26" s="1"/>
  <c r="H1131" i="26" s="1"/>
  <c r="H1132" i="26" s="1"/>
  <c r="H1133" i="26" s="1"/>
  <c r="H1134" i="26" s="1"/>
  <c r="H1135" i="26" s="1"/>
  <c r="H1136" i="26" s="1"/>
  <c r="H1137" i="26" s="1"/>
  <c r="H1138" i="26" s="1"/>
  <c r="H1139" i="26" s="1"/>
  <c r="H1140" i="26" s="1"/>
  <c r="H1141" i="26" s="1"/>
  <c r="H1142" i="26" s="1"/>
  <c r="H1143" i="26" s="1"/>
  <c r="H1144" i="26" s="1"/>
  <c r="H1145" i="26" s="1"/>
  <c r="H1146" i="26" s="1"/>
  <c r="H1147" i="26" s="1"/>
  <c r="H1148" i="26" s="1"/>
  <c r="H1149" i="26" s="1"/>
  <c r="H1150" i="26" s="1"/>
  <c r="H1151" i="26" s="1"/>
  <c r="H1152" i="26" s="1"/>
  <c r="H1153" i="26" s="1"/>
  <c r="H1154" i="26" s="1"/>
  <c r="H1155" i="26" s="1"/>
  <c r="H1156" i="26" s="1"/>
  <c r="H1157" i="26" s="1"/>
  <c r="H1158" i="26" s="1"/>
  <c r="H1159" i="26" s="1"/>
  <c r="H1160" i="26" s="1"/>
  <c r="H1161" i="26" s="1"/>
  <c r="H1162" i="26" s="1"/>
  <c r="H1163" i="26" s="1"/>
  <c r="H1164" i="26" s="1"/>
  <c r="H1165" i="26" s="1"/>
  <c r="H1166" i="26" s="1"/>
  <c r="H1167" i="26" s="1"/>
  <c r="H1168" i="26" s="1"/>
  <c r="H1169" i="26" s="1"/>
  <c r="H1170" i="26" s="1"/>
  <c r="H1171" i="26" s="1"/>
  <c r="H1172" i="26" s="1"/>
  <c r="H1173" i="26" s="1"/>
  <c r="H1174" i="26" s="1"/>
  <c r="H1175" i="26" s="1"/>
  <c r="H1176" i="26" s="1"/>
  <c r="H1177" i="26" s="1"/>
  <c r="H1178" i="26" s="1"/>
  <c r="H1179" i="26" s="1"/>
  <c r="H1180" i="26" s="1"/>
  <c r="H1181" i="26" s="1"/>
  <c r="H1182" i="26" s="1"/>
  <c r="H1183" i="26" s="1"/>
  <c r="H1184" i="26" s="1"/>
  <c r="H1185" i="26" s="1"/>
  <c r="H1186" i="26" s="1"/>
  <c r="H1187" i="26" s="1"/>
  <c r="H1188" i="26" s="1"/>
  <c r="H1189" i="26" s="1"/>
  <c r="H1190" i="26" s="1"/>
  <c r="H1191" i="26" s="1"/>
  <c r="H1192" i="26" s="1"/>
  <c r="H1193" i="26" s="1"/>
  <c r="H1194" i="26" s="1"/>
  <c r="H1195" i="26" s="1"/>
  <c r="H1196" i="26" s="1"/>
  <c r="H1197" i="26" s="1"/>
  <c r="H1198" i="26" s="1"/>
  <c r="H1199" i="26" s="1"/>
  <c r="H1200" i="26" s="1"/>
  <c r="H1201" i="26" s="1"/>
  <c r="H1202" i="26" s="1"/>
  <c r="H1203" i="26" s="1"/>
  <c r="H1204" i="26" s="1"/>
  <c r="H1205" i="26" s="1"/>
  <c r="H1206" i="26" s="1"/>
  <c r="H1207" i="26" s="1"/>
  <c r="H1208" i="26" s="1"/>
  <c r="H1209" i="26" s="1"/>
  <c r="H1210" i="26" s="1"/>
  <c r="H1211" i="26" s="1"/>
  <c r="H1212" i="26" s="1"/>
  <c r="H1213" i="26" s="1"/>
  <c r="H1214" i="26" s="1"/>
  <c r="H1215" i="26" s="1"/>
  <c r="H1216" i="26" s="1"/>
  <c r="H1217" i="26" s="1"/>
  <c r="H1218" i="26" s="1"/>
  <c r="H1219" i="26" s="1"/>
  <c r="H1220" i="26" s="1"/>
  <c r="H1221" i="26" s="1"/>
  <c r="H1222" i="26" s="1"/>
  <c r="H1223" i="26" s="1"/>
  <c r="H1224" i="26" s="1"/>
  <c r="H1225" i="26" s="1"/>
  <c r="H1226" i="26" s="1"/>
  <c r="H1227" i="26" s="1"/>
  <c r="H1228" i="26" s="1"/>
  <c r="H1229" i="26" s="1"/>
  <c r="H1230" i="26" s="1"/>
  <c r="H1231" i="26" s="1"/>
  <c r="H1232" i="26" s="1"/>
  <c r="H1233" i="26" s="1"/>
  <c r="H1234" i="26" s="1"/>
  <c r="H1235" i="26" s="1"/>
  <c r="H1236" i="26" s="1"/>
  <c r="H1237" i="26" s="1"/>
  <c r="H1238" i="26" s="1"/>
  <c r="H1239" i="26" s="1"/>
  <c r="H1240" i="26" s="1"/>
  <c r="H1241" i="26" s="1"/>
  <c r="H1242" i="26" s="1"/>
  <c r="H1243" i="26" s="1"/>
  <c r="H1244" i="26" s="1"/>
  <c r="H1245" i="26" s="1"/>
  <c r="H1246" i="26" s="1"/>
  <c r="H1247" i="26" s="1"/>
  <c r="H1248" i="26" s="1"/>
  <c r="H1249" i="26" s="1"/>
  <c r="H1250" i="26" s="1"/>
  <c r="H1251" i="26" s="1"/>
  <c r="H1252" i="26" s="1"/>
  <c r="H1253" i="26" s="1"/>
  <c r="H1254" i="26" s="1"/>
  <c r="H1255" i="26" s="1"/>
  <c r="H1256" i="26" s="1"/>
  <c r="H1257" i="26" s="1"/>
  <c r="H1258" i="26" s="1"/>
  <c r="H1259" i="26" s="1"/>
  <c r="H1260" i="26" s="1"/>
  <c r="H1261" i="26" s="1"/>
  <c r="H1262" i="26" s="1"/>
  <c r="H1263" i="26" s="1"/>
  <c r="H1264" i="26" s="1"/>
  <c r="H1265" i="26" s="1"/>
  <c r="H1266" i="26" s="1"/>
  <c r="H1267" i="26" s="1"/>
  <c r="H1268" i="26" s="1"/>
  <c r="H1269" i="26" s="1"/>
  <c r="H1270" i="26" s="1"/>
  <c r="H1271" i="26" s="1"/>
  <c r="H1272" i="26" s="1"/>
  <c r="H1273" i="26" s="1"/>
  <c r="H1274" i="26" s="1"/>
  <c r="H1275" i="26" s="1"/>
  <c r="H1276" i="26" s="1"/>
  <c r="H1277" i="26" s="1"/>
  <c r="H1278" i="26" s="1"/>
  <c r="H1279" i="26" s="1"/>
  <c r="H1280" i="26" s="1"/>
  <c r="H1281" i="26" s="1"/>
  <c r="H1282" i="26" s="1"/>
  <c r="H1283" i="26" s="1"/>
  <c r="H1284" i="26" s="1"/>
  <c r="H1285" i="26" s="1"/>
  <c r="H1286" i="26" s="1"/>
  <c r="H1287" i="26" s="1"/>
  <c r="H1288" i="26" s="1"/>
  <c r="H1289" i="26" s="1"/>
  <c r="H1290" i="26" s="1"/>
  <c r="H1291" i="26" s="1"/>
  <c r="H1292" i="26" s="1"/>
  <c r="H1293" i="26" s="1"/>
  <c r="H1294" i="26" s="1"/>
  <c r="H1295" i="26" s="1"/>
  <c r="H1296" i="26" s="1"/>
  <c r="H1297" i="26" s="1"/>
  <c r="H1298" i="26" s="1"/>
  <c r="H1299" i="26" s="1"/>
  <c r="H1300" i="26" s="1"/>
  <c r="H1301" i="26" s="1"/>
  <c r="H1302" i="26" s="1"/>
  <c r="H1303" i="26" s="1"/>
  <c r="H1304" i="26" s="1"/>
  <c r="H1305" i="26" s="1"/>
  <c r="H1306" i="26" s="1"/>
  <c r="H1307" i="26" s="1"/>
  <c r="H1308" i="26" s="1"/>
  <c r="H1309" i="26" s="1"/>
  <c r="H1310" i="26" s="1"/>
  <c r="H1311" i="26" s="1"/>
  <c r="H1312" i="26" s="1"/>
  <c r="H1313" i="26" s="1"/>
  <c r="H1314" i="26" s="1"/>
  <c r="H1315" i="26" s="1"/>
  <c r="H1316" i="26" s="1"/>
  <c r="H1317" i="26" s="1"/>
  <c r="H1318" i="26" s="1"/>
  <c r="H1319" i="26" s="1"/>
  <c r="H1320" i="26" s="1"/>
  <c r="H1321" i="26" s="1"/>
  <c r="H1322" i="26" s="1"/>
  <c r="H1323" i="26" s="1"/>
  <c r="H1324" i="26" s="1"/>
  <c r="H1325" i="26" s="1"/>
  <c r="H1326" i="26" s="1"/>
  <c r="H1327" i="26" s="1"/>
  <c r="H1328" i="26" s="1"/>
  <c r="H1329" i="26" s="1"/>
  <c r="H1330" i="26" s="1"/>
  <c r="H1331" i="26" s="1"/>
  <c r="H1332" i="26" s="1"/>
  <c r="H1333" i="26" s="1"/>
  <c r="H1334" i="26" s="1"/>
  <c r="H1335" i="26" s="1"/>
  <c r="H1336" i="26" s="1"/>
  <c r="H1337" i="26" s="1"/>
  <c r="H1338" i="26" s="1"/>
  <c r="H1339" i="26" s="1"/>
  <c r="H1340" i="26" s="1"/>
  <c r="H1341" i="26" s="1"/>
  <c r="H1342" i="26" s="1"/>
  <c r="H1343" i="26" s="1"/>
  <c r="H1344" i="26" s="1"/>
  <c r="H1345" i="26" s="1"/>
  <c r="H1346" i="26" s="1"/>
  <c r="H1347" i="26" s="1"/>
  <c r="H1348" i="26" s="1"/>
  <c r="H1349" i="26" s="1"/>
  <c r="H1350" i="26" s="1"/>
  <c r="H1351" i="26" s="1"/>
  <c r="H1352" i="26" s="1"/>
  <c r="H1353" i="26" s="1"/>
  <c r="H1354" i="26" s="1"/>
  <c r="H1355" i="26" s="1"/>
  <c r="H1356" i="26" s="1"/>
  <c r="H1357" i="26" s="1"/>
  <c r="H1358" i="26" s="1"/>
  <c r="H1359" i="26" s="1"/>
  <c r="H1360" i="26" s="1"/>
  <c r="H1361" i="26" s="1"/>
  <c r="H1362" i="26" s="1"/>
  <c r="H1363" i="26" s="1"/>
  <c r="H1364" i="26" s="1"/>
  <c r="H1365" i="26" s="1"/>
  <c r="H1366" i="26" s="1"/>
  <c r="H1367" i="26" s="1"/>
  <c r="H1368" i="26" s="1"/>
  <c r="H1369" i="26" s="1"/>
  <c r="H1370" i="26" s="1"/>
  <c r="H1371" i="26" s="1"/>
  <c r="H1372" i="26" s="1"/>
  <c r="H1373" i="26" s="1"/>
  <c r="H1374" i="26" s="1"/>
  <c r="H1375" i="26" s="1"/>
  <c r="H1376" i="26" s="1"/>
  <c r="H1377" i="26" s="1"/>
  <c r="H1378" i="26" s="1"/>
  <c r="H1379" i="26" s="1"/>
  <c r="H1380" i="26" s="1"/>
  <c r="H1381" i="26" s="1"/>
  <c r="H1382" i="26" s="1"/>
  <c r="H1383" i="26" s="1"/>
  <c r="H1384" i="26" s="1"/>
  <c r="H1385" i="26" s="1"/>
  <c r="H1386" i="26" s="1"/>
  <c r="H1387" i="26" s="1"/>
  <c r="H1388" i="26" s="1"/>
  <c r="H1389" i="26" s="1"/>
  <c r="H1390" i="26" s="1"/>
  <c r="H1391" i="26" s="1"/>
  <c r="H1392" i="26" s="1"/>
  <c r="H1393" i="26" s="1"/>
  <c r="H1394" i="26" s="1"/>
  <c r="H1395" i="26" s="1"/>
  <c r="H1396" i="26" s="1"/>
  <c r="H1397" i="26" s="1"/>
  <c r="H1398" i="26" s="1"/>
  <c r="H1399" i="26" s="1"/>
  <c r="H1400" i="26" s="1"/>
  <c r="H1401" i="26" s="1"/>
  <c r="H1402" i="26" s="1"/>
  <c r="H1403" i="26" s="1"/>
  <c r="H1404" i="26" s="1"/>
  <c r="H1405" i="26" s="1"/>
  <c r="H1406" i="26" s="1"/>
  <c r="H1407" i="26" s="1"/>
  <c r="H1408" i="26" s="1"/>
  <c r="H1409" i="26" s="1"/>
  <c r="H1410" i="26" s="1"/>
  <c r="H1411" i="26" s="1"/>
  <c r="H1412" i="26" s="1"/>
  <c r="H1413" i="26" s="1"/>
  <c r="H1414" i="26" s="1"/>
  <c r="H1415" i="26" s="1"/>
  <c r="H1416" i="26" s="1"/>
  <c r="H1417" i="26" s="1"/>
  <c r="H1418" i="26" s="1"/>
  <c r="H1419" i="26" s="1"/>
  <c r="H1420" i="26" s="1"/>
  <c r="H1421" i="26" s="1"/>
  <c r="H1422" i="26" s="1"/>
  <c r="H1423" i="26" s="1"/>
  <c r="H1424" i="26" s="1"/>
  <c r="H1425" i="26" s="1"/>
  <c r="H1426" i="26" s="1"/>
  <c r="H1427" i="26" s="1"/>
  <c r="H1428" i="26" s="1"/>
  <c r="H1429" i="26" s="1"/>
  <c r="H1430" i="26" s="1"/>
  <c r="H1431" i="26" s="1"/>
  <c r="H1432" i="26" s="1"/>
  <c r="H1433" i="26" s="1"/>
  <c r="H1434" i="26" s="1"/>
  <c r="U77" i="25"/>
  <c r="S42" i="25"/>
  <c r="F86" i="25"/>
  <c r="U6" i="25"/>
  <c r="U14" i="25" s="1"/>
  <c r="C39" i="35" s="1"/>
  <c r="T14" i="25"/>
  <c r="G11" i="28"/>
  <c r="J11" i="28" s="1"/>
  <c r="U83" i="25" l="1"/>
  <c r="C42" i="35" s="1"/>
  <c r="T83" i="25"/>
  <c r="S86" i="25"/>
  <c r="D25" i="6" s="1"/>
  <c r="U34" i="25"/>
  <c r="U42" i="25" s="1"/>
  <c r="C41" i="35" s="1"/>
  <c r="T42" i="25"/>
  <c r="C16" i="30" l="1"/>
  <c r="E27" i="6"/>
  <c r="E28" i="6" s="1"/>
  <c r="E34" i="6" s="1"/>
  <c r="C18" i="35"/>
  <c r="H36" i="23"/>
  <c r="J36" i="23" s="1"/>
  <c r="J38" i="23" s="1"/>
  <c r="U86" i="25"/>
  <c r="T86" i="25"/>
  <c r="B18" i="7" l="1"/>
  <c r="C19" i="7" s="1"/>
  <c r="C24" i="31"/>
  <c r="C33" i="31" s="1"/>
  <c r="C35" i="31" s="1"/>
  <c r="G16" i="30"/>
  <c r="G25" i="30" s="1"/>
  <c r="G26" i="30" s="1"/>
  <c r="G40" i="30" s="1"/>
  <c r="C25" i="30"/>
  <c r="C26" i="30" s="1"/>
  <c r="C40" i="30" s="1"/>
  <c r="I16" i="30"/>
  <c r="I25" i="30" s="1"/>
  <c r="I26" i="30" s="1"/>
  <c r="I40" i="30" s="1"/>
  <c r="G3" i="28"/>
  <c r="C4" i="35"/>
  <c r="H38" i="23"/>
  <c r="K20" i="23"/>
  <c r="C29" i="35"/>
  <c r="H7" i="20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G19" i="28" l="1"/>
  <c r="J19" i="28" s="1"/>
  <c r="G7" i="28"/>
  <c r="K38" i="23"/>
  <c r="H32" i="20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1304" i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G4" i="20"/>
  <c r="F4" i="20"/>
  <c r="B4" i="6"/>
  <c r="B8" i="24" l="1"/>
  <c r="G17" i="7" s="1"/>
  <c r="G34" i="31" s="1"/>
  <c r="G37" i="31" s="1"/>
  <c r="G39" i="31" s="1"/>
  <c r="G15" i="28"/>
  <c r="J15" i="28" s="1"/>
  <c r="H43" i="20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H84" i="20" s="1"/>
  <c r="H85" i="20" s="1"/>
  <c r="H86" i="20" s="1"/>
  <c r="H87" i="20" s="1"/>
  <c r="H88" i="20" s="1"/>
  <c r="H89" i="20" s="1"/>
  <c r="H90" i="20" s="1"/>
  <c r="H91" i="20" s="1"/>
  <c r="H92" i="20" s="1"/>
  <c r="H93" i="20" s="1"/>
  <c r="H94" i="20" s="1"/>
  <c r="H95" i="20" s="1"/>
  <c r="H96" i="20" s="1"/>
  <c r="H97" i="20" s="1"/>
  <c r="H98" i="20" s="1"/>
  <c r="H99" i="20" s="1"/>
  <c r="H100" i="20" s="1"/>
  <c r="H101" i="20" s="1"/>
  <c r="H102" i="20" s="1"/>
  <c r="H103" i="20" s="1"/>
  <c r="H104" i="20" s="1"/>
  <c r="H105" i="20" s="1"/>
  <c r="H106" i="20" s="1"/>
  <c r="H107" i="20" s="1"/>
  <c r="H108" i="20" s="1"/>
  <c r="H109" i="20" s="1"/>
  <c r="H110" i="20" s="1"/>
  <c r="H111" i="20" s="1"/>
  <c r="H112" i="20" s="1"/>
  <c r="H113" i="20" s="1"/>
  <c r="H114" i="20" s="1"/>
  <c r="H115" i="20" s="1"/>
  <c r="H116" i="20" s="1"/>
  <c r="A3" i="7"/>
  <c r="A3" i="24"/>
  <c r="C10" i="24" l="1"/>
  <c r="C11" i="24" s="1"/>
  <c r="C35" i="35"/>
  <c r="F4" i="1"/>
  <c r="G4" i="1"/>
  <c r="F4" i="10"/>
  <c r="G4" i="10"/>
  <c r="H18" i="7" l="1"/>
  <c r="H10" i="7"/>
  <c r="G37" i="28" s="1"/>
  <c r="A2" i="7"/>
  <c r="G38" i="28" l="1"/>
  <c r="J37" i="28" s="1"/>
  <c r="C36" i="35"/>
  <c r="G41" i="28"/>
  <c r="H21" i="7"/>
  <c r="G27" i="28"/>
  <c r="J26" i="28" s="1"/>
  <c r="G32" i="28"/>
  <c r="J31" i="28" s="1"/>
  <c r="G4" i="28"/>
  <c r="J3" i="28" s="1"/>
  <c r="B3" i="10"/>
  <c r="B2" i="10"/>
  <c r="H117" i="20" l="1"/>
  <c r="H118" i="20" s="1"/>
  <c r="H119" i="20" s="1"/>
  <c r="H120" i="20" s="1"/>
  <c r="H121" i="20" s="1"/>
  <c r="H122" i="20" s="1"/>
  <c r="H123" i="20" s="1"/>
  <c r="H124" i="20" s="1"/>
  <c r="H125" i="20" s="1"/>
  <c r="H126" i="20" s="1"/>
  <c r="H127" i="20" s="1"/>
  <c r="H128" i="20" s="1"/>
  <c r="H129" i="20" s="1"/>
  <c r="H130" i="20" s="1"/>
  <c r="H131" i="20" s="1"/>
  <c r="H132" i="20" s="1"/>
  <c r="H133" i="20" s="1"/>
  <c r="H134" i="20" s="1"/>
  <c r="H135" i="20" s="1"/>
  <c r="H136" i="20" s="1"/>
  <c r="H137" i="20" s="1"/>
  <c r="H138" i="20" s="1"/>
  <c r="H139" i="20" s="1"/>
  <c r="H140" i="20" s="1"/>
  <c r="H141" i="20" s="1"/>
  <c r="H142" i="20" s="1"/>
  <c r="H143" i="20" s="1"/>
  <c r="H144" i="20" s="1"/>
  <c r="H145" i="20" s="1"/>
  <c r="H146" i="20" s="1"/>
  <c r="H147" i="20" s="1"/>
  <c r="H148" i="20" s="1"/>
  <c r="H149" i="20" s="1"/>
  <c r="H150" i="20" s="1"/>
  <c r="H151" i="20" s="1"/>
  <c r="H152" i="20" s="1"/>
  <c r="H153" i="20" s="1"/>
  <c r="H154" i="20" s="1"/>
  <c r="H155" i="20" s="1"/>
  <c r="H156" i="20" s="1"/>
  <c r="H157" i="20" s="1"/>
  <c r="H158" i="20" s="1"/>
  <c r="H159" i="20" s="1"/>
  <c r="H160" i="20" s="1"/>
  <c r="H161" i="20" s="1"/>
  <c r="H162" i="20" s="1"/>
  <c r="H163" i="20" s="1"/>
  <c r="H164" i="20" s="1"/>
  <c r="H165" i="20" s="1"/>
  <c r="H166" i="20" s="1"/>
  <c r="H167" i="20" s="1"/>
  <c r="H168" i="20" s="1"/>
  <c r="H169" i="20" s="1"/>
  <c r="H170" i="20" s="1"/>
  <c r="H171" i="20" s="1"/>
  <c r="H172" i="20" s="1"/>
  <c r="H173" i="20" s="1"/>
  <c r="H174" i="20" s="1"/>
  <c r="H175" i="20" s="1"/>
  <c r="H176" i="20" s="1"/>
  <c r="H177" i="20" s="1"/>
  <c r="H178" i="20" s="1"/>
  <c r="H179" i="20" s="1"/>
  <c r="H180" i="20" s="1"/>
  <c r="H181" i="20" s="1"/>
  <c r="H182" i="20" s="1"/>
  <c r="H183" i="20" s="1"/>
  <c r="H184" i="20" s="1"/>
  <c r="H185" i="20" s="1"/>
  <c r="H186" i="20" s="1"/>
  <c r="H187" i="20" s="1"/>
  <c r="H188" i="20" s="1"/>
  <c r="H189" i="20" s="1"/>
  <c r="H190" i="20" s="1"/>
  <c r="H191" i="20" s="1"/>
  <c r="H192" i="20" s="1"/>
  <c r="H193" i="20" s="1"/>
  <c r="H194" i="20" s="1"/>
  <c r="H195" i="20" s="1"/>
  <c r="H196" i="20" s="1"/>
  <c r="H197" i="20" s="1"/>
  <c r="H198" i="20" s="1"/>
  <c r="H199" i="20" s="1"/>
  <c r="H200" i="20" s="1"/>
  <c r="H201" i="20" s="1"/>
  <c r="H202" i="20" s="1"/>
  <c r="H203" i="20" s="1"/>
  <c r="H204" i="20" s="1"/>
  <c r="H205" i="20" s="1"/>
  <c r="H206" i="20" s="1"/>
  <c r="H207" i="20" s="1"/>
  <c r="H208" i="20" s="1"/>
  <c r="H209" i="20" s="1"/>
  <c r="H210" i="20" s="1"/>
  <c r="H211" i="20" s="1"/>
  <c r="H212" i="20" s="1"/>
  <c r="H213" i="20" s="1"/>
  <c r="H214" i="20" s="1"/>
  <c r="H215" i="20" s="1"/>
  <c r="H216" i="20" s="1"/>
  <c r="H217" i="20" s="1"/>
  <c r="H218" i="20" s="1"/>
  <c r="H219" i="20" s="1"/>
  <c r="H220" i="20" s="1"/>
  <c r="H221" i="20" s="1"/>
  <c r="H222" i="20" s="1"/>
  <c r="H223" i="20" s="1"/>
  <c r="H224" i="20" s="1"/>
  <c r="H225" i="20" s="1"/>
  <c r="H226" i="20" s="1"/>
  <c r="H227" i="20" s="1"/>
  <c r="H228" i="20" s="1"/>
  <c r="H229" i="20" s="1"/>
  <c r="H230" i="20" s="1"/>
  <c r="H231" i="20" s="1"/>
  <c r="H232" i="20" s="1"/>
  <c r="H233" i="20" s="1"/>
  <c r="H234" i="20" s="1"/>
  <c r="H235" i="20" s="1"/>
  <c r="H236" i="20" s="1"/>
  <c r="H237" i="20" s="1"/>
  <c r="H238" i="20" s="1"/>
  <c r="H239" i="20" s="1"/>
  <c r="H240" i="20" s="1"/>
  <c r="H241" i="20" s="1"/>
  <c r="H242" i="20" s="1"/>
  <c r="H243" i="20" s="1"/>
  <c r="H244" i="20" s="1"/>
  <c r="H245" i="20" s="1"/>
  <c r="H246" i="20" s="1"/>
  <c r="H247" i="20" s="1"/>
  <c r="H248" i="20" s="1"/>
  <c r="H249" i="20" s="1"/>
  <c r="H250" i="20" s="1"/>
  <c r="H251" i="20" s="1"/>
  <c r="H252" i="20" s="1"/>
  <c r="H253" i="20" s="1"/>
  <c r="H254" i="20" s="1"/>
  <c r="H255" i="20" s="1"/>
  <c r="H256" i="20" s="1"/>
  <c r="H257" i="20" s="1"/>
  <c r="H258" i="20" s="1"/>
  <c r="H259" i="20" s="1"/>
  <c r="H260" i="20" s="1"/>
  <c r="H261" i="20" s="1"/>
  <c r="H262" i="20" s="1"/>
  <c r="H263" i="20" s="1"/>
  <c r="H264" i="20" s="1"/>
  <c r="H265" i="20" s="1"/>
  <c r="H266" i="20" s="1"/>
  <c r="H267" i="20" s="1"/>
  <c r="H268" i="20" s="1"/>
  <c r="H269" i="20" s="1"/>
  <c r="H270" i="20" s="1"/>
  <c r="H271" i="20" s="1"/>
  <c r="H272" i="20" s="1"/>
  <c r="H273" i="20" s="1"/>
  <c r="H274" i="20" s="1"/>
  <c r="H275" i="20" s="1"/>
  <c r="H276" i="20" s="1"/>
  <c r="H277" i="20" s="1"/>
  <c r="H278" i="20" s="1"/>
  <c r="H279" i="20" s="1"/>
  <c r="H280" i="20" s="1"/>
  <c r="H281" i="20" s="1"/>
  <c r="H282" i="20" s="1"/>
  <c r="H283" i="20" s="1"/>
  <c r="H284" i="20" s="1"/>
  <c r="H285" i="20" s="1"/>
  <c r="H286" i="20" s="1"/>
  <c r="H287" i="20" s="1"/>
  <c r="H288" i="20" s="1"/>
  <c r="H289" i="20" s="1"/>
  <c r="H290" i="20" s="1"/>
  <c r="H291" i="20" s="1"/>
  <c r="H292" i="20" s="1"/>
  <c r="H293" i="20" s="1"/>
  <c r="H294" i="20" s="1"/>
  <c r="H295" i="20" s="1"/>
  <c r="H296" i="20" s="1"/>
  <c r="H297" i="20" s="1"/>
  <c r="H298" i="20" s="1"/>
  <c r="H299" i="20" s="1"/>
  <c r="H300" i="20" s="1"/>
  <c r="H301" i="20" s="1"/>
  <c r="H302" i="20" s="1"/>
  <c r="H303" i="20" s="1"/>
  <c r="H304" i="20" s="1"/>
  <c r="H305" i="20" s="1"/>
  <c r="H306" i="20" s="1"/>
  <c r="H307" i="20" s="1"/>
  <c r="H308" i="20" s="1"/>
  <c r="H309" i="20" s="1"/>
  <c r="H310" i="20" s="1"/>
  <c r="H311" i="20" s="1"/>
  <c r="H312" i="20" s="1"/>
  <c r="H313" i="20" s="1"/>
  <c r="H314" i="20" s="1"/>
  <c r="H315" i="20" s="1"/>
  <c r="H316" i="20" s="1"/>
  <c r="H317" i="20" s="1"/>
  <c r="H318" i="20" s="1"/>
  <c r="H319" i="20" s="1"/>
  <c r="H320" i="20" s="1"/>
  <c r="H321" i="20" s="1"/>
  <c r="H322" i="20" s="1"/>
  <c r="H323" i="20" s="1"/>
  <c r="H324" i="20" s="1"/>
  <c r="H325" i="20" s="1"/>
  <c r="H326" i="20" s="1"/>
  <c r="H327" i="20" s="1"/>
  <c r="H328" i="20" s="1"/>
  <c r="H329" i="20" s="1"/>
  <c r="H330" i="20" s="1"/>
  <c r="H331" i="20" s="1"/>
  <c r="H332" i="20" s="1"/>
  <c r="H333" i="20" s="1"/>
  <c r="H334" i="20" s="1"/>
  <c r="H335" i="20" s="1"/>
  <c r="H336" i="20" s="1"/>
  <c r="H337" i="20" s="1"/>
  <c r="H338" i="20" s="1"/>
  <c r="H339" i="20" s="1"/>
  <c r="H340" i="20" s="1"/>
  <c r="H341" i="20" s="1"/>
  <c r="H342" i="20" s="1"/>
  <c r="H343" i="20" s="1"/>
  <c r="H344" i="20" s="1"/>
  <c r="H345" i="20" s="1"/>
  <c r="H346" i="20" s="1"/>
  <c r="H347" i="20" s="1"/>
  <c r="H348" i="20" s="1"/>
  <c r="H349" i="20" s="1"/>
  <c r="H350" i="20" s="1"/>
  <c r="H351" i="20" s="1"/>
  <c r="H352" i="20" s="1"/>
  <c r="H353" i="20" s="1"/>
  <c r="H354" i="20" s="1"/>
  <c r="H355" i="20" s="1"/>
  <c r="H356" i="20" s="1"/>
  <c r="H357" i="20" s="1"/>
  <c r="H358" i="20" s="1"/>
  <c r="H359" i="20" s="1"/>
  <c r="H360" i="20" s="1"/>
  <c r="H361" i="20" s="1"/>
  <c r="H362" i="20" s="1"/>
  <c r="H363" i="20" s="1"/>
  <c r="H364" i="20" s="1"/>
  <c r="H365" i="20" s="1"/>
  <c r="H366" i="20" s="1"/>
  <c r="H367" i="20" s="1"/>
  <c r="H368" i="20" s="1"/>
  <c r="H369" i="20" s="1"/>
  <c r="H370" i="20" s="1"/>
  <c r="H371" i="20" s="1"/>
  <c r="H372" i="20" s="1"/>
  <c r="H373" i="20" s="1"/>
  <c r="H374" i="20" s="1"/>
  <c r="H375" i="20" s="1"/>
  <c r="H376" i="20" s="1"/>
  <c r="H377" i="20" s="1"/>
  <c r="H378" i="20" s="1"/>
  <c r="H379" i="20" s="1"/>
  <c r="H380" i="20" s="1"/>
  <c r="H381" i="20" s="1"/>
  <c r="H382" i="20" s="1"/>
  <c r="H383" i="20" s="1"/>
  <c r="H384" i="20" s="1"/>
  <c r="H385" i="20" s="1"/>
  <c r="H386" i="20" s="1"/>
  <c r="H387" i="20" s="1"/>
  <c r="H388" i="20" s="1"/>
  <c r="H389" i="20" s="1"/>
  <c r="H390" i="20" s="1"/>
  <c r="H391" i="20" s="1"/>
  <c r="H392" i="20" s="1"/>
  <c r="H393" i="20" s="1"/>
  <c r="H394" i="20" s="1"/>
  <c r="H395" i="20" s="1"/>
  <c r="H396" i="20" s="1"/>
  <c r="H397" i="20" s="1"/>
  <c r="H398" i="20" s="1"/>
  <c r="H399" i="20" s="1"/>
  <c r="H400" i="20" s="1"/>
  <c r="H401" i="20" s="1"/>
  <c r="H402" i="20" s="1"/>
  <c r="H403" i="20" s="1"/>
  <c r="H404" i="20" s="1"/>
  <c r="H405" i="20" s="1"/>
  <c r="H406" i="20" s="1"/>
  <c r="H407" i="20" s="1"/>
  <c r="H408" i="20" s="1"/>
  <c r="H409" i="20" s="1"/>
  <c r="H410" i="20" s="1"/>
  <c r="H411" i="20" s="1"/>
  <c r="H412" i="20" s="1"/>
  <c r="H413" i="20" s="1"/>
  <c r="H414" i="20" s="1"/>
  <c r="H415" i="20" s="1"/>
  <c r="H416" i="20" s="1"/>
  <c r="H417" i="20" s="1"/>
  <c r="H418" i="20" s="1"/>
  <c r="H419" i="20" s="1"/>
  <c r="H420" i="20" s="1"/>
  <c r="H421" i="20" s="1"/>
  <c r="H422" i="20" s="1"/>
  <c r="H423" i="20" s="1"/>
  <c r="H424" i="20" s="1"/>
  <c r="H425" i="20" s="1"/>
  <c r="H426" i="20" s="1"/>
  <c r="H427" i="20" s="1"/>
  <c r="H428" i="20" s="1"/>
  <c r="H429" i="20" s="1"/>
  <c r="H430" i="20" s="1"/>
  <c r="H431" i="20" s="1"/>
  <c r="H432" i="20" s="1"/>
  <c r="H433" i="20" s="1"/>
  <c r="H434" i="20" s="1"/>
  <c r="H435" i="20" s="1"/>
  <c r="H436" i="20" s="1"/>
  <c r="H437" i="20" s="1"/>
  <c r="H438" i="20" s="1"/>
  <c r="H439" i="20" s="1"/>
  <c r="H440" i="20" s="1"/>
  <c r="H441" i="20" s="1"/>
  <c r="H442" i="20" s="1"/>
  <c r="H443" i="20" s="1"/>
  <c r="H444" i="20" s="1"/>
  <c r="H445" i="20" s="1"/>
  <c r="H446" i="20" s="1"/>
  <c r="H447" i="20" s="1"/>
  <c r="H448" i="20" s="1"/>
  <c r="H449" i="20" s="1"/>
  <c r="H450" i="20" s="1"/>
  <c r="H451" i="20" s="1"/>
  <c r="H452" i="20" s="1"/>
  <c r="H453" i="20" s="1"/>
  <c r="H454" i="20" s="1"/>
  <c r="H455" i="20" s="1"/>
  <c r="H456" i="20" s="1"/>
  <c r="H457" i="20" s="1"/>
  <c r="H458" i="20" s="1"/>
  <c r="H459" i="20" s="1"/>
  <c r="H460" i="20" s="1"/>
  <c r="H461" i="20" s="1"/>
  <c r="H462" i="20" s="1"/>
  <c r="H463" i="20" s="1"/>
  <c r="H464" i="20" s="1"/>
  <c r="H465" i="20" s="1"/>
  <c r="H466" i="20" s="1"/>
  <c r="H467" i="20" s="1"/>
  <c r="H468" i="20" s="1"/>
  <c r="H469" i="20" s="1"/>
  <c r="H470" i="20" s="1"/>
  <c r="H471" i="20" s="1"/>
  <c r="H472" i="20" s="1"/>
  <c r="H473" i="20" s="1"/>
  <c r="H474" i="20" s="1"/>
  <c r="H475" i="20" s="1"/>
  <c r="H476" i="20" s="1"/>
  <c r="H477" i="20" s="1"/>
  <c r="H478" i="20" s="1"/>
  <c r="H479" i="20" s="1"/>
  <c r="H480" i="20" s="1"/>
  <c r="H481" i="20" s="1"/>
  <c r="H482" i="20" s="1"/>
  <c r="H483" i="20" s="1"/>
  <c r="H484" i="20" s="1"/>
  <c r="H485" i="20" s="1"/>
  <c r="H486" i="20" s="1"/>
  <c r="H487" i="20" s="1"/>
  <c r="H488" i="20" s="1"/>
  <c r="H489" i="20" s="1"/>
  <c r="H490" i="20" s="1"/>
  <c r="H491" i="20" s="1"/>
  <c r="H492" i="20" s="1"/>
  <c r="H493" i="20" s="1"/>
  <c r="H494" i="20" s="1"/>
  <c r="H495" i="20" s="1"/>
  <c r="H496" i="20" s="1"/>
  <c r="H497" i="20" s="1"/>
  <c r="H498" i="20" s="1"/>
  <c r="H499" i="20" s="1"/>
  <c r="H500" i="20" s="1"/>
  <c r="H501" i="20" s="1"/>
  <c r="H502" i="20" s="1"/>
  <c r="H503" i="20" s="1"/>
  <c r="H504" i="20" s="1"/>
  <c r="H505" i="20" s="1"/>
  <c r="H506" i="20" s="1"/>
  <c r="H507" i="20" s="1"/>
  <c r="H508" i="20" s="1"/>
  <c r="H509" i="20" s="1"/>
  <c r="H510" i="20" s="1"/>
  <c r="H511" i="20" s="1"/>
  <c r="H512" i="20" s="1"/>
  <c r="H513" i="20" s="1"/>
  <c r="H514" i="20" s="1"/>
  <c r="H515" i="20" s="1"/>
  <c r="H516" i="20" s="1"/>
  <c r="H517" i="20" s="1"/>
  <c r="H518" i="20" s="1"/>
  <c r="H519" i="20" s="1"/>
  <c r="H520" i="20" s="1"/>
  <c r="H521" i="20" s="1"/>
  <c r="H522" i="20" s="1"/>
  <c r="H523" i="20" s="1"/>
  <c r="H524" i="20" s="1"/>
  <c r="H525" i="20" s="1"/>
  <c r="H526" i="20" s="1"/>
  <c r="H527" i="20" s="1"/>
  <c r="H528" i="20" s="1"/>
  <c r="H529" i="20" s="1"/>
  <c r="H530" i="20" s="1"/>
  <c r="H531" i="20" s="1"/>
  <c r="H532" i="20" s="1"/>
  <c r="H533" i="20" s="1"/>
  <c r="H534" i="20" s="1"/>
  <c r="H535" i="20" s="1"/>
  <c r="H536" i="20" s="1"/>
  <c r="H537" i="20" s="1"/>
  <c r="H538" i="20" s="1"/>
  <c r="H539" i="20" s="1"/>
  <c r="H540" i="20" s="1"/>
  <c r="H541" i="20" s="1"/>
  <c r="H542" i="20" s="1"/>
  <c r="H543" i="20" s="1"/>
  <c r="H544" i="20" s="1"/>
  <c r="H545" i="20" s="1"/>
  <c r="H546" i="20" s="1"/>
  <c r="H547" i="20" s="1"/>
  <c r="H548" i="20" s="1"/>
  <c r="H549" i="20" s="1"/>
  <c r="H550" i="20" s="1"/>
  <c r="H551" i="20" s="1"/>
  <c r="H552" i="20" s="1"/>
  <c r="H553" i="20" s="1"/>
  <c r="H554" i="20" s="1"/>
  <c r="H555" i="20" s="1"/>
  <c r="H556" i="20" s="1"/>
  <c r="H557" i="20" s="1"/>
  <c r="H558" i="20" s="1"/>
  <c r="H559" i="20" s="1"/>
  <c r="H560" i="20" s="1"/>
  <c r="H561" i="20" s="1"/>
  <c r="H562" i="20" s="1"/>
  <c r="H563" i="20" s="1"/>
  <c r="H564" i="20" s="1"/>
  <c r="H565" i="20" s="1"/>
  <c r="H566" i="20" s="1"/>
  <c r="H567" i="20" s="1"/>
  <c r="H568" i="20" s="1"/>
  <c r="H569" i="20" s="1"/>
  <c r="H570" i="20" s="1"/>
  <c r="H571" i="20" s="1"/>
  <c r="H572" i="20" s="1"/>
  <c r="H573" i="20" s="1"/>
  <c r="H574" i="20" s="1"/>
  <c r="H575" i="20" s="1"/>
  <c r="H576" i="20" s="1"/>
  <c r="H577" i="20" s="1"/>
  <c r="H578" i="20" s="1"/>
  <c r="H579" i="20" s="1"/>
  <c r="H580" i="20" s="1"/>
  <c r="H581" i="20" s="1"/>
  <c r="H582" i="20" s="1"/>
  <c r="H583" i="20" s="1"/>
  <c r="H584" i="20" s="1"/>
  <c r="H585" i="20" s="1"/>
  <c r="H586" i="20" s="1"/>
  <c r="H587" i="20" s="1"/>
  <c r="H588" i="20" s="1"/>
  <c r="H589" i="20" s="1"/>
  <c r="H590" i="20" s="1"/>
  <c r="H591" i="20" s="1"/>
  <c r="H592" i="20" s="1"/>
  <c r="H593" i="20" s="1"/>
  <c r="H594" i="20" s="1"/>
  <c r="H595" i="20" s="1"/>
  <c r="H596" i="20" s="1"/>
  <c r="H597" i="20" s="1"/>
  <c r="H598" i="20" s="1"/>
  <c r="H599" i="20" s="1"/>
  <c r="H600" i="20" s="1"/>
  <c r="H601" i="20" s="1"/>
  <c r="H602" i="20" s="1"/>
  <c r="H603" i="20" s="1"/>
  <c r="H604" i="20" s="1"/>
  <c r="H605" i="20" s="1"/>
  <c r="H606" i="20" s="1"/>
  <c r="H607" i="20" s="1"/>
  <c r="H608" i="20" s="1"/>
  <c r="H609" i="20" s="1"/>
  <c r="H610" i="20" s="1"/>
  <c r="H611" i="20" s="1"/>
  <c r="H612" i="20" s="1"/>
  <c r="H613" i="20" s="1"/>
  <c r="H614" i="20" s="1"/>
  <c r="H615" i="20" s="1"/>
  <c r="H616" i="20" s="1"/>
  <c r="H617" i="20" s="1"/>
  <c r="H618" i="20" s="1"/>
  <c r="H619" i="20" s="1"/>
  <c r="H620" i="20" s="1"/>
  <c r="H621" i="20" s="1"/>
  <c r="H622" i="20" s="1"/>
  <c r="H623" i="20" s="1"/>
  <c r="H624" i="20" s="1"/>
  <c r="H625" i="20" s="1"/>
  <c r="H626" i="20" s="1"/>
  <c r="H627" i="20" s="1"/>
  <c r="H628" i="20" s="1"/>
  <c r="H629" i="20" s="1"/>
  <c r="H630" i="20" s="1"/>
  <c r="H631" i="20" s="1"/>
  <c r="H632" i="20" s="1"/>
  <c r="H633" i="20" s="1"/>
  <c r="H634" i="20" s="1"/>
  <c r="H635" i="20" s="1"/>
  <c r="H636" i="20" s="1"/>
  <c r="H637" i="20" s="1"/>
  <c r="H638" i="20" s="1"/>
  <c r="H639" i="20" s="1"/>
  <c r="H640" i="20" s="1"/>
  <c r="H641" i="20" s="1"/>
  <c r="H642" i="20" s="1"/>
  <c r="H643" i="20" s="1"/>
  <c r="H644" i="20" s="1"/>
  <c r="H645" i="20" s="1"/>
  <c r="H646" i="20" s="1"/>
  <c r="H647" i="20" s="1"/>
  <c r="H648" i="20" s="1"/>
  <c r="H649" i="20" s="1"/>
  <c r="H650" i="20" s="1"/>
  <c r="H651" i="20" s="1"/>
  <c r="H652" i="20" s="1"/>
  <c r="H653" i="20" s="1"/>
  <c r="H654" i="20" s="1"/>
  <c r="H655" i="20" s="1"/>
  <c r="H656" i="20" s="1"/>
  <c r="H657" i="20" s="1"/>
  <c r="H658" i="20" s="1"/>
  <c r="H659" i="20" s="1"/>
  <c r="H660" i="20" s="1"/>
  <c r="H661" i="20" s="1"/>
  <c r="H662" i="20" s="1"/>
  <c r="H663" i="20" s="1"/>
  <c r="H664" i="20" s="1"/>
  <c r="H665" i="20" s="1"/>
  <c r="H666" i="20" s="1"/>
  <c r="H667" i="20" s="1"/>
  <c r="H668" i="20" s="1"/>
  <c r="H669" i="20" s="1"/>
  <c r="H670" i="20" s="1"/>
  <c r="H671" i="20" s="1"/>
  <c r="H672" i="20" s="1"/>
  <c r="H673" i="20" s="1"/>
  <c r="H674" i="20" s="1"/>
  <c r="H675" i="20" s="1"/>
  <c r="H676" i="20" s="1"/>
  <c r="H677" i="20" s="1"/>
  <c r="H678" i="20" s="1"/>
  <c r="H679" i="20" s="1"/>
  <c r="H680" i="20" s="1"/>
  <c r="H681" i="20" s="1"/>
  <c r="H682" i="20" s="1"/>
  <c r="H683" i="20" s="1"/>
  <c r="H684" i="20" s="1"/>
  <c r="H685" i="20" s="1"/>
  <c r="H686" i="20" s="1"/>
  <c r="H687" i="20" s="1"/>
  <c r="H688" i="20" s="1"/>
  <c r="H689" i="20" s="1"/>
  <c r="H690" i="20" s="1"/>
  <c r="H691" i="20" s="1"/>
  <c r="H692" i="20" s="1"/>
  <c r="H693" i="20" s="1"/>
  <c r="H694" i="20" s="1"/>
  <c r="H695" i="20" s="1"/>
  <c r="H696" i="20" s="1"/>
  <c r="H697" i="20" s="1"/>
  <c r="H698" i="20" s="1"/>
  <c r="H699" i="20" s="1"/>
  <c r="H700" i="20" s="1"/>
  <c r="H701" i="20" s="1"/>
  <c r="H702" i="20" s="1"/>
  <c r="H703" i="20" s="1"/>
  <c r="H704" i="20" s="1"/>
  <c r="H705" i="20" s="1"/>
  <c r="H706" i="20" s="1"/>
  <c r="H707" i="20" s="1"/>
  <c r="H708" i="20" s="1"/>
  <c r="H709" i="20" s="1"/>
  <c r="H710" i="20" s="1"/>
  <c r="H711" i="20" s="1"/>
  <c r="H712" i="20" s="1"/>
  <c r="H713" i="20" s="1"/>
  <c r="H714" i="20" s="1"/>
  <c r="H715" i="20" s="1"/>
  <c r="H716" i="20" s="1"/>
  <c r="H717" i="20" s="1"/>
  <c r="H718" i="20" s="1"/>
  <c r="H719" i="20" s="1"/>
  <c r="H720" i="20" s="1"/>
  <c r="H721" i="20" s="1"/>
  <c r="H722" i="20" s="1"/>
  <c r="H723" i="20" s="1"/>
  <c r="H724" i="20" s="1"/>
  <c r="H725" i="20" s="1"/>
  <c r="H726" i="20" s="1"/>
  <c r="H727" i="20" s="1"/>
  <c r="H728" i="20" s="1"/>
  <c r="H729" i="20" s="1"/>
  <c r="H730" i="20" s="1"/>
  <c r="H731" i="20" s="1"/>
  <c r="H732" i="20" s="1"/>
  <c r="H733" i="20" s="1"/>
  <c r="H734" i="20" s="1"/>
  <c r="H735" i="20" s="1"/>
  <c r="H736" i="20" s="1"/>
  <c r="H737" i="20" s="1"/>
  <c r="H738" i="20" s="1"/>
  <c r="H739" i="20" s="1"/>
  <c r="H740" i="20" s="1"/>
  <c r="H741" i="20" s="1"/>
  <c r="H742" i="20" s="1"/>
  <c r="H743" i="20" s="1"/>
  <c r="H744" i="20" s="1"/>
  <c r="H745" i="20" s="1"/>
  <c r="H746" i="20" s="1"/>
  <c r="H747" i="20" s="1"/>
  <c r="H748" i="20" s="1"/>
  <c r="H749" i="20" s="1"/>
  <c r="H750" i="20" s="1"/>
  <c r="H751" i="20" s="1"/>
  <c r="H752" i="20" s="1"/>
  <c r="H753" i="20" s="1"/>
  <c r="H754" i="20" s="1"/>
  <c r="H755" i="20" s="1"/>
  <c r="H756" i="20" s="1"/>
  <c r="H757" i="20" s="1"/>
  <c r="H758" i="20" s="1"/>
  <c r="H759" i="20" s="1"/>
  <c r="H760" i="20" s="1"/>
  <c r="H761" i="20" s="1"/>
  <c r="H762" i="20" s="1"/>
  <c r="H763" i="20" s="1"/>
  <c r="H764" i="20" s="1"/>
  <c r="H765" i="20" s="1"/>
  <c r="H766" i="20" s="1"/>
  <c r="H767" i="20" s="1"/>
  <c r="H768" i="20" s="1"/>
  <c r="H769" i="20" s="1"/>
  <c r="H770" i="20" s="1"/>
  <c r="H771" i="20" s="1"/>
  <c r="H772" i="20" s="1"/>
  <c r="H773" i="20" s="1"/>
  <c r="H774" i="20" s="1"/>
  <c r="H775" i="20" s="1"/>
  <c r="H776" i="20" s="1"/>
  <c r="H777" i="20" s="1"/>
  <c r="H778" i="20" s="1"/>
  <c r="H779" i="20" s="1"/>
  <c r="H780" i="20" s="1"/>
  <c r="H781" i="20" s="1"/>
  <c r="H782" i="20" s="1"/>
  <c r="H783" i="20" s="1"/>
  <c r="H784" i="20" s="1"/>
  <c r="H785" i="20" s="1"/>
  <c r="H786" i="20" s="1"/>
  <c r="H787" i="20" s="1"/>
  <c r="H788" i="20" s="1"/>
  <c r="H789" i="20" s="1"/>
  <c r="H790" i="20" s="1"/>
  <c r="H791" i="20" s="1"/>
  <c r="H792" i="20" s="1"/>
  <c r="H793" i="20" s="1"/>
  <c r="H794" i="20" s="1"/>
  <c r="H795" i="20" s="1"/>
  <c r="H796" i="20" s="1"/>
  <c r="H797" i="20" s="1"/>
  <c r="H798" i="20" s="1"/>
  <c r="H799" i="20" s="1"/>
  <c r="H800" i="20" s="1"/>
  <c r="H801" i="20" s="1"/>
  <c r="H802" i="20" s="1"/>
  <c r="H803" i="20" s="1"/>
  <c r="H804" i="20" s="1"/>
  <c r="H805" i="20" s="1"/>
  <c r="H806" i="20" s="1"/>
  <c r="H807" i="20" s="1"/>
  <c r="H808" i="20" s="1"/>
  <c r="H809" i="20" s="1"/>
  <c r="H810" i="20" s="1"/>
  <c r="H811" i="20" s="1"/>
  <c r="H812" i="20" s="1"/>
  <c r="H813" i="20" s="1"/>
  <c r="H814" i="20" s="1"/>
  <c r="H815" i="20" s="1"/>
  <c r="H816" i="20" s="1"/>
  <c r="H817" i="20" s="1"/>
  <c r="H818" i="20" s="1"/>
  <c r="H819" i="20" s="1"/>
  <c r="H820" i="20" s="1"/>
  <c r="H821" i="20" s="1"/>
  <c r="H822" i="20" s="1"/>
  <c r="H823" i="20" s="1"/>
  <c r="H824" i="20" s="1"/>
  <c r="H825" i="20" s="1"/>
  <c r="H826" i="20" s="1"/>
  <c r="H827" i="20" s="1"/>
  <c r="H828" i="20" s="1"/>
  <c r="H829" i="20" s="1"/>
  <c r="H830" i="20" s="1"/>
  <c r="H831" i="20" s="1"/>
  <c r="H832" i="20" s="1"/>
  <c r="H833" i="20" s="1"/>
  <c r="H834" i="20" s="1"/>
  <c r="H835" i="20" s="1"/>
  <c r="H836" i="20" s="1"/>
  <c r="H837" i="20" s="1"/>
  <c r="H838" i="20" s="1"/>
  <c r="H839" i="20" s="1"/>
  <c r="H840" i="20" s="1"/>
  <c r="H841" i="20" s="1"/>
  <c r="H842" i="20" s="1"/>
  <c r="H843" i="20" s="1"/>
  <c r="H844" i="20" s="1"/>
  <c r="H845" i="20" s="1"/>
  <c r="H846" i="20" s="1"/>
  <c r="H847" i="20" s="1"/>
  <c r="H848" i="20" s="1"/>
  <c r="H849" i="20" s="1"/>
  <c r="H850" i="20" s="1"/>
  <c r="H851" i="20" s="1"/>
  <c r="H852" i="20" s="1"/>
  <c r="H853" i="20" s="1"/>
  <c r="H854" i="20" s="1"/>
  <c r="H855" i="20" s="1"/>
  <c r="H856" i="20" s="1"/>
  <c r="H857" i="20" s="1"/>
  <c r="H858" i="20" s="1"/>
  <c r="H859" i="20" s="1"/>
  <c r="H860" i="20" s="1"/>
  <c r="H861" i="20" s="1"/>
  <c r="H862" i="20" s="1"/>
  <c r="H863" i="20" s="1"/>
  <c r="H864" i="20" s="1"/>
  <c r="H865" i="20" s="1"/>
  <c r="H866" i="20" s="1"/>
  <c r="H867" i="20" s="1"/>
  <c r="H868" i="20" s="1"/>
  <c r="H869" i="20" s="1"/>
  <c r="H870" i="20" s="1"/>
  <c r="H871" i="20" s="1"/>
  <c r="H872" i="20" s="1"/>
  <c r="H873" i="20" s="1"/>
  <c r="H874" i="20" s="1"/>
  <c r="H875" i="20" s="1"/>
  <c r="H876" i="20" s="1"/>
  <c r="H877" i="20" s="1"/>
  <c r="H878" i="20" s="1"/>
  <c r="H879" i="20" s="1"/>
  <c r="H880" i="20" s="1"/>
  <c r="H881" i="20" s="1"/>
  <c r="H882" i="20" s="1"/>
  <c r="H883" i="20" s="1"/>
  <c r="H884" i="20" s="1"/>
  <c r="H885" i="20" s="1"/>
  <c r="H886" i="20" s="1"/>
  <c r="H887" i="20" s="1"/>
  <c r="H888" i="20" s="1"/>
  <c r="H889" i="20" s="1"/>
  <c r="H890" i="20" s="1"/>
  <c r="H891" i="20" s="1"/>
  <c r="H892" i="20" s="1"/>
  <c r="H893" i="20" s="1"/>
  <c r="H894" i="20" s="1"/>
  <c r="H895" i="20" s="1"/>
  <c r="H896" i="20" s="1"/>
  <c r="H897" i="20" s="1"/>
  <c r="H898" i="20" s="1"/>
  <c r="H899" i="20" s="1"/>
  <c r="H900" i="20" s="1"/>
  <c r="H901" i="20" s="1"/>
  <c r="H902" i="20" s="1"/>
  <c r="H903" i="20" s="1"/>
  <c r="H904" i="20" s="1"/>
  <c r="H905" i="20" s="1"/>
  <c r="H906" i="20" s="1"/>
  <c r="H907" i="20" s="1"/>
  <c r="H908" i="20" s="1"/>
  <c r="H909" i="20" s="1"/>
  <c r="H910" i="20" s="1"/>
  <c r="H911" i="20" s="1"/>
  <c r="H912" i="20" s="1"/>
  <c r="H913" i="20" s="1"/>
  <c r="H914" i="20" s="1"/>
  <c r="H915" i="20" s="1"/>
  <c r="H916" i="20" s="1"/>
  <c r="H917" i="20" s="1"/>
  <c r="H918" i="20" s="1"/>
  <c r="H919" i="20" s="1"/>
  <c r="H920" i="20" s="1"/>
  <c r="H921" i="20" s="1"/>
  <c r="H922" i="20" s="1"/>
  <c r="H923" i="20" s="1"/>
  <c r="H924" i="20" s="1"/>
  <c r="H925" i="20" s="1"/>
  <c r="H926" i="20" s="1"/>
  <c r="H927" i="20" s="1"/>
  <c r="H928" i="20" s="1"/>
  <c r="H929" i="20" s="1"/>
  <c r="H930" i="20" s="1"/>
  <c r="H931" i="20" s="1"/>
  <c r="H932" i="20" s="1"/>
  <c r="H933" i="20" s="1"/>
  <c r="H934" i="20" s="1"/>
  <c r="H935" i="20" s="1"/>
  <c r="H936" i="20" s="1"/>
  <c r="H937" i="20" s="1"/>
  <c r="H938" i="20" s="1"/>
  <c r="H939" i="20" s="1"/>
  <c r="H940" i="20" s="1"/>
  <c r="H941" i="20" s="1"/>
  <c r="H942" i="20" s="1"/>
  <c r="H943" i="20" s="1"/>
  <c r="H944" i="20" s="1"/>
  <c r="H945" i="20" s="1"/>
  <c r="H946" i="20" s="1"/>
  <c r="H947" i="20" s="1"/>
  <c r="H948" i="20" s="1"/>
  <c r="H949" i="20" s="1"/>
  <c r="H950" i="20" s="1"/>
  <c r="H951" i="20" s="1"/>
  <c r="H952" i="20" s="1"/>
  <c r="H953" i="20" s="1"/>
  <c r="H954" i="20" s="1"/>
  <c r="H955" i="20" s="1"/>
  <c r="H956" i="20" s="1"/>
  <c r="H957" i="20" s="1"/>
  <c r="H958" i="20" s="1"/>
  <c r="H959" i="20" s="1"/>
  <c r="H960" i="20" s="1"/>
  <c r="H961" i="20" s="1"/>
  <c r="H962" i="20" s="1"/>
  <c r="H963" i="20" s="1"/>
  <c r="H964" i="20" s="1"/>
  <c r="H965" i="20" s="1"/>
  <c r="H966" i="20" s="1"/>
  <c r="H967" i="20" s="1"/>
  <c r="H968" i="20" s="1"/>
  <c r="H969" i="20" s="1"/>
  <c r="H970" i="20" s="1"/>
  <c r="H971" i="20" s="1"/>
  <c r="H972" i="20" s="1"/>
  <c r="H973" i="20" s="1"/>
  <c r="H974" i="20" s="1"/>
  <c r="H975" i="20" s="1"/>
  <c r="H976" i="20" s="1"/>
  <c r="H977" i="20" s="1"/>
  <c r="H978" i="20" s="1"/>
  <c r="H979" i="20" s="1"/>
  <c r="H980" i="20" s="1"/>
  <c r="H981" i="20" s="1"/>
  <c r="H982" i="20" s="1"/>
  <c r="H983" i="20" s="1"/>
  <c r="H984" i="20" s="1"/>
  <c r="H985" i="20" s="1"/>
  <c r="H986" i="20" s="1"/>
  <c r="H987" i="20" s="1"/>
  <c r="H988" i="20" s="1"/>
  <c r="H989" i="20" s="1"/>
  <c r="H990" i="20" s="1"/>
  <c r="H991" i="20" s="1"/>
  <c r="H992" i="20" s="1"/>
  <c r="H993" i="20" s="1"/>
  <c r="H994" i="20" s="1"/>
  <c r="H995" i="20" s="1"/>
  <c r="H996" i="20" s="1"/>
  <c r="H997" i="20" s="1"/>
  <c r="H998" i="20" s="1"/>
  <c r="H999" i="20" s="1"/>
  <c r="H1000" i="20" s="1"/>
  <c r="H1001" i="20" s="1"/>
  <c r="H1002" i="20" s="1"/>
  <c r="H1003" i="20" s="1"/>
  <c r="H1004" i="20" s="1"/>
  <c r="H1005" i="20" s="1"/>
  <c r="H1006" i="20" s="1"/>
  <c r="H1007" i="20" s="1"/>
  <c r="H1008" i="20" s="1"/>
  <c r="H1009" i="20" s="1"/>
  <c r="H1010" i="20" s="1"/>
  <c r="H1011" i="20" s="1"/>
  <c r="H1012" i="20" s="1"/>
  <c r="H1013" i="20" s="1"/>
  <c r="H1014" i="20" s="1"/>
  <c r="H1015" i="20" s="1"/>
  <c r="H1016" i="20" s="1"/>
  <c r="H1017" i="20" s="1"/>
  <c r="H1018" i="20" s="1"/>
  <c r="H1019" i="20" s="1"/>
  <c r="H1020" i="20" s="1"/>
  <c r="H1021" i="20" s="1"/>
  <c r="H1022" i="20" s="1"/>
  <c r="H1023" i="20" s="1"/>
  <c r="H1024" i="20" s="1"/>
  <c r="H1025" i="20" s="1"/>
  <c r="H1026" i="20" s="1"/>
  <c r="H1027" i="20" s="1"/>
  <c r="H1028" i="20" s="1"/>
  <c r="H1029" i="20" s="1"/>
  <c r="H1030" i="20" s="1"/>
  <c r="H1031" i="20" s="1"/>
  <c r="H1032" i="20" s="1"/>
  <c r="H1033" i="20" s="1"/>
  <c r="H1034" i="20" s="1"/>
  <c r="H1035" i="20" s="1"/>
  <c r="H1036" i="20" s="1"/>
  <c r="H1037" i="20" s="1"/>
  <c r="H1038" i="20" s="1"/>
  <c r="H1039" i="20" s="1"/>
  <c r="H1040" i="20" s="1"/>
  <c r="H1041" i="20" s="1"/>
  <c r="H1042" i="20" s="1"/>
  <c r="H1043" i="20" s="1"/>
  <c r="H1044" i="20" s="1"/>
  <c r="H1045" i="20" s="1"/>
  <c r="H1046" i="20" s="1"/>
  <c r="H1047" i="20" s="1"/>
  <c r="H1048" i="20" s="1"/>
  <c r="H1049" i="20" s="1"/>
  <c r="H1050" i="20" s="1"/>
  <c r="H1051" i="20" s="1"/>
  <c r="H1052" i="20" s="1"/>
  <c r="H1053" i="20" s="1"/>
  <c r="H1054" i="20" s="1"/>
  <c r="H1055" i="20" s="1"/>
  <c r="H1056" i="20" s="1"/>
  <c r="H1057" i="20" s="1"/>
  <c r="H1058" i="20" s="1"/>
  <c r="H1059" i="20" s="1"/>
  <c r="H1060" i="20" s="1"/>
  <c r="H1061" i="20" s="1"/>
  <c r="H1062" i="20" s="1"/>
  <c r="H1063" i="20" s="1"/>
  <c r="H1064" i="20" s="1"/>
  <c r="H1065" i="20" s="1"/>
  <c r="H1066" i="20" s="1"/>
  <c r="H1067" i="20" s="1"/>
  <c r="H1068" i="20" s="1"/>
  <c r="H1069" i="20" s="1"/>
  <c r="H1070" i="20" s="1"/>
  <c r="H1071" i="20" s="1"/>
  <c r="H1072" i="20" s="1"/>
  <c r="H1073" i="20" s="1"/>
  <c r="H1074" i="20" s="1"/>
  <c r="H1075" i="20" s="1"/>
  <c r="H1076" i="20" s="1"/>
  <c r="H1077" i="20" s="1"/>
  <c r="H1078" i="20" s="1"/>
  <c r="H1079" i="20" s="1"/>
  <c r="H1080" i="20" s="1"/>
  <c r="H1081" i="20" s="1"/>
  <c r="H1082" i="20" s="1"/>
  <c r="H1083" i="20" s="1"/>
  <c r="H1084" i="20" s="1"/>
  <c r="H1085" i="20" s="1"/>
  <c r="H1086" i="20" s="1"/>
  <c r="H1087" i="20" s="1"/>
  <c r="H1088" i="20" s="1"/>
  <c r="H1089" i="20" s="1"/>
  <c r="H1090" i="20" s="1"/>
  <c r="H1091" i="20" s="1"/>
  <c r="H1092" i="20" s="1"/>
  <c r="H1093" i="20" s="1"/>
  <c r="H1094" i="20" s="1"/>
  <c r="H1095" i="20" s="1"/>
  <c r="H1096" i="20" s="1"/>
  <c r="H1097" i="20" s="1"/>
  <c r="H1098" i="20" s="1"/>
  <c r="H1099" i="20" s="1"/>
  <c r="H1100" i="20" s="1"/>
  <c r="H1101" i="20" s="1"/>
  <c r="H1102" i="20" s="1"/>
  <c r="H1103" i="20" s="1"/>
  <c r="H1104" i="20" s="1"/>
  <c r="H1105" i="20" s="1"/>
  <c r="H1106" i="20" s="1"/>
  <c r="H1107" i="20" s="1"/>
  <c r="H1108" i="20" s="1"/>
  <c r="H1109" i="20" s="1"/>
  <c r="H1110" i="20" s="1"/>
  <c r="H1111" i="20" s="1"/>
  <c r="H1112" i="20" s="1"/>
  <c r="H1113" i="20" s="1"/>
  <c r="H1114" i="20" s="1"/>
  <c r="H1115" i="20" s="1"/>
  <c r="H1116" i="20" s="1"/>
  <c r="H1117" i="20" s="1"/>
  <c r="H1118" i="20" s="1"/>
  <c r="H1119" i="20" s="1"/>
  <c r="H1120" i="20" s="1"/>
  <c r="H1121" i="20" s="1"/>
  <c r="H1122" i="20" s="1"/>
  <c r="H1123" i="20" s="1"/>
  <c r="H1124" i="20" s="1"/>
  <c r="H1125" i="20" s="1"/>
  <c r="H1126" i="20" s="1"/>
  <c r="H1127" i="20" s="1"/>
  <c r="H1128" i="20" s="1"/>
  <c r="H1129" i="20" s="1"/>
  <c r="H1130" i="20" s="1"/>
  <c r="H1131" i="20" s="1"/>
  <c r="H1132" i="20" s="1"/>
  <c r="H1133" i="20" s="1"/>
  <c r="H1134" i="20" s="1"/>
  <c r="H1135" i="20" s="1"/>
  <c r="H1136" i="20" s="1"/>
  <c r="H1137" i="20" s="1"/>
  <c r="H1138" i="20" s="1"/>
  <c r="H1139" i="20" s="1"/>
  <c r="H1140" i="20" s="1"/>
  <c r="H1141" i="20" s="1"/>
  <c r="H1142" i="20" s="1"/>
  <c r="H1143" i="20" s="1"/>
  <c r="H1144" i="20" s="1"/>
  <c r="H1145" i="20" s="1"/>
  <c r="H1146" i="20" s="1"/>
  <c r="H1147" i="20" s="1"/>
  <c r="H1148" i="20" s="1"/>
  <c r="H1149" i="20" s="1"/>
  <c r="H1150" i="20" s="1"/>
  <c r="H1151" i="20" s="1"/>
  <c r="H1152" i="20" s="1"/>
  <c r="H1153" i="20" s="1"/>
  <c r="H1154" i="20" s="1"/>
  <c r="H1155" i="20" s="1"/>
  <c r="H1156" i="20" s="1"/>
  <c r="H1157" i="20" s="1"/>
  <c r="H1158" i="20" s="1"/>
  <c r="H1159" i="20" s="1"/>
  <c r="H1160" i="20" s="1"/>
  <c r="H1161" i="20" s="1"/>
  <c r="H1162" i="20" s="1"/>
  <c r="H1163" i="20" s="1"/>
  <c r="H1164" i="20" s="1"/>
  <c r="H1165" i="20" s="1"/>
  <c r="H1166" i="20" s="1"/>
  <c r="H1167" i="20" s="1"/>
  <c r="H1168" i="20" s="1"/>
  <c r="H1169" i="20" s="1"/>
  <c r="H1170" i="20" s="1"/>
  <c r="H1171" i="20" s="1"/>
  <c r="H1172" i="20" s="1"/>
  <c r="H1173" i="20" s="1"/>
  <c r="H1174" i="20" s="1"/>
  <c r="H1175" i="20" s="1"/>
  <c r="H1176" i="20" s="1"/>
  <c r="H1177" i="20" s="1"/>
  <c r="H1178" i="20" s="1"/>
  <c r="H1179" i="20" s="1"/>
  <c r="H1180" i="20" s="1"/>
  <c r="H1181" i="20" s="1"/>
  <c r="H1182" i="20" s="1"/>
  <c r="H1183" i="20" s="1"/>
  <c r="H1184" i="20" s="1"/>
  <c r="H1185" i="20" s="1"/>
  <c r="H1186" i="20" s="1"/>
  <c r="H1187" i="20" s="1"/>
  <c r="H1188" i="20" s="1"/>
  <c r="H1189" i="20" s="1"/>
  <c r="H1190" i="20" s="1"/>
  <c r="H1191" i="20" s="1"/>
  <c r="H1192" i="20" s="1"/>
  <c r="H1193" i="20" s="1"/>
  <c r="H1194" i="20" s="1"/>
  <c r="H1195" i="20" s="1"/>
  <c r="H1196" i="20" s="1"/>
  <c r="H1197" i="20" s="1"/>
  <c r="H1198" i="20" s="1"/>
  <c r="H1199" i="20" s="1"/>
  <c r="H1200" i="20" s="1"/>
  <c r="H1201" i="20" s="1"/>
  <c r="H1202" i="20" s="1"/>
  <c r="H1203" i="20" s="1"/>
  <c r="H1204" i="20" s="1"/>
  <c r="H1205" i="20" s="1"/>
  <c r="H1206" i="20" s="1"/>
  <c r="H1207" i="20" s="1"/>
  <c r="H1208" i="20" s="1"/>
  <c r="H1209" i="20" s="1"/>
  <c r="H1210" i="20" s="1"/>
  <c r="H1211" i="20" s="1"/>
  <c r="H1212" i="20" s="1"/>
  <c r="H1213" i="20" s="1"/>
  <c r="H1214" i="20" s="1"/>
  <c r="H1215" i="20" s="1"/>
  <c r="H1216" i="20" s="1"/>
  <c r="H1217" i="20" s="1"/>
  <c r="H1218" i="20" s="1"/>
  <c r="H1219" i="20" s="1"/>
  <c r="H1220" i="20" s="1"/>
  <c r="H1221" i="20" s="1"/>
  <c r="H1222" i="20" s="1"/>
  <c r="H1223" i="20" s="1"/>
  <c r="H1224" i="20" s="1"/>
  <c r="H1225" i="20" s="1"/>
  <c r="H1226" i="20" s="1"/>
  <c r="H1227" i="20" s="1"/>
  <c r="H1228" i="20" s="1"/>
  <c r="H1229" i="20" s="1"/>
  <c r="H1230" i="20" s="1"/>
  <c r="H1231" i="20" s="1"/>
  <c r="H1232" i="20" s="1"/>
  <c r="H1233" i="20" s="1"/>
  <c r="H1234" i="20" s="1"/>
  <c r="H1235" i="20" s="1"/>
  <c r="H1236" i="20" s="1"/>
  <c r="H1237" i="20" s="1"/>
  <c r="H1238" i="20" s="1"/>
  <c r="H1239" i="20" s="1"/>
  <c r="H1240" i="20" s="1"/>
  <c r="H1241" i="20" s="1"/>
  <c r="H1242" i="20" s="1"/>
  <c r="H1243" i="20" s="1"/>
  <c r="H1244" i="20" s="1"/>
  <c r="H1245" i="20" s="1"/>
  <c r="H1246" i="20" s="1"/>
  <c r="H1247" i="20" s="1"/>
  <c r="H1248" i="20" s="1"/>
  <c r="H1249" i="20" s="1"/>
  <c r="H1250" i="20" s="1"/>
  <c r="H1251" i="20" s="1"/>
  <c r="H1252" i="20" s="1"/>
  <c r="H1253" i="20" s="1"/>
  <c r="H1254" i="20" s="1"/>
  <c r="H1255" i="20" s="1"/>
  <c r="H1256" i="20" s="1"/>
  <c r="H1257" i="20" s="1"/>
  <c r="H1258" i="20" s="1"/>
  <c r="H1259" i="20" s="1"/>
  <c r="H1260" i="20" s="1"/>
  <c r="H1261" i="20" s="1"/>
  <c r="H1262" i="20" s="1"/>
  <c r="H1263" i="20" s="1"/>
  <c r="H1264" i="20" s="1"/>
  <c r="H1265" i="20" s="1"/>
  <c r="H1266" i="20" s="1"/>
  <c r="H1267" i="20" s="1"/>
  <c r="H1268" i="20" s="1"/>
  <c r="H1269" i="20" s="1"/>
  <c r="H1270" i="20" s="1"/>
  <c r="H1271" i="20" s="1"/>
  <c r="H1272" i="20" s="1"/>
  <c r="H1273" i="20" s="1"/>
  <c r="H1274" i="20" s="1"/>
  <c r="H1275" i="20" s="1"/>
  <c r="H1276" i="20" s="1"/>
  <c r="H1277" i="20" s="1"/>
  <c r="H1278" i="20" s="1"/>
  <c r="H1279" i="20" s="1"/>
  <c r="H1280" i="20" s="1"/>
  <c r="H1281" i="20" s="1"/>
  <c r="H1282" i="20" s="1"/>
  <c r="H1283" i="20" s="1"/>
  <c r="H1284" i="20" s="1"/>
  <c r="H1285" i="20" s="1"/>
  <c r="H1286" i="20" s="1"/>
  <c r="H1287" i="20" s="1"/>
  <c r="H1288" i="20" s="1"/>
  <c r="H1289" i="20" s="1"/>
  <c r="H1290" i="20" s="1"/>
  <c r="H1291" i="20" s="1"/>
  <c r="H1292" i="20" s="1"/>
  <c r="H1293" i="20" s="1"/>
  <c r="H1294" i="20" s="1"/>
  <c r="H1295" i="20" s="1"/>
  <c r="H1296" i="20" s="1"/>
  <c r="H1297" i="20" s="1"/>
  <c r="H1298" i="20" s="1"/>
  <c r="H1299" i="20" s="1"/>
  <c r="H1300" i="20" s="1"/>
  <c r="H1301" i="20" s="1"/>
  <c r="H1302" i="20" s="1"/>
  <c r="H1303" i="20" s="1"/>
  <c r="H1304" i="20" s="1"/>
  <c r="H1305" i="20" s="1"/>
  <c r="H1306" i="20" s="1"/>
  <c r="H1307" i="20" s="1"/>
  <c r="H1308" i="20" s="1"/>
  <c r="H1309" i="20" s="1"/>
  <c r="H1310" i="20" s="1"/>
  <c r="H1311" i="20" s="1"/>
  <c r="H1312" i="20" s="1"/>
  <c r="H1313" i="20" s="1"/>
  <c r="H1314" i="20" s="1"/>
  <c r="H1315" i="20" s="1"/>
  <c r="H1316" i="20" s="1"/>
  <c r="H1317" i="20" s="1"/>
  <c r="H1318" i="20" s="1"/>
  <c r="H1319" i="20" s="1"/>
  <c r="H1320" i="20" s="1"/>
  <c r="H1321" i="20" s="1"/>
  <c r="H1322" i="20" s="1"/>
  <c r="H1323" i="20" s="1"/>
  <c r="H1324" i="20" s="1"/>
  <c r="H1325" i="20" s="1"/>
  <c r="H1326" i="20" s="1"/>
  <c r="H1327" i="20" s="1"/>
  <c r="H1328" i="20" s="1"/>
  <c r="H1329" i="20" s="1"/>
  <c r="H1330" i="20" s="1"/>
  <c r="H1331" i="20" s="1"/>
  <c r="H1332" i="20" s="1"/>
  <c r="H1333" i="20" s="1"/>
  <c r="H1334" i="20" s="1"/>
  <c r="H1335" i="20" s="1"/>
  <c r="H1336" i="20" s="1"/>
  <c r="H1337" i="20" s="1"/>
  <c r="H1338" i="20" s="1"/>
  <c r="H1339" i="20" s="1"/>
  <c r="H1340" i="20" s="1"/>
  <c r="H1341" i="20" s="1"/>
  <c r="H1342" i="20" s="1"/>
  <c r="H1343" i="20" s="1"/>
  <c r="H1344" i="20" s="1"/>
  <c r="H1345" i="20" s="1"/>
  <c r="H1346" i="20" s="1"/>
  <c r="H1347" i="20" s="1"/>
  <c r="H1348" i="20" s="1"/>
  <c r="H1349" i="20" s="1"/>
  <c r="H1350" i="20" s="1"/>
  <c r="H1351" i="20" s="1"/>
  <c r="H1352" i="20" s="1"/>
  <c r="H1353" i="20" s="1"/>
  <c r="H1354" i="20" s="1"/>
  <c r="H1355" i="20" s="1"/>
  <c r="H1356" i="20" s="1"/>
  <c r="H1357" i="20" s="1"/>
  <c r="H1358" i="20" s="1"/>
  <c r="H1359" i="20" s="1"/>
  <c r="H1360" i="20" s="1"/>
  <c r="H1361" i="20" s="1"/>
  <c r="H1362" i="20" s="1"/>
  <c r="H1363" i="20" s="1"/>
  <c r="H1364" i="20" s="1"/>
  <c r="H1365" i="20" s="1"/>
  <c r="H1366" i="20" s="1"/>
  <c r="H1367" i="20" s="1"/>
  <c r="H1368" i="20" s="1"/>
  <c r="H1369" i="20" s="1"/>
  <c r="H1370" i="20" s="1"/>
  <c r="H1371" i="20" s="1"/>
  <c r="H1372" i="20" s="1"/>
  <c r="H1373" i="20" s="1"/>
  <c r="H1374" i="20" s="1"/>
  <c r="H1375" i="20" s="1"/>
  <c r="H1376" i="20" s="1"/>
  <c r="H1377" i="20" s="1"/>
  <c r="H1378" i="20" s="1"/>
  <c r="H1379" i="20" s="1"/>
  <c r="H1380" i="20" s="1"/>
  <c r="H1381" i="20" s="1"/>
  <c r="H1382" i="20" s="1"/>
  <c r="H1383" i="20" s="1"/>
  <c r="H1384" i="20" s="1"/>
  <c r="H1385" i="20" s="1"/>
  <c r="H1386" i="20" s="1"/>
  <c r="H1387" i="20" s="1"/>
  <c r="H1388" i="20" s="1"/>
  <c r="H1389" i="20" s="1"/>
  <c r="H1390" i="20" s="1"/>
  <c r="H1391" i="20" s="1"/>
  <c r="H1392" i="20" s="1"/>
  <c r="H1393" i="20" s="1"/>
  <c r="H1394" i="20" s="1"/>
  <c r="H1395" i="20" s="1"/>
  <c r="H1396" i="20" s="1"/>
  <c r="H1397" i="20" s="1"/>
  <c r="H1398" i="20" s="1"/>
  <c r="H1399" i="20" s="1"/>
  <c r="H1400" i="20" s="1"/>
  <c r="H1401" i="20" s="1"/>
  <c r="H1402" i="20" s="1"/>
  <c r="H1403" i="20" s="1"/>
  <c r="H1404" i="20" s="1"/>
  <c r="H1405" i="20" s="1"/>
  <c r="H1406" i="20" s="1"/>
  <c r="H1407" i="20" s="1"/>
  <c r="H1408" i="20" s="1"/>
  <c r="H1409" i="20" s="1"/>
  <c r="H1410" i="20" s="1"/>
  <c r="H1411" i="20" s="1"/>
  <c r="H1412" i="20" s="1"/>
  <c r="H1413" i="20" s="1"/>
  <c r="H1414" i="20" s="1"/>
  <c r="H1415" i="20" s="1"/>
  <c r="H1416" i="20" s="1"/>
  <c r="H1417" i="20" s="1"/>
  <c r="H1418" i="20" s="1"/>
  <c r="H1419" i="20" s="1"/>
  <c r="H1420" i="20" s="1"/>
  <c r="H1421" i="20" s="1"/>
  <c r="H1422" i="20" s="1"/>
  <c r="H1423" i="20" s="1"/>
  <c r="H1424" i="20" s="1"/>
  <c r="H1425" i="20" s="1"/>
  <c r="H1426" i="20" s="1"/>
  <c r="H1427" i="20" s="1"/>
  <c r="H1428" i="20" s="1"/>
  <c r="H1429" i="20" s="1"/>
  <c r="H1430" i="20" s="1"/>
  <c r="H1431" i="20" s="1"/>
  <c r="H1432" i="20" s="1"/>
  <c r="H1433" i="20" s="1"/>
  <c r="H1434" i="20" s="1"/>
  <c r="H1435" i="20" s="1"/>
  <c r="H1436" i="20" s="1"/>
  <c r="H1437" i="20" s="1"/>
  <c r="H1438" i="20" s="1"/>
  <c r="H1439" i="20" s="1"/>
  <c r="H1440" i="20" s="1"/>
  <c r="H1441" i="20" s="1"/>
  <c r="H1442" i="20" s="1"/>
  <c r="H1443" i="20" s="1"/>
  <c r="H1444" i="20" s="1"/>
  <c r="H1445" i="20" s="1"/>
  <c r="H1446" i="20" s="1"/>
  <c r="H1447" i="20" s="1"/>
  <c r="H1448" i="20" s="1"/>
  <c r="H1449" i="20" s="1"/>
  <c r="H1450" i="20" s="1"/>
  <c r="H1451" i="20" s="1"/>
  <c r="H1452" i="20" s="1"/>
  <c r="H1453" i="20" s="1"/>
  <c r="H1454" i="20" s="1"/>
  <c r="H1455" i="20" s="1"/>
  <c r="H1456" i="20" s="1"/>
  <c r="H1457" i="20" s="1"/>
  <c r="H1458" i="20" s="1"/>
  <c r="H1459" i="20" s="1"/>
  <c r="H1460" i="20" s="1"/>
  <c r="H1461" i="20" s="1"/>
  <c r="H1462" i="20" s="1"/>
  <c r="H1463" i="20" s="1"/>
  <c r="H1464" i="20" s="1"/>
  <c r="H1465" i="20" s="1"/>
  <c r="H1466" i="20" s="1"/>
  <c r="H1467" i="20" s="1"/>
  <c r="H1468" i="20" s="1"/>
  <c r="H1469" i="20" s="1"/>
  <c r="H1470" i="20" s="1"/>
  <c r="H1471" i="20" s="1"/>
  <c r="H1472" i="20" s="1"/>
  <c r="H1473" i="20" s="1"/>
  <c r="H1474" i="20" s="1"/>
  <c r="H1475" i="20" s="1"/>
  <c r="H1476" i="20" s="1"/>
  <c r="H1477" i="20" s="1"/>
  <c r="H1478" i="20" s="1"/>
  <c r="H1479" i="20" s="1"/>
  <c r="H1480" i="20" s="1"/>
  <c r="H1481" i="20" s="1"/>
  <c r="H1482" i="20" s="1"/>
  <c r="H1483" i="20" s="1"/>
  <c r="H1484" i="20" s="1"/>
  <c r="H1485" i="20" s="1"/>
  <c r="H1486" i="20" s="1"/>
  <c r="H1487" i="20" s="1"/>
  <c r="H1488" i="20" s="1"/>
  <c r="H1489" i="20" s="1"/>
  <c r="H1490" i="20" s="1"/>
  <c r="H1491" i="20" s="1"/>
  <c r="H1492" i="20" s="1"/>
  <c r="H1493" i="20" s="1"/>
  <c r="H1494" i="20" s="1"/>
  <c r="H1495" i="20" s="1"/>
  <c r="H1496" i="20" s="1"/>
  <c r="H1497" i="20" s="1"/>
  <c r="H1498" i="20" s="1"/>
  <c r="H1499" i="20" s="1"/>
  <c r="H1500" i="20" s="1"/>
  <c r="H1501" i="20" s="1"/>
  <c r="H1502" i="20" s="1"/>
  <c r="H1503" i="20" s="1"/>
  <c r="H1504" i="20" s="1"/>
  <c r="H1505" i="20" s="1"/>
  <c r="H1506" i="20" s="1"/>
  <c r="H1507" i="20" s="1"/>
  <c r="H1508" i="20" s="1"/>
  <c r="H1509" i="20" s="1"/>
  <c r="H1510" i="20" s="1"/>
  <c r="H1511" i="20" s="1"/>
  <c r="H1512" i="20" s="1"/>
  <c r="H1513" i="20" s="1"/>
  <c r="H1514" i="20" s="1"/>
  <c r="H1515" i="20" s="1"/>
  <c r="H1516" i="20" s="1"/>
  <c r="H1517" i="20" s="1"/>
  <c r="H1518" i="20" s="1"/>
  <c r="H1519" i="20" s="1"/>
  <c r="H1520" i="20" s="1"/>
  <c r="H1521" i="20" s="1"/>
  <c r="H1522" i="20" s="1"/>
  <c r="H1523" i="20" s="1"/>
  <c r="H1524" i="20" s="1"/>
  <c r="H1525" i="20" s="1"/>
  <c r="H1526" i="20" s="1"/>
  <c r="H1527" i="20" s="1"/>
  <c r="H1528" i="20" s="1"/>
  <c r="H1529" i="20" s="1"/>
  <c r="H1530" i="20" s="1"/>
  <c r="H1531" i="20" s="1"/>
  <c r="H1532" i="20" s="1"/>
  <c r="H1533" i="20" s="1"/>
  <c r="H1534" i="20" s="1"/>
  <c r="H1535" i="20" s="1"/>
  <c r="H1536" i="20" s="1"/>
  <c r="H1537" i="20" s="1"/>
  <c r="H1538" i="20" s="1"/>
  <c r="H1539" i="20" s="1"/>
  <c r="H1540" i="20" s="1"/>
  <c r="H1541" i="20" s="1"/>
  <c r="H1542" i="20" s="1"/>
  <c r="H1543" i="20" s="1"/>
  <c r="H1544" i="20" s="1"/>
  <c r="H1545" i="20" s="1"/>
  <c r="H1546" i="20" s="1"/>
  <c r="H1547" i="20" s="1"/>
  <c r="H1548" i="20" s="1"/>
  <c r="H1549" i="20" s="1"/>
  <c r="H1550" i="20" s="1"/>
  <c r="H1551" i="20" s="1"/>
  <c r="H1552" i="20" s="1"/>
  <c r="H1553" i="20" s="1"/>
  <c r="H1554" i="20" s="1"/>
  <c r="H1555" i="20" s="1"/>
  <c r="H1556" i="20" s="1"/>
  <c r="H1557" i="20" s="1"/>
  <c r="H1558" i="20" s="1"/>
  <c r="H1559" i="20" s="1"/>
  <c r="H1560" i="20" s="1"/>
  <c r="H1561" i="20" s="1"/>
  <c r="H1562" i="20" s="1"/>
  <c r="H1563" i="20" s="1"/>
  <c r="H1564" i="20" s="1"/>
  <c r="H1565" i="20" s="1"/>
  <c r="H1566" i="20" s="1"/>
  <c r="H1567" i="20" s="1"/>
  <c r="H1568" i="20" s="1"/>
  <c r="H1569" i="20" s="1"/>
  <c r="H1570" i="20" s="1"/>
  <c r="H1571" i="20" s="1"/>
  <c r="H1572" i="20" s="1"/>
  <c r="H1573" i="20" s="1"/>
  <c r="H1574" i="20" s="1"/>
  <c r="H1575" i="20" s="1"/>
  <c r="H1576" i="20" s="1"/>
  <c r="H1577" i="20" s="1"/>
  <c r="H1578" i="20" s="1"/>
  <c r="H1579" i="20" s="1"/>
  <c r="H1580" i="20" s="1"/>
  <c r="H1581" i="20" s="1"/>
  <c r="H1582" i="20" s="1"/>
  <c r="H1583" i="20" s="1"/>
  <c r="H1584" i="20" s="1"/>
  <c r="H1585" i="20" s="1"/>
  <c r="H1586" i="20" s="1"/>
  <c r="H1587" i="20" s="1"/>
  <c r="H1588" i="20" s="1"/>
  <c r="H1589" i="20" s="1"/>
  <c r="H1590" i="20" s="1"/>
  <c r="H1591" i="20" s="1"/>
  <c r="H1592" i="20" s="1"/>
  <c r="H1593" i="20" s="1"/>
  <c r="H1594" i="20" s="1"/>
  <c r="H1595" i="20" s="1"/>
  <c r="H1596" i="20" s="1"/>
  <c r="H1597" i="20" s="1"/>
  <c r="H1598" i="20" s="1"/>
  <c r="H1599" i="20" s="1"/>
  <c r="H1600" i="20" s="1"/>
  <c r="H1601" i="20" s="1"/>
  <c r="H1602" i="20" s="1"/>
  <c r="H1603" i="20" s="1"/>
  <c r="H1604" i="20" s="1"/>
  <c r="H1605" i="20" s="1"/>
  <c r="H1606" i="20" s="1"/>
  <c r="H1607" i="20" s="1"/>
  <c r="H1608" i="20" s="1"/>
  <c r="H1609" i="20" s="1"/>
  <c r="H1610" i="20" s="1"/>
  <c r="H1611" i="20" s="1"/>
  <c r="H1612" i="20" s="1"/>
  <c r="H1613" i="20" s="1"/>
  <c r="H1614" i="20" s="1"/>
  <c r="H1615" i="20" s="1"/>
  <c r="H1616" i="20" s="1"/>
  <c r="H1617" i="20" s="1"/>
  <c r="H1618" i="20" s="1"/>
  <c r="H1619" i="20" s="1"/>
  <c r="H1620" i="20" s="1"/>
  <c r="H1621" i="20" s="1"/>
  <c r="H1622" i="20" s="1"/>
  <c r="H1623" i="20" s="1"/>
  <c r="H1624" i="20" s="1"/>
  <c r="H1625" i="20" s="1"/>
  <c r="H1626" i="20" s="1"/>
  <c r="H1627" i="20" s="1"/>
  <c r="H1628" i="20" s="1"/>
  <c r="H1629" i="20" s="1"/>
  <c r="H1630" i="20" s="1"/>
  <c r="H1631" i="20" s="1"/>
  <c r="H1632" i="20" s="1"/>
  <c r="H1633" i="20" s="1"/>
  <c r="H1634" i="20" s="1"/>
  <c r="H1635" i="20" s="1"/>
  <c r="H1636" i="20" s="1"/>
  <c r="H1637" i="20" s="1"/>
  <c r="H1638" i="20" s="1"/>
  <c r="H1639" i="20" s="1"/>
  <c r="H1640" i="20" s="1"/>
  <c r="H1641" i="20" s="1"/>
  <c r="H1642" i="20" s="1"/>
  <c r="H1643" i="20" s="1"/>
  <c r="H1644" i="20" s="1"/>
  <c r="H1645" i="20" s="1"/>
  <c r="H1646" i="20" s="1"/>
  <c r="H1647" i="20" s="1"/>
  <c r="H1648" i="20" s="1"/>
  <c r="H1649" i="20" s="1"/>
  <c r="H1650" i="20" s="1"/>
  <c r="H1651" i="20" s="1"/>
  <c r="H1652" i="20" s="1"/>
  <c r="H1653" i="20" s="1"/>
  <c r="H1654" i="20" s="1"/>
  <c r="H1655" i="20" s="1"/>
  <c r="H1656" i="20" s="1"/>
  <c r="H1657" i="20" s="1"/>
  <c r="H1658" i="20" s="1"/>
  <c r="H1659" i="20" s="1"/>
  <c r="H1660" i="20" s="1"/>
  <c r="H1661" i="20" s="1"/>
  <c r="H1662" i="20" s="1"/>
  <c r="H1663" i="20" s="1"/>
  <c r="H1664" i="20" s="1"/>
  <c r="H1665" i="20" s="1"/>
  <c r="H1666" i="20" s="1"/>
  <c r="H1667" i="20" s="1"/>
  <c r="H1668" i="20" s="1"/>
  <c r="H1669" i="20" s="1"/>
  <c r="H1670" i="20" s="1"/>
  <c r="H1671" i="20" s="1"/>
  <c r="H1672" i="20" s="1"/>
  <c r="H1673" i="20" s="1"/>
  <c r="H1674" i="20" s="1"/>
  <c r="H1675" i="20" s="1"/>
  <c r="H1676" i="20" s="1"/>
  <c r="H1677" i="20" s="1"/>
  <c r="H1678" i="20" s="1"/>
  <c r="H1679" i="20" s="1"/>
  <c r="H1680" i="20" s="1"/>
  <c r="H1681" i="20" s="1"/>
  <c r="H1682" i="20" s="1"/>
  <c r="H1683" i="20" s="1"/>
  <c r="H1684" i="20" s="1"/>
  <c r="H1685" i="20" s="1"/>
  <c r="H1686" i="20" s="1"/>
  <c r="H1687" i="20" s="1"/>
  <c r="H1688" i="20" s="1"/>
  <c r="H1689" i="20" s="1"/>
  <c r="H1690" i="20" s="1"/>
  <c r="H1691" i="20" s="1"/>
  <c r="H1692" i="20" s="1"/>
  <c r="H1693" i="20" s="1"/>
  <c r="H1694" i="20" s="1"/>
  <c r="H1695" i="20" s="1"/>
  <c r="H1696" i="20" s="1"/>
  <c r="H1697" i="20" s="1"/>
  <c r="H1698" i="20" s="1"/>
  <c r="H1699" i="20" s="1"/>
  <c r="H1700" i="20" s="1"/>
  <c r="H1701" i="20" s="1"/>
  <c r="H1702" i="20" s="1"/>
  <c r="H1703" i="20" s="1"/>
  <c r="H1704" i="20" s="1"/>
  <c r="H1705" i="20" s="1"/>
  <c r="H1706" i="20" s="1"/>
  <c r="H1707" i="20" s="1"/>
  <c r="H1708" i="20" s="1"/>
  <c r="H1709" i="20" s="1"/>
  <c r="H1710" i="20" s="1"/>
  <c r="H1711" i="20" s="1"/>
  <c r="H1712" i="20" s="1"/>
  <c r="H1713" i="20" s="1"/>
  <c r="H1714" i="20" s="1"/>
  <c r="H1715" i="20" s="1"/>
  <c r="H1716" i="20" s="1"/>
  <c r="H1717" i="20" s="1"/>
  <c r="H1718" i="20" s="1"/>
  <c r="H1719" i="20" s="1"/>
  <c r="H1720" i="20" s="1"/>
  <c r="H1721" i="20" s="1"/>
  <c r="H1722" i="20" s="1"/>
  <c r="H1723" i="20" s="1"/>
  <c r="H1724" i="20" s="1"/>
  <c r="H1725" i="20" s="1"/>
  <c r="H1726" i="20" s="1"/>
  <c r="H1727" i="20" s="1"/>
  <c r="H1728" i="20" s="1"/>
  <c r="H1729" i="20" s="1"/>
  <c r="H1730" i="20" s="1"/>
  <c r="H1731" i="20" s="1"/>
  <c r="H1732" i="20" s="1"/>
  <c r="H1733" i="20" s="1"/>
  <c r="H1734" i="20" s="1"/>
  <c r="H1735" i="20" s="1"/>
  <c r="H1736" i="20" s="1"/>
  <c r="H1737" i="20" s="1"/>
  <c r="H1738" i="20" s="1"/>
  <c r="H1739" i="20" s="1"/>
  <c r="H1740" i="20" s="1"/>
  <c r="H1741" i="20" s="1"/>
  <c r="H1742" i="20" s="1"/>
  <c r="H1743" i="20" s="1"/>
  <c r="H1744" i="20" s="1"/>
  <c r="H1745" i="20" s="1"/>
  <c r="H1746" i="20" s="1"/>
  <c r="H1747" i="20" s="1"/>
  <c r="H1748" i="20" s="1"/>
  <c r="H1749" i="20" s="1"/>
  <c r="H1750" i="20" s="1"/>
  <c r="H1751" i="20" s="1"/>
  <c r="H1752" i="20" s="1"/>
  <c r="H1753" i="20" s="1"/>
  <c r="H1754" i="20" s="1"/>
  <c r="H1755" i="20" s="1"/>
  <c r="H1756" i="20" s="1"/>
  <c r="H1757" i="20" s="1"/>
  <c r="H1758" i="20" s="1"/>
  <c r="H1759" i="20" s="1"/>
  <c r="H1760" i="20" s="1"/>
  <c r="H1761" i="20" s="1"/>
  <c r="H1762" i="20" s="1"/>
  <c r="H1763" i="20" s="1"/>
  <c r="H1764" i="20" s="1"/>
  <c r="H1765" i="20" s="1"/>
  <c r="H1766" i="20" s="1"/>
  <c r="H1767" i="20" s="1"/>
  <c r="H1768" i="20" s="1"/>
  <c r="H1769" i="20" s="1"/>
  <c r="H1770" i="20" s="1"/>
  <c r="H1771" i="20" s="1"/>
  <c r="H1772" i="20" s="1"/>
  <c r="H1773" i="20" s="1"/>
  <c r="H1774" i="20" s="1"/>
  <c r="H1775" i="20" s="1"/>
  <c r="H1776" i="20" s="1"/>
  <c r="H1777" i="20" s="1"/>
  <c r="H1778" i="20" s="1"/>
  <c r="H1779" i="20" s="1"/>
  <c r="H1780" i="20" s="1"/>
  <c r="H1781" i="20" s="1"/>
  <c r="H1782" i="20" s="1"/>
  <c r="H1783" i="20" s="1"/>
  <c r="H1784" i="20" s="1"/>
  <c r="H1785" i="20" s="1"/>
  <c r="H1786" i="20" s="1"/>
  <c r="H1787" i="20" s="1"/>
  <c r="H1788" i="20" s="1"/>
  <c r="H1789" i="20" s="1"/>
  <c r="H1790" i="20" s="1"/>
  <c r="H1791" i="20" s="1"/>
  <c r="H1792" i="20" s="1"/>
  <c r="H1793" i="20" s="1"/>
  <c r="H1794" i="20" s="1"/>
  <c r="H1795" i="20" s="1"/>
  <c r="H1796" i="20" s="1"/>
  <c r="H1797" i="20" s="1"/>
  <c r="H1798" i="20" s="1"/>
  <c r="H1799" i="20" s="1"/>
  <c r="H1800" i="20" s="1"/>
  <c r="H1801" i="20" s="1"/>
  <c r="H1802" i="20" s="1"/>
  <c r="H1803" i="20" s="1"/>
  <c r="H1804" i="20" s="1"/>
  <c r="H1805" i="20" s="1"/>
  <c r="H1806" i="20" s="1"/>
  <c r="H1807" i="20" s="1"/>
  <c r="H1808" i="20" s="1"/>
  <c r="H1809" i="20" s="1"/>
  <c r="H1810" i="20" s="1"/>
  <c r="H1811" i="20" s="1"/>
  <c r="H1812" i="20" s="1"/>
  <c r="H1813" i="20" s="1"/>
  <c r="H1814" i="20" s="1"/>
  <c r="H1815" i="20" s="1"/>
  <c r="H1816" i="20" s="1"/>
  <c r="H1817" i="20" s="1"/>
  <c r="H1818" i="20" s="1"/>
  <c r="H1819" i="20" s="1"/>
  <c r="H1820" i="20" s="1"/>
  <c r="H1821" i="20" s="1"/>
  <c r="H1822" i="20" s="1"/>
  <c r="H1823" i="20" s="1"/>
  <c r="H1824" i="20" s="1"/>
  <c r="H1825" i="20" s="1"/>
  <c r="H1826" i="20" s="1"/>
  <c r="H1827" i="20" s="1"/>
  <c r="H1828" i="20" s="1"/>
  <c r="H1829" i="20" s="1"/>
  <c r="H1830" i="20" s="1"/>
  <c r="H1831" i="20" s="1"/>
  <c r="H1832" i="20" s="1"/>
  <c r="H1833" i="20" s="1"/>
  <c r="H1834" i="20" s="1"/>
  <c r="H1835" i="20" s="1"/>
  <c r="H1836" i="20" s="1"/>
  <c r="H1837" i="20" s="1"/>
  <c r="H1838" i="20" s="1"/>
  <c r="H1839" i="20" s="1"/>
  <c r="H1840" i="20" s="1"/>
  <c r="H1841" i="20" s="1"/>
  <c r="H1842" i="20" s="1"/>
  <c r="H1843" i="20" s="1"/>
  <c r="H1844" i="20" s="1"/>
  <c r="H1845" i="20" s="1"/>
  <c r="H1846" i="20" s="1"/>
  <c r="H1847" i="20" s="1"/>
  <c r="H1848" i="20" s="1"/>
  <c r="H1849" i="20" s="1"/>
  <c r="H1850" i="20" s="1"/>
  <c r="H1851" i="20" s="1"/>
  <c r="H1852" i="20" s="1"/>
  <c r="H1853" i="20" s="1"/>
  <c r="H1854" i="20" s="1"/>
  <c r="H1855" i="20" s="1"/>
  <c r="H1856" i="20" s="1"/>
  <c r="H1857" i="20" s="1"/>
  <c r="H1858" i="20" s="1"/>
  <c r="H1859" i="20" s="1"/>
  <c r="H1860" i="20" s="1"/>
  <c r="H1861" i="20" s="1"/>
  <c r="H1862" i="20" s="1"/>
  <c r="H1863" i="20" s="1"/>
  <c r="H1864" i="20" s="1"/>
  <c r="H1865" i="20" s="1"/>
  <c r="H1866" i="20" s="1"/>
  <c r="H1867" i="20" s="1"/>
  <c r="H1868" i="20" s="1"/>
  <c r="H1869" i="20" s="1"/>
  <c r="H1870" i="20" s="1"/>
  <c r="H1871" i="20" s="1"/>
  <c r="H1872" i="20" s="1"/>
  <c r="H1873" i="20" s="1"/>
  <c r="H1874" i="20" s="1"/>
  <c r="H1875" i="20" s="1"/>
  <c r="H1876" i="20" s="1"/>
  <c r="H1877" i="20" s="1"/>
  <c r="H1878" i="20" s="1"/>
  <c r="H1879" i="20" s="1"/>
  <c r="H1880" i="20" s="1"/>
  <c r="H1881" i="20" s="1"/>
  <c r="H1882" i="20" s="1"/>
  <c r="H1883" i="20" s="1"/>
  <c r="H1884" i="20" s="1"/>
  <c r="H1885" i="20" s="1"/>
  <c r="H1886" i="20" s="1"/>
  <c r="H1887" i="20" s="1"/>
  <c r="H1888" i="20" s="1"/>
  <c r="H1889" i="20" s="1"/>
  <c r="H1890" i="20" s="1"/>
  <c r="H1891" i="20" s="1"/>
  <c r="H1892" i="20" s="1"/>
  <c r="H1893" i="20" s="1"/>
  <c r="H1894" i="20" s="1"/>
  <c r="H1895" i="20" s="1"/>
  <c r="H1896" i="20" s="1"/>
  <c r="H1897" i="20" s="1"/>
  <c r="H1898" i="20" s="1"/>
  <c r="H1899" i="20" s="1"/>
  <c r="H1900" i="20" s="1"/>
  <c r="H1901" i="20" s="1"/>
  <c r="H1902" i="20" s="1"/>
  <c r="H1903" i="20" s="1"/>
  <c r="H1904" i="20" s="1"/>
  <c r="H1905" i="20" s="1"/>
  <c r="H1906" i="20" s="1"/>
  <c r="H1907" i="20" s="1"/>
  <c r="H1908" i="20" s="1"/>
  <c r="H1909" i="20" s="1"/>
  <c r="H1910" i="20" s="1"/>
  <c r="H1911" i="20" s="1"/>
  <c r="H1912" i="20" s="1"/>
  <c r="H1913" i="20" s="1"/>
  <c r="H1914" i="20" s="1"/>
  <c r="H1915" i="20" s="1"/>
  <c r="H1916" i="20" s="1"/>
  <c r="H1917" i="20" s="1"/>
  <c r="H1918" i="20" s="1"/>
  <c r="H1919" i="20" s="1"/>
  <c r="H1920" i="20" s="1"/>
  <c r="H1921" i="20" s="1"/>
  <c r="H1922" i="20" s="1"/>
  <c r="H1923" i="20" s="1"/>
  <c r="H1924" i="20" s="1"/>
  <c r="H1925" i="20" s="1"/>
  <c r="H1926" i="20" s="1"/>
  <c r="H1927" i="20" s="1"/>
  <c r="H1928" i="20" s="1"/>
  <c r="H1929" i="20" s="1"/>
  <c r="H1930" i="20" s="1"/>
  <c r="H1931" i="20" s="1"/>
  <c r="H1932" i="20" s="1"/>
  <c r="H1933" i="20" s="1"/>
  <c r="H1934" i="20" s="1"/>
  <c r="H1935" i="20" s="1"/>
  <c r="H1936" i="20" s="1"/>
  <c r="H1937" i="20" s="1"/>
  <c r="H1938" i="20" s="1"/>
  <c r="H1939" i="20" s="1"/>
  <c r="H1940" i="20" s="1"/>
  <c r="H1941" i="20" s="1"/>
  <c r="H1942" i="20" s="1"/>
  <c r="H1943" i="20" s="1"/>
  <c r="H1944" i="20" s="1"/>
  <c r="H1945" i="20" s="1"/>
  <c r="H1946" i="20" s="1"/>
  <c r="H1947" i="20" s="1"/>
  <c r="H1948" i="20" s="1"/>
  <c r="H1949" i="20" s="1"/>
  <c r="H1950" i="20" s="1"/>
  <c r="H1951" i="20" s="1"/>
  <c r="H1952" i="20" s="1"/>
  <c r="H1953" i="20" s="1"/>
  <c r="H1954" i="20" s="1"/>
  <c r="H1955" i="20" s="1"/>
  <c r="H1956" i="20" s="1"/>
  <c r="H1957" i="20" s="1"/>
  <c r="H1958" i="20" s="1"/>
  <c r="H1959" i="20" s="1"/>
  <c r="H1960" i="20" s="1"/>
  <c r="H1961" i="20" s="1"/>
  <c r="H1962" i="20" s="1"/>
  <c r="H1963" i="20" s="1"/>
  <c r="H1964" i="20" s="1"/>
  <c r="H1965" i="20" s="1"/>
  <c r="H1966" i="20" s="1"/>
  <c r="H1967" i="20" s="1"/>
  <c r="H1968" i="20" s="1"/>
  <c r="H1969" i="20" s="1"/>
  <c r="H1970" i="20" s="1"/>
  <c r="H1971" i="20" s="1"/>
  <c r="H1972" i="20" s="1"/>
  <c r="H1973" i="20" s="1"/>
  <c r="H1974" i="20" s="1"/>
  <c r="H1975" i="20" s="1"/>
  <c r="H1976" i="20" s="1"/>
  <c r="H1977" i="20" s="1"/>
  <c r="H1978" i="20" s="1"/>
  <c r="H1979" i="20" s="1"/>
  <c r="H1980" i="20" s="1"/>
  <c r="H1981" i="20" s="1"/>
  <c r="H1982" i="20" s="1"/>
  <c r="H1983" i="20" s="1"/>
  <c r="H1984" i="20" s="1"/>
  <c r="H1985" i="20" s="1"/>
  <c r="H1986" i="20" s="1"/>
  <c r="H1987" i="20" s="1"/>
  <c r="H1988" i="20" s="1"/>
  <c r="H1989" i="20" s="1"/>
  <c r="H1990" i="20" s="1"/>
  <c r="H1991" i="20" s="1"/>
  <c r="H1992" i="20" s="1"/>
  <c r="H1993" i="20" s="1"/>
  <c r="H1994" i="20" s="1"/>
  <c r="H1995" i="20" s="1"/>
  <c r="H1996" i="20" s="1"/>
  <c r="H1997" i="20" s="1"/>
  <c r="H1998" i="20" s="1"/>
  <c r="H1999" i="20" s="1"/>
  <c r="H2000" i="20" s="1"/>
  <c r="H2001" i="20" s="1"/>
  <c r="H2002" i="20" s="1"/>
  <c r="H2003" i="20" s="1"/>
  <c r="H2004" i="20" s="1"/>
  <c r="H2005" i="20" s="1"/>
  <c r="H2006" i="20" s="1"/>
  <c r="H2007" i="20" s="1"/>
  <c r="H2008" i="20" s="1"/>
  <c r="H2009" i="20" s="1"/>
  <c r="H2010" i="20" s="1"/>
  <c r="H2011" i="20" s="1"/>
  <c r="H2012" i="20" s="1"/>
  <c r="H2013" i="20" s="1"/>
  <c r="H2014" i="20" s="1"/>
  <c r="H2015" i="20" s="1"/>
  <c r="H2016" i="20" s="1"/>
  <c r="H2017" i="20" s="1"/>
  <c r="H2018" i="20" s="1"/>
  <c r="H2019" i="20" s="1"/>
  <c r="H2020" i="20" s="1"/>
  <c r="H2021" i="20" s="1"/>
  <c r="H2022" i="20" s="1"/>
  <c r="H2023" i="20" s="1"/>
  <c r="H2024" i="20" s="1"/>
  <c r="H2025" i="20" s="1"/>
  <c r="H2026" i="20" s="1"/>
  <c r="H2027" i="20" s="1"/>
  <c r="H2028" i="20" s="1"/>
  <c r="H2029" i="20" s="1"/>
  <c r="H2030" i="20" s="1"/>
  <c r="H2031" i="20" s="1"/>
  <c r="H2032" i="20" s="1"/>
  <c r="H2033" i="20" s="1"/>
  <c r="H2034" i="20" s="1"/>
  <c r="H2035" i="20" s="1"/>
  <c r="H2036" i="20" s="1"/>
  <c r="H2037" i="20" s="1"/>
  <c r="H2038" i="20" s="1"/>
  <c r="H2039" i="20" s="1"/>
  <c r="H2040" i="20" s="1"/>
  <c r="H2041" i="20" s="1"/>
  <c r="H2042" i="20" s="1"/>
  <c r="H2043" i="20" s="1"/>
  <c r="H2044" i="20" s="1"/>
  <c r="H2045" i="20" s="1"/>
  <c r="H2046" i="20" s="1"/>
  <c r="G1581" i="1"/>
  <c r="H8" i="10" l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l="1"/>
  <c r="H95" i="10" s="1"/>
  <c r="H96" i="10" s="1"/>
  <c r="H97" i="10" s="1"/>
  <c r="H98" i="10" s="1"/>
  <c r="H99" i="10" s="1"/>
  <c r="H100" i="10" s="1"/>
  <c r="H101" i="10" s="1"/>
  <c r="H102" i="10" s="1"/>
  <c r="C21" i="7"/>
  <c r="H22" i="7" l="1"/>
  <c r="G42" i="28"/>
  <c r="J41" i="28" s="1"/>
  <c r="G8" i="28"/>
  <c r="J7" i="28" s="1"/>
  <c r="H103" i="10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H123" i="10" s="1"/>
  <c r="H124" i="10" s="1"/>
  <c r="H125" i="10" s="1"/>
  <c r="H126" i="10" s="1"/>
  <c r="H127" i="10" s="1"/>
  <c r="H128" i="10" s="1"/>
  <c r="H129" i="10" s="1"/>
  <c r="H130" i="10" s="1"/>
  <c r="H131" i="10" s="1"/>
  <c r="H132" i="10" s="1"/>
  <c r="H133" i="10" s="1"/>
  <c r="H134" i="10" s="1"/>
  <c r="H135" i="10" s="1"/>
  <c r="H136" i="10" s="1"/>
  <c r="H137" i="10" l="1"/>
  <c r="H138" i="10" s="1"/>
  <c r="H139" i="10" s="1"/>
  <c r="H140" i="10" l="1"/>
  <c r="H141" i="10" s="1"/>
  <c r="H142" i="10" s="1"/>
  <c r="H143" i="10" s="1"/>
  <c r="H144" i="10" s="1"/>
  <c r="H145" i="10" s="1"/>
  <c r="H146" i="10" s="1"/>
  <c r="H147" i="10" s="1"/>
  <c r="H148" i="10" s="1"/>
  <c r="H149" i="10" s="1"/>
  <c r="H150" i="10" s="1"/>
  <c r="H151" i="10" s="1"/>
  <c r="H152" i="10" s="1"/>
  <c r="H153" i="10" s="1"/>
  <c r="H154" i="10" s="1"/>
  <c r="H155" i="10" s="1"/>
  <c r="H156" i="10" s="1"/>
  <c r="H157" i="10" s="1"/>
  <c r="H158" i="10" s="1"/>
  <c r="H159" i="10" s="1"/>
  <c r="H160" i="10" s="1"/>
  <c r="H161" i="10" s="1"/>
  <c r="H162" i="10" s="1"/>
  <c r="H163" i="10" s="1"/>
  <c r="H164" i="10" s="1"/>
  <c r="H165" i="10" s="1"/>
  <c r="H166" i="10" s="1"/>
  <c r="H167" i="10" s="1"/>
  <c r="H168" i="10" s="1"/>
  <c r="H169" i="10" s="1"/>
  <c r="H170" i="10" s="1"/>
  <c r="H171" i="10" s="1"/>
  <c r="H172" i="10" s="1"/>
  <c r="H173" i="10" s="1"/>
  <c r="H174" i="10" s="1"/>
  <c r="H175" i="10" s="1"/>
  <c r="H176" i="10" s="1"/>
  <c r="H177" i="10" s="1"/>
  <c r="H178" i="10" s="1"/>
  <c r="H179" i="10" s="1"/>
  <c r="H180" i="10" s="1"/>
  <c r="H181" i="10" s="1"/>
  <c r="H182" i="10" s="1"/>
  <c r="H183" i="10" s="1"/>
  <c r="H184" i="10" s="1"/>
  <c r="H185" i="10" s="1"/>
  <c r="H186" i="10" s="1"/>
  <c r="H187" i="10" s="1"/>
  <c r="H188" i="10" s="1"/>
  <c r="H189" i="10" s="1"/>
  <c r="H190" i="10" s="1"/>
  <c r="H191" i="10" s="1"/>
  <c r="H192" i="10" s="1"/>
  <c r="H193" i="10" s="1"/>
  <c r="H194" i="10" s="1"/>
  <c r="H195" i="10" s="1"/>
  <c r="H196" i="10" s="1"/>
  <c r="H197" i="10" s="1"/>
  <c r="H198" i="10" s="1"/>
  <c r="H199" i="10" s="1"/>
  <c r="H200" i="10" s="1"/>
  <c r="H201" i="10" s="1"/>
  <c r="H202" i="10" s="1"/>
  <c r="H203" i="10" s="1"/>
  <c r="H204" i="10" s="1"/>
  <c r="H205" i="10" s="1"/>
  <c r="H206" i="10" s="1"/>
  <c r="H207" i="10" s="1"/>
  <c r="H208" i="10" s="1"/>
  <c r="H209" i="10" s="1"/>
  <c r="H210" i="10" s="1"/>
  <c r="H211" i="10" s="1"/>
  <c r="H212" i="10" s="1"/>
  <c r="H213" i="10" s="1"/>
  <c r="H214" i="10" s="1"/>
  <c r="H215" i="10" s="1"/>
  <c r="H216" i="10" s="1"/>
  <c r="H217" i="10" s="1"/>
  <c r="H218" i="10" s="1"/>
  <c r="H219" i="10" s="1"/>
  <c r="H220" i="10" s="1"/>
  <c r="H221" i="10" s="1"/>
  <c r="H222" i="10" s="1"/>
  <c r="H223" i="10" s="1"/>
  <c r="H224" i="10" s="1"/>
  <c r="H225" i="10" s="1"/>
  <c r="H226" i="10" s="1"/>
  <c r="H227" i="10" s="1"/>
  <c r="H228" i="10" s="1"/>
  <c r="H229" i="10" s="1"/>
  <c r="H230" i="10" s="1"/>
  <c r="H231" i="10" s="1"/>
  <c r="H232" i="10" s="1"/>
  <c r="H233" i="10" s="1"/>
  <c r="H234" i="10" s="1"/>
  <c r="H235" i="10" s="1"/>
  <c r="H236" i="10" s="1"/>
  <c r="H237" i="10" s="1"/>
  <c r="H238" i="10" s="1"/>
  <c r="H239" i="10" s="1"/>
  <c r="H240" i="10" s="1"/>
  <c r="H241" i="10" s="1"/>
  <c r="H242" i="10" s="1"/>
  <c r="H243" i="10" s="1"/>
  <c r="H244" i="10" s="1"/>
  <c r="H245" i="10" s="1"/>
  <c r="H246" i="10" s="1"/>
  <c r="H247" i="10" s="1"/>
  <c r="H248" i="10" s="1"/>
  <c r="H249" i="10" s="1"/>
  <c r="H250" i="10" s="1"/>
  <c r="H251" i="10" s="1"/>
  <c r="H252" i="10" s="1"/>
  <c r="H253" i="10" s="1"/>
  <c r="H254" i="10" s="1"/>
  <c r="H255" i="10" s="1"/>
  <c r="H256" i="10" s="1"/>
  <c r="H257" i="10" s="1"/>
  <c r="H258" i="10" s="1"/>
  <c r="H259" i="10" s="1"/>
  <c r="H260" i="10" s="1"/>
  <c r="H261" i="10" s="1"/>
  <c r="H262" i="10" s="1"/>
  <c r="H263" i="10" s="1"/>
  <c r="H264" i="10" s="1"/>
  <c r="H265" i="10" s="1"/>
  <c r="H266" i="10" s="1"/>
  <c r="H267" i="10" s="1"/>
  <c r="H268" i="10" s="1"/>
  <c r="H269" i="10" s="1"/>
  <c r="H270" i="10" s="1"/>
  <c r="H271" i="10" s="1"/>
  <c r="H272" i="10" s="1"/>
  <c r="H273" i="10" s="1"/>
  <c r="H274" i="10" s="1"/>
  <c r="H275" i="10" s="1"/>
  <c r="H276" i="10" s="1"/>
  <c r="H277" i="10" s="1"/>
  <c r="H278" i="10" s="1"/>
  <c r="H279" i="10" s="1"/>
  <c r="H280" i="10" s="1"/>
  <c r="H281" i="10" s="1"/>
  <c r="H282" i="10" s="1"/>
  <c r="H283" i="10" s="1"/>
  <c r="H284" i="10" s="1"/>
  <c r="H285" i="10" s="1"/>
  <c r="H286" i="10" s="1"/>
  <c r="H287" i="10" s="1"/>
  <c r="H288" i="10" s="1"/>
  <c r="H289" i="10" s="1"/>
  <c r="H290" i="10" s="1"/>
  <c r="H291" i="10" s="1"/>
  <c r="H292" i="10" s="1"/>
  <c r="H293" i="10" s="1"/>
  <c r="H294" i="10" s="1"/>
  <c r="H295" i="10" s="1"/>
  <c r="H296" i="10" s="1"/>
  <c r="H297" i="10" s="1"/>
  <c r="H298" i="10" s="1"/>
  <c r="H299" i="10" s="1"/>
  <c r="H300" i="10" s="1"/>
  <c r="H301" i="10" s="1"/>
  <c r="H302" i="10" s="1"/>
  <c r="H303" i="10" s="1"/>
  <c r="H304" i="10" s="1"/>
  <c r="H305" i="10" s="1"/>
  <c r="H306" i="10" s="1"/>
  <c r="H307" i="10" s="1"/>
  <c r="H308" i="10" s="1"/>
  <c r="H309" i="10" s="1"/>
  <c r="H310" i="10" s="1"/>
  <c r="H311" i="10" s="1"/>
  <c r="H312" i="10" s="1"/>
  <c r="H313" i="10" s="1"/>
  <c r="H314" i="10" s="1"/>
  <c r="H315" i="10" s="1"/>
  <c r="H316" i="10" s="1"/>
  <c r="H317" i="10" s="1"/>
  <c r="H318" i="10" s="1"/>
  <c r="H319" i="10" s="1"/>
  <c r="H320" i="10" s="1"/>
  <c r="H321" i="10" s="1"/>
  <c r="H322" i="10" s="1"/>
  <c r="H323" i="10" s="1"/>
  <c r="H324" i="10" s="1"/>
  <c r="H325" i="10" s="1"/>
  <c r="H326" i="10" s="1"/>
  <c r="H327" i="10" s="1"/>
  <c r="H328" i="10" s="1"/>
  <c r="H329" i="10" s="1"/>
  <c r="H330" i="10" s="1"/>
  <c r="H331" i="10" s="1"/>
  <c r="H332" i="10" s="1"/>
  <c r="H333" i="10" s="1"/>
  <c r="H334" i="10" s="1"/>
  <c r="H335" i="10" s="1"/>
  <c r="H336" i="10" s="1"/>
  <c r="H337" i="10" s="1"/>
  <c r="H338" i="10" s="1"/>
  <c r="H339" i="10" s="1"/>
  <c r="H340" i="10" s="1"/>
  <c r="H341" i="10" s="1"/>
  <c r="H342" i="10" s="1"/>
  <c r="H343" i="10" s="1"/>
  <c r="H344" i="10" s="1"/>
  <c r="H345" i="10" s="1"/>
  <c r="H346" i="10" s="1"/>
  <c r="H347" i="10" s="1"/>
  <c r="H348" i="10" s="1"/>
  <c r="H349" i="10" s="1"/>
  <c r="H350" i="10" s="1"/>
  <c r="H351" i="10" s="1"/>
  <c r="H352" i="10" s="1"/>
  <c r="H353" i="10" s="1"/>
  <c r="H354" i="10" s="1"/>
  <c r="H355" i="10" s="1"/>
  <c r="H356" i="10" s="1"/>
  <c r="H357" i="10" s="1"/>
  <c r="H358" i="10" s="1"/>
  <c r="H359" i="10" s="1"/>
  <c r="H360" i="10" s="1"/>
  <c r="H361" i="10" s="1"/>
  <c r="H362" i="10" s="1"/>
  <c r="H363" i="10" s="1"/>
  <c r="H364" i="10" s="1"/>
  <c r="H365" i="10" s="1"/>
  <c r="H366" i="10" s="1"/>
  <c r="H367" i="10" s="1"/>
  <c r="H368" i="10" s="1"/>
  <c r="H369" i="10" s="1"/>
  <c r="H370" i="10" s="1"/>
  <c r="H371" i="10" s="1"/>
  <c r="H372" i="10" s="1"/>
  <c r="H373" i="10" s="1"/>
  <c r="H374" i="10" s="1"/>
  <c r="H375" i="10" s="1"/>
  <c r="H376" i="10" s="1"/>
  <c r="H377" i="10" s="1"/>
  <c r="H378" i="10" s="1"/>
  <c r="H379" i="10" s="1"/>
  <c r="H380" i="10" s="1"/>
  <c r="H381" i="10" s="1"/>
  <c r="H382" i="10" s="1"/>
  <c r="H383" i="10" s="1"/>
  <c r="H384" i="10" s="1"/>
  <c r="H385" i="10" s="1"/>
  <c r="H386" i="10" s="1"/>
  <c r="H387" i="10" s="1"/>
  <c r="H388" i="10" s="1"/>
  <c r="H389" i="10" s="1"/>
  <c r="H390" i="10" s="1"/>
  <c r="H391" i="10" s="1"/>
  <c r="H392" i="10" s="1"/>
  <c r="H393" i="10" s="1"/>
  <c r="H394" i="10" s="1"/>
  <c r="H395" i="10" s="1"/>
  <c r="H396" i="10" s="1"/>
  <c r="H397" i="10" s="1"/>
  <c r="H398" i="10" s="1"/>
  <c r="H399" i="10" s="1"/>
  <c r="H400" i="10" s="1"/>
  <c r="H401" i="10" s="1"/>
  <c r="H402" i="10" s="1"/>
  <c r="H403" i="10" s="1"/>
  <c r="H404" i="10" s="1"/>
  <c r="H405" i="10" s="1"/>
  <c r="H406" i="10" s="1"/>
  <c r="H407" i="10" s="1"/>
  <c r="H408" i="10" s="1"/>
  <c r="H409" i="10" s="1"/>
  <c r="H410" i="10" s="1"/>
  <c r="H411" i="10" s="1"/>
  <c r="H412" i="10" s="1"/>
  <c r="H413" i="10" s="1"/>
  <c r="H414" i="10" s="1"/>
  <c r="H415" i="10" s="1"/>
  <c r="H416" i="10" s="1"/>
  <c r="H417" i="10" s="1"/>
  <c r="H418" i="10" s="1"/>
  <c r="H419" i="10" s="1"/>
  <c r="H420" i="10" s="1"/>
  <c r="H421" i="10" s="1"/>
  <c r="H422" i="10" s="1"/>
  <c r="H423" i="10" s="1"/>
  <c r="H424" i="10" s="1"/>
  <c r="H425" i="10" s="1"/>
  <c r="H426" i="10" s="1"/>
  <c r="H427" i="10" s="1"/>
  <c r="H428" i="10" s="1"/>
  <c r="H429" i="10" s="1"/>
  <c r="H430" i="10" s="1"/>
  <c r="H431" i="10" s="1"/>
  <c r="H432" i="10" s="1"/>
  <c r="H433" i="10" s="1"/>
  <c r="H434" i="10" s="1"/>
  <c r="H435" i="10" s="1"/>
  <c r="H436" i="10" s="1"/>
  <c r="H437" i="10" s="1"/>
  <c r="H438" i="10" s="1"/>
  <c r="H439" i="10" s="1"/>
  <c r="H440" i="10" s="1"/>
  <c r="H441" i="10" s="1"/>
  <c r="H442" i="10" s="1"/>
  <c r="H443" i="10" s="1"/>
  <c r="H444" i="10" s="1"/>
  <c r="H445" i="10" s="1"/>
  <c r="H446" i="10" s="1"/>
  <c r="H447" i="10" s="1"/>
  <c r="H448" i="10" s="1"/>
  <c r="H449" i="10" s="1"/>
  <c r="H450" i="10" s="1"/>
  <c r="H451" i="10" s="1"/>
  <c r="H452" i="10" s="1"/>
  <c r="H453" i="10" s="1"/>
  <c r="H454" i="10" s="1"/>
  <c r="H455" i="10" s="1"/>
  <c r="H456" i="10" s="1"/>
  <c r="H457" i="10" s="1"/>
  <c r="H458" i="10" s="1"/>
  <c r="H459" i="10" s="1"/>
  <c r="H460" i="10" s="1"/>
  <c r="H461" i="10" s="1"/>
  <c r="H462" i="10" s="1"/>
  <c r="H463" i="10" s="1"/>
  <c r="H464" i="10" s="1"/>
  <c r="H465" i="10" s="1"/>
  <c r="H466" i="10" s="1"/>
  <c r="H467" i="10" s="1"/>
  <c r="H468" i="10" s="1"/>
  <c r="H469" i="10" s="1"/>
  <c r="H470" i="10" s="1"/>
  <c r="H471" i="10" s="1"/>
  <c r="H472" i="10" s="1"/>
  <c r="H473" i="10" s="1"/>
  <c r="H474" i="10" s="1"/>
  <c r="H475" i="10" s="1"/>
  <c r="H476" i="10" s="1"/>
  <c r="H477" i="10" s="1"/>
  <c r="H478" i="10" s="1"/>
  <c r="H479" i="10" s="1"/>
  <c r="H480" i="10" s="1"/>
  <c r="H481" i="10" s="1"/>
  <c r="H482" i="10" s="1"/>
  <c r="H483" i="10" s="1"/>
  <c r="H484" i="10" s="1"/>
  <c r="H485" i="10" s="1"/>
  <c r="H486" i="10" s="1"/>
  <c r="H487" i="10" s="1"/>
  <c r="H488" i="10" s="1"/>
  <c r="H489" i="10" s="1"/>
  <c r="H490" i="10" s="1"/>
  <c r="H491" i="10" s="1"/>
  <c r="H492" i="10" s="1"/>
  <c r="H493" i="10" s="1"/>
  <c r="H494" i="10" s="1"/>
  <c r="H495" i="10" s="1"/>
  <c r="H496" i="10" s="1"/>
  <c r="H497" i="10" s="1"/>
  <c r="H498" i="10" s="1"/>
  <c r="H499" i="10" s="1"/>
  <c r="H500" i="10" s="1"/>
  <c r="H501" i="10" s="1"/>
  <c r="H502" i="10" s="1"/>
  <c r="H503" i="10" s="1"/>
  <c r="H504" i="10" s="1"/>
  <c r="H505" i="10" s="1"/>
  <c r="H506" i="10" s="1"/>
  <c r="H507" i="10" s="1"/>
  <c r="H508" i="10" s="1"/>
  <c r="H509" i="10" s="1"/>
  <c r="H510" i="10" s="1"/>
  <c r="H511" i="10" s="1"/>
  <c r="H512" i="10" s="1"/>
  <c r="H513" i="10" s="1"/>
  <c r="H514" i="10" s="1"/>
  <c r="H515" i="10" s="1"/>
  <c r="H516" i="10" s="1"/>
  <c r="H517" i="10" s="1"/>
  <c r="H518" i="10" s="1"/>
  <c r="H519" i="10" s="1"/>
  <c r="H520" i="10" s="1"/>
  <c r="H521" i="10" s="1"/>
  <c r="H522" i="10" s="1"/>
  <c r="H523" i="10" s="1"/>
  <c r="H524" i="10" s="1"/>
  <c r="H525" i="10" s="1"/>
  <c r="H526" i="10" s="1"/>
  <c r="H527" i="10" s="1"/>
  <c r="H528" i="10" s="1"/>
  <c r="H529" i="10" s="1"/>
  <c r="H530" i="10" s="1"/>
  <c r="H531" i="10" s="1"/>
  <c r="H532" i="10" s="1"/>
  <c r="H533" i="10" s="1"/>
  <c r="H534" i="10" s="1"/>
  <c r="H535" i="10" s="1"/>
  <c r="H536" i="10" s="1"/>
  <c r="H537" i="10" s="1"/>
  <c r="H538" i="10" s="1"/>
  <c r="H539" i="10" s="1"/>
  <c r="H540" i="10" s="1"/>
  <c r="H541" i="10" s="1"/>
  <c r="H542" i="10" s="1"/>
  <c r="H543" i="10" s="1"/>
  <c r="H544" i="10" s="1"/>
  <c r="H545" i="10" s="1"/>
  <c r="H546" i="10" s="1"/>
  <c r="H547" i="10" s="1"/>
  <c r="H548" i="10" s="1"/>
  <c r="H549" i="10" s="1"/>
  <c r="H550" i="10" s="1"/>
  <c r="H551" i="10" s="1"/>
  <c r="H552" i="10" s="1"/>
  <c r="H553" i="10" s="1"/>
  <c r="H554" i="10" s="1"/>
  <c r="H555" i="10" s="1"/>
  <c r="H556" i="10" s="1"/>
  <c r="H557" i="10" s="1"/>
  <c r="H558" i="10" s="1"/>
  <c r="H559" i="10" s="1"/>
  <c r="H560" i="10" s="1"/>
  <c r="H561" i="10" s="1"/>
  <c r="H562" i="10" s="1"/>
  <c r="H563" i="10" s="1"/>
  <c r="H564" i="10" s="1"/>
  <c r="H565" i="10" s="1"/>
  <c r="H566" i="10" s="1"/>
  <c r="H567" i="10" s="1"/>
  <c r="H568" i="10" s="1"/>
  <c r="H569" i="10" s="1"/>
  <c r="H570" i="10" s="1"/>
  <c r="H571" i="10" s="1"/>
  <c r="H572" i="10" s="1"/>
  <c r="H573" i="10" s="1"/>
  <c r="H574" i="10" s="1"/>
  <c r="H575" i="10" s="1"/>
  <c r="H576" i="10" s="1"/>
  <c r="H577" i="10" s="1"/>
  <c r="H578" i="10" s="1"/>
  <c r="H579" i="10" s="1"/>
  <c r="H580" i="10" s="1"/>
  <c r="H581" i="10" s="1"/>
  <c r="H582" i="10" s="1"/>
  <c r="H583" i="10" s="1"/>
  <c r="H584" i="10" s="1"/>
  <c r="H585" i="10" s="1"/>
  <c r="H586" i="10" s="1"/>
  <c r="H587" i="10" s="1"/>
  <c r="H588" i="10" s="1"/>
  <c r="H589" i="10" s="1"/>
  <c r="H590" i="10" s="1"/>
  <c r="H591" i="10" s="1"/>
  <c r="H592" i="10" s="1"/>
  <c r="H593" i="10" s="1"/>
  <c r="H594" i="10" s="1"/>
  <c r="H595" i="10" s="1"/>
  <c r="H596" i="10" s="1"/>
  <c r="H597" i="10" s="1"/>
  <c r="H598" i="10" s="1"/>
  <c r="H599" i="10" s="1"/>
  <c r="H600" i="10" s="1"/>
  <c r="H601" i="10" s="1"/>
  <c r="H602" i="10" s="1"/>
  <c r="H603" i="10" s="1"/>
  <c r="H604" i="10" s="1"/>
  <c r="H605" i="10" s="1"/>
  <c r="H606" i="10" s="1"/>
  <c r="H607" i="10" s="1"/>
  <c r="H608" i="10" s="1"/>
  <c r="H609" i="10" s="1"/>
  <c r="H610" i="10" s="1"/>
  <c r="H611" i="10" s="1"/>
  <c r="H612" i="10" s="1"/>
  <c r="H613" i="10" s="1"/>
  <c r="H614" i="10" s="1"/>
  <c r="H615" i="10" s="1"/>
  <c r="H616" i="10" s="1"/>
  <c r="H617" i="10" s="1"/>
  <c r="H618" i="10" s="1"/>
  <c r="H619" i="10" s="1"/>
  <c r="H620" i="10" s="1"/>
  <c r="H621" i="10" s="1"/>
  <c r="H622" i="10" s="1"/>
  <c r="H623" i="10" s="1"/>
  <c r="H624" i="10" s="1"/>
  <c r="H625" i="10" s="1"/>
  <c r="H626" i="10" s="1"/>
  <c r="H627" i="10" s="1"/>
  <c r="H628" i="10" s="1"/>
  <c r="H629" i="10" s="1"/>
  <c r="H630" i="10" s="1"/>
  <c r="H631" i="10" s="1"/>
  <c r="H632" i="10" s="1"/>
  <c r="H633" i="10" s="1"/>
  <c r="H634" i="10" s="1"/>
  <c r="H635" i="10" s="1"/>
  <c r="H636" i="10" s="1"/>
  <c r="H637" i="10" s="1"/>
  <c r="H638" i="10" s="1"/>
  <c r="H639" i="10" s="1"/>
  <c r="H640" i="10" s="1"/>
  <c r="H641" i="10" s="1"/>
  <c r="H642" i="10" s="1"/>
  <c r="H643" i="10" s="1"/>
  <c r="H644" i="10" s="1"/>
  <c r="H645" i="10" s="1"/>
  <c r="H646" i="10" s="1"/>
  <c r="H647" i="10" s="1"/>
  <c r="H648" i="10" s="1"/>
  <c r="H649" i="10" s="1"/>
  <c r="H650" i="10" s="1"/>
  <c r="H651" i="10" s="1"/>
  <c r="H652" i="10" s="1"/>
  <c r="H653" i="10" s="1"/>
  <c r="H654" i="10" s="1"/>
  <c r="H655" i="10" s="1"/>
  <c r="H656" i="10" s="1"/>
  <c r="H657" i="10" s="1"/>
  <c r="H658" i="10" s="1"/>
  <c r="H659" i="10" s="1"/>
  <c r="H660" i="10" s="1"/>
  <c r="H661" i="10" s="1"/>
  <c r="H662" i="10" s="1"/>
  <c r="H663" i="10" s="1"/>
  <c r="H664" i="10" s="1"/>
  <c r="H665" i="10" s="1"/>
  <c r="H666" i="10" s="1"/>
  <c r="H667" i="10" s="1"/>
  <c r="H668" i="10" s="1"/>
  <c r="H669" i="10" s="1"/>
  <c r="H670" i="10" s="1"/>
  <c r="H671" i="10" s="1"/>
  <c r="H672" i="10" s="1"/>
  <c r="H673" i="10" s="1"/>
  <c r="H674" i="10" s="1"/>
  <c r="H675" i="10" s="1"/>
  <c r="H676" i="10" s="1"/>
  <c r="H677" i="10" s="1"/>
  <c r="H678" i="10" s="1"/>
  <c r="H679" i="10" s="1"/>
  <c r="H680" i="10" s="1"/>
  <c r="H681" i="10" s="1"/>
  <c r="H682" i="10" s="1"/>
  <c r="H683" i="10" s="1"/>
  <c r="H684" i="10" s="1"/>
  <c r="H685" i="10" s="1"/>
  <c r="H686" i="10" s="1"/>
  <c r="H687" i="10" s="1"/>
  <c r="H688" i="10" s="1"/>
  <c r="H689" i="10" s="1"/>
  <c r="H690" i="10" s="1"/>
  <c r="H691" i="10" s="1"/>
  <c r="H692" i="10" s="1"/>
  <c r="H693" i="10" s="1"/>
  <c r="H694" i="10" s="1"/>
  <c r="H695" i="10" s="1"/>
  <c r="H696" i="10" s="1"/>
  <c r="H697" i="10" s="1"/>
  <c r="H698" i="10" s="1"/>
  <c r="H699" i="10" s="1"/>
  <c r="H700" i="10" s="1"/>
  <c r="H701" i="10" s="1"/>
  <c r="H702" i="10" s="1"/>
  <c r="H703" i="10" s="1"/>
  <c r="H704" i="10" s="1"/>
  <c r="H705" i="10" s="1"/>
  <c r="H706" i="10" s="1"/>
  <c r="H707" i="10" s="1"/>
  <c r="H708" i="10" s="1"/>
  <c r="H709" i="10" s="1"/>
  <c r="H710" i="10" s="1"/>
  <c r="H711" i="10" s="1"/>
  <c r="H712" i="10" s="1"/>
  <c r="H713" i="10" s="1"/>
  <c r="H714" i="10" s="1"/>
  <c r="H715" i="10" s="1"/>
  <c r="H716" i="10" s="1"/>
  <c r="H717" i="10" s="1"/>
  <c r="H718" i="10" s="1"/>
  <c r="H719" i="10" s="1"/>
  <c r="H720" i="10" s="1"/>
  <c r="H721" i="10" s="1"/>
  <c r="H722" i="10" s="1"/>
  <c r="H723" i="10" s="1"/>
  <c r="H724" i="10" s="1"/>
  <c r="H725" i="10" s="1"/>
  <c r="H726" i="10" s="1"/>
  <c r="H727" i="10" s="1"/>
  <c r="H728" i="10" s="1"/>
  <c r="H729" i="10" s="1"/>
  <c r="H730" i="10" s="1"/>
  <c r="H731" i="10" s="1"/>
  <c r="H732" i="10" s="1"/>
  <c r="H733" i="10" s="1"/>
  <c r="H734" i="10" s="1"/>
  <c r="H735" i="10" s="1"/>
  <c r="H736" i="10" s="1"/>
  <c r="H737" i="10" s="1"/>
  <c r="H738" i="10" s="1"/>
  <c r="H739" i="10" s="1"/>
  <c r="H740" i="10" s="1"/>
  <c r="H741" i="10" s="1"/>
  <c r="H742" i="10" s="1"/>
  <c r="H743" i="10" s="1"/>
  <c r="H744" i="10" s="1"/>
  <c r="H745" i="10" s="1"/>
  <c r="H746" i="10" s="1"/>
  <c r="H747" i="10" s="1"/>
  <c r="H748" i="10" s="1"/>
  <c r="H749" i="10" s="1"/>
  <c r="H750" i="10" s="1"/>
  <c r="H751" i="10" s="1"/>
  <c r="H752" i="10" s="1"/>
  <c r="H753" i="10" s="1"/>
  <c r="H754" i="10" s="1"/>
  <c r="H755" i="10" s="1"/>
  <c r="H756" i="10" s="1"/>
  <c r="H757" i="10" s="1"/>
  <c r="H758" i="10" s="1"/>
  <c r="H759" i="10" s="1"/>
  <c r="H760" i="10" s="1"/>
  <c r="H761" i="10" s="1"/>
  <c r="H762" i="10" s="1"/>
  <c r="H763" i="10" s="1"/>
  <c r="H764" i="10" s="1"/>
  <c r="H765" i="10" s="1"/>
  <c r="H766" i="10" s="1"/>
  <c r="H767" i="10" s="1"/>
  <c r="H768" i="10" s="1"/>
  <c r="H769" i="10" s="1"/>
  <c r="H770" i="10" s="1"/>
  <c r="H771" i="10" s="1"/>
  <c r="H772" i="10" s="1"/>
  <c r="H773" i="10" s="1"/>
  <c r="H774" i="10" s="1"/>
  <c r="H775" i="10" s="1"/>
  <c r="H776" i="10" s="1"/>
  <c r="H777" i="10" s="1"/>
  <c r="H778" i="10" s="1"/>
  <c r="H779" i="10" s="1"/>
  <c r="H780" i="10" s="1"/>
  <c r="H781" i="10" s="1"/>
  <c r="H782" i="10" s="1"/>
  <c r="H783" i="10" s="1"/>
  <c r="H784" i="10" s="1"/>
  <c r="H785" i="10" s="1"/>
  <c r="H786" i="10" s="1"/>
  <c r="H787" i="10" s="1"/>
  <c r="H788" i="10" s="1"/>
  <c r="H789" i="10" s="1"/>
  <c r="H790" i="10" s="1"/>
  <c r="H791" i="10" s="1"/>
  <c r="H792" i="10" s="1"/>
  <c r="H793" i="10" s="1"/>
  <c r="H794" i="10" s="1"/>
  <c r="H795" i="10" s="1"/>
  <c r="H796" i="10" s="1"/>
  <c r="H797" i="10" s="1"/>
  <c r="H798" i="10" s="1"/>
  <c r="H799" i="10" s="1"/>
  <c r="H800" i="10" s="1"/>
  <c r="H801" i="10" s="1"/>
  <c r="H802" i="10" s="1"/>
  <c r="H803" i="10" s="1"/>
  <c r="H804" i="10" s="1"/>
  <c r="H805" i="10" s="1"/>
  <c r="H806" i="10" s="1"/>
  <c r="H807" i="10" s="1"/>
  <c r="H808" i="10" s="1"/>
  <c r="H809" i="10" s="1"/>
  <c r="H810" i="10" s="1"/>
  <c r="H811" i="10" s="1"/>
  <c r="H812" i="10" s="1"/>
  <c r="H813" i="10" s="1"/>
  <c r="H814" i="10" s="1"/>
  <c r="H815" i="10" s="1"/>
  <c r="H816" i="10" s="1"/>
  <c r="H817" i="10" s="1"/>
  <c r="H818" i="10" s="1"/>
  <c r="H819" i="10" s="1"/>
  <c r="H820" i="10" s="1"/>
  <c r="H821" i="10" s="1"/>
  <c r="H822" i="10" s="1"/>
  <c r="H823" i="10" s="1"/>
  <c r="H824" i="10" s="1"/>
  <c r="H825" i="10" s="1"/>
  <c r="H826" i="10" s="1"/>
  <c r="H827" i="10" s="1"/>
  <c r="H828" i="10" s="1"/>
  <c r="H829" i="10" s="1"/>
  <c r="H830" i="10" s="1"/>
  <c r="H831" i="10" s="1"/>
  <c r="H832" i="10" s="1"/>
  <c r="H833" i="10" s="1"/>
  <c r="H834" i="10" s="1"/>
  <c r="H835" i="10" s="1"/>
  <c r="H836" i="10" s="1"/>
  <c r="H837" i="10" s="1"/>
  <c r="H838" i="10" s="1"/>
  <c r="H839" i="10" s="1"/>
  <c r="H840" i="10" s="1"/>
  <c r="H841" i="10" s="1"/>
  <c r="H842" i="10" s="1"/>
  <c r="H843" i="10" s="1"/>
  <c r="H844" i="10" s="1"/>
  <c r="H845" i="10" s="1"/>
  <c r="H846" i="10" s="1"/>
  <c r="H847" i="10" s="1"/>
  <c r="H848" i="10" s="1"/>
  <c r="H849" i="10" s="1"/>
  <c r="H850" i="10" s="1"/>
  <c r="H851" i="10" s="1"/>
  <c r="H852" i="10" s="1"/>
  <c r="H853" i="10" s="1"/>
  <c r="H854" i="10" s="1"/>
  <c r="H855" i="10" s="1"/>
  <c r="H856" i="10" s="1"/>
  <c r="H857" i="10" s="1"/>
  <c r="H858" i="10" s="1"/>
  <c r="H859" i="10" s="1"/>
  <c r="H860" i="10" s="1"/>
  <c r="H861" i="10" s="1"/>
  <c r="H862" i="10" s="1"/>
  <c r="H863" i="10" s="1"/>
  <c r="H864" i="10" s="1"/>
  <c r="H865" i="10" s="1"/>
  <c r="H866" i="10" s="1"/>
  <c r="H867" i="10" s="1"/>
  <c r="H868" i="10" s="1"/>
  <c r="H869" i="10" s="1"/>
  <c r="H870" i="10" s="1"/>
  <c r="H871" i="10" s="1"/>
  <c r="H872" i="10" s="1"/>
  <c r="H873" i="10" s="1"/>
  <c r="H874" i="10" s="1"/>
  <c r="H875" i="10" s="1"/>
  <c r="H876" i="10" s="1"/>
  <c r="H877" i="10" s="1"/>
  <c r="H878" i="10" s="1"/>
  <c r="H879" i="10" s="1"/>
  <c r="H880" i="10" s="1"/>
  <c r="H881" i="10" s="1"/>
  <c r="H882" i="10" s="1"/>
  <c r="H883" i="10" s="1"/>
  <c r="H884" i="10" s="1"/>
  <c r="H885" i="10" s="1"/>
  <c r="H886" i="10" s="1"/>
  <c r="H887" i="10" s="1"/>
  <c r="H888" i="10" s="1"/>
  <c r="H889" i="10" s="1"/>
  <c r="H890" i="10" s="1"/>
  <c r="H891" i="10" s="1"/>
  <c r="H892" i="10" s="1"/>
  <c r="H893" i="10" s="1"/>
  <c r="H894" i="10" s="1"/>
  <c r="H895" i="10" s="1"/>
  <c r="H896" i="10" s="1"/>
  <c r="H897" i="10" s="1"/>
  <c r="H898" i="10" s="1"/>
  <c r="H899" i="10" s="1"/>
  <c r="H900" i="10" s="1"/>
  <c r="H901" i="10" s="1"/>
  <c r="H902" i="10" s="1"/>
  <c r="H903" i="10" s="1"/>
  <c r="H904" i="10" s="1"/>
  <c r="H905" i="10" s="1"/>
  <c r="H906" i="10" s="1"/>
  <c r="H907" i="10" s="1"/>
  <c r="H908" i="10" s="1"/>
  <c r="H909" i="10" s="1"/>
  <c r="H910" i="10" s="1"/>
  <c r="H911" i="10" s="1"/>
  <c r="H912" i="10" s="1"/>
  <c r="H913" i="10" s="1"/>
  <c r="H914" i="10" s="1"/>
  <c r="H915" i="10" s="1"/>
  <c r="H916" i="10" s="1"/>
  <c r="H917" i="10" s="1"/>
  <c r="H918" i="10" s="1"/>
  <c r="H919" i="10" s="1"/>
  <c r="H920" i="10" s="1"/>
  <c r="H921" i="10" s="1"/>
  <c r="H922" i="10" s="1"/>
  <c r="H923" i="10" s="1"/>
  <c r="H924" i="10" s="1"/>
  <c r="H925" i="10" s="1"/>
  <c r="H926" i="10" s="1"/>
  <c r="H927" i="10" s="1"/>
  <c r="H928" i="10" s="1"/>
  <c r="H929" i="10" s="1"/>
  <c r="H930" i="10" s="1"/>
  <c r="H931" i="10" s="1"/>
  <c r="H932" i="10" s="1"/>
  <c r="H933" i="10" s="1"/>
  <c r="H934" i="10" s="1"/>
  <c r="H935" i="10" s="1"/>
  <c r="H936" i="10" s="1"/>
  <c r="H937" i="10" s="1"/>
  <c r="H938" i="10" s="1"/>
  <c r="H939" i="10" s="1"/>
  <c r="H940" i="10" s="1"/>
  <c r="H941" i="10" s="1"/>
  <c r="H942" i="10" s="1"/>
  <c r="H943" i="10" s="1"/>
  <c r="H944" i="10" s="1"/>
  <c r="H945" i="10" s="1"/>
  <c r="H946" i="10" s="1"/>
  <c r="H947" i="10" s="1"/>
  <c r="H948" i="10" s="1"/>
  <c r="H949" i="10" s="1"/>
  <c r="H950" i="10" s="1"/>
  <c r="H951" i="10" s="1"/>
  <c r="H952" i="10" s="1"/>
  <c r="H953" i="10" s="1"/>
  <c r="H954" i="10" s="1"/>
  <c r="H955" i="10" s="1"/>
  <c r="H956" i="10" s="1"/>
  <c r="H957" i="10" s="1"/>
  <c r="H958" i="10" s="1"/>
  <c r="H959" i="10" s="1"/>
  <c r="H960" i="10" s="1"/>
  <c r="H961" i="10" s="1"/>
  <c r="H962" i="10" s="1"/>
  <c r="H963" i="10" s="1"/>
  <c r="H964" i="10" s="1"/>
  <c r="H965" i="10" s="1"/>
  <c r="H966" i="10" s="1"/>
  <c r="H967" i="10" s="1"/>
  <c r="H968" i="10" s="1"/>
  <c r="H969" i="10" s="1"/>
  <c r="H970" i="10" s="1"/>
  <c r="H971" i="10" s="1"/>
  <c r="H972" i="10" s="1"/>
  <c r="H973" i="10" s="1"/>
  <c r="H974" i="10" s="1"/>
  <c r="H975" i="10" s="1"/>
  <c r="H976" i="10" s="1"/>
  <c r="H977" i="10" s="1"/>
  <c r="H978" i="10" s="1"/>
  <c r="H979" i="10" s="1"/>
  <c r="H980" i="10" s="1"/>
  <c r="H981" i="10" s="1"/>
  <c r="H982" i="10" s="1"/>
  <c r="H983" i="10" s="1"/>
  <c r="H984" i="10" s="1"/>
  <c r="H985" i="10" s="1"/>
  <c r="H986" i="10" s="1"/>
  <c r="H987" i="10" s="1"/>
  <c r="H988" i="10" s="1"/>
  <c r="H989" i="10" s="1"/>
  <c r="H990" i="10" s="1"/>
  <c r="H991" i="10" s="1"/>
  <c r="H992" i="10" s="1"/>
  <c r="H993" i="10" s="1"/>
  <c r="H994" i="10" s="1"/>
  <c r="H995" i="10" s="1"/>
  <c r="H996" i="10" s="1"/>
  <c r="H997" i="10" s="1"/>
  <c r="H998" i="10" s="1"/>
  <c r="H999" i="10" s="1"/>
  <c r="H1000" i="10" s="1"/>
  <c r="H1001" i="10" s="1"/>
  <c r="H1002" i="10" s="1"/>
  <c r="H1003" i="10" s="1"/>
  <c r="H1004" i="10" s="1"/>
  <c r="H1005" i="10" s="1"/>
  <c r="H1006" i="10" s="1"/>
  <c r="H1007" i="10" s="1"/>
  <c r="H1008" i="10" s="1"/>
  <c r="H1009" i="10" s="1"/>
  <c r="H1010" i="10" s="1"/>
  <c r="H1011" i="10" s="1"/>
  <c r="H1012" i="10" s="1"/>
  <c r="H1013" i="10" s="1"/>
  <c r="H1014" i="10" s="1"/>
  <c r="H1015" i="10" s="1"/>
  <c r="H1016" i="10" s="1"/>
  <c r="H1017" i="10" s="1"/>
  <c r="H1018" i="10" s="1"/>
  <c r="H1019" i="10" s="1"/>
  <c r="H1020" i="10" s="1"/>
  <c r="H1021" i="10" s="1"/>
  <c r="H1022" i="10" s="1"/>
  <c r="H1023" i="10" s="1"/>
  <c r="H1024" i="10" s="1"/>
  <c r="H1025" i="10" s="1"/>
  <c r="H1026" i="10" s="1"/>
  <c r="H1027" i="10" s="1"/>
  <c r="H1028" i="10" s="1"/>
  <c r="H1029" i="10" s="1"/>
  <c r="H1030" i="10" s="1"/>
  <c r="H1031" i="10" s="1"/>
  <c r="H1032" i="10" s="1"/>
  <c r="H1033" i="10" s="1"/>
  <c r="H1034" i="10" s="1"/>
  <c r="H1035" i="10" s="1"/>
  <c r="H1036" i="10" s="1"/>
  <c r="H1037" i="10" s="1"/>
  <c r="H1038" i="10" s="1"/>
  <c r="H1039" i="10" s="1"/>
  <c r="H1040" i="10" s="1"/>
  <c r="H1041" i="10" s="1"/>
  <c r="H1042" i="10" s="1"/>
  <c r="H1043" i="10" s="1"/>
  <c r="H1044" i="10" s="1"/>
  <c r="H1045" i="10" s="1"/>
  <c r="H1046" i="10" s="1"/>
  <c r="H1047" i="10" s="1"/>
  <c r="H1048" i="10" s="1"/>
  <c r="H1049" i="10" s="1"/>
  <c r="H1050" i="10" s="1"/>
  <c r="H1051" i="10" s="1"/>
  <c r="H1052" i="10" s="1"/>
  <c r="H1053" i="10" s="1"/>
  <c r="H1054" i="10" s="1"/>
  <c r="H1055" i="10" s="1"/>
  <c r="H1056" i="10" s="1"/>
  <c r="H1057" i="10" s="1"/>
  <c r="H1058" i="10" s="1"/>
  <c r="H1059" i="10" s="1"/>
  <c r="H1060" i="10" s="1"/>
  <c r="H1061" i="10" s="1"/>
  <c r="H1062" i="10" s="1"/>
  <c r="H1063" i="10" s="1"/>
  <c r="H1064" i="10" s="1"/>
  <c r="H1065" i="10" s="1"/>
  <c r="H1066" i="10" s="1"/>
  <c r="H1067" i="10" s="1"/>
  <c r="H1068" i="10" s="1"/>
  <c r="H1069" i="10" s="1"/>
  <c r="H1070" i="10" s="1"/>
  <c r="H1071" i="10" s="1"/>
  <c r="H1072" i="10" s="1"/>
  <c r="H1073" i="10" s="1"/>
  <c r="H1074" i="10" s="1"/>
  <c r="H1075" i="10" s="1"/>
  <c r="H1076" i="10" s="1"/>
  <c r="H1077" i="10" s="1"/>
  <c r="H1078" i="10" s="1"/>
  <c r="H1079" i="10" s="1"/>
  <c r="H1080" i="10" s="1"/>
  <c r="H1081" i="10" s="1"/>
  <c r="H1082" i="10" s="1"/>
  <c r="H1083" i="10" s="1"/>
  <c r="H1084" i="10" s="1"/>
  <c r="H1085" i="10" s="1"/>
  <c r="H1086" i="10" s="1"/>
  <c r="H1087" i="10" s="1"/>
  <c r="H1088" i="10" s="1"/>
  <c r="H1089" i="10" s="1"/>
  <c r="H1090" i="10" s="1"/>
  <c r="H1091" i="10" s="1"/>
  <c r="H1092" i="10" s="1"/>
  <c r="H1093" i="10" s="1"/>
  <c r="H1094" i="10" s="1"/>
  <c r="H1095" i="10" s="1"/>
  <c r="H1096" i="10" s="1"/>
  <c r="H1097" i="10" s="1"/>
  <c r="H1098" i="10" s="1"/>
  <c r="H1099" i="10" s="1"/>
  <c r="H1100" i="10" s="1"/>
  <c r="H1101" i="10" s="1"/>
  <c r="H1102" i="10" s="1"/>
  <c r="H1103" i="10" s="1"/>
  <c r="H1104" i="10" s="1"/>
  <c r="H1105" i="10" s="1"/>
  <c r="H1106" i="10" s="1"/>
  <c r="H1107" i="10" s="1"/>
  <c r="H1108" i="10" s="1"/>
  <c r="H1109" i="10" s="1"/>
  <c r="H1110" i="10" s="1"/>
  <c r="H1111" i="10" s="1"/>
  <c r="H1112" i="10" s="1"/>
  <c r="H1113" i="10" s="1"/>
  <c r="H1114" i="10" s="1"/>
  <c r="H1115" i="10" s="1"/>
  <c r="H1116" i="10" s="1"/>
  <c r="H1117" i="10" s="1"/>
  <c r="H1118" i="10" s="1"/>
  <c r="H1119" i="10" s="1"/>
  <c r="H1120" i="10" s="1"/>
  <c r="H1121" i="10" s="1"/>
  <c r="H1122" i="10" s="1"/>
  <c r="H1123" i="10" s="1"/>
  <c r="H1124" i="10" s="1"/>
  <c r="H1125" i="10" s="1"/>
  <c r="H1126" i="10" s="1"/>
  <c r="H1127" i="10" s="1"/>
  <c r="H1128" i="10" s="1"/>
  <c r="H1129" i="10" s="1"/>
  <c r="H1130" i="10" s="1"/>
  <c r="H1131" i="10" s="1"/>
  <c r="H1132" i="10" s="1"/>
  <c r="H1133" i="10" s="1"/>
  <c r="H1134" i="10" s="1"/>
  <c r="H1135" i="10" s="1"/>
  <c r="H1136" i="10" s="1"/>
  <c r="H1137" i="10" s="1"/>
  <c r="H1138" i="10" s="1"/>
  <c r="H1139" i="10" s="1"/>
  <c r="H1140" i="10" s="1"/>
  <c r="H1141" i="10" s="1"/>
  <c r="H1142" i="10" s="1"/>
  <c r="H1143" i="10" s="1"/>
  <c r="H1144" i="10" s="1"/>
  <c r="H1145" i="10" s="1"/>
  <c r="H1146" i="10" s="1"/>
  <c r="H1147" i="10" s="1"/>
  <c r="H1148" i="10" s="1"/>
  <c r="H1149" i="10" s="1"/>
  <c r="H1150" i="10" s="1"/>
  <c r="H1151" i="10" s="1"/>
  <c r="H1152" i="10" s="1"/>
  <c r="H1153" i="10" s="1"/>
  <c r="H1154" i="10" s="1"/>
  <c r="H1155" i="10" s="1"/>
  <c r="H1156" i="10" s="1"/>
  <c r="H1157" i="10" s="1"/>
  <c r="H1158" i="10" s="1"/>
  <c r="H1159" i="10" s="1"/>
  <c r="H1160" i="10" s="1"/>
  <c r="H1161" i="10" s="1"/>
  <c r="H1162" i="10" s="1"/>
  <c r="H1163" i="10" s="1"/>
  <c r="H1164" i="10" s="1"/>
  <c r="H1165" i="10" s="1"/>
  <c r="H1166" i="10" s="1"/>
  <c r="H1167" i="10" s="1"/>
  <c r="H1168" i="10" s="1"/>
  <c r="H1169" i="10" s="1"/>
  <c r="H1170" i="10" s="1"/>
  <c r="H1171" i="10" s="1"/>
  <c r="H1172" i="10" s="1"/>
  <c r="H1173" i="10" s="1"/>
  <c r="H1174" i="10" s="1"/>
  <c r="H1175" i="10" s="1"/>
  <c r="H1176" i="10" s="1"/>
  <c r="H1177" i="10" s="1"/>
  <c r="H1178" i="10" s="1"/>
  <c r="H1179" i="10" s="1"/>
  <c r="H1180" i="10" s="1"/>
  <c r="H1181" i="10" s="1"/>
  <c r="H1182" i="10" s="1"/>
  <c r="H1183" i="10" s="1"/>
  <c r="H1184" i="10" s="1"/>
  <c r="H1185" i="10" s="1"/>
  <c r="H1186" i="10" s="1"/>
  <c r="H1187" i="10" s="1"/>
  <c r="H1188" i="10" s="1"/>
  <c r="H1189" i="10" s="1"/>
  <c r="H1190" i="10" s="1"/>
  <c r="H1191" i="10" s="1"/>
  <c r="H1192" i="10" s="1"/>
  <c r="H1193" i="10" s="1"/>
  <c r="H1194" i="10" s="1"/>
  <c r="H1195" i="10" s="1"/>
  <c r="H1196" i="10" s="1"/>
  <c r="H1197" i="10" s="1"/>
  <c r="H1198" i="10" s="1"/>
  <c r="H1199" i="10" s="1"/>
  <c r="H1200" i="10" s="1"/>
  <c r="H1201" i="10" s="1"/>
  <c r="H1202" i="10" s="1"/>
  <c r="H1203" i="10" s="1"/>
  <c r="H1204" i="10" s="1"/>
  <c r="H1205" i="10" s="1"/>
  <c r="H1206" i="10" s="1"/>
  <c r="H1207" i="10" s="1"/>
  <c r="H1208" i="10" s="1"/>
  <c r="H1209" i="10" s="1"/>
  <c r="H1210" i="10" s="1"/>
  <c r="H1211" i="10" s="1"/>
  <c r="H1212" i="10" s="1"/>
  <c r="H1213" i="10" s="1"/>
  <c r="H1214" i="10" s="1"/>
  <c r="H1215" i="10" s="1"/>
  <c r="H1216" i="10" s="1"/>
  <c r="H1217" i="10" s="1"/>
  <c r="H1218" i="10" s="1"/>
  <c r="H1219" i="10" s="1"/>
  <c r="H1220" i="10" s="1"/>
  <c r="H1221" i="10" s="1"/>
  <c r="H1222" i="10" s="1"/>
  <c r="H1223" i="10" s="1"/>
  <c r="H1224" i="10" s="1"/>
  <c r="H1225" i="10" s="1"/>
  <c r="H1226" i="10" s="1"/>
  <c r="H1227" i="10" s="1"/>
  <c r="H1228" i="10" s="1"/>
  <c r="H1229" i="10" s="1"/>
  <c r="H1230" i="10" s="1"/>
  <c r="H1231" i="10" s="1"/>
  <c r="H1232" i="10" s="1"/>
  <c r="H1233" i="10" s="1"/>
  <c r="H1234" i="10" s="1"/>
  <c r="H1235" i="10" s="1"/>
  <c r="H1236" i="10" s="1"/>
  <c r="H1237" i="10" s="1"/>
  <c r="H1238" i="10" s="1"/>
  <c r="H1239" i="10" s="1"/>
  <c r="H1240" i="10" s="1"/>
  <c r="H1241" i="10" s="1"/>
  <c r="H1242" i="10" s="1"/>
  <c r="H1243" i="10" s="1"/>
  <c r="H1244" i="10" s="1"/>
  <c r="H1245" i="10" s="1"/>
  <c r="H1246" i="10" s="1"/>
  <c r="H1247" i="10" s="1"/>
  <c r="H1248" i="10" s="1"/>
  <c r="H1249" i="10" s="1"/>
  <c r="H1250" i="10" s="1"/>
  <c r="H1251" i="10" s="1"/>
  <c r="H1252" i="10" s="1"/>
  <c r="H1253" i="10" s="1"/>
  <c r="H1254" i="10" s="1"/>
  <c r="H1255" i="10" s="1"/>
  <c r="H1256" i="10" s="1"/>
  <c r="H1257" i="10" s="1"/>
  <c r="H1258" i="10" s="1"/>
  <c r="H1259" i="10" s="1"/>
  <c r="H1260" i="10" s="1"/>
  <c r="H1261" i="10" s="1"/>
  <c r="H1262" i="10" s="1"/>
  <c r="H1263" i="10" s="1"/>
  <c r="H1264" i="10" s="1"/>
  <c r="H1265" i="10" s="1"/>
  <c r="H1266" i="10" s="1"/>
  <c r="H1267" i="10" s="1"/>
  <c r="H1268" i="10" s="1"/>
  <c r="H1269" i="10" s="1"/>
  <c r="H1270" i="10" s="1"/>
  <c r="H1271" i="10" s="1"/>
  <c r="H1272" i="10" s="1"/>
  <c r="H1273" i="10" s="1"/>
  <c r="H1274" i="10" s="1"/>
  <c r="H1275" i="10" s="1"/>
  <c r="H1276" i="10" s="1"/>
  <c r="H1277" i="10" s="1"/>
  <c r="H1278" i="10" s="1"/>
  <c r="H1279" i="10" s="1"/>
  <c r="H1280" i="10" s="1"/>
  <c r="H1281" i="10" s="1"/>
  <c r="H1282" i="10" s="1"/>
  <c r="H1283" i="10" s="1"/>
  <c r="H1284" i="10" s="1"/>
  <c r="H1285" i="10" s="1"/>
  <c r="H1286" i="10" s="1"/>
  <c r="H1287" i="10" s="1"/>
  <c r="H1288" i="10" s="1"/>
  <c r="H1289" i="10" s="1"/>
  <c r="H1290" i="10" s="1"/>
  <c r="H1291" i="10" s="1"/>
  <c r="H1292" i="10" s="1"/>
  <c r="H1293" i="10" s="1"/>
  <c r="H1294" i="10" s="1"/>
  <c r="H1295" i="10" s="1"/>
  <c r="H1296" i="10" s="1"/>
  <c r="H1297" i="10" s="1"/>
  <c r="H1298" i="10" s="1"/>
  <c r="H1299" i="10" s="1"/>
  <c r="H1300" i="10" s="1"/>
  <c r="H1301" i="10" s="1"/>
  <c r="H1302" i="10" s="1"/>
  <c r="H1303" i="10" s="1"/>
  <c r="H1304" i="10" s="1"/>
  <c r="H1305" i="10" s="1"/>
  <c r="H1306" i="10" s="1"/>
  <c r="H1307" i="10" s="1"/>
  <c r="H1308" i="10" s="1"/>
  <c r="H1309" i="10" s="1"/>
  <c r="H1310" i="10" s="1"/>
  <c r="H1311" i="10" s="1"/>
  <c r="H1312" i="10" s="1"/>
  <c r="H1313" i="10" s="1"/>
  <c r="H1314" i="10" s="1"/>
  <c r="H1315" i="10" s="1"/>
  <c r="H1316" i="10" s="1"/>
  <c r="H1317" i="10" s="1"/>
  <c r="H1318" i="10" s="1"/>
  <c r="H1319" i="10" s="1"/>
  <c r="H1320" i="10" s="1"/>
  <c r="H1321" i="10" s="1"/>
  <c r="H1322" i="10" s="1"/>
  <c r="H1323" i="10" s="1"/>
  <c r="H1324" i="10" s="1"/>
  <c r="H1325" i="10" s="1"/>
  <c r="H1326" i="10" s="1"/>
  <c r="H1327" i="10" s="1"/>
  <c r="H1328" i="10" s="1"/>
  <c r="H1329" i="10" s="1"/>
  <c r="H1330" i="10" s="1"/>
  <c r="H1331" i="10" s="1"/>
  <c r="H1332" i="10" s="1"/>
  <c r="H1333" i="10" s="1"/>
  <c r="H1334" i="10" s="1"/>
  <c r="H1335" i="10" s="1"/>
  <c r="H1336" i="10" s="1"/>
  <c r="H1337" i="10" s="1"/>
  <c r="H1338" i="10" s="1"/>
  <c r="H1339" i="10" s="1"/>
  <c r="H1340" i="10" s="1"/>
  <c r="H1341" i="10" s="1"/>
  <c r="H1342" i="10" s="1"/>
  <c r="H1343" i="10" s="1"/>
  <c r="H1344" i="10" s="1"/>
  <c r="H1345" i="10" s="1"/>
  <c r="H1346" i="10" s="1"/>
  <c r="H1347" i="10" s="1"/>
  <c r="H1348" i="10" s="1"/>
  <c r="H1349" i="10" s="1"/>
  <c r="H1350" i="10" s="1"/>
  <c r="H1351" i="10" s="1"/>
  <c r="H1352" i="10" s="1"/>
  <c r="H1353" i="10" s="1"/>
  <c r="H1354" i="10" s="1"/>
  <c r="H1355" i="10" s="1"/>
  <c r="H1356" i="10" s="1"/>
  <c r="H1357" i="10" s="1"/>
  <c r="H1358" i="10" s="1"/>
  <c r="H1359" i="10" s="1"/>
  <c r="H1360" i="10" s="1"/>
  <c r="H1361" i="10" s="1"/>
  <c r="H1362" i="10" s="1"/>
  <c r="H1363" i="10" s="1"/>
  <c r="H1364" i="10" s="1"/>
  <c r="H1365" i="10" s="1"/>
  <c r="H1366" i="10" s="1"/>
  <c r="H1367" i="10" s="1"/>
  <c r="H1368" i="10" s="1"/>
  <c r="H1369" i="10" s="1"/>
  <c r="H1370" i="10" s="1"/>
  <c r="H1371" i="10" s="1"/>
  <c r="H1372" i="10" s="1"/>
  <c r="H1373" i="10" s="1"/>
  <c r="H1374" i="10" s="1"/>
  <c r="H1375" i="10" s="1"/>
  <c r="H1376" i="10" s="1"/>
  <c r="H1377" i="10" s="1"/>
  <c r="H1378" i="10" s="1"/>
  <c r="H1379" i="10" s="1"/>
  <c r="H1380" i="10" s="1"/>
  <c r="H1381" i="10" s="1"/>
  <c r="H1382" i="10" s="1"/>
  <c r="H1383" i="10" s="1"/>
  <c r="H1384" i="10" s="1"/>
  <c r="H1385" i="10" s="1"/>
  <c r="H1386" i="10" s="1"/>
  <c r="H1387" i="10" s="1"/>
  <c r="H1388" i="10" s="1"/>
  <c r="H1389" i="10" s="1"/>
  <c r="H1390" i="10" s="1"/>
  <c r="H1391" i="10" s="1"/>
  <c r="H1392" i="10" s="1"/>
  <c r="H1393" i="10" s="1"/>
  <c r="H1394" i="10" s="1"/>
  <c r="H1395" i="10" s="1"/>
  <c r="H1396" i="10" s="1"/>
  <c r="H1397" i="10" s="1"/>
  <c r="H1398" i="10" s="1"/>
  <c r="H1399" i="10" s="1"/>
  <c r="H1400" i="10" s="1"/>
  <c r="H1401" i="10" s="1"/>
  <c r="H1402" i="10" s="1"/>
  <c r="H1403" i="10" s="1"/>
  <c r="H1404" i="10" s="1"/>
  <c r="H1405" i="10" s="1"/>
  <c r="H1406" i="10" s="1"/>
  <c r="H1407" i="10" s="1"/>
  <c r="H1408" i="10" s="1"/>
  <c r="H1409" i="10" s="1"/>
  <c r="H1410" i="10" s="1"/>
  <c r="H1411" i="10" s="1"/>
  <c r="H1412" i="10" s="1"/>
  <c r="H1413" i="10" s="1"/>
  <c r="H1414" i="10" s="1"/>
  <c r="H1415" i="10" s="1"/>
  <c r="H1416" i="10" s="1"/>
  <c r="H1417" i="10" s="1"/>
  <c r="H1418" i="10" s="1"/>
  <c r="H1419" i="10" s="1"/>
  <c r="H1420" i="10" s="1"/>
  <c r="H1421" i="10" s="1"/>
  <c r="H1422" i="10" s="1"/>
  <c r="H1423" i="10" s="1"/>
  <c r="H1424" i="10" s="1"/>
  <c r="H1425" i="10" s="1"/>
  <c r="H1426" i="10" s="1"/>
  <c r="H1427" i="10" s="1"/>
  <c r="H1428" i="10" s="1"/>
  <c r="H1429" i="10" s="1"/>
  <c r="H1430" i="10" s="1"/>
  <c r="H1431" i="10" s="1"/>
  <c r="H1432" i="10" s="1"/>
  <c r="H1433" i="10" s="1"/>
  <c r="H1434" i="10" s="1"/>
  <c r="H1435" i="10" s="1"/>
  <c r="H143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Rizki</author>
  </authors>
  <commentList>
    <comment ref="F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Rizki:</t>
        </r>
        <r>
          <rPr>
            <sz val="9"/>
            <color indexed="81"/>
            <rFont val="Tahoma"/>
            <family val="2"/>
          </rPr>
          <t xml:space="preserve">
*data diambil dr NS Akhir bulan sebelumnya</t>
        </r>
      </text>
    </comment>
  </commentList>
</comments>
</file>

<file path=xl/sharedStrings.xml><?xml version="1.0" encoding="utf-8"?>
<sst xmlns="http://schemas.openxmlformats.org/spreadsheetml/2006/main" count="674" uniqueCount="410">
  <si>
    <t>TANGGAL</t>
  </si>
  <si>
    <t>PEMASUKAN</t>
  </si>
  <si>
    <t>PENGELUARAN</t>
  </si>
  <si>
    <t>SALDO</t>
  </si>
  <si>
    <t>SALDO AWAL</t>
  </si>
  <si>
    <t>TOTAL</t>
  </si>
  <si>
    <t>KETERANGAN</t>
  </si>
  <si>
    <t>LAPORAN LABA RUGI</t>
  </si>
  <si>
    <t>PERALATAN</t>
  </si>
  <si>
    <t>URAIAN DETAIL</t>
  </si>
  <si>
    <t>DAFTAR ASET DAN PENYUSUTAN</t>
  </si>
  <si>
    <t>NO</t>
  </si>
  <si>
    <t>JENIS ASET</t>
  </si>
  <si>
    <t>UMUR EKONOMIS</t>
  </si>
  <si>
    <t>HARGA PEROLEHAN</t>
  </si>
  <si>
    <t>NILAI BUKU</t>
  </si>
  <si>
    <t>TOTAL PERALATAN</t>
  </si>
  <si>
    <t>Pendapatan</t>
  </si>
  <si>
    <t>Jumlah Pendapatan</t>
  </si>
  <si>
    <t>LABA KOTOR</t>
  </si>
  <si>
    <t>Biaya Pemasaran</t>
  </si>
  <si>
    <t>Ekuitas</t>
  </si>
  <si>
    <t>Jumlah Ekuitas</t>
  </si>
  <si>
    <t>AKUM. DEPRESIASI TAHUN INI</t>
  </si>
  <si>
    <t>No</t>
  </si>
  <si>
    <t>NERACA SALDO AWAL</t>
  </si>
  <si>
    <t>NO. AKUN</t>
  </si>
  <si>
    <t>NAMA AKUN</t>
  </si>
  <si>
    <t>Saldo Normal</t>
  </si>
  <si>
    <t>POS</t>
  </si>
  <si>
    <t>DEBET</t>
  </si>
  <si>
    <t>KREDIT</t>
  </si>
  <si>
    <t>1-111</t>
  </si>
  <si>
    <t>D</t>
  </si>
  <si>
    <t>NR</t>
  </si>
  <si>
    <t>1-112</t>
  </si>
  <si>
    <t>1-113</t>
  </si>
  <si>
    <t>1-211</t>
  </si>
  <si>
    <t>1-212</t>
  </si>
  <si>
    <t>K</t>
  </si>
  <si>
    <t>2-111</t>
  </si>
  <si>
    <t>3-111</t>
  </si>
  <si>
    <t>3-112</t>
  </si>
  <si>
    <t>3-113</t>
  </si>
  <si>
    <t>Laba ditahan</t>
  </si>
  <si>
    <t>LR</t>
  </si>
  <si>
    <t>5-114</t>
  </si>
  <si>
    <t>5-115</t>
  </si>
  <si>
    <t>5-116</t>
  </si>
  <si>
    <t>J U M L A H</t>
  </si>
  <si>
    <t>Gaji</t>
  </si>
  <si>
    <t>Transport</t>
  </si>
  <si>
    <t>Sewa</t>
  </si>
  <si>
    <t>Administrasi &amp; Umum</t>
  </si>
  <si>
    <t>Biaya Operasional</t>
  </si>
  <si>
    <t>Jumlah Biaya Operasional</t>
  </si>
  <si>
    <t>Pemasaran</t>
  </si>
  <si>
    <t>Biaya Listrik, Internet, PDAM</t>
  </si>
  <si>
    <t>Biaya Transport</t>
  </si>
  <si>
    <t>Biaya Sewa</t>
  </si>
  <si>
    <t>Biaya Administrasi &amp; Umum</t>
  </si>
  <si>
    <t>MUTASI</t>
  </si>
  <si>
    <t>NERACA SALDO AKHIR</t>
  </si>
  <si>
    <t>NERACA SALDO</t>
  </si>
  <si>
    <t>4-114</t>
  </si>
  <si>
    <t>5-117</t>
  </si>
  <si>
    <t>5-118</t>
  </si>
  <si>
    <t>5-119</t>
  </si>
  <si>
    <t>5-120</t>
  </si>
  <si>
    <t>5-121</t>
  </si>
  <si>
    <t>Aset Tetap</t>
  </si>
  <si>
    <t>Jumlah Aset Tetap</t>
  </si>
  <si>
    <t>LIABILITAS &amp; EKUITAS</t>
  </si>
  <si>
    <t>Liabilitas</t>
  </si>
  <si>
    <t>TOTAL LIABILITAS &amp; EKUITAS</t>
  </si>
  <si>
    <t>Jumlah Aset Lancar</t>
  </si>
  <si>
    <t>Total Aset</t>
  </si>
  <si>
    <t>ASET</t>
  </si>
  <si>
    <t>Aset Lancar</t>
  </si>
  <si>
    <t>Modal awal Pemilik</t>
  </si>
  <si>
    <t>Laba Berjalan</t>
  </si>
  <si>
    <t>Modal akhir Pemilik</t>
  </si>
  <si>
    <t>Piutang</t>
  </si>
  <si>
    <t>Hutang</t>
  </si>
  <si>
    <t>Modal</t>
  </si>
  <si>
    <t>TANGGAL PEROLEHAN</t>
  </si>
  <si>
    <t>TOTAL BEBAN DEPRESIASI</t>
  </si>
  <si>
    <t>TOTAL KENDARAAN</t>
  </si>
  <si>
    <t>DARI/KEPADA</t>
  </si>
  <si>
    <t>Akumulasi Penyusutan</t>
  </si>
  <si>
    <t>LABA (RUGI) BERSIH</t>
  </si>
  <si>
    <t>LAPORAN TRANSAKSI</t>
  </si>
  <si>
    <t>Biaya Depresiasi</t>
  </si>
  <si>
    <t>Aset</t>
  </si>
  <si>
    <t>LAPORAN NERACA</t>
  </si>
  <si>
    <t>BEBAN DEPRESIASI</t>
  </si>
  <si>
    <t>Akm. Penyusutan Aset Tetap</t>
  </si>
  <si>
    <t>KENDARAAN</t>
  </si>
  <si>
    <t>Piutang Usaha</t>
  </si>
  <si>
    <t>Hutang Usaha</t>
  </si>
  <si>
    <t>Total</t>
  </si>
  <si>
    <t>Biaya Pemeliharaan</t>
  </si>
  <si>
    <t>Pemeliharaan</t>
  </si>
  <si>
    <t>Operasional</t>
  </si>
  <si>
    <t>HPP</t>
  </si>
  <si>
    <t>Biaya Pajak</t>
  </si>
  <si>
    <t>Pajak</t>
  </si>
  <si>
    <t>Listrik Internet PDAM</t>
  </si>
  <si>
    <t>PLU</t>
  </si>
  <si>
    <t>BLU</t>
  </si>
  <si>
    <t>Pendapatan &amp; Biaya Luar Usaha</t>
  </si>
  <si>
    <t>LABA (RUGI) OPERASIONAL</t>
  </si>
  <si>
    <t>Biaya Luar Usaha</t>
  </si>
  <si>
    <t>TANAH DAN BANGUNAN</t>
  </si>
  <si>
    <t>Jumlah Hutang Lancar</t>
  </si>
  <si>
    <t>Modal Disetor</t>
  </si>
  <si>
    <t>Biaya Gaji Karyawan</t>
  </si>
  <si>
    <t>Kas dan Bank</t>
  </si>
  <si>
    <t>Persediaan</t>
  </si>
  <si>
    <t>Direktur</t>
  </si>
  <si>
    <t>PPN Masukan</t>
  </si>
  <si>
    <t>LAPORAN JURNAL</t>
  </si>
  <si>
    <t>PPN Keluaran</t>
  </si>
  <si>
    <t>PPh 23</t>
  </si>
  <si>
    <t>PPh 22</t>
  </si>
  <si>
    <t>PPh 23 Dibayar Dimuka</t>
  </si>
  <si>
    <t>PPh 22 Dibayar Dimuka</t>
  </si>
  <si>
    <t>PPN Dibayar Dimuka (Instansi)</t>
  </si>
  <si>
    <t>PPN Instansi</t>
  </si>
  <si>
    <t>1-114</t>
  </si>
  <si>
    <t>1-115</t>
  </si>
  <si>
    <t>1-116</t>
  </si>
  <si>
    <t>1-117</t>
  </si>
  <si>
    <t>1-118</t>
  </si>
  <si>
    <t>JAN 2025</t>
  </si>
  <si>
    <t>FEB 2025</t>
  </si>
  <si>
    <t>MAR 2025</t>
  </si>
  <si>
    <t>APR 2025</t>
  </si>
  <si>
    <t>MEI 2025</t>
  </si>
  <si>
    <t>JUN 2025</t>
  </si>
  <si>
    <t>JUL 2025</t>
  </si>
  <si>
    <t>AGU 2025</t>
  </si>
  <si>
    <t>SEP 2025</t>
  </si>
  <si>
    <t>OKT 2025</t>
  </si>
  <si>
    <t>NOV 2025</t>
  </si>
  <si>
    <t>DES 2025</t>
  </si>
  <si>
    <t>TAHUN 2024</t>
  </si>
  <si>
    <t>Biaya BPJS</t>
  </si>
  <si>
    <t>BPJS</t>
  </si>
  <si>
    <t>Laba (Rugi) ditahan sebelumnya</t>
  </si>
  <si>
    <t>Laba (Rugi) ditahan berjalan</t>
  </si>
  <si>
    <t>5-122</t>
  </si>
  <si>
    <t>Prive/Dividen</t>
  </si>
  <si>
    <t>Biaya Depresiasi/Penyusutan</t>
  </si>
  <si>
    <t>Pendapatan Luar Usaha</t>
  </si>
  <si>
    <t>PPh 25</t>
  </si>
  <si>
    <t>PPH 25</t>
  </si>
  <si>
    <t>PPh 25 Dibayar Dimuka</t>
  </si>
  <si>
    <t>1-119</t>
  </si>
  <si>
    <t>LAPORAN PERUBAHAN MODAL</t>
  </si>
  <si>
    <t>RASIO PROFITABILITAS</t>
  </si>
  <si>
    <t>RETURN ON EQUITY</t>
  </si>
  <si>
    <t>=</t>
  </si>
  <si>
    <t>LABA OPERASIONAL</t>
  </si>
  <si>
    <t>X 100%</t>
  </si>
  <si>
    <t>(ROE)</t>
  </si>
  <si>
    <t>JUMLAH EKUITAS</t>
  </si>
  <si>
    <t>RETURN ON ASSET</t>
  </si>
  <si>
    <t>(ROA)</t>
  </si>
  <si>
    <t>JUMLAH ASET</t>
  </si>
  <si>
    <t>GROSS PROFIT RATIO</t>
  </si>
  <si>
    <t>PENJUALAN</t>
  </si>
  <si>
    <t>OPERATING PROFIT RATIO</t>
  </si>
  <si>
    <t>NET PROFIT RATIO</t>
  </si>
  <si>
    <t>LABA BERSIH</t>
  </si>
  <si>
    <t>RASIO LIKUIDITAS</t>
  </si>
  <si>
    <t>CURRENT RATIO</t>
  </si>
  <si>
    <t>ASET LANCAR</t>
  </si>
  <si>
    <t>RASIO LANCAR</t>
  </si>
  <si>
    <t>UTANG JANGKA PENDEK</t>
  </si>
  <si>
    <t>CASH RATIO</t>
  </si>
  <si>
    <t>KAS DAN SETARA KAS</t>
  </si>
  <si>
    <t>RASIO KAS</t>
  </si>
  <si>
    <t>RASIO SOLVABILITAS</t>
  </si>
  <si>
    <t>DEBT TO EQUITY RATIO</t>
  </si>
  <si>
    <t>JUMLAH HUTANG</t>
  </si>
  <si>
    <t>(DER)</t>
  </si>
  <si>
    <t>DEBT TO ASSET RATIO</t>
  </si>
  <si>
    <t>(DAR)</t>
  </si>
  <si>
    <t>1-120</t>
  </si>
  <si>
    <t>1-121</t>
  </si>
  <si>
    <t>1-122</t>
  </si>
  <si>
    <t>Kas</t>
  </si>
  <si>
    <t>TOTAL TANAH DAN BANGUNAN</t>
  </si>
  <si>
    <t>…...................., 31 Desember 2025</t>
  </si>
  <si>
    <t>…..............................</t>
  </si>
  <si>
    <t>Penyesuaian Penjualan</t>
  </si>
  <si>
    <t>Pendapatan Lainnya</t>
  </si>
  <si>
    <t>Keuntungan Selisih Kurs</t>
  </si>
  <si>
    <t>Keuntungan Penjualan Aset selain Persediaan</t>
  </si>
  <si>
    <t>Pendapatan Bunga (Komponen Pembiayaan pada Kontrak Pelanggan)</t>
  </si>
  <si>
    <t>Pendapatan Non Usaha Lainnya</t>
  </si>
  <si>
    <t>Gaji, Tunjangan, Bonus, Honorarium, THR, dsb</t>
  </si>
  <si>
    <t>Beban Imbalan Kerja Lainnya</t>
  </si>
  <si>
    <t>Beban Transportasi</t>
  </si>
  <si>
    <t>Beban Penyusutan dan Amortisasi</t>
  </si>
  <si>
    <t>Beban Sewa</t>
  </si>
  <si>
    <t>Beban Bunga</t>
  </si>
  <si>
    <t>Beban Sehubungan dengan Jasa</t>
  </si>
  <si>
    <t>Beban Penurunan Nilai</t>
  </si>
  <si>
    <t>Beban Royalti</t>
  </si>
  <si>
    <t>Beban Pemasaran atau Promosi</t>
  </si>
  <si>
    <t>Beban Entertainment</t>
  </si>
  <si>
    <t>Beban usaha lainnya</t>
  </si>
  <si>
    <t>Kerugian Penjualan Aset selain Persediaan</t>
  </si>
  <si>
    <t>Sumbangan</t>
  </si>
  <si>
    <t>Kerugian Selisih Kurs</t>
  </si>
  <si>
    <t>Beban Non Usaha Lainnya</t>
  </si>
  <si>
    <t>KODE AKUN</t>
  </si>
  <si>
    <t>NILAI KOMERSIAL</t>
  </si>
  <si>
    <t>PENYESUAIAN FISKAL POSITIF</t>
  </si>
  <si>
    <t>PENYESUAIAN FISKAL NEGATIF</t>
  </si>
  <si>
    <t>NILAI FISKAL</t>
  </si>
  <si>
    <t>Laba Kotor</t>
  </si>
  <si>
    <t>Beban Usaha:</t>
  </si>
  <si>
    <t>Jumlah Beban Usaha</t>
  </si>
  <si>
    <t>Laba (Rugi) Usaha</t>
  </si>
  <si>
    <t>Pendapatan Non Usaha:</t>
  </si>
  <si>
    <t>Jumlah Pendapatan Non Usaha</t>
  </si>
  <si>
    <t>Beban Non Usaha:</t>
  </si>
  <si>
    <t>Jumlah Beban Non Usaha</t>
  </si>
  <si>
    <t>Laba (Rugi) Non Usaha</t>
  </si>
  <si>
    <t>Laba (Rugi) Sebelum Pajak</t>
  </si>
  <si>
    <t>Kas dan Setara Kas</t>
  </si>
  <si>
    <t>Piutang Usaha - Pihak Ketiga</t>
  </si>
  <si>
    <t>Piutang Usaha - Pihak yang Mempunyai Hubungan Istimewa</t>
  </si>
  <si>
    <t>Piutang Lainnya - Pihak Ketiga</t>
  </si>
  <si>
    <t>Piutang Lainnya - Pihak yang Mempunyai Hubungan Istimewa</t>
  </si>
  <si>
    <t>Cadangan Kerugian Penurunan Nilai - Aset Tidak Lancar</t>
  </si>
  <si>
    <t>Aset Kontrak</t>
  </si>
  <si>
    <t>Pendapatan Diterima di Muka</t>
  </si>
  <si>
    <t>Pajak Dibayar di Muka</t>
  </si>
  <si>
    <t>Aset lancar lainnya</t>
  </si>
  <si>
    <t>Tanah dan Bangunan</t>
  </si>
  <si>
    <t>Investasi pada Perusahaan Asosiasi, Ventura Bersama dan Anak Perusahaan</t>
  </si>
  <si>
    <t>Investasi Jangka Panjang Lainnya</t>
  </si>
  <si>
    <t>Aset Tak Berwujud</t>
  </si>
  <si>
    <t>Dikurangi : Akumulasi Amortisasi-Aset Tak Berwujud</t>
  </si>
  <si>
    <t>Aktiva Pajak Tangguhan</t>
  </si>
  <si>
    <t>Klaim atas pengembalian pajak</t>
  </si>
  <si>
    <t>Aset Tidak Lancar Lainnya</t>
  </si>
  <si>
    <t>Utang Usaha - Pihak Ketiga</t>
  </si>
  <si>
    <t>Utang Usaha - Pihak yang Mempunyai Hubungan Istimewa</t>
  </si>
  <si>
    <t>Utang Bunga</t>
  </si>
  <si>
    <t>Liabilitas Kontrak</t>
  </si>
  <si>
    <t>Liabilitas Sewa Jangka Pendek</t>
  </si>
  <si>
    <t>Utang Pajak</t>
  </si>
  <si>
    <t>Utang Dividen</t>
  </si>
  <si>
    <t>Beban yang Masih Harus Dibayar</t>
  </si>
  <si>
    <t>Utang Bank Jangka Pendek</t>
  </si>
  <si>
    <t>Utang Jangka Panjang yang Jatuh Tempo dalam Satu Tahun</t>
  </si>
  <si>
    <t>Liabilitas Jangka Pendek Lainnya</t>
  </si>
  <si>
    <t>Jumlah Liabilitas Jangka Pendek</t>
  </si>
  <si>
    <t>Utang Bank Jangka Panjang</t>
  </si>
  <si>
    <t>Utang Jangka Panjang-Pihak Ketiga</t>
  </si>
  <si>
    <t>Utang Jangka Panjang - Pihak yang Mempunyai Hubungan Istimewa</t>
  </si>
  <si>
    <t>Liabilitas Pajak Tangguhan</t>
  </si>
  <si>
    <t>Liabilitas Imbalan Kerja</t>
  </si>
  <si>
    <t>Liabilitas Jangka Panjang Lainnya</t>
  </si>
  <si>
    <t>Modal Saham</t>
  </si>
  <si>
    <t>Tambahan Modal Disetor</t>
  </si>
  <si>
    <t>Laba Ditahan</t>
  </si>
  <si>
    <t>Pendapatan Komprehensif Lainnya</t>
  </si>
  <si>
    <t>Ekuitas Lainnya</t>
  </si>
  <si>
    <t>Kode Akun</t>
  </si>
  <si>
    <t>Nama Akun</t>
  </si>
  <si>
    <t>Nominal</t>
  </si>
  <si>
    <t>Aset Tidak Lancar</t>
  </si>
  <si>
    <t>Jumlah Aset Tidak Lancar</t>
  </si>
  <si>
    <t>Liabilitas Jangka Pendek</t>
  </si>
  <si>
    <t>Liabilitas Jangka Panjang</t>
  </si>
  <si>
    <t>Jumlah Liabilitas</t>
  </si>
  <si>
    <t>Equity</t>
  </si>
  <si>
    <t>Jumlah Liabilitas dan Ekuitas</t>
  </si>
  <si>
    <t>Jumlah Aset</t>
  </si>
  <si>
    <t>LAPORAN STOCK OPNAME PERSEDIAAN AKHIR</t>
  </si>
  <si>
    <t>TOTAL NILAI PERSEDIAAN AKHIR YANG MASUK DI LAPORAN KEUANGAN</t>
  </si>
  <si>
    <t>Nama Barang</t>
  </si>
  <si>
    <t>Satuan</t>
  </si>
  <si>
    <t>Qty</t>
  </si>
  <si>
    <t>Harga Satuan</t>
  </si>
  <si>
    <t>Sisa Persediaan Akhir</t>
  </si>
  <si>
    <t>FURNITURE</t>
  </si>
  <si>
    <t>TOTAL FURNITURE</t>
  </si>
  <si>
    <t>TEMPLETE INI COCOK UNTUK:</t>
  </si>
  <si>
    <t>TOKO SEMBAKO</t>
  </si>
  <si>
    <t>TOKO BANGUNAN</t>
  </si>
  <si>
    <t>TOKO KELONTONG</t>
  </si>
  <si>
    <t>TOKO ALAT LISTRIK</t>
  </si>
  <si>
    <t>TOKO BUSANA</t>
  </si>
  <si>
    <t>APOTEK</t>
  </si>
  <si>
    <t>MINI MARKET</t>
  </si>
  <si>
    <t>SWALAYAN</t>
  </si>
  <si>
    <t>JUAL BELI HEWAN TERNAK</t>
  </si>
  <si>
    <t>USAHA DAGANG LAINNYA</t>
  </si>
  <si>
    <t>-</t>
  </si>
  <si>
    <t>REKANAN PEMERINTAH</t>
  </si>
  <si>
    <t>Ringkasan Pendapatan vs Pengeluaran</t>
  </si>
  <si>
    <t>PENDAPATAN</t>
  </si>
  <si>
    <t>Ringkasan Pengeluaran Per Kategori</t>
  </si>
  <si>
    <t>Biaya Diluar Usaha</t>
  </si>
  <si>
    <t>Ringkasan Aset Per Kategori</t>
  </si>
  <si>
    <t>Ringkasan Pasiva Per Kategori</t>
  </si>
  <si>
    <t>Penyusutan Aset</t>
  </si>
  <si>
    <t>Kendaraan</t>
  </si>
  <si>
    <t>Furniture</t>
  </si>
  <si>
    <t>Peralatan</t>
  </si>
  <si>
    <t>LAPORAN LABA RUGI SESUAI CORETAX</t>
  </si>
  <si>
    <t>LAPORAN POSISI KEUANGAN SESUAI CORETAX</t>
  </si>
  <si>
    <t>Biaya Sehubungan dengan Jasa</t>
  </si>
  <si>
    <t>Biaya Jasa</t>
  </si>
  <si>
    <t>5-111</t>
  </si>
  <si>
    <t>5-112</t>
  </si>
  <si>
    <t>5-113</t>
  </si>
  <si>
    <t>Jumlah Biaya Jasa</t>
  </si>
  <si>
    <t>2026</t>
  </si>
  <si>
    <t>LAPORAN BANK BRI</t>
  </si>
  <si>
    <t>BANK …</t>
  </si>
  <si>
    <t>PERHITUNGAN PPH TAHUNAN BADAN</t>
  </si>
  <si>
    <t>Jumlah Pendapatan Satu Tahun</t>
  </si>
  <si>
    <t>Hitungan Pajak:</t>
  </si>
  <si>
    <t>0,5% x Omset</t>
  </si>
  <si>
    <t>Pajak PPh Final UMKM PP 55 2022</t>
  </si>
  <si>
    <t>Daftar Jumlah Penghasilan Bruto dan Pembayaran PPh Final berdasarkan PP 55 Tahun 2022</t>
  </si>
  <si>
    <t>Per Masa Pajak Serta Dari Masing-Masing Tempat Usaha</t>
  </si>
  <si>
    <t xml:space="preserve">Nama </t>
  </si>
  <si>
    <t xml:space="preserve">NPWP </t>
  </si>
  <si>
    <t xml:space="preserve">Alamat </t>
  </si>
  <si>
    <t>No.</t>
  </si>
  <si>
    <t>NPWP Tempat Usaha</t>
  </si>
  <si>
    <t>Alamat</t>
  </si>
  <si>
    <t>Peredaran Bruto</t>
  </si>
  <si>
    <t xml:space="preserve">PPh Final </t>
  </si>
  <si>
    <t>KPP Lokasi</t>
  </si>
  <si>
    <t>1.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</si>
  <si>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</si>
  <si>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</si>
  <si>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</si>
  <si>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</si>
  <si>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</si>
  <si>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</si>
  <si>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</si>
  <si>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</si>
  <si>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</si>
  <si>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</si>
  <si>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</si>
  <si>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</si>
  <si>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</si>
  <si>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TIDAK TERMASUK OBJEK PAJAK</t>
  </si>
  <si>
    <t>DIKENAKAN PPH BERSIFAT FINAL</t>
  </si>
  <si>
    <t>OBJEK PAJAK TIDAK FINAL</t>
  </si>
  <si>
    <t>Pendapatan:</t>
  </si>
  <si>
    <t>Pendapatan Jasa</t>
  </si>
  <si>
    <t>Biaya Pokok Jasa</t>
  </si>
  <si>
    <t>Investasi</t>
  </si>
  <si>
    <t>Beban Dibayar di Muka</t>
  </si>
  <si>
    <t>Uang Muka</t>
  </si>
  <si>
    <t>Piutang Jangka Panjang</t>
  </si>
  <si>
    <t>Aset Tetap dan Inventaris</t>
  </si>
  <si>
    <t>Dikurangi: Akumulasi Penyusutan Aset Tetap dan Inventaris</t>
  </si>
  <si>
    <t>Liabilitas Sewa Jangka Panjang</t>
  </si>
  <si>
    <t xml:space="preserve">BANK MANDIRI - </t>
  </si>
  <si>
    <t xml:space="preserve">BANK BJB - </t>
  </si>
  <si>
    <t xml:space="preserve">BANK BCA - </t>
  </si>
  <si>
    <t>SISA SALDO DESEMBER 2025</t>
  </si>
  <si>
    <t>Cloud Nopember 2025</t>
  </si>
  <si>
    <t xml:space="preserve">Jago Febian </t>
  </si>
  <si>
    <t xml:space="preserve">pajak bank </t>
  </si>
  <si>
    <t>bunga bank</t>
  </si>
  <si>
    <t>monthly charge</t>
  </si>
  <si>
    <t xml:space="preserve">biaya admin bank </t>
  </si>
  <si>
    <t xml:space="preserve">admin bank </t>
  </si>
  <si>
    <t xml:space="preserve">wp perpanjang domain </t>
  </si>
  <si>
    <t>internet NEUVIZ</t>
  </si>
  <si>
    <t xml:space="preserve">BPJS kesehatan </t>
  </si>
  <si>
    <t>internet INDIBIZ</t>
  </si>
  <si>
    <t xml:space="preserve">fee client pak Lukman </t>
  </si>
  <si>
    <t xml:space="preserve">cicilan Grandvilla </t>
  </si>
  <si>
    <t>Akfis YAB</t>
  </si>
  <si>
    <t>STT Migas</t>
  </si>
  <si>
    <t>Univ. mitra bangsa</t>
  </si>
  <si>
    <t>STIKes sukabumi</t>
  </si>
  <si>
    <t>Univ baiturrahim</t>
  </si>
  <si>
    <t>STIA lppn padang</t>
  </si>
  <si>
    <t>Univ kader bangsa</t>
  </si>
  <si>
    <t>ITEKes bali</t>
  </si>
  <si>
    <t>UID</t>
  </si>
  <si>
    <t>Univ panca sakti</t>
  </si>
  <si>
    <t>SMK IT diamers</t>
  </si>
  <si>
    <t>Akbp stie kbp</t>
  </si>
  <si>
    <t>ITKes WHS</t>
  </si>
  <si>
    <t>Univ FDK</t>
  </si>
  <si>
    <t>Stikes RS Husada</t>
  </si>
  <si>
    <t>Persada bunda</t>
  </si>
  <si>
    <t>PIP Balikpapan</t>
  </si>
  <si>
    <t>Fitkes ayani</t>
  </si>
  <si>
    <t>…...................., 31 Desember 2026</t>
  </si>
  <si>
    <t>Direktur Utama</t>
  </si>
  <si>
    <t xml:space="preserve">PT EDU MEDIA DIGITAL </t>
  </si>
  <si>
    <t xml:space="preserve">Direktur Utama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</si>
</sst>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(* #,##0_);_(* \(#,##0\);_(* &quot;-&quot;??_);_(@_)"/>
    <numFmt numFmtId="167" formatCode="_(* #,##0_);_(* \(#,##0\);_(* &quot;-&quot;_);_(@_)"/>
    <numFmt numFmtId="168" formatCode="dd\-mm\-yyyy;@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0"/>
      <name val="Calibri"/>
      <family val="2"/>
      <charset val="1"/>
      <scheme val="minor"/>
    </font>
    <font>
      <b/>
      <sz val="18"/>
      <color theme="0"/>
      <name val="Calibri"/>
      <family val="2"/>
      <scheme val="minor"/>
    </font>
    <font>
      <b/>
      <sz val="9"/>
      <color theme="1"/>
      <name val="Montserrat"/>
    </font>
    <font>
      <sz val="9"/>
      <color theme="1"/>
      <name val="Montserrat"/>
    </font>
    <font>
      <b/>
      <sz val="9"/>
      <name val="Montserrat"/>
    </font>
    <font>
      <sz val="9"/>
      <color rgb="FF000000"/>
      <name val="Montserrat"/>
    </font>
    <font>
      <b/>
      <sz val="9"/>
      <color theme="0"/>
      <name val="Montserrat"/>
    </font>
    <font>
      <sz val="9"/>
      <name val="Montserrat"/>
    </font>
    <font>
      <sz val="9"/>
      <color theme="0"/>
      <name val="Montserrat"/>
    </font>
    <font>
      <sz val="8"/>
      <color theme="1"/>
      <name val="Montserrat"/>
    </font>
    <font>
      <sz val="8"/>
      <name val="Calibri"/>
      <family val="2"/>
      <charset val="1"/>
      <scheme val="minor"/>
    </font>
    <font>
      <b/>
      <sz val="9"/>
      <color rgb="FF000000"/>
      <name val="Montserrat"/>
    </font>
    <font>
      <u val="singleAccounting"/>
      <sz val="9"/>
      <color rgb="FF000000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rgb="FF92D05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0" fontId="5" fillId="0" borderId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7" fillId="0" borderId="0"/>
    <xf numFmtId="44" fontId="3" fillId="0" borderId="0" applyFont="0" applyFill="0" applyBorder="0" applyAlignment="0" applyProtection="0"/>
    <xf numFmtId="0" fontId="9" fillId="0" borderId="0"/>
    <xf numFmtId="44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0" borderId="0"/>
    <xf numFmtId="41" fontId="3" fillId="0" borderId="0" applyFont="0" applyFill="0" applyBorder="0" applyAlignment="0" applyProtection="0"/>
  </cellStyleXfs>
  <cellXfs count="35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  <xf numFmtId="164" fontId="0" fillId="0" borderId="1" xfId="1" applyNumberFormat="1" applyFont="1" applyFill="1" applyBorder="1"/>
    <xf numFmtId="0" fontId="4" fillId="2" borderId="1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4" fontId="0" fillId="3" borderId="1" xfId="1" applyNumberFormat="1" applyFont="1" applyFill="1" applyBorder="1"/>
    <xf numFmtId="164" fontId="4" fillId="2" borderId="1" xfId="1" applyNumberFormat="1" applyFont="1" applyFill="1" applyBorder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0" fillId="0" borderId="1" xfId="0" applyBorder="1" applyAlignment="1">
      <alignment horizontal="center"/>
    </xf>
    <xf numFmtId="164" fontId="4" fillId="0" borderId="0" xfId="1" applyNumberFormat="1" applyFont="1" applyBorder="1"/>
    <xf numFmtId="0" fontId="8" fillId="0" borderId="1" xfId="0" applyFont="1" applyBorder="1" applyAlignment="1">
      <alignment horizontal="center" vertical="top" shrinkToFit="1"/>
    </xf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0" fontId="0" fillId="4" borderId="4" xfId="0" applyFill="1" applyBorder="1"/>
    <xf numFmtId="167" fontId="0" fillId="4" borderId="7" xfId="0" applyNumberFormat="1" applyFill="1" applyBorder="1"/>
    <xf numFmtId="0" fontId="0" fillId="0" borderId="4" xfId="0" applyBorder="1"/>
    <xf numFmtId="167" fontId="0" fillId="0" borderId="4" xfId="0" applyNumberFormat="1" applyBorder="1"/>
    <xf numFmtId="167" fontId="0" fillId="4" borderId="4" xfId="0" applyNumberFormat="1" applyFill="1" applyBorder="1"/>
    <xf numFmtId="167" fontId="0" fillId="0" borderId="7" xfId="0" applyNumberFormat="1" applyBorder="1"/>
    <xf numFmtId="168" fontId="8" fillId="0" borderId="1" xfId="0" applyNumberFormat="1" applyFont="1" applyBorder="1" applyAlignment="1">
      <alignment horizontal="center" vertical="top" shrinkToFit="1"/>
    </xf>
    <xf numFmtId="168" fontId="4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0" xfId="0" applyNumberFormat="1"/>
    <xf numFmtId="167" fontId="0" fillId="0" borderId="0" xfId="0" applyNumberFormat="1"/>
    <xf numFmtId="0" fontId="0" fillId="0" borderId="4" xfId="0" applyBorder="1" applyAlignment="1">
      <alignment wrapText="1"/>
    </xf>
    <xf numFmtId="164" fontId="0" fillId="0" borderId="0" xfId="1" applyNumberFormat="1" applyFont="1" applyFill="1"/>
    <xf numFmtId="16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5" fillId="7" borderId="0" xfId="12" applyFont="1" applyFill="1"/>
    <xf numFmtId="0" fontId="15" fillId="7" borderId="0" xfId="12" applyFont="1" applyFill="1" applyAlignment="1">
      <alignment horizontal="center"/>
    </xf>
    <xf numFmtId="0" fontId="14" fillId="0" borderId="0" xfId="12"/>
    <xf numFmtId="0" fontId="16" fillId="0" borderId="0" xfId="12" applyFont="1" applyAlignment="1">
      <alignment horizontal="center"/>
    </xf>
    <xf numFmtId="0" fontId="15" fillId="0" borderId="0" xfId="12" applyFont="1"/>
    <xf numFmtId="0" fontId="15" fillId="0" borderId="0" xfId="12" applyFont="1" applyAlignment="1">
      <alignment horizontal="center"/>
    </xf>
    <xf numFmtId="0" fontId="16" fillId="0" borderId="41" xfId="12" applyFont="1" applyBorder="1" applyAlignment="1">
      <alignment horizontal="center"/>
    </xf>
    <xf numFmtId="166" fontId="16" fillId="0" borderId="41" xfId="12" applyNumberFormat="1" applyFont="1" applyBorder="1" applyAlignment="1">
      <alignment horizontal="center"/>
    </xf>
    <xf numFmtId="166" fontId="16" fillId="0" borderId="0" xfId="12" applyNumberFormat="1" applyFont="1" applyAlignment="1">
      <alignment horizontal="center"/>
    </xf>
    <xf numFmtId="0" fontId="16" fillId="0" borderId="0" xfId="12" applyFont="1" applyAlignment="1">
      <alignment horizontal="center" vertical="center"/>
    </xf>
    <xf numFmtId="9" fontId="15" fillId="0" borderId="0" xfId="12" applyNumberFormat="1" applyFont="1" applyAlignment="1">
      <alignment horizontal="center" vertical="center"/>
    </xf>
    <xf numFmtId="165" fontId="15" fillId="0" borderId="0" xfId="12" applyNumberFormat="1" applyFont="1"/>
    <xf numFmtId="0" fontId="16" fillId="7" borderId="0" xfId="12" applyFont="1" applyFill="1"/>
    <xf numFmtId="0" fontId="4" fillId="0" borderId="0" xfId="0" applyFont="1" applyAlignment="1">
      <alignment horizontal="center"/>
    </xf>
    <xf numFmtId="0" fontId="18" fillId="0" borderId="0" xfId="0" applyFont="1"/>
    <xf numFmtId="41" fontId="0" fillId="0" borderId="0" xfId="13" applyFont="1"/>
    <xf numFmtId="41" fontId="0" fillId="0" borderId="0" xfId="13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41" fontId="4" fillId="2" borderId="0" xfId="13" applyFont="1" applyFill="1" applyAlignment="1">
      <alignment horizontal="center"/>
    </xf>
    <xf numFmtId="0" fontId="18" fillId="0" borderId="0" xfId="0" applyFont="1" applyAlignment="1">
      <alignment horizontal="left" indent="2"/>
    </xf>
    <xf numFmtId="41" fontId="4" fillId="8" borderId="0" xfId="13" applyFont="1" applyFill="1" applyAlignment="1">
      <alignment horizontal="center" vertical="center" wrapText="1"/>
    </xf>
    <xf numFmtId="41" fontId="4" fillId="8" borderId="0" xfId="13" applyFont="1" applyFill="1"/>
    <xf numFmtId="0" fontId="19" fillId="6" borderId="0" xfId="0" applyFont="1" applyFill="1"/>
    <xf numFmtId="0" fontId="19" fillId="6" borderId="0" xfId="0" quotePrefix="1" applyFont="1" applyFill="1" applyAlignment="1">
      <alignment horizontal="center"/>
    </xf>
    <xf numFmtId="0" fontId="20" fillId="6" borderId="0" xfId="0" applyFont="1" applyFill="1"/>
    <xf numFmtId="0" fontId="22" fillId="0" borderId="0" xfId="9" applyFont="1"/>
    <xf numFmtId="0" fontId="22" fillId="0" borderId="0" xfId="9" applyFont="1" applyAlignment="1">
      <alignment horizontal="center" vertical="center"/>
    </xf>
    <xf numFmtId="0" fontId="22" fillId="0" borderId="0" xfId="9" applyFont="1" applyAlignment="1">
      <alignment horizontal="left" vertical="center"/>
    </xf>
    <xf numFmtId="167" fontId="22" fillId="0" borderId="0" xfId="9" applyNumberFormat="1" applyFont="1" applyAlignment="1">
      <alignment horizontal="center" vertical="center"/>
    </xf>
    <xf numFmtId="0" fontId="21" fillId="5" borderId="1" xfId="9" applyFont="1" applyFill="1" applyBorder="1" applyAlignment="1">
      <alignment horizontal="center" vertical="center"/>
    </xf>
    <xf numFmtId="167" fontId="21" fillId="5" borderId="1" xfId="9" applyNumberFormat="1" applyFont="1" applyFill="1" applyBorder="1" applyAlignment="1">
      <alignment horizontal="center" vertical="center"/>
    </xf>
    <xf numFmtId="0" fontId="22" fillId="0" borderId="12" xfId="9" applyFont="1" applyBorder="1" applyAlignment="1">
      <alignment horizontal="center" vertical="center"/>
    </xf>
    <xf numFmtId="0" fontId="22" fillId="0" borderId="12" xfId="9" applyFont="1" applyBorder="1" applyAlignment="1">
      <alignment horizontal="left" vertical="center"/>
    </xf>
    <xf numFmtId="167" fontId="22" fillId="0" borderId="12" xfId="9" applyNumberFormat="1" applyFont="1" applyBorder="1" applyAlignment="1">
      <alignment horizontal="center" vertical="center"/>
    </xf>
    <xf numFmtId="167" fontId="22" fillId="0" borderId="8" xfId="9" applyNumberFormat="1" applyFont="1" applyBorder="1" applyAlignment="1">
      <alignment horizontal="center" vertical="center"/>
    </xf>
    <xf numFmtId="0" fontId="22" fillId="0" borderId="8" xfId="9" applyFont="1" applyBorder="1" applyAlignment="1">
      <alignment horizontal="left" vertical="center"/>
    </xf>
    <xf numFmtId="0" fontId="22" fillId="0" borderId="8" xfId="9" applyFont="1" applyBorder="1" applyAlignment="1">
      <alignment horizontal="center" vertical="center"/>
    </xf>
    <xf numFmtId="167" fontId="22" fillId="0" borderId="0" xfId="9" applyNumberFormat="1" applyFont="1"/>
    <xf numFmtId="167" fontId="22" fillId="0" borderId="16" xfId="9" applyNumberFormat="1" applyFont="1" applyBorder="1" applyAlignment="1">
      <alignment horizontal="center" vertical="center"/>
    </xf>
    <xf numFmtId="167" fontId="22" fillId="0" borderId="9" xfId="9" applyNumberFormat="1" applyFont="1" applyBorder="1" applyAlignment="1">
      <alignment horizontal="center" vertical="center"/>
    </xf>
    <xf numFmtId="167" fontId="22" fillId="0" borderId="1" xfId="9" applyNumberFormat="1" applyFont="1" applyBorder="1" applyAlignment="1">
      <alignment horizontal="center" vertical="center"/>
    </xf>
    <xf numFmtId="167" fontId="22" fillId="0" borderId="10" xfId="9" applyNumberFormat="1" applyFont="1" applyBorder="1" applyAlignment="1">
      <alignment horizontal="center" vertical="center"/>
    </xf>
    <xf numFmtId="0" fontId="22" fillId="0" borderId="1" xfId="9" applyFont="1" applyBorder="1"/>
    <xf numFmtId="0" fontId="21" fillId="0" borderId="12" xfId="9" applyFont="1" applyBorder="1" applyAlignment="1">
      <alignment horizontal="center" vertical="center"/>
    </xf>
    <xf numFmtId="167" fontId="21" fillId="0" borderId="12" xfId="9" applyNumberFormat="1" applyFont="1" applyBorder="1" applyAlignment="1">
      <alignment horizontal="center" vertical="center"/>
    </xf>
    <xf numFmtId="0" fontId="21" fillId="0" borderId="0" xfId="9" applyFont="1"/>
    <xf numFmtId="0" fontId="22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left"/>
    </xf>
    <xf numFmtId="164" fontId="22" fillId="0" borderId="0" xfId="1" applyNumberFormat="1" applyFont="1"/>
    <xf numFmtId="14" fontId="22" fillId="0" borderId="0" xfId="0" applyNumberFormat="1" applyFont="1" applyAlignment="1">
      <alignment horizontal="center"/>
    </xf>
    <xf numFmtId="0" fontId="22" fillId="2" borderId="1" xfId="0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/>
    </xf>
    <xf numFmtId="164" fontId="21" fillId="2" borderId="1" xfId="1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1" fillId="3" borderId="1" xfId="0" applyFont="1" applyFill="1" applyBorder="1" applyAlignment="1">
      <alignment horizontal="left"/>
    </xf>
    <xf numFmtId="0" fontId="21" fillId="3" borderId="1" xfId="0" applyFont="1" applyFill="1" applyBorder="1"/>
    <xf numFmtId="164" fontId="22" fillId="3" borderId="1" xfId="1" applyNumberFormat="1" applyFont="1" applyFill="1" applyBorder="1"/>
    <xf numFmtId="14" fontId="22" fillId="0" borderId="4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2" fillId="0" borderId="4" xfId="0" applyFont="1" applyBorder="1"/>
    <xf numFmtId="167" fontId="22" fillId="0" borderId="4" xfId="0" applyNumberFormat="1" applyFont="1" applyBorder="1"/>
    <xf numFmtId="164" fontId="22" fillId="0" borderId="1" xfId="1" applyNumberFormat="1" applyFont="1" applyFill="1" applyBorder="1"/>
    <xf numFmtId="164" fontId="22" fillId="0" borderId="0" xfId="1" applyNumberFormat="1" applyFont="1" applyFill="1"/>
    <xf numFmtId="167" fontId="22" fillId="0" borderId="0" xfId="0" applyNumberFormat="1" applyFont="1" applyAlignment="1">
      <alignment horizontal="left"/>
    </xf>
    <xf numFmtId="0" fontId="22" fillId="0" borderId="4" xfId="0" applyFont="1" applyBorder="1" applyAlignment="1">
      <alignment wrapText="1"/>
    </xf>
    <xf numFmtId="164" fontId="22" fillId="0" borderId="0" xfId="0" applyNumberFormat="1" applyFont="1" applyAlignment="1">
      <alignment horizontal="left"/>
    </xf>
    <xf numFmtId="167" fontId="22" fillId="0" borderId="7" xfId="0" applyNumberFormat="1" applyFont="1" applyBorder="1"/>
    <xf numFmtId="0" fontId="22" fillId="4" borderId="4" xfId="0" applyFont="1" applyFill="1" applyBorder="1"/>
    <xf numFmtId="167" fontId="22" fillId="4" borderId="7" xfId="0" applyNumberFormat="1" applyFont="1" applyFill="1" applyBorder="1"/>
    <xf numFmtId="167" fontId="22" fillId="4" borderId="4" xfId="0" applyNumberFormat="1" applyFont="1" applyFill="1" applyBorder="1"/>
    <xf numFmtId="164" fontId="22" fillId="0" borderId="1" xfId="1" applyNumberFormat="1" applyFont="1" applyBorder="1"/>
    <xf numFmtId="0" fontId="22" fillId="0" borderId="1" xfId="0" applyFont="1" applyBorder="1"/>
    <xf numFmtId="164" fontId="21" fillId="2" borderId="1" xfId="1" applyNumberFormat="1" applyFont="1" applyFill="1" applyBorder="1"/>
    <xf numFmtId="168" fontId="22" fillId="0" borderId="0" xfId="0" applyNumberFormat="1" applyFont="1" applyAlignment="1">
      <alignment horizontal="center"/>
    </xf>
    <xf numFmtId="0" fontId="22" fillId="2" borderId="1" xfId="0" applyFont="1" applyFill="1" applyBorder="1"/>
    <xf numFmtId="168" fontId="21" fillId="2" borderId="1" xfId="0" applyNumberFormat="1" applyFont="1" applyFill="1" applyBorder="1" applyAlignment="1">
      <alignment horizontal="center"/>
    </xf>
    <xf numFmtId="168" fontId="24" fillId="0" borderId="1" xfId="0" applyNumberFormat="1" applyFont="1" applyBorder="1" applyAlignment="1">
      <alignment horizontal="center" vertical="top" shrinkToFit="1"/>
    </xf>
    <xf numFmtId="168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wrapText="1"/>
    </xf>
    <xf numFmtId="0" fontId="21" fillId="2" borderId="1" xfId="0" applyFont="1" applyFill="1" applyBorder="1" applyAlignment="1">
      <alignment horizontal="left"/>
    </xf>
    <xf numFmtId="41" fontId="22" fillId="0" borderId="0" xfId="13" applyFont="1"/>
    <xf numFmtId="41" fontId="22" fillId="0" borderId="1" xfId="13" applyFont="1" applyBorder="1"/>
    <xf numFmtId="0" fontId="21" fillId="9" borderId="1" xfId="0" applyFont="1" applyFill="1" applyBorder="1" applyAlignment="1">
      <alignment horizontal="center"/>
    </xf>
    <xf numFmtId="0" fontId="21" fillId="9" borderId="1" xfId="0" applyFont="1" applyFill="1" applyBorder="1"/>
    <xf numFmtId="41" fontId="21" fillId="9" borderId="1" xfId="13" applyFont="1" applyFill="1" applyBorder="1"/>
    <xf numFmtId="0" fontId="21" fillId="0" borderId="0" xfId="3" applyFont="1"/>
    <xf numFmtId="0" fontId="22" fillId="0" borderId="0" xfId="3" applyFont="1"/>
    <xf numFmtId="0" fontId="22" fillId="0" borderId="0" xfId="3" applyFont="1" applyAlignment="1">
      <alignment wrapText="1"/>
    </xf>
    <xf numFmtId="0" fontId="22" fillId="0" borderId="1" xfId="3" applyFont="1" applyBorder="1" applyAlignment="1">
      <alignment horizontal="center"/>
    </xf>
    <xf numFmtId="0" fontId="21" fillId="0" borderId="1" xfId="3" applyFont="1" applyBorder="1"/>
    <xf numFmtId="0" fontId="22" fillId="0" borderId="1" xfId="3" applyFont="1" applyBorder="1"/>
    <xf numFmtId="14" fontId="22" fillId="0" borderId="1" xfId="3" quotePrefix="1" applyNumberFormat="1" applyFont="1" applyBorder="1"/>
    <xf numFmtId="166" fontId="22" fillId="0" borderId="1" xfId="4" applyNumberFormat="1" applyFont="1" applyBorder="1"/>
    <xf numFmtId="0" fontId="21" fillId="2" borderId="1" xfId="3" applyFont="1" applyFill="1" applyBorder="1" applyAlignment="1">
      <alignment horizontal="center"/>
    </xf>
    <xf numFmtId="0" fontId="21" fillId="2" borderId="1" xfId="3" applyFont="1" applyFill="1" applyBorder="1"/>
    <xf numFmtId="166" fontId="21" fillId="2" borderId="1" xfId="4" applyNumberFormat="1" applyFont="1" applyFill="1" applyBorder="1"/>
    <xf numFmtId="14" fontId="22" fillId="0" borderId="1" xfId="3" applyNumberFormat="1" applyFont="1" applyBorder="1"/>
    <xf numFmtId="166" fontId="22" fillId="0" borderId="0" xfId="3" applyNumberFormat="1" applyFont="1"/>
    <xf numFmtId="0" fontId="21" fillId="0" borderId="1" xfId="3" applyFont="1" applyBorder="1" applyAlignment="1">
      <alignment horizontal="center"/>
    </xf>
    <xf numFmtId="166" fontId="21" fillId="0" borderId="1" xfId="4" applyNumberFormat="1" applyFont="1" applyBorder="1"/>
    <xf numFmtId="0" fontId="22" fillId="0" borderId="0" xfId="3" applyFont="1" applyAlignment="1">
      <alignment horizontal="center"/>
    </xf>
    <xf numFmtId="164" fontId="22" fillId="0" borderId="0" xfId="1" quotePrefix="1" applyNumberFormat="1" applyFont="1" applyBorder="1"/>
    <xf numFmtId="164" fontId="22" fillId="0" borderId="0" xfId="1" applyNumberFormat="1" applyFont="1" applyBorder="1"/>
    <xf numFmtId="164" fontId="21" fillId="0" borderId="0" xfId="1" applyNumberFormat="1" applyFont="1" applyBorder="1"/>
    <xf numFmtId="0" fontId="22" fillId="0" borderId="0" xfId="0" applyFont="1" applyAlignment="1">
      <alignment horizontal="left" vertical="top"/>
    </xf>
    <xf numFmtId="0" fontId="21" fillId="0" borderId="0" xfId="0" applyFont="1"/>
    <xf numFmtId="164" fontId="22" fillId="0" borderId="0" xfId="1" applyNumberFormat="1" applyFont="1" applyAlignment="1"/>
    <xf numFmtId="0" fontId="21" fillId="0" borderId="0" xfId="0" quotePrefix="1" applyFont="1"/>
    <xf numFmtId="0" fontId="22" fillId="0" borderId="22" xfId="0" applyFont="1" applyBorder="1"/>
    <xf numFmtId="0" fontId="22" fillId="0" borderId="23" xfId="0" applyFont="1" applyBorder="1"/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vertical="top" wrapText="1"/>
    </xf>
    <xf numFmtId="164" fontId="22" fillId="0" borderId="2" xfId="1" applyNumberFormat="1" applyFont="1" applyFill="1" applyBorder="1"/>
    <xf numFmtId="0" fontId="23" fillId="0" borderId="0" xfId="0" applyFont="1" applyAlignment="1">
      <alignment horizontal="left" vertical="top" wrapText="1"/>
    </xf>
    <xf numFmtId="164" fontId="21" fillId="0" borderId="23" xfId="1" applyNumberFormat="1" applyFont="1" applyBorder="1"/>
    <xf numFmtId="0" fontId="21" fillId="0" borderId="22" xfId="0" applyFont="1" applyBorder="1"/>
    <xf numFmtId="0" fontId="21" fillId="0" borderId="23" xfId="0" applyFont="1" applyBorder="1"/>
    <xf numFmtId="9" fontId="22" fillId="0" borderId="0" xfId="11" applyFont="1"/>
    <xf numFmtId="164" fontId="22" fillId="0" borderId="2" xfId="1" applyNumberFormat="1" applyFont="1" applyBorder="1"/>
    <xf numFmtId="164" fontId="21" fillId="0" borderId="2" xfId="1" applyNumberFormat="1" applyFont="1" applyBorder="1"/>
    <xf numFmtId="164" fontId="22" fillId="0" borderId="36" xfId="1" applyNumberFormat="1" applyFont="1" applyBorder="1"/>
    <xf numFmtId="0" fontId="22" fillId="0" borderId="37" xfId="0" applyFont="1" applyBorder="1"/>
    <xf numFmtId="0" fontId="22" fillId="0" borderId="0" xfId="0" applyFont="1" applyAlignment="1">
      <alignment horizontal="left" indent="1"/>
    </xf>
    <xf numFmtId="164" fontId="22" fillId="0" borderId="0" xfId="1" applyNumberFormat="1" applyFont="1" applyFill="1" applyBorder="1"/>
    <xf numFmtId="0" fontId="22" fillId="0" borderId="35" xfId="0" applyFont="1" applyBorder="1"/>
    <xf numFmtId="0" fontId="23" fillId="0" borderId="36" xfId="0" applyFont="1" applyBorder="1" applyAlignment="1">
      <alignment horizontal="left" vertical="top"/>
    </xf>
    <xf numFmtId="0" fontId="23" fillId="0" borderId="36" xfId="0" applyFont="1" applyBorder="1" applyAlignment="1">
      <alignment horizontal="left" vertical="top" wrapText="1"/>
    </xf>
    <xf numFmtId="0" fontId="22" fillId="0" borderId="36" xfId="0" applyFont="1" applyBorder="1"/>
    <xf numFmtId="164" fontId="21" fillId="0" borderId="0" xfId="1" applyNumberFormat="1" applyFont="1" applyFill="1" applyBorder="1"/>
    <xf numFmtId="166" fontId="22" fillId="0" borderId="2" xfId="4" applyNumberFormat="1" applyFont="1" applyBorder="1"/>
    <xf numFmtId="0" fontId="22" fillId="0" borderId="0" xfId="0" applyFont="1" applyAlignment="1">
      <alignment vertical="top" wrapText="1"/>
    </xf>
    <xf numFmtId="166" fontId="22" fillId="0" borderId="0" xfId="4" applyNumberFormat="1" applyFont="1" applyBorder="1"/>
    <xf numFmtId="0" fontId="22" fillId="0" borderId="14" xfId="3" applyFont="1" applyBorder="1"/>
    <xf numFmtId="0" fontId="26" fillId="0" borderId="0" xfId="0" applyFont="1" applyAlignment="1">
      <alignment horizontal="left" vertical="top" wrapText="1" indent="2"/>
    </xf>
    <xf numFmtId="166" fontId="22" fillId="0" borderId="0" xfId="4" applyNumberFormat="1" applyFont="1" applyFill="1" applyBorder="1"/>
    <xf numFmtId="166" fontId="22" fillId="0" borderId="0" xfId="4" applyNumberFormat="1" applyFont="1"/>
    <xf numFmtId="0" fontId="23" fillId="0" borderId="0" xfId="0" applyFont="1" applyAlignment="1">
      <alignment horizontal="left" vertical="top" wrapText="1" indent="1"/>
    </xf>
    <xf numFmtId="164" fontId="22" fillId="0" borderId="0" xfId="1" applyNumberFormat="1" applyFont="1" applyBorder="1" applyAlignment="1"/>
    <xf numFmtId="166" fontId="21" fillId="0" borderId="0" xfId="4" applyNumberFormat="1" applyFont="1"/>
    <xf numFmtId="164" fontId="22" fillId="0" borderId="0" xfId="3" applyNumberFormat="1" applyFont="1"/>
    <xf numFmtId="0" fontId="22" fillId="0" borderId="22" xfId="3" applyFont="1" applyBorder="1"/>
    <xf numFmtId="0" fontId="22" fillId="0" borderId="23" xfId="3" applyFont="1" applyBorder="1"/>
    <xf numFmtId="0" fontId="22" fillId="0" borderId="24" xfId="3" applyFont="1" applyBorder="1"/>
    <xf numFmtId="164" fontId="22" fillId="0" borderId="25" xfId="1" applyNumberFormat="1" applyFont="1" applyBorder="1"/>
    <xf numFmtId="164" fontId="22" fillId="0" borderId="26" xfId="1" applyNumberFormat="1" applyFont="1" applyBorder="1"/>
    <xf numFmtId="0" fontId="22" fillId="0" borderId="27" xfId="3" applyFont="1" applyBorder="1"/>
    <xf numFmtId="164" fontId="22" fillId="0" borderId="12" xfId="1" applyNumberFormat="1" applyFont="1" applyBorder="1"/>
    <xf numFmtId="164" fontId="22" fillId="0" borderId="28" xfId="1" applyNumberFormat="1" applyFont="1" applyBorder="1"/>
    <xf numFmtId="0" fontId="22" fillId="0" borderId="29" xfId="3" applyFont="1" applyBorder="1"/>
    <xf numFmtId="164" fontId="22" fillId="0" borderId="8" xfId="1" applyNumberFormat="1" applyFont="1" applyBorder="1"/>
    <xf numFmtId="164" fontId="22" fillId="0" borderId="30" xfId="1" applyNumberFormat="1" applyFont="1" applyBorder="1"/>
    <xf numFmtId="164" fontId="22" fillId="0" borderId="13" xfId="1" applyNumberFormat="1" applyFont="1" applyBorder="1"/>
    <xf numFmtId="164" fontId="22" fillId="0" borderId="31" xfId="1" applyNumberFormat="1" applyFont="1" applyBorder="1"/>
    <xf numFmtId="0" fontId="22" fillId="0" borderId="32" xfId="3" applyFont="1" applyBorder="1"/>
    <xf numFmtId="164" fontId="22" fillId="0" borderId="33" xfId="1" applyNumberFormat="1" applyFont="1" applyBorder="1"/>
    <xf numFmtId="164" fontId="21" fillId="0" borderId="34" xfId="1" applyNumberFormat="1" applyFont="1" applyBorder="1"/>
    <xf numFmtId="0" fontId="22" fillId="11" borderId="19" xfId="0" applyFont="1" applyFill="1" applyBorder="1"/>
    <xf numFmtId="0" fontId="25" fillId="11" borderId="21" xfId="0" applyFont="1" applyFill="1" applyBorder="1" applyAlignment="1">
      <alignment horizontal="center"/>
    </xf>
    <xf numFmtId="0" fontId="22" fillId="11" borderId="22" xfId="0" applyFont="1" applyFill="1" applyBorder="1"/>
    <xf numFmtId="0" fontId="25" fillId="11" borderId="23" xfId="0" applyFont="1" applyFill="1" applyBorder="1" applyAlignment="1">
      <alignment horizontal="center" vertical="top"/>
    </xf>
    <xf numFmtId="0" fontId="25" fillId="11" borderId="23" xfId="0" quotePrefix="1" applyFont="1" applyFill="1" applyBorder="1" applyAlignment="1">
      <alignment horizontal="center" vertical="top"/>
    </xf>
    <xf numFmtId="0" fontId="23" fillId="2" borderId="2" xfId="0" applyFont="1" applyFill="1" applyBorder="1" applyAlignment="1">
      <alignment vertical="top" wrapText="1"/>
    </xf>
    <xf numFmtId="0" fontId="22" fillId="2" borderId="2" xfId="0" applyFont="1" applyFill="1" applyBorder="1" applyAlignment="1">
      <alignment vertical="top" wrapText="1"/>
    </xf>
    <xf numFmtId="166" fontId="22" fillId="2" borderId="2" xfId="4" applyNumberFormat="1" applyFont="1" applyFill="1" applyBorder="1"/>
    <xf numFmtId="0" fontId="22" fillId="2" borderId="2" xfId="3" applyFont="1" applyFill="1" applyBorder="1"/>
    <xf numFmtId="0" fontId="22" fillId="2" borderId="15" xfId="3" applyFont="1" applyFill="1" applyBorder="1"/>
    <xf numFmtId="0" fontId="21" fillId="2" borderId="2" xfId="0" applyFont="1" applyFill="1" applyBorder="1" applyAlignment="1">
      <alignment vertical="top"/>
    </xf>
    <xf numFmtId="44" fontId="22" fillId="2" borderId="2" xfId="8" applyFont="1" applyFill="1" applyBorder="1"/>
    <xf numFmtId="0" fontId="21" fillId="2" borderId="1" xfId="0" applyFont="1" applyFill="1" applyBorder="1"/>
    <xf numFmtId="0" fontId="27" fillId="11" borderId="0" xfId="0" applyFont="1" applyFill="1"/>
    <xf numFmtId="0" fontId="27" fillId="11" borderId="0" xfId="0" applyFont="1" applyFill="1" applyAlignment="1">
      <alignment horizontal="center"/>
    </xf>
    <xf numFmtId="0" fontId="10" fillId="11" borderId="0" xfId="0" applyFont="1" applyFill="1"/>
    <xf numFmtId="0" fontId="28" fillId="12" borderId="0" xfId="0" applyFont="1" applyFill="1"/>
    <xf numFmtId="41" fontId="28" fillId="12" borderId="0" xfId="13" applyFont="1" applyFill="1"/>
    <xf numFmtId="0" fontId="28" fillId="12" borderId="0" xfId="0" applyFont="1" applyFill="1" applyAlignment="1">
      <alignment horizontal="center"/>
    </xf>
    <xf numFmtId="0" fontId="21" fillId="13" borderId="1" xfId="0" applyFont="1" applyFill="1" applyBorder="1" applyAlignment="1">
      <alignment horizontal="center"/>
    </xf>
    <xf numFmtId="41" fontId="21" fillId="13" borderId="1" xfId="13" applyFont="1" applyFill="1" applyBorder="1" applyAlignment="1">
      <alignment horizontal="center"/>
    </xf>
    <xf numFmtId="0" fontId="21" fillId="13" borderId="0" xfId="0" applyFont="1" applyFill="1"/>
    <xf numFmtId="0" fontId="22" fillId="13" borderId="0" xfId="0" applyFont="1" applyFill="1"/>
    <xf numFmtId="41" fontId="21" fillId="13" borderId="0" xfId="0" applyNumberFormat="1" applyFont="1" applyFill="1"/>
    <xf numFmtId="0" fontId="25" fillId="11" borderId="1" xfId="3" quotePrefix="1" applyFont="1" applyFill="1" applyBorder="1" applyAlignment="1">
      <alignment horizontal="center"/>
    </xf>
    <xf numFmtId="0" fontId="4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41" fontId="4" fillId="10" borderId="0" xfId="13" applyFont="1" applyFill="1" applyAlignment="1">
      <alignment horizontal="center" vertical="center" wrapText="1"/>
    </xf>
    <xf numFmtId="41" fontId="4" fillId="10" borderId="0" xfId="13" applyFont="1" applyFill="1" applyAlignment="1">
      <alignment horizontal="center" vertical="center"/>
    </xf>
    <xf numFmtId="0" fontId="26" fillId="0" borderId="0" xfId="0" applyFont="1" applyAlignment="1">
      <alignment horizontal="left" vertical="top" indent="1"/>
    </xf>
    <xf numFmtId="0" fontId="27" fillId="0" borderId="0" xfId="0" applyFont="1" applyAlignment="1">
      <alignment horizontal="left" vertical="top" indent="1"/>
    </xf>
    <xf numFmtId="0" fontId="27" fillId="0" borderId="0" xfId="0" applyFont="1" applyAlignment="1">
      <alignment vertical="top" wrapText="1"/>
    </xf>
    <xf numFmtId="0" fontId="26" fillId="0" borderId="0" xfId="0" applyFont="1" applyAlignment="1">
      <alignment horizontal="left" vertical="top" wrapText="1" indent="1"/>
    </xf>
    <xf numFmtId="0" fontId="27" fillId="0" borderId="0" xfId="0" applyFont="1" applyAlignment="1">
      <alignment vertical="top"/>
    </xf>
    <xf numFmtId="0" fontId="21" fillId="3" borderId="1" xfId="0" applyFont="1" applyFill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164" fontId="22" fillId="0" borderId="0" xfId="0" applyNumberFormat="1" applyFont="1"/>
    <xf numFmtId="164" fontId="2" fillId="0" borderId="22" xfId="1" applyNumberFormat="1" applyFont="1" applyBorder="1"/>
    <xf numFmtId="0" fontId="2" fillId="0" borderId="23" xfId="0" applyFont="1" applyBorder="1"/>
    <xf numFmtId="0" fontId="2" fillId="0" borderId="22" xfId="0" applyFont="1" applyBorder="1"/>
    <xf numFmtId="164" fontId="2" fillId="0" borderId="0" xfId="1" applyNumberFormat="1" applyFont="1" applyBorder="1"/>
    <xf numFmtId="164" fontId="2" fillId="0" borderId="23" xfId="1" applyNumberFormat="1" applyFont="1" applyBorder="1"/>
    <xf numFmtId="0" fontId="10" fillId="0" borderId="22" xfId="0" applyFont="1" applyBorder="1"/>
    <xf numFmtId="164" fontId="2" fillId="0" borderId="2" xfId="1" applyNumberFormat="1" applyFont="1" applyBorder="1"/>
    <xf numFmtId="0" fontId="2" fillId="0" borderId="35" xfId="0" applyFont="1" applyBorder="1"/>
    <xf numFmtId="164" fontId="2" fillId="0" borderId="36" xfId="1" applyNumberFormat="1" applyFont="1" applyBorder="1"/>
    <xf numFmtId="164" fontId="2" fillId="0" borderId="37" xfId="1" applyNumberFormat="1" applyFont="1" applyBorder="1"/>
    <xf numFmtId="0" fontId="27" fillId="0" borderId="0" xfId="0" applyFont="1"/>
    <xf numFmtId="0" fontId="24" fillId="0" borderId="0" xfId="0" applyFont="1"/>
    <xf numFmtId="9" fontId="24" fillId="0" borderId="0" xfId="0" applyNumberFormat="1" applyFont="1"/>
    <xf numFmtId="167" fontId="24" fillId="0" borderId="0" xfId="0" applyNumberFormat="1" applyFont="1"/>
    <xf numFmtId="0" fontId="24" fillId="0" borderId="0" xfId="0" applyFont="1" applyAlignment="1">
      <alignment horizontal="left" indent="1"/>
    </xf>
    <xf numFmtId="0" fontId="24" fillId="0" borderId="0" xfId="0" applyFont="1" applyAlignment="1">
      <alignment horizontal="justify"/>
    </xf>
    <xf numFmtId="3" fontId="24" fillId="0" borderId="0" xfId="0" applyNumberFormat="1" applyFont="1" applyAlignment="1">
      <alignment horizontal="left"/>
    </xf>
    <xf numFmtId="3" fontId="24" fillId="0" borderId="0" xfId="0" applyNumberFormat="1" applyFont="1" applyAlignment="1">
      <alignment horizontal="justify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justify" vertical="top" wrapText="1"/>
    </xf>
    <xf numFmtId="9" fontId="24" fillId="0" borderId="0" xfId="0" applyNumberFormat="1" applyFont="1" applyAlignment="1">
      <alignment vertical="top" wrapText="1"/>
    </xf>
    <xf numFmtId="167" fontId="24" fillId="0" borderId="0" xfId="0" applyNumberFormat="1" applyFont="1" applyAlignment="1">
      <alignment vertical="top" wrapText="1"/>
    </xf>
    <xf numFmtId="0" fontId="22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3" fontId="24" fillId="0" borderId="12" xfId="0" applyNumberFormat="1" applyFont="1" applyBorder="1" applyAlignment="1">
      <alignment horizontal="center" vertical="center" wrapText="1"/>
    </xf>
    <xf numFmtId="3" fontId="24" fillId="0" borderId="8" xfId="0" applyNumberFormat="1" applyFont="1" applyBorder="1" applyAlignment="1">
      <alignment horizontal="center" vertical="center" wrapText="1"/>
    </xf>
    <xf numFmtId="3" fontId="24" fillId="0" borderId="8" xfId="0" applyNumberFormat="1" applyFont="1" applyBorder="1" applyAlignment="1">
      <alignment horizontal="left" vertical="center"/>
    </xf>
    <xf numFmtId="41" fontId="24" fillId="0" borderId="8" xfId="13" applyFont="1" applyBorder="1" applyAlignment="1">
      <alignment horizontal="center" vertical="center" wrapText="1"/>
    </xf>
    <xf numFmtId="167" fontId="24" fillId="0" borderId="8" xfId="0" applyNumberFormat="1" applyFont="1" applyBorder="1" applyAlignment="1">
      <alignment horizontal="center" vertical="center" wrapText="1"/>
    </xf>
    <xf numFmtId="41" fontId="30" fillId="0" borderId="8" xfId="13" applyFont="1" applyBorder="1" applyAlignment="1">
      <alignment vertical="center" wrapText="1"/>
    </xf>
    <xf numFmtId="0" fontId="22" fillId="0" borderId="0" xfId="0" applyFont="1" applyAlignment="1">
      <alignment vertical="center"/>
    </xf>
    <xf numFmtId="9" fontId="22" fillId="0" borderId="0" xfId="0" applyNumberFormat="1" applyFont="1" applyAlignment="1">
      <alignment vertical="center"/>
    </xf>
    <xf numFmtId="167" fontId="22" fillId="0" borderId="0" xfId="0" applyNumberFormat="1" applyFont="1" applyAlignment="1">
      <alignment vertical="center"/>
    </xf>
    <xf numFmtId="9" fontId="22" fillId="0" borderId="0" xfId="0" applyNumberFormat="1" applyFont="1"/>
    <xf numFmtId="167" fontId="22" fillId="0" borderId="0" xfId="0" applyNumberFormat="1" applyFont="1"/>
    <xf numFmtId="0" fontId="24" fillId="0" borderId="0" xfId="0" applyFont="1" applyAlignment="1">
      <alignment horizontal="right"/>
    </xf>
    <xf numFmtId="0" fontId="24" fillId="0" borderId="0" xfId="0" applyFont="1" applyAlignment="1">
      <alignment horizontal="left"/>
    </xf>
    <xf numFmtId="0" fontId="30" fillId="2" borderId="12" xfId="0" applyFont="1" applyFill="1" applyBorder="1" applyAlignment="1">
      <alignment horizontal="center" vertical="top" wrapText="1"/>
    </xf>
    <xf numFmtId="0" fontId="17" fillId="0" borderId="0" xfId="0" applyFont="1"/>
    <xf numFmtId="0" fontId="17" fillId="8" borderId="0" xfId="0" applyFont="1" applyFill="1"/>
    <xf numFmtId="0" fontId="17" fillId="8" borderId="0" xfId="0" applyFont="1" applyFill="1" applyAlignment="1">
      <alignment horizontal="left" indent="2"/>
    </xf>
    <xf numFmtId="164" fontId="1" fillId="0" borderId="0" xfId="1" quotePrefix="1" applyNumberFormat="1" applyFont="1" applyBorder="1"/>
    <xf numFmtId="164" fontId="1" fillId="0" borderId="0" xfId="1" applyNumberFormat="1" applyFont="1" applyBorder="1"/>
    <xf numFmtId="0" fontId="18" fillId="0" borderId="0" xfId="0" applyFont="1" applyAlignment="1">
      <alignment horizontal="left" indent="4"/>
    </xf>
    <xf numFmtId="167" fontId="1" fillId="0" borderId="4" xfId="0" applyNumberFormat="1" applyFont="1" applyBorder="1"/>
    <xf numFmtId="167" fontId="1" fillId="0" borderId="7" xfId="0" applyNumberFormat="1" applyFont="1" applyBorder="1"/>
    <xf numFmtId="0" fontId="1" fillId="0" borderId="0" xfId="0" applyFont="1"/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1" applyNumberFormat="1" applyFont="1"/>
    <xf numFmtId="0" fontId="1" fillId="2" borderId="1" xfId="0" applyFont="1" applyFill="1" applyBorder="1"/>
    <xf numFmtId="0" fontId="1" fillId="0" borderId="1" xfId="0" applyFont="1" applyBorder="1"/>
    <xf numFmtId="164" fontId="1" fillId="3" borderId="1" xfId="1" applyNumberFormat="1" applyFont="1" applyFill="1" applyBorder="1"/>
    <xf numFmtId="164" fontId="1" fillId="0" borderId="1" xfId="1" applyNumberFormat="1" applyFont="1" applyFill="1" applyBorder="1"/>
    <xf numFmtId="164" fontId="1" fillId="0" borderId="0" xfId="1" applyNumberFormat="1" applyFont="1" applyFill="1"/>
    <xf numFmtId="14" fontId="1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167" fontId="1" fillId="0" borderId="0" xfId="0" applyNumberFormat="1" applyFont="1"/>
    <xf numFmtId="164" fontId="1" fillId="0" borderId="4" xfId="1" applyNumberFormat="1" applyFont="1" applyFill="1" applyBorder="1"/>
    <xf numFmtId="168" fontId="1" fillId="0" borderId="1" xfId="0" applyNumberFormat="1" applyFont="1" applyBorder="1" applyAlignment="1">
      <alignment horizontal="center"/>
    </xf>
    <xf numFmtId="164" fontId="1" fillId="0" borderId="0" xfId="0" applyNumberFormat="1" applyFont="1"/>
    <xf numFmtId="0" fontId="1" fillId="0" borderId="1" xfId="0" applyFont="1" applyBorder="1" applyAlignment="1">
      <alignment wrapText="1"/>
    </xf>
    <xf numFmtId="164" fontId="1" fillId="0" borderId="1" xfId="1" applyNumberFormat="1" applyFont="1" applyBorder="1"/>
    <xf numFmtId="0" fontId="21" fillId="0" borderId="17" xfId="9" applyFont="1" applyBorder="1" applyAlignment="1">
      <alignment horizontal="center" vertical="center"/>
    </xf>
    <xf numFmtId="0" fontId="21" fillId="0" borderId="11" xfId="9" applyFont="1" applyBorder="1" applyAlignment="1">
      <alignment horizontal="center" vertical="center"/>
    </xf>
    <xf numFmtId="0" fontId="23" fillId="0" borderId="11" xfId="9" applyFont="1" applyBorder="1"/>
    <xf numFmtId="0" fontId="23" fillId="0" borderId="18" xfId="9" applyFont="1" applyBorder="1"/>
    <xf numFmtId="167" fontId="21" fillId="5" borderId="5" xfId="9" applyNumberFormat="1" applyFont="1" applyFill="1" applyBorder="1" applyAlignment="1">
      <alignment horizontal="center" vertical="center"/>
    </xf>
    <xf numFmtId="167" fontId="21" fillId="5" borderId="6" xfId="9" applyNumberFormat="1" applyFont="1" applyFill="1" applyBorder="1" applyAlignment="1">
      <alignment horizontal="center" vertical="center"/>
    </xf>
    <xf numFmtId="0" fontId="21" fillId="5" borderId="1" xfId="9" applyFont="1" applyFill="1" applyBorder="1" applyAlignment="1">
      <alignment horizontal="center" vertical="center" wrapText="1"/>
    </xf>
    <xf numFmtId="0" fontId="21" fillId="5" borderId="1" xfId="9" applyFont="1" applyFill="1" applyBorder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25" fillId="11" borderId="0" xfId="9" applyFont="1" applyFill="1" applyAlignment="1">
      <alignment horizontal="center" vertical="center"/>
    </xf>
    <xf numFmtId="0" fontId="25" fillId="11" borderId="0" xfId="9" quotePrefix="1" applyFont="1" applyFill="1" applyAlignment="1">
      <alignment horizontal="center" vertical="center"/>
    </xf>
    <xf numFmtId="167" fontId="22" fillId="0" borderId="2" xfId="9" applyNumberFormat="1" applyFont="1" applyBorder="1" applyAlignment="1">
      <alignment horizontal="left" vertical="center" wrapText="1"/>
    </xf>
    <xf numFmtId="0" fontId="25" fillId="11" borderId="0" xfId="0" quotePrefix="1" applyFont="1" applyFill="1" applyAlignment="1">
      <alignment horizontal="center"/>
    </xf>
    <xf numFmtId="0" fontId="25" fillId="11" borderId="0" xfId="0" applyFont="1" applyFill="1" applyAlignment="1">
      <alignment horizontal="center" wrapText="1"/>
    </xf>
    <xf numFmtId="0" fontId="25" fillId="11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0" fontId="13" fillId="11" borderId="0" xfId="0" quotePrefix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quotePrefix="1" applyFont="1" applyAlignment="1">
      <alignment horizontal="center"/>
    </xf>
    <xf numFmtId="0" fontId="25" fillId="11" borderId="3" xfId="3" applyFont="1" applyFill="1" applyBorder="1" applyAlignment="1">
      <alignment horizontal="center" vertical="center" wrapText="1"/>
    </xf>
    <xf numFmtId="0" fontId="25" fillId="11" borderId="4" xfId="3" applyFont="1" applyFill="1" applyBorder="1" applyAlignment="1">
      <alignment horizontal="center" vertical="center" wrapText="1"/>
    </xf>
    <xf numFmtId="0" fontId="25" fillId="11" borderId="1" xfId="3" applyFont="1" applyFill="1" applyBorder="1" applyAlignment="1">
      <alignment horizontal="center" vertical="center" wrapText="1"/>
    </xf>
    <xf numFmtId="164" fontId="4" fillId="2" borderId="38" xfId="1" applyNumberFormat="1" applyFont="1" applyFill="1" applyBorder="1" applyAlignment="1">
      <alignment horizontal="center"/>
    </xf>
    <xf numFmtId="164" fontId="4" fillId="2" borderId="39" xfId="1" applyNumberFormat="1" applyFont="1" applyFill="1" applyBorder="1" applyAlignment="1">
      <alignment horizontal="center"/>
    </xf>
    <xf numFmtId="164" fontId="4" fillId="2" borderId="40" xfId="1" applyNumberFormat="1" applyFont="1" applyFill="1" applyBorder="1" applyAlignment="1">
      <alignment horizontal="center"/>
    </xf>
    <xf numFmtId="0" fontId="25" fillId="11" borderId="20" xfId="0" applyFont="1" applyFill="1" applyBorder="1" applyAlignment="1">
      <alignment horizontal="center"/>
    </xf>
    <xf numFmtId="0" fontId="25" fillId="11" borderId="0" xfId="0" applyFont="1" applyFill="1" applyAlignment="1">
      <alignment horizontal="center" vertical="top"/>
    </xf>
    <xf numFmtId="0" fontId="25" fillId="11" borderId="0" xfId="0" quotePrefix="1" applyFont="1" applyFill="1" applyAlignment="1">
      <alignment horizontal="center" vertical="top"/>
    </xf>
    <xf numFmtId="0" fontId="25" fillId="11" borderId="19" xfId="3" applyFont="1" applyFill="1" applyBorder="1" applyAlignment="1">
      <alignment horizontal="center"/>
    </xf>
    <xf numFmtId="0" fontId="27" fillId="11" borderId="20" xfId="3" applyFont="1" applyFill="1" applyBorder="1"/>
    <xf numFmtId="0" fontId="27" fillId="11" borderId="21" xfId="3" applyFont="1" applyFill="1" applyBorder="1"/>
    <xf numFmtId="0" fontId="25" fillId="11" borderId="22" xfId="3" applyFont="1" applyFill="1" applyBorder="1" applyAlignment="1">
      <alignment horizontal="center"/>
    </xf>
    <xf numFmtId="0" fontId="27" fillId="11" borderId="0" xfId="3" applyFont="1" applyFill="1"/>
    <xf numFmtId="0" fontId="27" fillId="11" borderId="23" xfId="3" applyFont="1" applyFill="1" applyBorder="1"/>
    <xf numFmtId="0" fontId="30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165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65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left" vertical="center"/>
    </xf>
    <xf numFmtId="0" fontId="30" fillId="0" borderId="0" xfId="0" applyFont="1" applyAlignment="1">
      <alignment horizontal="center"/>
    </xf>
    <xf numFmtId="3" fontId="24" fillId="0" borderId="0" xfId="0" applyNumberFormat="1" applyFont="1" applyAlignment="1">
      <alignment horizontal="left" vertical="top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wrapText="1"/>
    </xf>
    <xf numFmtId="0" fontId="30" fillId="2" borderId="42" xfId="0" applyFont="1" applyFill="1" applyBorder="1" applyAlignment="1">
      <alignment horizontal="center" wrapText="1"/>
    </xf>
    <xf numFmtId="0" fontId="30" fillId="2" borderId="10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16" fillId="0" borderId="0" xfId="12" applyFont="1" applyAlignment="1">
      <alignment horizontal="center" vertical="center"/>
    </xf>
    <xf numFmtId="0" fontId="14" fillId="0" borderId="0" xfId="12"/>
    <xf numFmtId="9" fontId="15" fillId="0" borderId="0" xfId="12" applyNumberFormat="1" applyFont="1" applyAlignment="1">
      <alignment horizontal="center" vertical="center"/>
    </xf>
  </cellXfs>
  <cellStyles count="14">
    <cellStyle name="Comma" xfId="1" builtinId="3"/>
    <cellStyle name="Comma [0]" xfId="13" builtinId="6"/>
    <cellStyle name="Comma 2" xfId="4" xr:uid="{00000000-0005-0000-0000-000002000000}"/>
    <cellStyle name="Comma 2 2" xfId="6" xr:uid="{00000000-0005-0000-0000-000003000000}"/>
    <cellStyle name="Currency" xfId="8" builtinId="4"/>
    <cellStyle name="Currency 2" xfId="10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3" xr:uid="{00000000-0005-0000-0000-000009000000}"/>
    <cellStyle name="Normal 4" xfId="7" xr:uid="{00000000-0005-0000-0000-00000A000000}"/>
    <cellStyle name="Normal 5" xfId="9" xr:uid="{00000000-0005-0000-0000-00000B000000}"/>
    <cellStyle name="Normal 6" xfId="12" xr:uid="{00000000-0005-0000-0000-00000C000000}"/>
    <cellStyle name="Percent" xfId="11" builtinId="5"/>
  </cellStyles>
  <dxfs count="0"/>
  <tableStyles count="0" defaultTableStyle="TableStyleMedium2" defaultPivotStyle="PivotStyleLight16"/>
  <colors>
    <mruColors>
      <color rgb="FFC71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50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40.xml"/><Relationship Id="rId74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61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38.xml"/><Relationship Id="rId64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5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72" Type="http://schemas.openxmlformats.org/officeDocument/2006/relationships/externalLink" Target="externalLinks/externalLink54.xml"/><Relationship Id="rId80" Type="http://schemas.openxmlformats.org/officeDocument/2006/relationships/externalLink" Target="externalLinks/externalLink62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49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54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57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3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55.xml"/><Relationship Id="rId78" Type="http://schemas.openxmlformats.org/officeDocument/2006/relationships/externalLink" Target="externalLinks/externalLink60.xml"/><Relationship Id="rId81" Type="http://schemas.openxmlformats.org/officeDocument/2006/relationships/externalLink" Target="externalLinks/externalLink6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37.xml"/><Relationship Id="rId76" Type="http://schemas.openxmlformats.org/officeDocument/2006/relationships/externalLink" Target="externalLinks/externalLink5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6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66" Type="http://schemas.openxmlformats.org/officeDocument/2006/relationships/externalLink" Target="externalLinks/externalLink48.xml"/><Relationship Id="rId61" Type="http://schemas.openxmlformats.org/officeDocument/2006/relationships/externalLink" Target="externalLinks/externalLink43.xml"/><Relationship Id="rId8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 sz="1400"/>
              <a:t>PENDAPATAN VS PENGELUARAN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2-4890-BA57-B256A6EEA1A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2-4890-BA57-B256A6EEA1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DASHBOARD!$B$3:$B$4</c:f>
              <c:strCache>
                <c:ptCount val="2"/>
                <c:pt idx="0">
                  <c:v>PENDAPATAN</c:v>
                </c:pt>
                <c:pt idx="1">
                  <c:v>PENGELUARAN</c:v>
                </c:pt>
              </c:strCache>
            </c:strRef>
          </c:cat>
          <c:val>
            <c:numRef>
              <c:f>DASHBOARD!$C$3:$C$4</c:f>
              <c:numCache>
                <c:formatCode>_(* #,##0_);_(* \(#,##0\);_(* "-"_);_(@_)</c:formatCode>
                <c:ptCount val="2"/>
                <c:pt idx="0">
                  <c:v>150208916.28</c:v>
                </c:pt>
                <c:pt idx="1">
                  <c:v>13019825.26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32-4890-BA57-B256A6EEA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Pengeluaran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DASHBOARD!$B$7:$B$20</c:f>
              <c:strCache>
                <c:ptCount val="14"/>
                <c:pt idx="0">
                  <c:v>HPP</c:v>
                </c:pt>
                <c:pt idx="1">
                  <c:v>Biaya Jasa</c:v>
                </c:pt>
                <c:pt idx="2">
                  <c:v>Gaji</c:v>
                </c:pt>
                <c:pt idx="3">
                  <c:v>Listrik Internet PDAM</c:v>
                </c:pt>
                <c:pt idx="4">
                  <c:v>BPJS</c:v>
                </c:pt>
                <c:pt idx="5">
                  <c:v>Operasional</c:v>
                </c:pt>
                <c:pt idx="6">
                  <c:v>Pemasaran</c:v>
                </c:pt>
                <c:pt idx="7">
                  <c:v>Transport</c:v>
                </c:pt>
                <c:pt idx="8">
                  <c:v>Pemeliharaan</c:v>
                </c:pt>
                <c:pt idx="9">
                  <c:v>Sewa</c:v>
                </c:pt>
                <c:pt idx="10">
                  <c:v>Administrasi &amp; Umum</c:v>
                </c:pt>
                <c:pt idx="11">
                  <c:v>Penyusutan Aset</c:v>
                </c:pt>
                <c:pt idx="12">
                  <c:v>Pajak</c:v>
                </c:pt>
                <c:pt idx="13">
                  <c:v>Biaya Diluar Usaha</c:v>
                </c:pt>
              </c:strCache>
            </c:strRef>
          </c:cat>
          <c:val>
            <c:numRef>
              <c:f>DASHBOARD!$C$7:$C$20</c:f>
              <c:numCache>
                <c:formatCode>_(* #,##0_);_(* \(#,##0\);_(* "-"_);_(@_)</c:formatCode>
                <c:ptCount val="14"/>
                <c:pt idx="0">
                  <c:v>6000000</c:v>
                </c:pt>
                <c:pt idx="1">
                  <c:v>6000000</c:v>
                </c:pt>
                <c:pt idx="2">
                  <c:v>0</c:v>
                </c:pt>
                <c:pt idx="3">
                  <c:v>1555000</c:v>
                </c:pt>
                <c:pt idx="4">
                  <c:v>5198862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32500</c:v>
                </c:pt>
                <c:pt idx="11">
                  <c:v>0</c:v>
                </c:pt>
                <c:pt idx="12">
                  <c:v>233463.26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3-4480-AC45-2D3521E93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1944352"/>
        <c:axId val="2111944768"/>
        <c:axId val="0"/>
      </c:bar3DChart>
      <c:catAx>
        <c:axId val="21119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44768"/>
        <c:crosses val="autoZero"/>
        <c:auto val="1"/>
        <c:lblAlgn val="ctr"/>
        <c:lblOffset val="100"/>
        <c:noMultiLvlLbl val="0"/>
      </c:catAx>
      <c:valAx>
        <c:axId val="21119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4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 b="1">
                <a:solidFill>
                  <a:schemeClr val="tx1">
                    <a:lumMod val="75000"/>
                    <a:lumOff val="25000"/>
                  </a:schemeClr>
                </a:solidFill>
              </a:rPr>
              <a:t>Grafik 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1">
                  <a:lumMod val="75000"/>
                  <a:lumOff val="2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DASHBOARD!$B$22:$B$29</c:f>
              <c:strCache>
                <c:ptCount val="8"/>
                <c:pt idx="0">
                  <c:v>Kas dan Bank</c:v>
                </c:pt>
                <c:pt idx="1">
                  <c:v>Piutang Usaha</c:v>
                </c:pt>
                <c:pt idx="2">
                  <c:v>PPh 23 Dibayar Dimuka</c:v>
                </c:pt>
                <c:pt idx="3">
                  <c:v>PPh 22 Dibayar Dimuka</c:v>
                </c:pt>
                <c:pt idx="4">
                  <c:v>PPh 25 Dibayar Dimuka</c:v>
                </c:pt>
                <c:pt idx="5">
                  <c:v>PPN Masukan</c:v>
                </c:pt>
                <c:pt idx="6">
                  <c:v>PPN Dibayar Dimuka (Instansi)</c:v>
                </c:pt>
                <c:pt idx="7">
                  <c:v>Aset Tetap</c:v>
                </c:pt>
              </c:strCache>
            </c:strRef>
          </c:cat>
          <c:val>
            <c:numRef>
              <c:f>DASHBOARD!$C$22:$C$29</c:f>
              <c:numCache>
                <c:formatCode>_(* #,##0_);_(* \(#,##0\);_(* "-"_);_(@_)</c:formatCode>
                <c:ptCount val="8"/>
                <c:pt idx="0">
                  <c:v>60955611.019999996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A-4816-BFFD-5FAF8022B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03428000"/>
        <c:axId val="303425504"/>
      </c:barChart>
      <c:catAx>
        <c:axId val="30342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25504"/>
        <c:crosses val="autoZero"/>
        <c:auto val="1"/>
        <c:lblAlgn val="ctr"/>
        <c:lblOffset val="100"/>
        <c:noMultiLvlLbl val="0"/>
      </c:catAx>
      <c:valAx>
        <c:axId val="30342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2800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Data Pasiva Per</a:t>
            </a:r>
            <a:r>
              <a:rPr lang="en-ID" baseline="0"/>
              <a:t> Kategori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BB-43AE-9C42-CF68E11A27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BB-43AE-9C42-CF68E11A27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BB-43AE-9C42-CF68E11A27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BB-43AE-9C42-CF68E11A27D5}"/>
              </c:ext>
            </c:extLst>
          </c:dPt>
          <c:cat>
            <c:strRef>
              <c:f>DASHBOARD!$B$33:$B$36</c:f>
              <c:strCache>
                <c:ptCount val="4"/>
                <c:pt idx="0">
                  <c:v>Hutang Usaha</c:v>
                </c:pt>
                <c:pt idx="1">
                  <c:v>PPN Keluaran</c:v>
                </c:pt>
                <c:pt idx="2">
                  <c:v>0</c:v>
                </c:pt>
                <c:pt idx="3">
                  <c:v>Ekuitas</c:v>
                </c:pt>
              </c:strCache>
            </c:strRef>
          </c:cat>
          <c:val>
            <c:numRef>
              <c:f>DASHBOARD!$C$33:$C$36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137189091.02000001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BB-43AE-9C42-CF68E11A2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accent4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PENDAPATAN VS PENGELUARAN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B4-40B2-A704-B5DF4228F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B4-40B2-A704-B5DF4228F0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DASHBOARD!$B$3:$B$4</c:f>
              <c:strCache>
                <c:ptCount val="2"/>
                <c:pt idx="0">
                  <c:v>PENDAPATAN</c:v>
                </c:pt>
                <c:pt idx="1">
                  <c:v>PENGELUARAN</c:v>
                </c:pt>
              </c:strCache>
            </c:strRef>
          </c:cat>
          <c:val>
            <c:numRef>
              <c:f>DASHBOARD!$C$3:$C$4</c:f>
              <c:numCache>
                <c:formatCode>_(* #,##0_);_(* \(#,##0\);_(* "-"_);_(@_)</c:formatCode>
                <c:ptCount val="2"/>
                <c:pt idx="0">
                  <c:v>150208916.28</c:v>
                </c:pt>
                <c:pt idx="1">
                  <c:v>13019825.26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B4-40B2-A704-B5DF4228F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Pengeluaran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DASHBOARD!$B$7:$B$20</c:f>
              <c:strCache>
                <c:ptCount val="14"/>
                <c:pt idx="0">
                  <c:v>HPP</c:v>
                </c:pt>
                <c:pt idx="1">
                  <c:v>Biaya Jasa</c:v>
                </c:pt>
                <c:pt idx="2">
                  <c:v>Gaji</c:v>
                </c:pt>
                <c:pt idx="3">
                  <c:v>Listrik Internet PDAM</c:v>
                </c:pt>
                <c:pt idx="4">
                  <c:v>BPJS</c:v>
                </c:pt>
                <c:pt idx="5">
                  <c:v>Operasional</c:v>
                </c:pt>
                <c:pt idx="6">
                  <c:v>Pemasaran</c:v>
                </c:pt>
                <c:pt idx="7">
                  <c:v>Transport</c:v>
                </c:pt>
                <c:pt idx="8">
                  <c:v>Pemeliharaan</c:v>
                </c:pt>
                <c:pt idx="9">
                  <c:v>Sewa</c:v>
                </c:pt>
                <c:pt idx="10">
                  <c:v>Administrasi &amp; Umum</c:v>
                </c:pt>
                <c:pt idx="11">
                  <c:v>Penyusutan Aset</c:v>
                </c:pt>
                <c:pt idx="12">
                  <c:v>Pajak</c:v>
                </c:pt>
                <c:pt idx="13">
                  <c:v>Biaya Diluar Usaha</c:v>
                </c:pt>
              </c:strCache>
            </c:strRef>
          </c:cat>
          <c:val>
            <c:numRef>
              <c:f>DASHBOARD!$C$7:$C$20</c:f>
              <c:numCache>
                <c:formatCode>_(* #,##0_);_(* \(#,##0\);_(* "-"_);_(@_)</c:formatCode>
                <c:ptCount val="14"/>
                <c:pt idx="0">
                  <c:v>6000000</c:v>
                </c:pt>
                <c:pt idx="1">
                  <c:v>6000000</c:v>
                </c:pt>
                <c:pt idx="2">
                  <c:v>0</c:v>
                </c:pt>
                <c:pt idx="3">
                  <c:v>1555000</c:v>
                </c:pt>
                <c:pt idx="4">
                  <c:v>5198862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32500</c:v>
                </c:pt>
                <c:pt idx="11">
                  <c:v>0</c:v>
                </c:pt>
                <c:pt idx="12">
                  <c:v>233463.26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B-4C43-B0E3-29E9AAEA4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1944352"/>
        <c:axId val="2111944768"/>
        <c:axId val="0"/>
      </c:bar3DChart>
      <c:catAx>
        <c:axId val="21119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44768"/>
        <c:crosses val="autoZero"/>
        <c:auto val="1"/>
        <c:lblAlgn val="ctr"/>
        <c:lblOffset val="100"/>
        <c:noMultiLvlLbl val="0"/>
      </c:catAx>
      <c:valAx>
        <c:axId val="21119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4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Grafik 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DASHBOARD!$B$22:$B$29</c:f>
              <c:strCache>
                <c:ptCount val="8"/>
                <c:pt idx="0">
                  <c:v>Kas dan Bank</c:v>
                </c:pt>
                <c:pt idx="1">
                  <c:v>Piutang Usaha</c:v>
                </c:pt>
                <c:pt idx="2">
                  <c:v>PPh 23 Dibayar Dimuka</c:v>
                </c:pt>
                <c:pt idx="3">
                  <c:v>PPh 22 Dibayar Dimuka</c:v>
                </c:pt>
                <c:pt idx="4">
                  <c:v>PPh 25 Dibayar Dimuka</c:v>
                </c:pt>
                <c:pt idx="5">
                  <c:v>PPN Masukan</c:v>
                </c:pt>
                <c:pt idx="6">
                  <c:v>PPN Dibayar Dimuka (Instansi)</c:v>
                </c:pt>
                <c:pt idx="7">
                  <c:v>Aset Tetap</c:v>
                </c:pt>
              </c:strCache>
            </c:strRef>
          </c:cat>
          <c:val>
            <c:numRef>
              <c:f>DASHBOARD!$C$22:$C$29</c:f>
              <c:numCache>
                <c:formatCode>_(* #,##0_);_(* \(#,##0\);_(* "-"_);_(@_)</c:formatCode>
                <c:ptCount val="8"/>
                <c:pt idx="0">
                  <c:v>60955611.019999996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8-4B92-9312-C2909B61E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03428000"/>
        <c:axId val="303425504"/>
      </c:barChart>
      <c:catAx>
        <c:axId val="30342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25504"/>
        <c:crosses val="autoZero"/>
        <c:auto val="1"/>
        <c:lblAlgn val="ctr"/>
        <c:lblOffset val="100"/>
        <c:noMultiLvlLbl val="0"/>
      </c:catAx>
      <c:valAx>
        <c:axId val="30342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42800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Data Pasiva Per</a:t>
            </a:r>
            <a:r>
              <a:rPr lang="en-ID" baseline="0"/>
              <a:t> Kategori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27-4044-954A-765F01BC3C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27-4044-954A-765F01BC3C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27-4044-954A-765F01BC3C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27-4044-954A-765F01BC3C16}"/>
              </c:ext>
            </c:extLst>
          </c:dPt>
          <c:cat>
            <c:strRef>
              <c:f>DASHBOARD!$B$33:$B$36</c:f>
              <c:strCache>
                <c:ptCount val="4"/>
                <c:pt idx="0">
                  <c:v>Hutang Usaha</c:v>
                </c:pt>
                <c:pt idx="1">
                  <c:v>PPN Keluaran</c:v>
                </c:pt>
                <c:pt idx="2">
                  <c:v>0</c:v>
                </c:pt>
                <c:pt idx="3">
                  <c:v>Ekuitas</c:v>
                </c:pt>
              </c:strCache>
            </c:strRef>
          </c:cat>
          <c:val>
            <c:numRef>
              <c:f>DASHBOARD!$C$33:$C$36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137189091.02000001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27-4044-954A-765F01BC3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1</xdr:row>
      <xdr:rowOff>91440</xdr:rowOff>
    </xdr:from>
    <xdr:to>
      <xdr:col>9</xdr:col>
      <xdr:colOff>175260</xdr:colOff>
      <xdr:row>15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E8ADD7-E5B2-4B47-8482-69B893F7E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457200</xdr:colOff>
      <xdr:row>1</xdr:row>
      <xdr:rowOff>144780</xdr:rowOff>
    </xdr:from>
    <xdr:to>
      <xdr:col>16</xdr:col>
      <xdr:colOff>480060</xdr:colOff>
      <xdr:row>16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A6CA23-D21F-4443-9B42-7350FCD13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91440</xdr:colOff>
      <xdr:row>17</xdr:row>
      <xdr:rowOff>30480</xdr:rowOff>
    </xdr:from>
    <xdr:to>
      <xdr:col>13</xdr:col>
      <xdr:colOff>594360</xdr:colOff>
      <xdr:row>35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F864D8-D7A3-4D96-97C7-25AEB8740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121920</xdr:colOff>
      <xdr:row>17</xdr:row>
      <xdr:rowOff>7620</xdr:rowOff>
    </xdr:from>
    <xdr:to>
      <xdr:col>19</xdr:col>
      <xdr:colOff>480060</xdr:colOff>
      <xdr:row>34</xdr:row>
      <xdr:rowOff>45720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E0CD46-D5F4-4236-BF49-052476B4D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6</xdr:row>
      <xdr:rowOff>91440</xdr:rowOff>
    </xdr:from>
    <xdr:to>
      <xdr:col>12</xdr:col>
      <xdr:colOff>853440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96E89-E7A6-4BFC-9645-317BA2673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876300</xdr:colOff>
      <xdr:row>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94BA6-1F35-41BE-A846-5473EA24C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0</xdr:row>
      <xdr:rowOff>22860</xdr:rowOff>
    </xdr:from>
    <xdr:to>
      <xdr:col>15</xdr:col>
      <xdr:colOff>441960</xdr:colOff>
      <xdr:row>15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6EC0D-9435-4E11-AA37-21060745A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281940</xdr:colOff>
      <xdr:row>16</xdr:row>
      <xdr:rowOff>45720</xdr:rowOff>
    </xdr:from>
    <xdr:to>
      <xdr:col>13</xdr:col>
      <xdr:colOff>541020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FD110-F865-45C3-B990-0EE318755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ntor\PARIWISATA\Saba%20Pasir\My%20Documents\2002\P2P\Jl_Stapak~Namale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RG%20SUEZ%20(G)%20backup%20130209/DATA%20BLU/DATA%20ISIAN%20BARU%20290807%20(version%201).xls" TargetMode="External"/><Relationship Id="rId1" Type="http://schemas.openxmlformats.org/officeDocument/2006/relationships/externalLinkPath" Target="/DRG%20SUEZ%20(G)%20backup%20130209/DATA%20BLU/DATA%20ISIAN%20BARU%20290807%20(version%2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G%20SUEZ%20(G)%20backup%20130209\DATA%20BLU\DATA%20ISIAN%20BARU%20290807%20(version%20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ouver%20Firdaus\Pariwisata\Paket%20Pekerjaan\My%20Documents\2002\P2P\Jl_Stapak~Nama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ADINA\MADINA%202008\Perkantoran\TA%202006\APBD\Rask%20Office%2006\Rask\Kantor\PARIWISATA\Sibanggor%20Julu\My%20Documents\2002\P2P\Jl_Stapak~Nam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nitia%20TNBG%202012\pp%20mau%20edit\bahp\Kantor\PARIWISATA\Saba%20Pasir\My%20Documents\2002\P2P\Jl_Stapak~Nama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nitia%20TNBG%202012\pp%20mau%20edit\AJAX\JF\PELELANGAN%202006\SK%20PANITIA%20&amp;%20NAMA%20PAKET%202006\Kantor\2006\morsi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ulianto\Tender\PROYEK\Mall%20Of%20Ind\Contruc\progress\Program%20Files\My%20Documents\RS.%20MMC%20Jakarta\Tender%20Paket%20Pekejaan\STP\BQ\2001\AMBASADOR\BQ-10%20MECH%2010-11-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GSRV\01_Project\Program%20Files\nama\musashi\Tifico-newoffice,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tec-sumico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GSRV\01_Project\Program%20Files\nama\musashi\My%20Documents\CHOU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nitia%20TNBG%202012\pp%20mau%20edit\Documents%20and%20Settings\Administrator\My%20Documents\jupri\HPS%20AIR\Hps%20Pengairan%20Pengadaan%202006\final%20hps%20dau\16hps%20Bondar%20Bagind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Satlak%2008%20dan%20Lelang\DKP%20TPA%2009\TPA%202009\SMKN%202%20SAWANGAN\ANALISA%20SMKN%20SAWANGAN\ANALISA%20SMKN%20SWG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PBD%20TK%20II%20MADINA%202007/Lingkar%20Barat/ALL%20DATA/Data/Penawaran/OE%20TJ.PURA%2005/OE%20TJ.PURA%2005/jadual.xls" TargetMode="External"/><Relationship Id="rId1" Type="http://schemas.openxmlformats.org/officeDocument/2006/relationships/externalLinkPath" Target="/APBD%20TK%20II%20MADINA%202007/Lingkar%20Barat/ALL%20DATA/Data/Penawaran/OE%20TJ.PURA%2005/OE%20TJ.PURA%2005/jadu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nitia%20TNBG%202012\pp%20mau%20edit\Kantor\PARIWISATA\Saba%20Pasir\My%20Documents\2002\P2P\Jl_Stapak~Namal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srv\ME%20Database\A%20Project\VARIOUS-FILE\FORMAT_BQ\AFORM-BQR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PBD%20TK%20II%20MADINA%202007/Lingkar%20Barat/Jemb%202006.xls" TargetMode="External"/><Relationship Id="rId1" Type="http://schemas.openxmlformats.org/officeDocument/2006/relationships/externalLinkPath" Target="/APBD%20TK%20II%20MADINA%202007/Lingkar%20Barat/Jemb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met\DATA%202009\JANUARY\rka%202009\BANG%20RAHMAN\GUNUNG%20TUA%20RAYA\Pembangunan%20jalan%20sentra%20produksi%20gunung%20tua%20ray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met\Documents%20and%20Settings\bieb\My%20Documents\YEAR-2003-new\YEAR-2003\CITRA%2003\ABT-2003\ASLI-ABT\DURP-SINGKUANG%231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emet/Documents%20and%20Settings/Bieb/My%20Documents/YEAR-2002/DURP/KONTRAK-PENINGKATAN/KONTRAK.SINONOAN.PENINGKATAN.XLS" TargetMode="External"/><Relationship Id="rId1" Type="http://schemas.openxmlformats.org/officeDocument/2006/relationships/externalLinkPath" Target="/memet/Documents%20and%20Settings/Bieb/My%20Documents/YEAR-2002/DURP/KONTRAK-PENINGKATAN/KONTRAK.SINONOAN.PENINGKATA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met\Documents%20and%20Settings\Bieb\My%20Documents\YEAR-2002\DURP\KONTRAK-PEMBANGUNAN\KONTRAK-KEMUNING-BARBARAN%23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cer\My%20Documents\lelang%202007\sbn\SUDAH\Surya%2037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User/My%20Documents/Format%20Jalan.xls" TargetMode="External"/><Relationship Id="rId1" Type="http://schemas.openxmlformats.org/officeDocument/2006/relationships/externalLinkPath" Target="/Documents%20and%20Settings/User/My%20Documents/Format%20Jala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orsip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Files/Arch/Offc/Ofc'04/Documents%20and%20Settings/Bieb/My%20Documents/YEAR-2002/DURP/PEMBANGUNAN/PASARAKAT.BINANGA.xls" TargetMode="External"/><Relationship Id="rId1" Type="http://schemas.openxmlformats.org/officeDocument/2006/relationships/externalLinkPath" Target="/Program%20Files/Arch/Offc/Ofc'04/Documents%20and%20Settings/Bieb/My%20Documents/YEAR-2002/DURP/PEMBANGUNAN/PASARAKAT.BINANGA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acer/My%20Documents/lelang%202007/sbn/SUDAH/Surya%2037.XLS" TargetMode="External"/><Relationship Id="rId1" Type="http://schemas.openxmlformats.org/officeDocument/2006/relationships/externalLinkPath" Target="/Documents%20and%20Settings/acer/My%20Documents/lelang%202007/sbn/SUDAH/Surya%203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WearnesPc\My%20Documents\CIPTA%20KARYA\Ofc%2006\Gambar\Bgn%20Rumah%20Camat\Kantor\PARIWISATA\Sibanggor%20Julu\My%20Documents\2002\P2P\Jl_Stapak~Namale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0@n/Cco%20H.Siantar_Siobon%20'07/Documents%20and%20Settings/Bieb/My%20Documents/YEAR-2002/DURP/KONTRAK-PEMBANGUNAN/KONTRAK.BATAHAN-NATAL.XLS" TargetMode="External"/><Relationship Id="rId1" Type="http://schemas.openxmlformats.org/officeDocument/2006/relationships/externalLinkPath" Target="/m0@n/Cco%20H.Siantar_Siobon%20'07/Documents%20and%20Settings/Bieb/My%20Documents/YEAR-2002/DURP/KONTRAK-PEMBANGUNAN/KONTRAK.BATAHAN-NAT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2\d%20komputer%202\Data%202006\Proyek%202006\Rehab%20Wil%20A\BQ%20dan%20RAB%20SDN%20Wil.%20A%20Kota%20Depok\RAB%20SDN%20dpk%202006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GROUP1~1\A-PALYJA\PROJEC~2\Model%20Ciputa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OUP1~1\A-PALYJA\PROJEC~2\Model%20Ciputat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Files/Arch/Offc/Ofc'04/Documents%20and%20Settings/Bieb/My%20Documents/YEAR-2002/DURP/KONTRAK-PEMBANGUNAN/KONTRAK.M.SOMA-HOLI-HOLI.XLS" TargetMode="External"/><Relationship Id="rId1" Type="http://schemas.openxmlformats.org/officeDocument/2006/relationships/externalLinkPath" Target="/Program%20Files/Arch/Offc/Ofc'04/Documents%20and%20Settings/Bieb/My%20Documents/YEAR-2002/DURP/KONTRAK-PEMBANGUNAN/KONTRAK.M.SOMA-HOLI-HOL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PROJECT%20DISINI\ACHALIQ%20PROJECT%20FILE\ATD-PLAZA\EST.%20SERVICEHEATEXCHANGER-ATD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oramil\Kantor\PARIWISATA\Sibanggor%20Julu\My%20Documents\2002\P2P\Jl_Stapak~Namale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B@Hri/My%20Documents/Documents%20and%20Settings/Nisa%20Computer/My%20Documents/DEDI.%20A.%20SHEVCHENKO/My%20Documents/INDIA/My%20Documents/morsip.xls" TargetMode="External"/><Relationship Id="rId1" Type="http://schemas.openxmlformats.org/officeDocument/2006/relationships/externalLinkPath" Target="/Documents%20and%20Settings/B@Hri/My%20Documents/Documents%20and%20Settings/Nisa%20Computer/My%20Documents/DEDI.%20A.%20SHEVCHENKO/My%20Documents/INDIA/My%20Documents/morsi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Satlak%2008%20dan%20Lelang\DKP%20TPA%2009\TPA%202009\P.%20Perencanaan%20Depok\Perhitungan%20Perencanaan\PROYEK~1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emet/DATA%202009/JANUARY/rka%202009/BANG%20RAHMAN/GUNUNG%20TUA%20RAYA/Pembangunan%20jalan%20sentra%20produksi%20gunung%20tua%20raya.xls" TargetMode="External"/><Relationship Id="rId1" Type="http://schemas.openxmlformats.org/officeDocument/2006/relationships/externalLinkPath" Target="/memet/DATA%202009/JANUARY/rka%202009/BANG%20RAHMAN/GUNUNG%20TUA%20RAYA/Pembangunan%20jalan%20sentra%20produksi%20gunung%20tua%20ray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Satlak%2008%20dan%20Lelang\DKP%20TPA%2009\TPA%202009\Documents%20and%20Settings\YUSUF---\Favorites\RAB%20UGB%20SMU%20TENJO%20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%20&amp;%20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%20DATA%20RIZKI\BISNIS\2.%20JASA%20UMKM\1.%20Bisnis\Client\41%20Nonanana%20Purbalingga\Laporan%20Keuangan%20-%20Nonanan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met\Documents%20and%20Settings\bieb\My%20Documents\YEAR-2003-new\YEAR-2003\CITRA%2003\KON-PEN%231\TOR.BANUA.RAJA%23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emet\Documents%20and%20Settings\bieb\My%20Documents\YEAR-2003-new\YEAR-2003\CITRA%2003\ABT-2003\ASLI-ABT\DURP.GUNUNG-BARINGIN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bieb\My%20Documents\YEAR-2003-new\YEAR-2003\CITRA%2003\KONTRAK-PEMB\JEMB.SAYUR%23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ack%20Up\Aris\Procurement%202010\PML%20Gas%20Medis\PML%20gas%20medis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y%20Documents/PENAWARAN/PT.%20SUBUR%20SARI%20LASTDERICH/PAL%20XI%20-%20AG%20-%20GT/PT.%20SSL%20SKET%20QUARRY.XLS" TargetMode="External"/><Relationship Id="rId1" Type="http://schemas.openxmlformats.org/officeDocument/2006/relationships/externalLinkPath" Target="/My%20Documents/PENAWARAN/PT.%20SUBUR%20SARI%20LASTDERICH/PAL%20XI%20-%20AG%20-%20GT/PT.%20SSL%20SKET%20QUARR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P.%20Perencanaan%20Depok\Perhitungan%20Perencanaan\PROYEK~1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Nisa%20Computer/My%20Documents/BHITTHOT/My%20Documents/INDIA/My%20Documents/Analisa%20K.xls" TargetMode="External"/><Relationship Id="rId1" Type="http://schemas.openxmlformats.org/officeDocument/2006/relationships/externalLinkPath" Target="/Documents%20and%20Settings/Nisa%20Computer/My%20Documents/BHITTHOT/My%20Documents/INDIA/My%20Documents/Analisa%20K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anitia%20TNBG%202012/pp%20mau%20edit/AJAX/JF/PELELANGAN%202006/SK%20PANITIA%20&amp;%20NAMA%20PAKET%202006/Kantor/2006/morsip.xls" TargetMode="External"/><Relationship Id="rId1" Type="http://schemas.openxmlformats.org/officeDocument/2006/relationships/externalLinkPath" Target="/Panitia%20TNBG%202012/pp%20mau%20edit/AJAX/JF/PELELANGAN%202006/SK%20PANITIA%20&amp;%20NAMA%20PAKET%202006/Kantor/2006/morsip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1%20Pengadaan\Proc%202011\mobil%20operasional\Proses%20Aris\Proses%20PL%20LPSE%20Mobil%20OK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Bieb/My%20Documents/YEAR-2002/DURP/KONTRAK-PENINGKATAN/KONTRAK.SINONOAN.PENINGKATAN.XLS" TargetMode="External"/><Relationship Id="rId1" Type="http://schemas.openxmlformats.org/officeDocument/2006/relationships/externalLinkPath" Target="/Documents%20and%20Settings/Bieb/My%20Documents/YEAR-2002/DURP/KONTRAK-PENINGKATAN/KONTRAK.SINONOAN.PENINGKATA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2009%20-%202010%20Komputer%201\ADM%202010\2006\DINAS%20BANGUNAN\RAB%20SMUN%204%20DEPOK%20ok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Ed_180504\TEMPORER\rab%20kantor%20cab%20ix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Files/Arch/Offc/Ofc'04/Documents%20and%20Settings/Bieb/My%20Documents/YEAR-2002/DURP/KONTRAK-PENINGKATAN/KONTRAK.SINONOAN.PENINGKATAN.XLS" TargetMode="External"/><Relationship Id="rId1" Type="http://schemas.openxmlformats.org/officeDocument/2006/relationships/externalLinkPath" Target="/Program%20Files/Arch/Offc/Ofc'04/Documents%20and%20Settings/Bieb/My%20Documents/YEAR-2002/DURP/KONTRAK-PENINGKATAN/KONTRAK.SINONOAN.PENINGKATAN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gram%20Files/Arch/Offc/Ofc'04/Documents%20and%20Settings/Bieb/My%20Documents/YEAR-2002/DURP/KONTRAK-PEMBANGUNAN/KONTRAK.BATAHAN-NATAL.XLS" TargetMode="External"/><Relationship Id="rId1" Type="http://schemas.openxmlformats.org/officeDocument/2006/relationships/externalLinkPath" Target="/Program%20Files/Arch/Offc/Ofc'04/Documents%20and%20Settings/Bieb/My%20Documents/YEAR-2002/DURP/KONTRAK-PEMBANGUNAN/KONTRAK.BATAHAN-NATAL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Nisa%20Computer/My%20Documents/BHITTHOT/My%20Documents/INDIA/My%20Documents/morsip.xls" TargetMode="External"/><Relationship Id="rId1" Type="http://schemas.openxmlformats.org/officeDocument/2006/relationships/externalLinkPath" Target="/Documents%20and%20Settings/Nisa%20Computer/My%20Documents/BHITTHOT/My%20Documents/INDIA/My%20Documents/morsip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ocuments\CIPTA%20KARYA\Ofc%2005\Perkantoran\Rask\Rask%20Revisi%202\My%20Documents\Souver%20Firdaus\Air%20Bersih_BBM\Pen_DI.%20Saba%20holbung%20psr%20malinta_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SMKN%202%20SAWANGAN\ANALISA%20SMKN%20SAWANGAN\ANALISA%20SMKN%20SWG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ownloads\Satlak%2008%20dan%20Lelang\DKP%20TPA%2009\TPA%202009\Documents%20and%20Settings\sgr\My%20Documents\SPH%20P%20JONO\PEMBN%20SDN%20SUGUTAMU%20YE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alisa%20K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RIZKI\3.%20Product\TERBARU%202026\Untuk%20LYNK\(UMKM%20PPh%20Final)%20-%20Templete%20Laporan%20Keuangan%20Coretax%20-%20Cop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RIZKI\3.%20Product\TERBARU%202026\Untuk%20LYNK\Terbaru%20Revisi\(UMKM%20PPh%20Final)%20-%20Templete%20Laporan%20Keuangan%20Coretax%20v1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RIZKI\Client\165.%20Amra\1%20NVL%202023\NUSANTARA%20VISIONER%20LESTARI%20-%20WS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RIZKI\3.%20Product\TERBARU%202026\Untuk%20LYNK\Terbaru%20Revisi\(PKP%20Tarif%20Normal)%20-%20Templete%20Laporan%20Keuangan%20Coretax%20Perusahaan%20J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Nolas"/>
      <sheetName val="K1 Durp"/>
      <sheetName val="PHM"/>
      <sheetName val="HBU"/>
      <sheetName val="ANALISA"/>
      <sheetName val="AN-K"/>
      <sheetName val="VOLUME"/>
      <sheetName val="RAB"/>
      <sheetName val="RINC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1"/>
      <sheetName val="inst1a"/>
      <sheetName val="inst1b"/>
      <sheetName val="inst2"/>
      <sheetName val="inst2a"/>
      <sheetName val="inst2b"/>
      <sheetName val="inst3"/>
      <sheetName val="inst4"/>
      <sheetName val="inst5"/>
      <sheetName val="inst6"/>
      <sheetName val="inst7"/>
      <sheetName val="inst7a"/>
      <sheetName val="inst8"/>
      <sheetName val="inst8a"/>
      <sheetName val="inst9"/>
      <sheetName val="inst9a"/>
      <sheetName val="inst10"/>
      <sheetName val="inst11"/>
      <sheetName val="inst12"/>
      <sheetName val="inst13"/>
      <sheetName val="inst14"/>
      <sheetName val="inst14a"/>
      <sheetName val="inst14b"/>
      <sheetName val="inst15"/>
      <sheetName val="inst16"/>
      <sheetName val="inst17"/>
      <sheetName val="inst18"/>
      <sheetName val="inst19"/>
      <sheetName val="inst20"/>
      <sheetName val="inst21"/>
      <sheetName val="inst22"/>
      <sheetName val="Potensi07"/>
      <sheetName val="IRBA"/>
      <sheetName val="RBA"/>
      <sheetName val="8"/>
      <sheetName val="Sura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1"/>
      <sheetName val="inst1a"/>
      <sheetName val="inst1b"/>
      <sheetName val="inst2"/>
      <sheetName val="inst2a"/>
      <sheetName val="inst2b"/>
      <sheetName val="inst3"/>
      <sheetName val="inst4"/>
      <sheetName val="inst5"/>
      <sheetName val="inst6"/>
      <sheetName val="inst7"/>
      <sheetName val="inst7a"/>
      <sheetName val="inst8"/>
      <sheetName val="inst8a"/>
      <sheetName val="inst9"/>
      <sheetName val="inst9a"/>
      <sheetName val="inst10"/>
      <sheetName val="inst11"/>
      <sheetName val="inst12"/>
      <sheetName val="inst13"/>
      <sheetName val="inst14"/>
      <sheetName val="inst14a"/>
      <sheetName val="inst14b"/>
      <sheetName val="inst15"/>
      <sheetName val="inst16"/>
      <sheetName val="inst17"/>
      <sheetName val="inst18"/>
      <sheetName val="inst19"/>
      <sheetName val="inst20"/>
      <sheetName val="inst21"/>
      <sheetName val="inst22"/>
      <sheetName val="Potensi07"/>
      <sheetName val="IRBA"/>
      <sheetName val="RBA"/>
      <sheetName val="8"/>
      <sheetName val="Sura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Nolas"/>
      <sheetName val="K1 Durp"/>
      <sheetName val="PHM"/>
      <sheetName val="HBU"/>
      <sheetName val="ANALISA"/>
      <sheetName val="AN-K"/>
      <sheetName val="VOLUME"/>
      <sheetName val="RAB"/>
      <sheetName val="RINC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Nolas"/>
      <sheetName val="K1 Durp"/>
      <sheetName val="PHM"/>
      <sheetName val="HBU"/>
      <sheetName val="ANALISA"/>
      <sheetName val="AN-K"/>
      <sheetName val="VOLUME"/>
      <sheetName val="RAB"/>
      <sheetName val="RINC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Nolas"/>
      <sheetName val="K1 Durp"/>
      <sheetName val="PHM"/>
      <sheetName val="HBU"/>
      <sheetName val="ANALISA"/>
      <sheetName val="AN-K"/>
      <sheetName val="VOLUME"/>
      <sheetName val="RAB"/>
      <sheetName val="RINC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k Godang - Tambangan"/>
      <sheetName val="Mompang - Rumbio"/>
      <sheetName val="Pasarakat-Binanga"/>
      <sheetName val="Kp.Baru - Tambiski"/>
      <sheetName val="Simandolam-Mpotan"/>
      <sheetName val="Pungkut-Banyak(1)"/>
      <sheetName val="Pungkut-Banyak(2)"/>
      <sheetName val="Sipalangka"/>
      <sheetName val="Morsip Ht Julu"/>
      <sheetName val="AekPohon"/>
      <sheetName val="Binangap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INPUT"/>
      <sheetName val="Lamp BA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fico"/>
      <sheetName val="tifico[NO]"/>
      <sheetName val="tifico[Ext]"/>
      <sheetName val="Sheet1"/>
      <sheetName val="INPUT"/>
      <sheetName val="Lamp BAPP"/>
      <sheetName val="tifico_NO_"/>
      <sheetName val="tifico_Ext_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AC"/>
      <sheetName val="lintec-sumicon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sort2"/>
      <sheetName val="Fill this out first___"/>
      <sheetName val="Cover Daf-2"/>
      <sheetName val="CAT_HAR"/>
      <sheetName val="Bill of Qty MEP"/>
      <sheetName val="I-KAMAR"/>
      <sheetName val="NAMES"/>
      <sheetName val="Cash Flow bulanan"/>
      <sheetName val="I_KAMAR"/>
      <sheetName val="Unit_Rate"/>
      <sheetName val="#REF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Fill_this_out_first___"/>
      <sheetName val="BAG-2"/>
      <sheetName val="H.Satuan"/>
      <sheetName val="Daftar Upah"/>
      <sheetName val="harsat"/>
      <sheetName val="Cover"/>
      <sheetName val="DSBDY"/>
      <sheetName val="4-Basic Price"/>
      <sheetName val="DAF-1"/>
      <sheetName val="PRD 01-7"/>
      <sheetName val="PRD 01-8"/>
      <sheetName val="PRD 01-9"/>
      <sheetName val="PRD 01-10"/>
      <sheetName val="PRD 01-11"/>
      <sheetName val="PRD 01-3"/>
      <sheetName val="PRD 01-4"/>
      <sheetName val="Material"/>
      <sheetName val="RAB AR&amp;STR"/>
      <sheetName val="GSMTOWER"/>
      <sheetName val="BQ-E20-02(Rp)"/>
      <sheetName val="RAB T-95 BK"/>
      <sheetName val="GTS I PS"/>
      <sheetName val="FINISHING"/>
      <sheetName val="SUM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ON"/>
      <sheetName val="SCOPE"/>
      <sheetName val="MAKER"/>
      <sheetName val="BQ"/>
      <sheetName val="PROFIT"/>
      <sheetName val="SRT"/>
      <sheetName val="SUM-PRO"/>
      <sheetName val="SEX"/>
      <sheetName val="DBP-0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 hps"/>
      <sheetName val="AB"/>
      <sheetName val="anlisa BOW"/>
      <sheetName val="Kurva S"/>
      <sheetName val="Analisa"/>
      <sheetName val="Sheet1"/>
      <sheetName val="Uraian Item"/>
      <sheetName val="NP"/>
      <sheetName val="K1"/>
      <sheetName val="Rekap 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mkn cimanggis"/>
      <sheetName val="ANALISA PEK.UMUM"/>
      <sheetName val="ANALISA KONST BTN"/>
      <sheetName val="HIT. BESI"/>
      <sheetName val="BAHAN"/>
      <sheetName val="UPAH"/>
    </sheetNames>
    <sheetDataSet>
      <sheetData sheetId="0" refreshError="1"/>
      <sheetData sheetId="1" refreshError="1"/>
      <sheetData sheetId="2" refreshError="1">
        <row r="347">
          <cell r="G347">
            <v>0</v>
          </cell>
        </row>
        <row r="359">
          <cell r="G359">
            <v>0</v>
          </cell>
        </row>
        <row r="371">
          <cell r="G371">
            <v>0</v>
          </cell>
        </row>
        <row r="383">
          <cell r="G383">
            <v>0</v>
          </cell>
        </row>
        <row r="523">
          <cell r="G523">
            <v>0</v>
          </cell>
        </row>
        <row r="551">
          <cell r="G551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</sheetNames>
    <sheetDataSet>
      <sheetData sheetId="0">
        <row r="2">
          <cell r="A2" t="str">
            <v>JADWAL PELAKSANAAN PEKERJAAN</v>
          </cell>
        </row>
        <row r="70">
          <cell r="J70">
            <v>0.93079881575048462</v>
          </cell>
          <cell r="K70">
            <v>2.7097370635334608</v>
          </cell>
          <cell r="L70">
            <v>5.1706729260955022</v>
          </cell>
          <cell r="M70">
            <v>7.6967402883263745</v>
          </cell>
          <cell r="N70">
            <v>11.434497529941551</v>
          </cell>
          <cell r="O70">
            <v>15.422254771556727</v>
          </cell>
          <cell r="P70">
            <v>19.624410505870181</v>
          </cell>
          <cell r="Q70">
            <v>25.018007528935257</v>
          </cell>
          <cell r="R70">
            <v>30.953935264688521</v>
          </cell>
          <cell r="S70">
            <v>37.39746908296641</v>
          </cell>
          <cell r="T70">
            <v>45.648239935812178</v>
          </cell>
          <cell r="U70">
            <v>53.908069021306943</v>
          </cell>
          <cell r="V70">
            <v>62.58118935775623</v>
          </cell>
          <cell r="W70">
            <v>71.754843988515304</v>
          </cell>
          <cell r="X70">
            <v>80.928498619274379</v>
          </cell>
          <cell r="Y70">
            <v>90.252153250033444</v>
          </cell>
          <cell r="Z70">
            <v>95.279013622496734</v>
          </cell>
          <cell r="AA70">
            <v>98.505873994960027</v>
          </cell>
          <cell r="AB70">
            <v>99.322002662092387</v>
          </cell>
          <cell r="AC70">
            <v>99.999999999999972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Nolas"/>
      <sheetName val="K1 Durp"/>
      <sheetName val="PHM"/>
      <sheetName val="HBU"/>
      <sheetName val="ANALISA"/>
      <sheetName val="AN-K"/>
      <sheetName val="VOLUME"/>
      <sheetName val="RAB"/>
      <sheetName val="RINC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maker"/>
      <sheetName val="scope"/>
      <sheetName val="bq"/>
      <sheetName val="PRO"/>
      <sheetName val="SUMPRO"/>
      <sheetName val="sex"/>
      <sheetName val="dbp-0601"/>
      <sheetName val="GTS I PS"/>
      <sheetName val="RAB"/>
      <sheetName val="Rekapitulasi Harga Satuan"/>
      <sheetName val="Daftar Harga Material"/>
      <sheetName val="BQ AC- SEMANAN"/>
      <sheetName val="I-KAMAR"/>
      <sheetName val="I_KAMAR"/>
      <sheetName val="boq"/>
      <sheetName val="BQ_AC-_SEMA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ftar Kuantitas"/>
      <sheetName val="Rekapitulasi"/>
      <sheetName val="Kuantitas Murni"/>
      <sheetName val="Vol Bahan &amp; Upah"/>
      <sheetName val="Bahan Upah II"/>
      <sheetName val="Jadwal Alat"/>
      <sheetName val="Jadwal bahan"/>
      <sheetName val="Analisa 1.2"/>
      <sheetName val="Analisa Alat"/>
      <sheetName val="Lampiran III"/>
      <sheetName val="Harga Alat"/>
      <sheetName val="Upah Bahan"/>
      <sheetName val="Analisa 2.2"/>
      <sheetName val="Analisa 3.1.1"/>
      <sheetName val="Analisa 3.1.3"/>
      <sheetName val="Analisa 3.1.4"/>
      <sheetName val="Analisa 3.1.5"/>
      <sheetName val="Analisa 3.2.2"/>
      <sheetName val="Analisa 4.2.2"/>
      <sheetName val="Analisa 5.1.1"/>
      <sheetName val="Analisa 5.1.2"/>
      <sheetName val="Analisa 6.1.1"/>
      <sheetName val="Analisa 6.1.2"/>
      <sheetName val="Analisa 6.3.5a"/>
      <sheetName val="Analisa 6.3.6a"/>
      <sheetName val="Analisa 7.1.3"/>
      <sheetName val="Analisa 7.1.5"/>
      <sheetName val="Analisa 7.1.6"/>
      <sheetName val="Analisa 7.1.7"/>
      <sheetName val="Analisa 7.1.8"/>
      <sheetName val="Analisa 7.2.8"/>
      <sheetName val="Analisa 7.2.11"/>
      <sheetName val="Analisa 7.3.3"/>
      <sheetName val="Analisa 7.4.2"/>
      <sheetName val="Analisa 7.7.3"/>
      <sheetName val="Analisa 7.7.7"/>
      <sheetName val="Analisa 7.10.2"/>
      <sheetName val="Analisa 7.10.3"/>
      <sheetName val="Analisa 7.12.4"/>
      <sheetName val="Analisa 7.14"/>
      <sheetName val="Analisa 7.15.2"/>
      <sheetName val="Analisa 8.4.1"/>
      <sheetName val="Analisa 8.4.3b"/>
      <sheetName val="Analisa 10"/>
      <sheetName val="Lamp 2.2"/>
      <sheetName val="Lamp 3.1.1"/>
      <sheetName val="Lamp 3.1.3"/>
      <sheetName val="Lamp 3.1.4"/>
      <sheetName val="Lamp 3.1.5"/>
      <sheetName val="Lamp 3.2.2"/>
      <sheetName val="Lamp 4.2.2"/>
      <sheetName val="Lamp 5.1.1"/>
      <sheetName val="Lamp 5.1.2"/>
      <sheetName val="Lamp 6.1.1"/>
      <sheetName val="Lamp 6.1.2"/>
      <sheetName val="Lamp 6.3.5A"/>
      <sheetName val="Lamp 6.3.6"/>
      <sheetName val="Lamp 7.1.3"/>
      <sheetName val="Lamp 7.1.5"/>
      <sheetName val="Lamp 7.1.6"/>
      <sheetName val="Lamp 7.1.7"/>
      <sheetName val="Lamp 7.1.8"/>
      <sheetName val="Lamp 7.2.8"/>
      <sheetName val="Lamp 7.2.11"/>
      <sheetName val="Lamp 7.3.3"/>
      <sheetName val="Lamp 7.4.2"/>
      <sheetName val="Lamp 7.7.3"/>
      <sheetName val="Lamp 7.7.7"/>
      <sheetName val="Lamp 7.10.2"/>
      <sheetName val="Lamp 7.10.3"/>
      <sheetName val="Lamp 8.4.1"/>
      <sheetName val="Lamp 8.4.3a"/>
      <sheetName val="Jadwal"/>
      <sheetName val="Lampiran 6a"/>
      <sheetName val="Lampiran 6b"/>
      <sheetName val="Lampiran 7"/>
      <sheetName val="Lampiran 8"/>
      <sheetName val="Lampiran 9"/>
      <sheetName val="Lampiran 10"/>
      <sheetName val="Lampiran 1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6">
          <cell r="V26">
            <v>37156.732716402294</v>
          </cell>
        </row>
        <row r="27">
          <cell r="V27">
            <v>224800.46615821181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34">
          <cell r="I34">
            <v>1194763.198334086</v>
          </cell>
        </row>
      </sheetData>
      <sheetData sheetId="26" refreshError="1">
        <row r="34">
          <cell r="I34">
            <v>1034601.4972935035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ku"/>
      <sheetName val="Rekap"/>
      <sheetName val="RAB"/>
      <sheetName val="Volume"/>
      <sheetName val="Material"/>
      <sheetName val="BHN&amp;UPAH"/>
      <sheetName val="Alat"/>
      <sheetName val="Analisa"/>
      <sheetName val="ANALISA (2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58">
          <cell r="I58">
            <v>50788</v>
          </cell>
        </row>
      </sheetData>
      <sheetData sheetId="8">
        <row r="41">
          <cell r="F41">
            <v>193896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GK"/>
      <sheetName val="RING"/>
      <sheetName val="vol"/>
      <sheetName val="NOTA"/>
      <sheetName val="KOP"/>
      <sheetName val="K1"/>
      <sheetName val="ANGG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Sinonoan"/>
      <sheetName val="RINGKAS"/>
      <sheetName val="Surat"/>
      <sheetName val="SCHE"/>
      <sheetName val="SCHE (2)"/>
    </sheetNames>
    <sheetDataSet>
      <sheetData sheetId="0">
        <row r="1792">
          <cell r="A1792" t="str">
            <v>Bangun Purba - Sibanggor Jae</v>
          </cell>
        </row>
        <row r="1793">
          <cell r="A1793" t="str">
            <v>DIREKTORAT JENDERAL BINA MARGA</v>
          </cell>
        </row>
        <row r="1794">
          <cell r="A1794" t="str">
            <v>DIREKTORAT BINA PROGRAM JALAN</v>
          </cell>
          <cell r="G1794" t="str">
            <v>ANALISA  HARGA  SATUAN</v>
          </cell>
          <cell r="K1794" t="str">
            <v>K O D E</v>
          </cell>
        </row>
        <row r="1795">
          <cell r="A1795" t="str">
            <v>SUB DIT. PERENC. JALAN LOKAL &amp;</v>
          </cell>
          <cell r="G1795" t="str">
            <v xml:space="preserve">Lapis Aspal Pelekat </v>
          </cell>
          <cell r="K1795" t="str">
            <v>K 620</v>
          </cell>
        </row>
        <row r="1796">
          <cell r="A1796" t="str">
            <v>KABUPATEN</v>
          </cell>
          <cell r="G1796" t="str">
            <v>( TAEC COAT )</v>
          </cell>
        </row>
        <row r="1797">
          <cell r="A1797" t="str">
            <v>Propinsi</v>
          </cell>
          <cell r="D1797" t="str">
            <v>Kode</v>
          </cell>
          <cell r="E1797" t="str">
            <v>Kabupaten</v>
          </cell>
          <cell r="H1797" t="str">
            <v>Kode</v>
          </cell>
          <cell r="I1797" t="str">
            <v>Disiapkan  Oleh</v>
          </cell>
          <cell r="K1797" t="str">
            <v>Tanggal</v>
          </cell>
        </row>
        <row r="1798">
          <cell r="A1798" t="str">
            <v>Sumatera Utara</v>
          </cell>
          <cell r="D1798" t="str">
            <v>12</v>
          </cell>
          <cell r="E1798" t="str">
            <v>Mandailing Natal</v>
          </cell>
        </row>
        <row r="1800">
          <cell r="A1800" t="str">
            <v xml:space="preserve"> URAIAN  :</v>
          </cell>
          <cell r="G1800" t="str">
            <v xml:space="preserve"> ANGGAPAN / ASUMSI  :</v>
          </cell>
        </row>
        <row r="1801">
          <cell r="A1801" t="str">
            <v xml:space="preserve"> 1. Pekerjaan harus dilaksanakan sesuai Bab 6.2 Spek. Umum</v>
          </cell>
          <cell r="G1801" t="str">
            <v xml:space="preserve"> 1. Harga bahan, prongko ( siap dilokasi )</v>
          </cell>
        </row>
        <row r="1802">
          <cell r="A1802" t="str">
            <v xml:space="preserve">     Jalan Kabupaten B.M Maret 92.</v>
          </cell>
          <cell r="G1802" t="str">
            <v xml:space="preserve"> 2. Perbandingan aspal dengan minyak tanah = 100 bagian aspal </v>
          </cell>
        </row>
        <row r="1803">
          <cell r="A1803" t="str">
            <v xml:space="preserve"> 2. Tingkat penyemprotan 10 km/m2 disemprot mempergunakan</v>
          </cell>
          <cell r="G1803" t="str">
            <v xml:space="preserve">     100 bagian minyak tanah berdasarkan berat.</v>
          </cell>
        </row>
        <row r="1804">
          <cell r="A1804" t="str">
            <v xml:space="preserve">      mesin penyemprot aspal.</v>
          </cell>
          <cell r="G1804" t="str">
            <v xml:space="preserve"> 3. Berat jenis minyak tanah = 0,86</v>
          </cell>
        </row>
        <row r="1812">
          <cell r="B1812" t="str">
            <v>P e k e r j a</v>
          </cell>
          <cell r="E1812" t="str">
            <v>Jumlah</v>
          </cell>
          <cell r="F1812" t="str">
            <v>Hari</v>
          </cell>
          <cell r="G1812" t="str">
            <v>Kode</v>
          </cell>
          <cell r="H1812" t="str">
            <v>Jumlah</v>
          </cell>
          <cell r="I1812" t="str">
            <v>Upah</v>
          </cell>
          <cell r="J1812" t="str">
            <v>Biaya</v>
          </cell>
          <cell r="K1812" t="str">
            <v>Sub Total</v>
          </cell>
        </row>
        <row r="1813">
          <cell r="E1813" t="str">
            <v>Orang</v>
          </cell>
          <cell r="H1813" t="str">
            <v>Hr-Org</v>
          </cell>
          <cell r="I1813" t="str">
            <v>(Rp./Org/Hr)</v>
          </cell>
          <cell r="J1813" t="str">
            <v>(Rp.)</v>
          </cell>
          <cell r="K1813" t="str">
            <v>(Rp.)</v>
          </cell>
        </row>
        <row r="1815">
          <cell r="A1815" t="str">
            <v>P</v>
          </cell>
          <cell r="B1815" t="str">
            <v xml:space="preserve"> Mandor</v>
          </cell>
          <cell r="E1815">
            <v>1</v>
          </cell>
          <cell r="F1815">
            <v>50</v>
          </cell>
          <cell r="G1815" t="str">
            <v>L 061</v>
          </cell>
          <cell r="H1815">
            <v>50</v>
          </cell>
          <cell r="I1815">
            <v>35000</v>
          </cell>
          <cell r="J1815">
            <v>1750000</v>
          </cell>
        </row>
        <row r="1816">
          <cell r="A1816" t="str">
            <v>E</v>
          </cell>
          <cell r="B1816" t="str">
            <v xml:space="preserve"> Operator terampil</v>
          </cell>
          <cell r="E1816">
            <v>1</v>
          </cell>
          <cell r="F1816">
            <v>1</v>
          </cell>
          <cell r="G1816" t="str">
            <v>L 081</v>
          </cell>
          <cell r="H1816">
            <v>1</v>
          </cell>
          <cell r="I1816">
            <v>31000</v>
          </cell>
          <cell r="J1816">
            <v>31000</v>
          </cell>
        </row>
        <row r="1817">
          <cell r="A1817" t="str">
            <v>K</v>
          </cell>
          <cell r="B1817" t="str">
            <v xml:space="preserve"> Pembantu Operator </v>
          </cell>
          <cell r="E1817">
            <v>1</v>
          </cell>
          <cell r="F1817">
            <v>1</v>
          </cell>
          <cell r="G1817" t="str">
            <v>L 083</v>
          </cell>
          <cell r="H1817">
            <v>1</v>
          </cell>
          <cell r="I1817">
            <v>22000</v>
          </cell>
          <cell r="J1817">
            <v>22000</v>
          </cell>
        </row>
        <row r="1818">
          <cell r="A1818" t="str">
            <v>E</v>
          </cell>
          <cell r="B1818" t="str">
            <v xml:space="preserve"> Buruh tak terampil</v>
          </cell>
          <cell r="E1818">
            <v>2</v>
          </cell>
          <cell r="F1818">
            <v>1</v>
          </cell>
          <cell r="G1818" t="str">
            <v>L 101</v>
          </cell>
          <cell r="H1818">
            <v>2</v>
          </cell>
          <cell r="I1818">
            <v>20000</v>
          </cell>
          <cell r="J1818">
            <v>40000</v>
          </cell>
        </row>
        <row r="1819">
          <cell r="A1819" t="str">
            <v>R</v>
          </cell>
        </row>
        <row r="1820">
          <cell r="A1820" t="str">
            <v>J</v>
          </cell>
        </row>
        <row r="1821">
          <cell r="A1821" t="str">
            <v>A</v>
          </cell>
        </row>
        <row r="1824">
          <cell r="J1824" t="str">
            <v>Pekerja</v>
          </cell>
          <cell r="K1824">
            <v>1843000</v>
          </cell>
        </row>
        <row r="1825">
          <cell r="B1825" t="str">
            <v>M a t e r i a l</v>
          </cell>
          <cell r="E1825" t="str">
            <v>Jumlah</v>
          </cell>
          <cell r="F1825" t="str">
            <v>Satuan</v>
          </cell>
          <cell r="G1825" t="str">
            <v>Kode</v>
          </cell>
          <cell r="H1825" t="str">
            <v>Total</v>
          </cell>
          <cell r="I1825" t="str">
            <v>Harga</v>
          </cell>
          <cell r="J1825" t="str">
            <v>Biaya</v>
          </cell>
          <cell r="K1825" t="str">
            <v>Sub Total</v>
          </cell>
        </row>
        <row r="1826">
          <cell r="H1826" t="str">
            <v>Volume</v>
          </cell>
          <cell r="I1826" t="str">
            <v>(Rp./Unit)</v>
          </cell>
          <cell r="J1826" t="str">
            <v>(Rp.)</v>
          </cell>
          <cell r="K1826" t="str">
            <v>(Rp.)</v>
          </cell>
        </row>
        <row r="1828">
          <cell r="A1828" t="str">
            <v>M</v>
          </cell>
          <cell r="B1828" t="str">
            <v xml:space="preserve"> Aspal</v>
          </cell>
          <cell r="F1828" t="str">
            <v>kg</v>
          </cell>
          <cell r="G1828" t="str">
            <v>M 061</v>
          </cell>
          <cell r="H1828">
            <v>98</v>
          </cell>
          <cell r="I1828">
            <v>7100</v>
          </cell>
          <cell r="J1828">
            <v>695800</v>
          </cell>
        </row>
        <row r="1829">
          <cell r="A1829" t="str">
            <v>A</v>
          </cell>
          <cell r="B1829" t="str">
            <v xml:space="preserve"> Minyak pengencer</v>
          </cell>
          <cell r="F1829" t="str">
            <v>ltr</v>
          </cell>
          <cell r="G1829" t="str">
            <v>M 065</v>
          </cell>
          <cell r="H1829">
            <v>29</v>
          </cell>
          <cell r="I1829">
            <v>550</v>
          </cell>
          <cell r="J1829">
            <v>15950</v>
          </cell>
        </row>
        <row r="1830">
          <cell r="A1830" t="str">
            <v>T</v>
          </cell>
          <cell r="B1830" t="str">
            <v xml:space="preserve"> Alat  bantu ( set 3 @ alat )</v>
          </cell>
          <cell r="F1830" t="str">
            <v>set</v>
          </cell>
          <cell r="G1830" t="str">
            <v>M 170</v>
          </cell>
          <cell r="H1830">
            <v>0.08</v>
          </cell>
          <cell r="I1830">
            <v>67500</v>
          </cell>
          <cell r="J1830">
            <v>5400</v>
          </cell>
        </row>
        <row r="1831">
          <cell r="A1831" t="str">
            <v>E</v>
          </cell>
        </row>
        <row r="1832">
          <cell r="A1832" t="str">
            <v>R</v>
          </cell>
        </row>
        <row r="1833">
          <cell r="A1833" t="str">
            <v>I</v>
          </cell>
        </row>
        <row r="1834">
          <cell r="A1834" t="str">
            <v>A</v>
          </cell>
        </row>
        <row r="1835">
          <cell r="A1835" t="str">
            <v>L</v>
          </cell>
        </row>
        <row r="1836">
          <cell r="J1836" t="str">
            <v>Material</v>
          </cell>
          <cell r="K1836">
            <v>717150</v>
          </cell>
        </row>
        <row r="1837">
          <cell r="B1837" t="str">
            <v>P e r a l a t a n</v>
          </cell>
          <cell r="E1837" t="str">
            <v>Jumlah</v>
          </cell>
          <cell r="F1837" t="str">
            <v>Hari</v>
          </cell>
          <cell r="G1837" t="str">
            <v>Kode</v>
          </cell>
          <cell r="H1837" t="str">
            <v>Jam</v>
          </cell>
          <cell r="I1837" t="str">
            <v>Harga</v>
          </cell>
          <cell r="J1837" t="str">
            <v>Biaya</v>
          </cell>
          <cell r="K1837" t="str">
            <v>Sub Total</v>
          </cell>
        </row>
        <row r="1838">
          <cell r="E1838" t="str">
            <v>Alat</v>
          </cell>
          <cell r="F1838" t="str">
            <v>Kerja</v>
          </cell>
          <cell r="H1838" t="str">
            <v>Kerja</v>
          </cell>
          <cell r="I1838" t="str">
            <v>(Rp./Jam)</v>
          </cell>
          <cell r="J1838" t="str">
            <v>(Rp.)</v>
          </cell>
          <cell r="K1838" t="str">
            <v>(Rp.)</v>
          </cell>
        </row>
        <row r="1839">
          <cell r="A1839" t="str">
            <v>P</v>
          </cell>
        </row>
        <row r="1840">
          <cell r="A1840" t="str">
            <v>E</v>
          </cell>
        </row>
        <row r="1841">
          <cell r="A1841" t="str">
            <v>R</v>
          </cell>
          <cell r="B1841" t="str">
            <v xml:space="preserve"> Mesin penyemprot aspal</v>
          </cell>
          <cell r="E1841">
            <v>1</v>
          </cell>
          <cell r="F1841">
            <v>1</v>
          </cell>
          <cell r="G1841" t="str">
            <v xml:space="preserve"> E 153</v>
          </cell>
          <cell r="H1841">
            <v>3</v>
          </cell>
          <cell r="I1841">
            <v>46384</v>
          </cell>
          <cell r="J1841">
            <v>139152</v>
          </cell>
        </row>
        <row r="1842">
          <cell r="A1842" t="str">
            <v>A</v>
          </cell>
          <cell r="B1842" t="str">
            <v xml:space="preserve"> Compresor </v>
          </cell>
          <cell r="E1842">
            <v>1</v>
          </cell>
          <cell r="F1842">
            <v>1</v>
          </cell>
          <cell r="G1842" t="str">
            <v xml:space="preserve"> E 301</v>
          </cell>
          <cell r="H1842">
            <v>1</v>
          </cell>
          <cell r="I1842">
            <v>31846</v>
          </cell>
          <cell r="J1842">
            <v>31846</v>
          </cell>
        </row>
        <row r="1843">
          <cell r="A1843" t="str">
            <v>L</v>
          </cell>
        </row>
        <row r="1844">
          <cell r="A1844" t="str">
            <v>A</v>
          </cell>
        </row>
        <row r="1845">
          <cell r="A1845" t="str">
            <v>T</v>
          </cell>
        </row>
        <row r="1846">
          <cell r="A1846" t="str">
            <v>A</v>
          </cell>
        </row>
        <row r="1847">
          <cell r="A1847" t="str">
            <v>N</v>
          </cell>
        </row>
        <row r="1848">
          <cell r="J1848" t="str">
            <v>Peralatan</v>
          </cell>
          <cell r="K1848">
            <v>170998</v>
          </cell>
        </row>
        <row r="1849">
          <cell r="J1849" t="str">
            <v>TOTAL (Rp.)</v>
          </cell>
          <cell r="K1849">
            <v>2731148</v>
          </cell>
        </row>
        <row r="1851">
          <cell r="B1851" t="str">
            <v>VOLUME  :</v>
          </cell>
          <cell r="D1851">
            <v>600</v>
          </cell>
          <cell r="E1851" t="str">
            <v>m2</v>
          </cell>
          <cell r="H1851" t="str">
            <v>HARGA SATUAN  Rp.</v>
          </cell>
          <cell r="J1851">
            <v>4552</v>
          </cell>
          <cell r="K1851" t="str">
            <v xml:space="preserve">    Per  m2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ab"/>
      <sheetName val="RINGKAS"/>
      <sheetName val="Surat"/>
      <sheetName val="SCHE"/>
      <sheetName val="SCHE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a Proyek"/>
      <sheetName val="Informasi Umum"/>
      <sheetName val="Kuant dan Harga"/>
      <sheetName val="Satuan Upah"/>
      <sheetName val="Satuan Material"/>
      <sheetName val="Harga Material"/>
      <sheetName val="Daftar Harga Alat APBD"/>
      <sheetName val="ANB I"/>
      <sheetName val="Anls G"/>
      <sheetName val="Schedule"/>
      <sheetName val="Daftar Subkont"/>
      <sheetName val="Metode Pelaksanaan"/>
      <sheetName val="Daftar Personil"/>
      <sheetName val="Daftar Peralatan"/>
      <sheetName val="Lamp-Lamp"/>
    </sheetNames>
    <sheetDataSet>
      <sheetData sheetId="0"/>
      <sheetData sheetId="1" refreshError="1"/>
      <sheetData sheetId="2" refreshError="1">
        <row r="6">
          <cell r="D6" t="str">
            <v>PEMBANGUNAN JALAN DAN JEMBATAN</v>
          </cell>
        </row>
      </sheetData>
      <sheetData sheetId="3" refreshError="1"/>
      <sheetData sheetId="4"/>
      <sheetData sheetId="5"/>
      <sheetData sheetId="6"/>
      <sheetData sheetId="7" refreshError="1">
        <row r="57">
          <cell r="N57">
            <v>5606</v>
          </cell>
        </row>
        <row r="236">
          <cell r="N236">
            <v>6106</v>
          </cell>
        </row>
        <row r="587">
          <cell r="N587">
            <v>31575</v>
          </cell>
        </row>
        <row r="753">
          <cell r="N753">
            <v>39577.642477895461</v>
          </cell>
        </row>
        <row r="1497">
          <cell r="N1497">
            <v>258213.45870576322</v>
          </cell>
        </row>
        <row r="2892">
          <cell r="N2892">
            <v>115010</v>
          </cell>
        </row>
        <row r="2978">
          <cell r="N2978">
            <v>10583.5</v>
          </cell>
        </row>
      </sheetData>
      <sheetData sheetId="8" refreshError="1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ls. Hmx"/>
      <sheetName val="Rekap Kw"/>
      <sheetName val="Kw. Murni"/>
      <sheetName val="Rekap"/>
      <sheetName val="Kuntitas"/>
      <sheetName val="Inf Umum"/>
      <sheetName val="Analisa Harga Bahan"/>
      <sheetName val="Harga Aggregat"/>
      <sheetName val="Sat Upah Bahan"/>
      <sheetName val="Analisa Alat"/>
      <sheetName val="Tabel Analisa Alat"/>
      <sheetName val="Harga Satuan Alat"/>
      <sheetName val="Analisa Devisi II"/>
      <sheetName val="Uraian Devisi II"/>
      <sheetName val="Analisa Devisi III"/>
      <sheetName val="Uraian Devisi III"/>
      <sheetName val="Analisa Devisi IV"/>
      <sheetName val="Uraian Devisi IV"/>
      <sheetName val="Analisa Devisi V"/>
      <sheetName val="Uraian Devisi V"/>
      <sheetName val="Analisa Devisi VI"/>
      <sheetName val="Uraian Devisi VI"/>
      <sheetName val="Analisa Devisi VII"/>
      <sheetName val="Uraian Devisi VII"/>
      <sheetName val="Analisa Devisi VIII"/>
      <sheetName val="Uraian Devisi VIII"/>
      <sheetName val="Mobilisasi"/>
      <sheetName val="Mobil Alat"/>
      <sheetName val="Analisa Devisi X"/>
      <sheetName val="Jadwal"/>
      <sheetName val="Jad alat"/>
      <sheetName val="Kapasitas"/>
      <sheetName val="Pemb Utama"/>
      <sheetName val="Usul Alat"/>
      <sheetName val="Personil"/>
      <sheetName val="Sub"/>
      <sheetName val="Lamp-Lamp"/>
      <sheetName val="Data Kontra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I8">
            <v>2885851.3035380933</v>
          </cell>
        </row>
        <row r="9">
          <cell r="I9">
            <v>114154.20426347846</v>
          </cell>
        </row>
        <row r="10">
          <cell r="I10">
            <v>49779.182549067787</v>
          </cell>
        </row>
        <row r="11">
          <cell r="I11">
            <v>289323.10283502779</v>
          </cell>
        </row>
        <row r="12">
          <cell r="I12">
            <v>117802.35933900544</v>
          </cell>
        </row>
        <row r="16">
          <cell r="I16">
            <v>178079.22512055776</v>
          </cell>
        </row>
        <row r="17">
          <cell r="I17">
            <v>208953.94845962466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k Godang - Tambangan"/>
      <sheetName val="Mompang - Rumbio"/>
      <sheetName val="Pasarakat-Binanga"/>
      <sheetName val="Kp.Baru - Tambiski"/>
      <sheetName val="Simandolam-Mpotan"/>
      <sheetName val="Pungkut-Banyak(1)"/>
      <sheetName val="Pungkut-Banyak(2)"/>
      <sheetName val="Sipalangka"/>
      <sheetName val="Morsip Ht Julu"/>
      <sheetName val="AekPohon"/>
      <sheetName val="Binangap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06">
          <cell r="O106" t="str">
            <v>DAFTAR  HARGA SATUAN UPAH</v>
          </cell>
        </row>
        <row r="108">
          <cell r="O108" t="str">
            <v xml:space="preserve"> PROPINSI</v>
          </cell>
          <cell r="Q108" t="str">
            <v>: SUMATERA UTARA</v>
          </cell>
        </row>
        <row r="109">
          <cell r="O109" t="str">
            <v xml:space="preserve"> KABUPATEN</v>
          </cell>
          <cell r="Q109" t="str">
            <v>: MANDAILING NATAL</v>
          </cell>
        </row>
        <row r="110">
          <cell r="O110" t="str">
            <v xml:space="preserve"> NAMA PROYEK</v>
          </cell>
          <cell r="Q110" t="str">
            <v>: PENINGKATAN JALAN DAN JEMBATAN</v>
          </cell>
        </row>
        <row r="111">
          <cell r="O111" t="str">
            <v xml:space="preserve"> LOKASI</v>
          </cell>
          <cell r="Q111" t="str">
            <v>: KECAMATAN MUARA SIPONGI</v>
          </cell>
        </row>
        <row r="112">
          <cell r="O112" t="str">
            <v xml:space="preserve"> PEKERJAAN</v>
          </cell>
          <cell r="Q112" t="str">
            <v>: PENINGKATAN JALAN JURS. MUARA SIPONGI - HUTA JULU STA 1+600 - 5+600</v>
          </cell>
        </row>
        <row r="113">
          <cell r="O113" t="str">
            <v xml:space="preserve"> TAHUN ANGGARAN</v>
          </cell>
          <cell r="Q113" t="str">
            <v>: 2 0 0 3</v>
          </cell>
        </row>
        <row r="114">
          <cell r="O114" t="str">
            <v xml:space="preserve"> JUMLAH BIAYA</v>
          </cell>
          <cell r="Q114" t="str">
            <v xml:space="preserve">: Rp. 720.000.000,- </v>
          </cell>
        </row>
        <row r="116">
          <cell r="O116" t="str">
            <v>NO</v>
          </cell>
          <cell r="P116" t="str">
            <v xml:space="preserve">KODE </v>
          </cell>
          <cell r="Q116" t="str">
            <v>TENAGA KERJA</v>
          </cell>
          <cell r="T116" t="str">
            <v>U P A H</v>
          </cell>
        </row>
        <row r="117">
          <cell r="P117" t="str">
            <v>ANALISA</v>
          </cell>
          <cell r="T117" t="str">
            <v>(Rp./Org/Hr)</v>
          </cell>
        </row>
        <row r="118">
          <cell r="O118">
            <v>1</v>
          </cell>
          <cell r="P118" t="str">
            <v>L 061</v>
          </cell>
          <cell r="Q118" t="str">
            <v xml:space="preserve">  Mandor</v>
          </cell>
          <cell r="T118">
            <v>35000</v>
          </cell>
        </row>
        <row r="119">
          <cell r="O119">
            <v>2</v>
          </cell>
          <cell r="P119" t="str">
            <v>L 073</v>
          </cell>
          <cell r="Q119" t="str">
            <v xml:space="preserve">  Kepala Tukang</v>
          </cell>
          <cell r="T119">
            <v>36000</v>
          </cell>
        </row>
        <row r="120">
          <cell r="O120">
            <v>3</v>
          </cell>
          <cell r="P120" t="str">
            <v>L 079</v>
          </cell>
          <cell r="Q120" t="str">
            <v xml:space="preserve">  Tukang</v>
          </cell>
          <cell r="T120">
            <v>30000</v>
          </cell>
        </row>
        <row r="121">
          <cell r="O121">
            <v>4</v>
          </cell>
          <cell r="P121" t="str">
            <v>L 081</v>
          </cell>
          <cell r="Q121" t="str">
            <v xml:space="preserve">  Operator - Terlatih</v>
          </cell>
          <cell r="T121">
            <v>31000</v>
          </cell>
        </row>
        <row r="122">
          <cell r="O122">
            <v>5</v>
          </cell>
          <cell r="P122" t="str">
            <v>L 082</v>
          </cell>
          <cell r="Q122" t="str">
            <v xml:space="preserve">  Operator - Semi Terlatih</v>
          </cell>
          <cell r="T122">
            <v>27500</v>
          </cell>
        </row>
        <row r="123">
          <cell r="O123">
            <v>6</v>
          </cell>
          <cell r="P123" t="str">
            <v>L 083</v>
          </cell>
          <cell r="Q123" t="str">
            <v xml:space="preserve">  Pembantu Operator</v>
          </cell>
          <cell r="T123">
            <v>22000</v>
          </cell>
        </row>
        <row r="124">
          <cell r="O124">
            <v>7</v>
          </cell>
          <cell r="P124" t="str">
            <v>L 091</v>
          </cell>
          <cell r="Q124" t="str">
            <v xml:space="preserve">  Sopir  Terampil</v>
          </cell>
          <cell r="T124">
            <v>27000</v>
          </cell>
        </row>
        <row r="125">
          <cell r="O125">
            <v>8</v>
          </cell>
          <cell r="P125" t="str">
            <v>L 099</v>
          </cell>
          <cell r="Q125" t="str">
            <v xml:space="preserve">  Pembantu Sopir</v>
          </cell>
          <cell r="T125">
            <v>21000</v>
          </cell>
        </row>
        <row r="126">
          <cell r="O126">
            <v>9</v>
          </cell>
          <cell r="P126" t="str">
            <v>L 101</v>
          </cell>
          <cell r="Q126" t="str">
            <v xml:space="preserve">  Buruh tak Terlatih</v>
          </cell>
          <cell r="T126">
            <v>20000</v>
          </cell>
        </row>
        <row r="127">
          <cell r="O127">
            <v>10</v>
          </cell>
          <cell r="P127" t="str">
            <v>L 103</v>
          </cell>
          <cell r="Q127" t="str">
            <v xml:space="preserve">  Buruh semi Terlatih</v>
          </cell>
          <cell r="T127">
            <v>21000</v>
          </cell>
        </row>
        <row r="128">
          <cell r="O128">
            <v>11</v>
          </cell>
          <cell r="P128" t="str">
            <v>L 106</v>
          </cell>
          <cell r="Q128" t="str">
            <v xml:space="preserve">  Buruh Terlatih</v>
          </cell>
          <cell r="T128">
            <v>26000</v>
          </cell>
        </row>
        <row r="131">
          <cell r="R131" t="str">
            <v>Panyabungan,    Maret  2003</v>
          </cell>
        </row>
        <row r="132">
          <cell r="O132" t="str">
            <v>DIPERIKSA OLEH</v>
          </cell>
          <cell r="R132" t="str">
            <v>KONSULTAN PERENCANA</v>
          </cell>
        </row>
        <row r="133">
          <cell r="O133" t="str">
            <v>KEPALA SUB DINAS  P U BINA MARGA</v>
          </cell>
          <cell r="R133" t="str">
            <v>CV. CITRA PRAMATRA</v>
          </cell>
        </row>
        <row r="134">
          <cell r="O134" t="str">
            <v>KABUPATEN MANDAILING NATAL</v>
          </cell>
        </row>
        <row r="139">
          <cell r="O139" t="str">
            <v>Ir. AHMAD SAMARI</v>
          </cell>
          <cell r="R139" t="str">
            <v>Ir. SAMSON FAREDDY Hs.</v>
          </cell>
        </row>
        <row r="140">
          <cell r="O140" t="str">
            <v>NIP. 400043232</v>
          </cell>
          <cell r="R140" t="str">
            <v>Team Leader</v>
          </cell>
        </row>
        <row r="155">
          <cell r="P155" t="str">
            <v>M 010</v>
          </cell>
          <cell r="Q155" t="str">
            <v xml:space="preserve"> Batu Quarry/batu kali</v>
          </cell>
          <cell r="S155" t="str">
            <v>M3</v>
          </cell>
          <cell r="T155">
            <v>55700</v>
          </cell>
        </row>
        <row r="156">
          <cell r="P156" t="str">
            <v>M 023</v>
          </cell>
          <cell r="Q156" t="str">
            <v xml:space="preserve"> Batu Pecah 3-5 cm</v>
          </cell>
          <cell r="S156" t="str">
            <v>M3</v>
          </cell>
          <cell r="T156">
            <v>140500</v>
          </cell>
        </row>
        <row r="157">
          <cell r="P157" t="str">
            <v>M 024</v>
          </cell>
          <cell r="Q157" t="str">
            <v xml:space="preserve"> Batu koral 2-3 cm</v>
          </cell>
          <cell r="S157" t="str">
            <v>M3</v>
          </cell>
          <cell r="T157">
            <v>184100</v>
          </cell>
        </row>
        <row r="158">
          <cell r="P158" t="str">
            <v>M 025</v>
          </cell>
          <cell r="Q158" t="str">
            <v xml:space="preserve"> Batu split 1-2 cm</v>
          </cell>
          <cell r="S158" t="str">
            <v>M3</v>
          </cell>
          <cell r="T158">
            <v>198800</v>
          </cell>
        </row>
        <row r="159">
          <cell r="P159" t="str">
            <v>M 041</v>
          </cell>
          <cell r="Q159" t="str">
            <v xml:space="preserve"> Pasir Ayak untuk beton</v>
          </cell>
          <cell r="S159" t="str">
            <v>M3</v>
          </cell>
          <cell r="T159">
            <v>41700</v>
          </cell>
        </row>
        <row r="160">
          <cell r="P160" t="str">
            <v>M 061</v>
          </cell>
          <cell r="Q160" t="str">
            <v xml:space="preserve"> Aspal</v>
          </cell>
          <cell r="S160" t="str">
            <v>Kg</v>
          </cell>
          <cell r="T160">
            <v>7100</v>
          </cell>
        </row>
        <row r="161">
          <cell r="P161" t="str">
            <v>M 065</v>
          </cell>
          <cell r="Q161" t="str">
            <v xml:space="preserve"> Minyak Bakar</v>
          </cell>
          <cell r="S161" t="str">
            <v>Ltr</v>
          </cell>
          <cell r="T161">
            <v>1200</v>
          </cell>
        </row>
        <row r="162">
          <cell r="P162" t="str">
            <v>M 080</v>
          </cell>
          <cell r="Q162" t="str">
            <v xml:space="preserve"> Semen</v>
          </cell>
          <cell r="S162" t="str">
            <v>40 Kg</v>
          </cell>
          <cell r="T162">
            <v>29300</v>
          </cell>
        </row>
        <row r="163">
          <cell r="P163" t="str">
            <v>M 170</v>
          </cell>
          <cell r="Q163" t="str">
            <v xml:space="preserve"> Alat Bantu ( set @ 3 alat )</v>
          </cell>
          <cell r="S163" t="str">
            <v>Set</v>
          </cell>
          <cell r="T163">
            <v>67500</v>
          </cell>
        </row>
        <row r="164">
          <cell r="P164" t="str">
            <v>K 013</v>
          </cell>
          <cell r="Q164" t="str">
            <v xml:space="preserve"> Kerikil Sungai Tidak Disaring</v>
          </cell>
          <cell r="S164" t="str">
            <v>M3</v>
          </cell>
          <cell r="T164">
            <v>67500</v>
          </cell>
        </row>
        <row r="165">
          <cell r="P165" t="str">
            <v>K 040</v>
          </cell>
          <cell r="Q165" t="str">
            <v xml:space="preserve"> Aspal Beton (LASTON)</v>
          </cell>
          <cell r="S165" t="str">
            <v>Ton</v>
          </cell>
          <cell r="T165">
            <v>454500</v>
          </cell>
        </row>
        <row r="197">
          <cell r="Z197" t="str">
            <v xml:space="preserve"> BULLDOZER</v>
          </cell>
          <cell r="AB197" t="str">
            <v>E 001</v>
          </cell>
          <cell r="AC197">
            <v>140</v>
          </cell>
          <cell r="AD197">
            <v>1000000000</v>
          </cell>
          <cell r="AE197">
            <v>8</v>
          </cell>
          <cell r="AF197">
            <v>0.26061000000000001</v>
          </cell>
          <cell r="AG197">
            <v>1200</v>
          </cell>
          <cell r="AH197">
            <v>195458</v>
          </cell>
          <cell r="AI197">
            <v>27500</v>
          </cell>
          <cell r="AJ197">
            <v>28000</v>
          </cell>
          <cell r="AK197">
            <v>13440</v>
          </cell>
          <cell r="AL197">
            <v>0</v>
          </cell>
          <cell r="AM197">
            <v>117275</v>
          </cell>
          <cell r="AN197">
            <v>381673</v>
          </cell>
        </row>
        <row r="198">
          <cell r="Z198" t="str">
            <v xml:space="preserve"> MOTOR GRADER </v>
          </cell>
          <cell r="AB198" t="str">
            <v>E 010</v>
          </cell>
          <cell r="AC198">
            <v>125</v>
          </cell>
          <cell r="AD198">
            <v>457500000</v>
          </cell>
          <cell r="AE198">
            <v>8</v>
          </cell>
          <cell r="AF198">
            <v>0.26061000000000001</v>
          </cell>
          <cell r="AG198">
            <v>1500</v>
          </cell>
          <cell r="AH198">
            <v>71537</v>
          </cell>
          <cell r="AI198">
            <v>10065</v>
          </cell>
          <cell r="AJ198">
            <v>25000</v>
          </cell>
          <cell r="AK198">
            <v>12000</v>
          </cell>
          <cell r="AL198">
            <v>0</v>
          </cell>
          <cell r="AM198">
            <v>42922</v>
          </cell>
          <cell r="AN198">
            <v>161524</v>
          </cell>
        </row>
        <row r="199">
          <cell r="Z199" t="str">
            <v xml:space="preserve"> STONE CRUSSER</v>
          </cell>
          <cell r="AB199" t="str">
            <v>E 031</v>
          </cell>
          <cell r="AC199">
            <v>220</v>
          </cell>
          <cell r="AD199">
            <v>1750000000</v>
          </cell>
          <cell r="AE199">
            <v>10</v>
          </cell>
          <cell r="AF199">
            <v>0.23852000000000001</v>
          </cell>
          <cell r="AG199">
            <v>1500</v>
          </cell>
          <cell r="AH199">
            <v>250446</v>
          </cell>
          <cell r="AI199">
            <v>38500</v>
          </cell>
          <cell r="AJ199">
            <v>44000</v>
          </cell>
          <cell r="AK199">
            <v>21120</v>
          </cell>
          <cell r="AL199">
            <v>0</v>
          </cell>
          <cell r="AM199">
            <v>150268</v>
          </cell>
          <cell r="AN199">
            <v>504334</v>
          </cell>
        </row>
        <row r="200">
          <cell r="Z200" t="str">
            <v xml:space="preserve"> MESIN PENYARING</v>
          </cell>
          <cell r="AB200" t="str">
            <v>E 040</v>
          </cell>
          <cell r="AC200">
            <v>80</v>
          </cell>
          <cell r="AD200">
            <v>236540000</v>
          </cell>
          <cell r="AE200">
            <v>8</v>
          </cell>
          <cell r="AF200">
            <v>0.26061000000000001</v>
          </cell>
          <cell r="AG200">
            <v>1500</v>
          </cell>
          <cell r="AH200">
            <v>36987</v>
          </cell>
          <cell r="AI200">
            <v>5204</v>
          </cell>
          <cell r="AJ200">
            <v>16000</v>
          </cell>
          <cell r="AK200">
            <v>7680</v>
          </cell>
          <cell r="AL200">
            <v>0</v>
          </cell>
          <cell r="AM200">
            <v>22192</v>
          </cell>
          <cell r="AN200">
            <v>88063</v>
          </cell>
        </row>
        <row r="201">
          <cell r="Z201" t="str">
            <v xml:space="preserve"> WHELL LOADER</v>
          </cell>
          <cell r="AB201" t="str">
            <v>E 052</v>
          </cell>
          <cell r="AC201">
            <v>105</v>
          </cell>
          <cell r="AD201">
            <v>650000000</v>
          </cell>
          <cell r="AE201">
            <v>8</v>
          </cell>
          <cell r="AF201">
            <v>0.26061000000000001</v>
          </cell>
          <cell r="AG201">
            <v>1500</v>
          </cell>
          <cell r="AH201">
            <v>101638</v>
          </cell>
          <cell r="AI201">
            <v>14300</v>
          </cell>
          <cell r="AJ201">
            <v>21000</v>
          </cell>
          <cell r="AK201">
            <v>10080</v>
          </cell>
          <cell r="AL201">
            <v>0</v>
          </cell>
          <cell r="AM201">
            <v>60983</v>
          </cell>
          <cell r="AN201">
            <v>208000</v>
          </cell>
        </row>
        <row r="202">
          <cell r="Z202" t="str">
            <v xml:space="preserve"> TRACTOR </v>
          </cell>
          <cell r="AB202" t="str">
            <v>E 053</v>
          </cell>
          <cell r="AC202">
            <v>60</v>
          </cell>
          <cell r="AD202">
            <v>97020000</v>
          </cell>
          <cell r="AE202">
            <v>10</v>
          </cell>
          <cell r="AF202">
            <v>0.23852000000000001</v>
          </cell>
          <cell r="AG202">
            <v>1500</v>
          </cell>
          <cell r="AH202">
            <v>13885</v>
          </cell>
          <cell r="AI202">
            <v>2134</v>
          </cell>
          <cell r="AJ202">
            <v>12000</v>
          </cell>
          <cell r="AK202">
            <v>5760</v>
          </cell>
          <cell r="AL202">
            <v>0</v>
          </cell>
          <cell r="AM202">
            <v>8331</v>
          </cell>
          <cell r="AN202">
            <v>42109</v>
          </cell>
        </row>
        <row r="203">
          <cell r="Z203" t="str">
            <v xml:space="preserve"> THREE WHELL ROLLER (MESIN GILAS 3 RODA)</v>
          </cell>
          <cell r="AB203" t="str">
            <v>E 080</v>
          </cell>
          <cell r="AC203">
            <v>55</v>
          </cell>
          <cell r="AD203">
            <v>145040000</v>
          </cell>
          <cell r="AE203">
            <v>10</v>
          </cell>
          <cell r="AF203">
            <v>0.23852000000000001</v>
          </cell>
          <cell r="AG203">
            <v>1500</v>
          </cell>
          <cell r="AH203">
            <v>20757</v>
          </cell>
          <cell r="AI203">
            <v>3191</v>
          </cell>
          <cell r="AJ203">
            <v>11000</v>
          </cell>
          <cell r="AK203">
            <v>5280</v>
          </cell>
          <cell r="AL203">
            <v>0</v>
          </cell>
          <cell r="AM203">
            <v>12454</v>
          </cell>
          <cell r="AN203">
            <v>52683</v>
          </cell>
        </row>
        <row r="204">
          <cell r="Z204" t="str">
            <v xml:space="preserve"> TANDEM ROLLER (MESIN GILAS TANDEM)</v>
          </cell>
          <cell r="AB204" t="str">
            <v>E 081</v>
          </cell>
          <cell r="AC204">
            <v>50</v>
          </cell>
          <cell r="AD204">
            <v>217540000</v>
          </cell>
          <cell r="AE204">
            <v>10</v>
          </cell>
          <cell r="AF204">
            <v>0.23852000000000001</v>
          </cell>
          <cell r="AG204">
            <v>1500</v>
          </cell>
          <cell r="AH204">
            <v>31133</v>
          </cell>
          <cell r="AI204">
            <v>4786</v>
          </cell>
          <cell r="AJ204">
            <v>10000</v>
          </cell>
          <cell r="AK204">
            <v>4800</v>
          </cell>
          <cell r="AL204">
            <v>0</v>
          </cell>
          <cell r="AM204">
            <v>18680</v>
          </cell>
          <cell r="AN204">
            <v>69400</v>
          </cell>
        </row>
        <row r="205">
          <cell r="Z205" t="str">
            <v xml:space="preserve"> VIBRATOR ROLLER (MESIN GILAS BERGETAR)</v>
          </cell>
          <cell r="AB205" t="str">
            <v>E 082</v>
          </cell>
          <cell r="AC205">
            <v>75</v>
          </cell>
          <cell r="AD205">
            <v>295000000</v>
          </cell>
          <cell r="AE205">
            <v>8</v>
          </cell>
          <cell r="AF205">
            <v>0.26061000000000001</v>
          </cell>
          <cell r="AG205">
            <v>1500</v>
          </cell>
          <cell r="AH205">
            <v>46128</v>
          </cell>
          <cell r="AI205">
            <v>6490</v>
          </cell>
          <cell r="AJ205">
            <v>15000</v>
          </cell>
          <cell r="AK205">
            <v>7200</v>
          </cell>
          <cell r="AL205">
            <v>0</v>
          </cell>
          <cell r="AM205">
            <v>27677</v>
          </cell>
          <cell r="AN205">
            <v>102495</v>
          </cell>
        </row>
        <row r="206">
          <cell r="Z206" t="str">
            <v xml:space="preserve"> TIRE ROLLER (MESIN GILAS RODA KARET)</v>
          </cell>
          <cell r="AB206" t="str">
            <v>E 084</v>
          </cell>
          <cell r="AC206">
            <v>60</v>
          </cell>
          <cell r="AD206">
            <v>314248000</v>
          </cell>
          <cell r="AE206">
            <v>10</v>
          </cell>
          <cell r="AF206">
            <v>0.23852000000000001</v>
          </cell>
          <cell r="AG206">
            <v>1500</v>
          </cell>
          <cell r="AH206">
            <v>44973</v>
          </cell>
          <cell r="AI206">
            <v>6913</v>
          </cell>
          <cell r="AJ206">
            <v>12000</v>
          </cell>
          <cell r="AK206">
            <v>5760</v>
          </cell>
          <cell r="AL206">
            <v>0</v>
          </cell>
          <cell r="AM206">
            <v>26984</v>
          </cell>
          <cell r="AN206">
            <v>96630</v>
          </cell>
        </row>
        <row r="207">
          <cell r="Z207" t="str">
            <v xml:space="preserve"> VIBRATOR ROLLER (MESIN GILAS BERGETAR)</v>
          </cell>
          <cell r="AB207" t="str">
            <v>E 087</v>
          </cell>
          <cell r="AC207">
            <v>12</v>
          </cell>
          <cell r="AD207">
            <v>48520000</v>
          </cell>
          <cell r="AE207">
            <v>6</v>
          </cell>
          <cell r="AF207">
            <v>0.30070999999999998</v>
          </cell>
          <cell r="AG207">
            <v>1200</v>
          </cell>
          <cell r="AH207">
            <v>10943</v>
          </cell>
          <cell r="AI207">
            <v>1334</v>
          </cell>
          <cell r="AJ207">
            <v>2400</v>
          </cell>
          <cell r="AK207">
            <v>1152</v>
          </cell>
          <cell r="AL207">
            <v>0</v>
          </cell>
          <cell r="AM207">
            <v>6566</v>
          </cell>
          <cell r="AN207">
            <v>22395</v>
          </cell>
        </row>
        <row r="208">
          <cell r="Z208" t="str">
            <v xml:space="preserve"> MESIN TAMPER, VIBRATOR PLATE</v>
          </cell>
          <cell r="AB208" t="str">
            <v>E 088</v>
          </cell>
          <cell r="AC208">
            <v>5</v>
          </cell>
          <cell r="AD208">
            <v>7500000</v>
          </cell>
          <cell r="AE208">
            <v>6</v>
          </cell>
          <cell r="AF208">
            <v>0.30070999999999998</v>
          </cell>
          <cell r="AG208">
            <v>750</v>
          </cell>
          <cell r="AH208">
            <v>2706</v>
          </cell>
          <cell r="AI208">
            <v>330</v>
          </cell>
          <cell r="AJ208">
            <v>1000</v>
          </cell>
          <cell r="AK208">
            <v>480</v>
          </cell>
          <cell r="AL208">
            <v>0</v>
          </cell>
          <cell r="AM208">
            <v>1624</v>
          </cell>
          <cell r="AN208">
            <v>6140</v>
          </cell>
        </row>
        <row r="209">
          <cell r="Z209" t="str">
            <v xml:space="preserve"> CONCRETTE VIBRATOR (ALAT PENGGETAR BETON)</v>
          </cell>
          <cell r="AB209" t="str">
            <v>E 089</v>
          </cell>
          <cell r="AC209">
            <v>10</v>
          </cell>
          <cell r="AD209">
            <v>4488000</v>
          </cell>
          <cell r="AE209">
            <v>5</v>
          </cell>
          <cell r="AF209">
            <v>0.33438000000000001</v>
          </cell>
          <cell r="AG209">
            <v>600</v>
          </cell>
          <cell r="AH209">
            <v>2251</v>
          </cell>
          <cell r="AI209">
            <v>247</v>
          </cell>
          <cell r="AJ209">
            <v>2000</v>
          </cell>
          <cell r="AK209">
            <v>960</v>
          </cell>
          <cell r="AL209">
            <v>0</v>
          </cell>
          <cell r="AM209">
            <v>1351</v>
          </cell>
          <cell r="AN209">
            <v>6809</v>
          </cell>
        </row>
        <row r="210">
          <cell r="Z210" t="str">
            <v xml:space="preserve"> ASPALT SPRAYER (MESIN PENYEMPROT ASPAL)</v>
          </cell>
          <cell r="AB210" t="str">
            <v>E 153</v>
          </cell>
          <cell r="AC210">
            <v>15</v>
          </cell>
          <cell r="AD210">
            <v>67500000</v>
          </cell>
          <cell r="AE210">
            <v>6</v>
          </cell>
          <cell r="AF210">
            <v>0.30070999999999998</v>
          </cell>
          <cell r="AG210">
            <v>750</v>
          </cell>
          <cell r="AH210">
            <v>24358</v>
          </cell>
          <cell r="AI210">
            <v>2970</v>
          </cell>
          <cell r="AJ210">
            <v>3000</v>
          </cell>
          <cell r="AK210">
            <v>1440</v>
          </cell>
          <cell r="AL210">
            <v>0</v>
          </cell>
          <cell r="AM210">
            <v>14615</v>
          </cell>
          <cell r="AN210">
            <v>46383</v>
          </cell>
        </row>
        <row r="211">
          <cell r="Z211" t="str">
            <v xml:space="preserve"> ASPALT MIXING PLANT (MESIN PENCAMPUR ASPAL)</v>
          </cell>
          <cell r="AB211" t="str">
            <v>E 155</v>
          </cell>
          <cell r="AC211">
            <v>150</v>
          </cell>
          <cell r="AD211">
            <v>3000000000</v>
          </cell>
          <cell r="AE211">
            <v>10</v>
          </cell>
          <cell r="AF211">
            <v>0.23852000000000001</v>
          </cell>
          <cell r="AG211">
            <v>1200</v>
          </cell>
          <cell r="AH211">
            <v>536670</v>
          </cell>
          <cell r="AI211">
            <v>82500</v>
          </cell>
          <cell r="AJ211">
            <v>30000</v>
          </cell>
          <cell r="AK211">
            <v>14400</v>
          </cell>
          <cell r="AL211">
            <v>0</v>
          </cell>
          <cell r="AM211">
            <v>322002</v>
          </cell>
          <cell r="AN211">
            <v>985572</v>
          </cell>
        </row>
        <row r="212">
          <cell r="Z212" t="str">
            <v xml:space="preserve"> ASPALT FINISHER (MESIN PENGHAMPAR ASPAL)</v>
          </cell>
          <cell r="AB212" t="str">
            <v>E 157</v>
          </cell>
          <cell r="AC212">
            <v>47</v>
          </cell>
          <cell r="AD212">
            <v>487500000</v>
          </cell>
          <cell r="AE212">
            <v>7</v>
          </cell>
          <cell r="AF212">
            <v>0.27742</v>
          </cell>
          <cell r="AG212">
            <v>1200</v>
          </cell>
          <cell r="AH212">
            <v>101432</v>
          </cell>
          <cell r="AI212">
            <v>13406</v>
          </cell>
          <cell r="AJ212">
            <v>9400</v>
          </cell>
          <cell r="AK212">
            <v>4512</v>
          </cell>
          <cell r="AL212">
            <v>0</v>
          </cell>
          <cell r="AM212">
            <v>60859</v>
          </cell>
          <cell r="AN212">
            <v>189609</v>
          </cell>
        </row>
        <row r="213">
          <cell r="Z213" t="str">
            <v xml:space="preserve"> WATER TANK TRUCK (TRUK TANGKI AIR)</v>
          </cell>
          <cell r="AB213" t="str">
            <v>E 182</v>
          </cell>
          <cell r="AC213">
            <v>68</v>
          </cell>
          <cell r="AD213">
            <v>117207000</v>
          </cell>
          <cell r="AE213">
            <v>8</v>
          </cell>
          <cell r="AF213">
            <v>0.26061000000000001</v>
          </cell>
          <cell r="AG213">
            <v>1500</v>
          </cell>
          <cell r="AH213">
            <v>18327</v>
          </cell>
          <cell r="AI213">
            <v>2579</v>
          </cell>
          <cell r="AJ213">
            <v>13600</v>
          </cell>
          <cell r="AK213">
            <v>6528</v>
          </cell>
          <cell r="AL213">
            <v>0</v>
          </cell>
          <cell r="AM213">
            <v>10996</v>
          </cell>
          <cell r="AN213">
            <v>52030</v>
          </cell>
        </row>
        <row r="214">
          <cell r="Z214" t="str">
            <v xml:space="preserve"> TRAILLER GANDENGAN 20 T</v>
          </cell>
          <cell r="AB214" t="str">
            <v>E 191</v>
          </cell>
          <cell r="AC214">
            <v>175</v>
          </cell>
          <cell r="AD214">
            <v>415625000</v>
          </cell>
          <cell r="AE214">
            <v>12</v>
          </cell>
          <cell r="AF214">
            <v>0.22525999999999999</v>
          </cell>
          <cell r="AG214">
            <v>1500</v>
          </cell>
          <cell r="AH214">
            <v>56174</v>
          </cell>
          <cell r="AI214">
            <v>9144</v>
          </cell>
          <cell r="AJ214">
            <v>35000</v>
          </cell>
          <cell r="AK214">
            <v>16800</v>
          </cell>
          <cell r="AL214">
            <v>0</v>
          </cell>
          <cell r="AM214">
            <v>33704</v>
          </cell>
          <cell r="AN214">
            <v>150822</v>
          </cell>
        </row>
        <row r="215">
          <cell r="Z215" t="str">
            <v xml:space="preserve"> DUMP TRUCK 3,5 TON</v>
          </cell>
          <cell r="AB215" t="str">
            <v>E 211</v>
          </cell>
          <cell r="AC215">
            <v>100</v>
          </cell>
          <cell r="AD215">
            <v>125000000</v>
          </cell>
          <cell r="AE215">
            <v>6</v>
          </cell>
          <cell r="AF215">
            <v>0.30070999999999998</v>
          </cell>
          <cell r="AG215">
            <v>1300</v>
          </cell>
          <cell r="AH215">
            <v>26023</v>
          </cell>
          <cell r="AI215">
            <v>3173</v>
          </cell>
          <cell r="AJ215">
            <v>20000</v>
          </cell>
          <cell r="AK215">
            <v>9600</v>
          </cell>
          <cell r="AL215">
            <v>0</v>
          </cell>
          <cell r="AM215">
            <v>15614</v>
          </cell>
          <cell r="AN215">
            <v>74410</v>
          </cell>
        </row>
        <row r="216">
          <cell r="Z216" t="str">
            <v xml:space="preserve"> DUMP TRUCK 5 TON</v>
          </cell>
          <cell r="AB216" t="str">
            <v>E 212</v>
          </cell>
          <cell r="AC216">
            <v>125</v>
          </cell>
          <cell r="AD216">
            <v>227500000</v>
          </cell>
          <cell r="AE216">
            <v>6</v>
          </cell>
          <cell r="AF216">
            <v>0.30070999999999998</v>
          </cell>
          <cell r="AG216">
            <v>1300</v>
          </cell>
          <cell r="AH216">
            <v>47362</v>
          </cell>
          <cell r="AI216">
            <v>5775</v>
          </cell>
          <cell r="AJ216">
            <v>25000</v>
          </cell>
          <cell r="AK216">
            <v>12000</v>
          </cell>
          <cell r="AL216">
            <v>0</v>
          </cell>
          <cell r="AM216">
            <v>28417</v>
          </cell>
          <cell r="AN216">
            <v>118554</v>
          </cell>
        </row>
        <row r="217">
          <cell r="Z217" t="str">
            <v xml:space="preserve"> TRUCK BAK TERBUKA 3,5 TON</v>
          </cell>
          <cell r="AB217" t="str">
            <v>E 221</v>
          </cell>
          <cell r="AC217">
            <v>100</v>
          </cell>
          <cell r="AD217">
            <v>125000000</v>
          </cell>
          <cell r="AE217">
            <v>6</v>
          </cell>
          <cell r="AF217">
            <v>0.30070999999999998</v>
          </cell>
          <cell r="AG217">
            <v>1300</v>
          </cell>
          <cell r="AH217">
            <v>26023</v>
          </cell>
          <cell r="AI217">
            <v>3173</v>
          </cell>
          <cell r="AJ217">
            <v>20000</v>
          </cell>
          <cell r="AK217">
            <v>9600</v>
          </cell>
          <cell r="AL217">
            <v>0</v>
          </cell>
          <cell r="AM217">
            <v>15614</v>
          </cell>
          <cell r="AN217">
            <v>74410</v>
          </cell>
        </row>
        <row r="218">
          <cell r="Z218" t="str">
            <v xml:space="preserve"> CONCRETTE MIXER (PENGADUK BETON) 125 Ltr</v>
          </cell>
          <cell r="AB218" t="str">
            <v>E 251</v>
          </cell>
          <cell r="AC218">
            <v>7</v>
          </cell>
          <cell r="AD218">
            <v>6195000</v>
          </cell>
          <cell r="AE218">
            <v>4</v>
          </cell>
          <cell r="AF218">
            <v>0.38629000000000002</v>
          </cell>
          <cell r="AG218">
            <v>1500</v>
          </cell>
          <cell r="AH218">
            <v>1436</v>
          </cell>
          <cell r="AI218">
            <v>136</v>
          </cell>
          <cell r="AJ218">
            <v>1400</v>
          </cell>
          <cell r="AK218">
            <v>672</v>
          </cell>
          <cell r="AL218">
            <v>0</v>
          </cell>
          <cell r="AM218">
            <v>862</v>
          </cell>
          <cell r="AN218">
            <v>4506</v>
          </cell>
        </row>
        <row r="219">
          <cell r="Z219" t="str">
            <v xml:space="preserve"> CONCRETTE MIXER (PENGADUK BETON) 250 Ltr</v>
          </cell>
          <cell r="AB219" t="str">
            <v>E 252</v>
          </cell>
          <cell r="AC219">
            <v>10</v>
          </cell>
          <cell r="AD219">
            <v>12390000</v>
          </cell>
          <cell r="AE219">
            <v>5</v>
          </cell>
          <cell r="AF219">
            <v>0.33438000000000001</v>
          </cell>
          <cell r="AG219">
            <v>1500</v>
          </cell>
          <cell r="AH219">
            <v>2486</v>
          </cell>
          <cell r="AI219">
            <v>273</v>
          </cell>
          <cell r="AJ219">
            <v>2000</v>
          </cell>
          <cell r="AK219">
            <v>960</v>
          </cell>
          <cell r="AL219">
            <v>0</v>
          </cell>
          <cell r="AM219">
            <v>1492</v>
          </cell>
          <cell r="AN219">
            <v>7211</v>
          </cell>
        </row>
        <row r="220">
          <cell r="Z220" t="str">
            <v xml:space="preserve"> CONCRETTE MIXER (PENGADUK BETON) 500 Ltr</v>
          </cell>
          <cell r="AB220" t="str">
            <v>E 253</v>
          </cell>
          <cell r="AC220">
            <v>15</v>
          </cell>
          <cell r="AD220">
            <v>35000000</v>
          </cell>
          <cell r="AE220">
            <v>5</v>
          </cell>
          <cell r="AF220">
            <v>0.33438000000000001</v>
          </cell>
          <cell r="AG220">
            <v>1500</v>
          </cell>
          <cell r="AH220">
            <v>7022</v>
          </cell>
          <cell r="AI220">
            <v>770</v>
          </cell>
          <cell r="AJ220">
            <v>3000</v>
          </cell>
          <cell r="AK220">
            <v>1440</v>
          </cell>
          <cell r="AL220">
            <v>0</v>
          </cell>
          <cell r="AM220">
            <v>4213</v>
          </cell>
          <cell r="AN220">
            <v>16445</v>
          </cell>
        </row>
        <row r="221">
          <cell r="Z221" t="str">
            <v xml:space="preserve"> COMPRESSOR 4000 - 6500  L/M</v>
          </cell>
          <cell r="AB221" t="str">
            <v>E 301</v>
          </cell>
          <cell r="AC221">
            <v>80</v>
          </cell>
          <cell r="AD221">
            <v>15000000</v>
          </cell>
          <cell r="AE221">
            <v>8</v>
          </cell>
          <cell r="AF221">
            <v>0.26061000000000001</v>
          </cell>
          <cell r="AG221">
            <v>750</v>
          </cell>
          <cell r="AH221">
            <v>4691</v>
          </cell>
          <cell r="AI221">
            <v>660</v>
          </cell>
          <cell r="AJ221">
            <v>16000</v>
          </cell>
          <cell r="AK221">
            <v>7680</v>
          </cell>
          <cell r="AL221">
            <v>0</v>
          </cell>
          <cell r="AM221">
            <v>2815</v>
          </cell>
          <cell r="AN221">
            <v>31846</v>
          </cell>
        </row>
        <row r="222">
          <cell r="Z222" t="str">
            <v xml:space="preserve"> POMPA AIR    O  70 mm</v>
          </cell>
          <cell r="AB222" t="str">
            <v>E 341</v>
          </cell>
          <cell r="AC222">
            <v>6</v>
          </cell>
          <cell r="AD222">
            <v>7500000</v>
          </cell>
          <cell r="AE222">
            <v>4</v>
          </cell>
          <cell r="AF222">
            <v>0.38629000000000002</v>
          </cell>
          <cell r="AG222">
            <v>750</v>
          </cell>
          <cell r="AH222">
            <v>3477</v>
          </cell>
          <cell r="AI222">
            <v>330</v>
          </cell>
          <cell r="AJ222">
            <v>1200</v>
          </cell>
          <cell r="AK222">
            <v>576</v>
          </cell>
          <cell r="AL222">
            <v>0</v>
          </cell>
          <cell r="AM222">
            <v>2086</v>
          </cell>
          <cell r="AN222">
            <v>7669</v>
          </cell>
        </row>
        <row r="223">
          <cell r="Z223" t="str">
            <v xml:space="preserve"> PERALATAN TRAKTOR, DAN LAIN-LAIN</v>
          </cell>
          <cell r="AB223" t="str">
            <v>E 401</v>
          </cell>
          <cell r="AD223">
            <v>45055000</v>
          </cell>
          <cell r="AE223">
            <v>5</v>
          </cell>
          <cell r="AF223">
            <v>0.33438000000000001</v>
          </cell>
          <cell r="AG223">
            <v>600</v>
          </cell>
          <cell r="AH223">
            <v>22598</v>
          </cell>
          <cell r="AI223">
            <v>2478</v>
          </cell>
          <cell r="AJ223">
            <v>0</v>
          </cell>
          <cell r="AK223">
            <v>0</v>
          </cell>
          <cell r="AL223">
            <v>0</v>
          </cell>
          <cell r="AM223">
            <v>13559</v>
          </cell>
          <cell r="AN223">
            <v>38635</v>
          </cell>
        </row>
        <row r="289">
          <cell r="BM289" t="str">
            <v xml:space="preserve"> DIREKTORAT JENDERAL BINA MARGA</v>
          </cell>
        </row>
        <row r="290">
          <cell r="BM290" t="str">
            <v xml:space="preserve"> DIREKTORAT BINA PROGRAM JALAN</v>
          </cell>
          <cell r="BR290" t="str">
            <v>ANALISA HARGA SATUAN</v>
          </cell>
          <cell r="BV290" t="str">
            <v>K O D E</v>
          </cell>
        </row>
        <row r="291">
          <cell r="BM291" t="str">
            <v xml:space="preserve"> SUB DIT. PERENC. JALAN LOKAL &amp;</v>
          </cell>
          <cell r="BR291" t="str">
            <v>Galian Tanah untuk Konstruksi</v>
          </cell>
          <cell r="BV291" t="str">
            <v>K 224</v>
          </cell>
        </row>
        <row r="292">
          <cell r="BM292" t="str">
            <v xml:space="preserve"> KABUPATEN</v>
          </cell>
          <cell r="BR292" t="str">
            <v>(Menggunakan Buruh)</v>
          </cell>
        </row>
        <row r="293">
          <cell r="BM293" t="str">
            <v>Propinsi</v>
          </cell>
          <cell r="BO293" t="str">
            <v>Kode</v>
          </cell>
          <cell r="BP293" t="str">
            <v>Kabupaten</v>
          </cell>
          <cell r="BS293" t="str">
            <v>Kode</v>
          </cell>
          <cell r="BT293" t="str">
            <v>Disiapkan Oleh</v>
          </cell>
          <cell r="BV293" t="str">
            <v>Tanggal</v>
          </cell>
        </row>
        <row r="294">
          <cell r="BM294" t="str">
            <v>Sumatera Utara</v>
          </cell>
          <cell r="BO294">
            <v>12</v>
          </cell>
          <cell r="BP294" t="str">
            <v>Mandailing Natal</v>
          </cell>
          <cell r="BS294" t="str">
            <v>02</v>
          </cell>
          <cell r="BT294" t="str">
            <v>CV. Citra Pramatra</v>
          </cell>
          <cell r="BV294" t="str">
            <v xml:space="preserve"> - Maret 2003</v>
          </cell>
        </row>
        <row r="296">
          <cell r="BM296" t="str">
            <v xml:space="preserve"> URAIAN :</v>
          </cell>
          <cell r="BR296" t="str">
            <v xml:space="preserve"> ANGGAPAN / ASUMSI</v>
          </cell>
        </row>
        <row r="297">
          <cell r="BM297" t="str">
            <v xml:space="preserve"> 1. Digali dengan tenaga manusia</v>
          </cell>
          <cell r="BR297" t="str">
            <v xml:space="preserve"> 1. Menggunakan tenaga manusia (40m3/hari)</v>
          </cell>
        </row>
        <row r="298">
          <cell r="BM298" t="str">
            <v xml:space="preserve"> 2. Membuang tanah galian sejauh 30 m dari lubang</v>
          </cell>
          <cell r="BR298" t="str">
            <v xml:space="preserve"> 2. Kapasitas kerja per orang 1,3m3/hari</v>
          </cell>
        </row>
        <row r="299">
          <cell r="BM299" t="str">
            <v xml:space="preserve">    galian</v>
          </cell>
          <cell r="BR299" t="str">
            <v xml:space="preserve"> 3. Kedalaman rata-rata galian s/d  3m</v>
          </cell>
        </row>
        <row r="300">
          <cell r="BR300" t="str">
            <v xml:space="preserve"> 4. Umur alat bantu rata-rata 1 bulan/orang/set @ 3 alat</v>
          </cell>
        </row>
        <row r="302">
          <cell r="BR302" t="str">
            <v/>
          </cell>
        </row>
        <row r="303">
          <cell r="BM303" t="str">
            <v/>
          </cell>
        </row>
        <row r="305">
          <cell r="BR305" t="str">
            <v/>
          </cell>
          <cell r="BS305" t="str">
            <v/>
          </cell>
        </row>
        <row r="306">
          <cell r="BR306" t="str">
            <v/>
          </cell>
        </row>
        <row r="308">
          <cell r="BN308" t="str">
            <v>P e k e r j a</v>
          </cell>
          <cell r="BP308" t="str">
            <v>Jumlah</v>
          </cell>
          <cell r="BQ308" t="str">
            <v>Hari</v>
          </cell>
          <cell r="BR308" t="str">
            <v>Kode</v>
          </cell>
          <cell r="BS308" t="str">
            <v>Jumlah</v>
          </cell>
          <cell r="BT308" t="str">
            <v>Upah</v>
          </cell>
          <cell r="BU308" t="str">
            <v>Biaya</v>
          </cell>
          <cell r="BV308" t="str">
            <v>Sub Total</v>
          </cell>
        </row>
        <row r="309">
          <cell r="BP309" t="str">
            <v>Orang</v>
          </cell>
          <cell r="BS309" t="str">
            <v>Hr - Org</v>
          </cell>
          <cell r="BT309" t="str">
            <v>(Rp./Org/Hr)</v>
          </cell>
          <cell r="BU309" t="str">
            <v>(Rp.)</v>
          </cell>
          <cell r="BV309" t="str">
            <v>(Rp.)</v>
          </cell>
        </row>
        <row r="311">
          <cell r="BM311" t="str">
            <v>P</v>
          </cell>
          <cell r="BN311" t="str">
            <v xml:space="preserve">  Mandor</v>
          </cell>
          <cell r="BP311">
            <v>1</v>
          </cell>
          <cell r="BQ311">
            <v>1</v>
          </cell>
          <cell r="BR311" t="str">
            <v>L 061</v>
          </cell>
          <cell r="BS311">
            <v>1</v>
          </cell>
          <cell r="BT311">
            <v>35000</v>
          </cell>
          <cell r="BU311">
            <v>35000</v>
          </cell>
        </row>
        <row r="312">
          <cell r="BM312" t="str">
            <v>E</v>
          </cell>
        </row>
        <row r="313">
          <cell r="BM313" t="str">
            <v>K</v>
          </cell>
          <cell r="BN313" t="str">
            <v xml:space="preserve">  Buruh tak Terlatih</v>
          </cell>
          <cell r="BP313">
            <v>30</v>
          </cell>
          <cell r="BQ313">
            <v>1</v>
          </cell>
          <cell r="BR313" t="str">
            <v>L 101</v>
          </cell>
          <cell r="BS313">
            <v>30</v>
          </cell>
          <cell r="BT313">
            <v>20000</v>
          </cell>
          <cell r="BU313">
            <v>600000</v>
          </cell>
        </row>
        <row r="314">
          <cell r="BM314" t="str">
            <v>E</v>
          </cell>
        </row>
        <row r="315">
          <cell r="BM315" t="str">
            <v>R</v>
          </cell>
        </row>
        <row r="316">
          <cell r="BM316" t="str">
            <v>J</v>
          </cell>
        </row>
        <row r="317">
          <cell r="BM317" t="str">
            <v>A</v>
          </cell>
        </row>
        <row r="319">
          <cell r="BU319" t="str">
            <v>Pekerja</v>
          </cell>
          <cell r="BV319">
            <v>635000</v>
          </cell>
        </row>
        <row r="320">
          <cell r="BN320" t="str">
            <v>M a t e r i a l</v>
          </cell>
          <cell r="BP320" t="str">
            <v>Jumlah</v>
          </cell>
          <cell r="BQ320" t="str">
            <v>Satuan</v>
          </cell>
          <cell r="BR320" t="str">
            <v>Kode</v>
          </cell>
          <cell r="BT320" t="str">
            <v>Harga</v>
          </cell>
          <cell r="BU320" t="str">
            <v>Biaya</v>
          </cell>
          <cell r="BV320" t="str">
            <v>Sub Total</v>
          </cell>
        </row>
        <row r="321">
          <cell r="BT321" t="str">
            <v>(Rp./Unit)</v>
          </cell>
          <cell r="BU321" t="str">
            <v xml:space="preserve"> (Rp.)</v>
          </cell>
          <cell r="BV321" t="str">
            <v>(Rp.)</v>
          </cell>
        </row>
        <row r="323">
          <cell r="BM323" t="str">
            <v>M</v>
          </cell>
          <cell r="BN323" t="str">
            <v xml:space="preserve"> Alat Bantu ( set @ 3 alat )</v>
          </cell>
          <cell r="BP323">
            <v>1.2</v>
          </cell>
          <cell r="BQ323" t="str">
            <v>Set</v>
          </cell>
          <cell r="BR323" t="str">
            <v>M 170</v>
          </cell>
          <cell r="BT323">
            <v>67500</v>
          </cell>
          <cell r="BU323">
            <v>81000</v>
          </cell>
        </row>
        <row r="324">
          <cell r="BM324" t="str">
            <v>A</v>
          </cell>
        </row>
        <row r="325">
          <cell r="BM325" t="str">
            <v>T</v>
          </cell>
        </row>
        <row r="326">
          <cell r="BM326" t="str">
            <v>E</v>
          </cell>
        </row>
        <row r="327">
          <cell r="BM327" t="str">
            <v>R</v>
          </cell>
        </row>
        <row r="328">
          <cell r="BM328" t="str">
            <v>I</v>
          </cell>
        </row>
        <row r="329">
          <cell r="BM329" t="str">
            <v>A</v>
          </cell>
        </row>
        <row r="330">
          <cell r="BM330" t="str">
            <v>L</v>
          </cell>
        </row>
        <row r="331">
          <cell r="BU331" t="str">
            <v>Material</v>
          </cell>
          <cell r="BV331">
            <v>81000</v>
          </cell>
        </row>
        <row r="332">
          <cell r="BN332" t="str">
            <v>P e r a l a t a n</v>
          </cell>
          <cell r="BP332" t="str">
            <v>Jumlah</v>
          </cell>
          <cell r="BQ332" t="str">
            <v xml:space="preserve">Hari </v>
          </cell>
          <cell r="BR332" t="str">
            <v>Kode</v>
          </cell>
          <cell r="BS332" t="str">
            <v>Jam</v>
          </cell>
          <cell r="BT332" t="str">
            <v>Harga</v>
          </cell>
          <cell r="BU332" t="str">
            <v>Biaya</v>
          </cell>
          <cell r="BV332" t="str">
            <v>Sub Total</v>
          </cell>
        </row>
        <row r="333">
          <cell r="BP333" t="str">
            <v>Alat</v>
          </cell>
          <cell r="BQ333" t="str">
            <v>Kerja</v>
          </cell>
          <cell r="BS333" t="str">
            <v>Kerja</v>
          </cell>
          <cell r="BT333" t="str">
            <v>(Rp./jam)</v>
          </cell>
          <cell r="BU333" t="str">
            <v>(Rp.)</v>
          </cell>
          <cell r="BV333" t="str">
            <v>(Rp.)</v>
          </cell>
        </row>
        <row r="334">
          <cell r="BM334" t="str">
            <v>P</v>
          </cell>
        </row>
        <row r="335">
          <cell r="BM335" t="str">
            <v>E</v>
          </cell>
        </row>
        <row r="336">
          <cell r="BM336" t="str">
            <v>R</v>
          </cell>
        </row>
        <row r="337">
          <cell r="BM337" t="str">
            <v>A</v>
          </cell>
        </row>
        <row r="338">
          <cell r="BM338" t="str">
            <v>L</v>
          </cell>
        </row>
        <row r="339">
          <cell r="BM339" t="str">
            <v>A</v>
          </cell>
        </row>
        <row r="340">
          <cell r="BM340" t="str">
            <v>T</v>
          </cell>
        </row>
        <row r="341">
          <cell r="BM341" t="str">
            <v>A</v>
          </cell>
        </row>
        <row r="342">
          <cell r="BM342" t="str">
            <v>N</v>
          </cell>
        </row>
        <row r="343">
          <cell r="BU343" t="str">
            <v>Peralatan</v>
          </cell>
          <cell r="BV343">
            <v>0</v>
          </cell>
        </row>
        <row r="344">
          <cell r="BU344" t="str">
            <v>TOTAL(Rp.)</v>
          </cell>
          <cell r="BV344">
            <v>716000</v>
          </cell>
        </row>
        <row r="346">
          <cell r="BM346" t="str">
            <v>VOLUME</v>
          </cell>
          <cell r="BO346">
            <v>40</v>
          </cell>
          <cell r="BP346" t="str">
            <v>m3</v>
          </cell>
          <cell r="BS346" t="str">
            <v>HARGA SATUAN Rp.</v>
          </cell>
          <cell r="BU346">
            <v>17900</v>
          </cell>
          <cell r="BV346" t="str">
            <v>Per m3</v>
          </cell>
        </row>
        <row r="353">
          <cell r="BL353" t="str">
            <v>K 320</v>
          </cell>
        </row>
        <row r="415">
          <cell r="BL415" t="str">
            <v>K 424</v>
          </cell>
        </row>
        <row r="477">
          <cell r="BL477" t="str">
            <v>K 110</v>
          </cell>
        </row>
        <row r="539">
          <cell r="BL539" t="str">
            <v>K 410</v>
          </cell>
        </row>
        <row r="615">
          <cell r="BL615" t="str">
            <v>K 641</v>
          </cell>
        </row>
        <row r="677">
          <cell r="BL677" t="str">
            <v>K 422</v>
          </cell>
        </row>
        <row r="802">
          <cell r="BM802" t="str">
            <v xml:space="preserve"> DIREKTORAT JENDERAL BINA MARGA</v>
          </cell>
        </row>
        <row r="803">
          <cell r="BM803" t="str">
            <v xml:space="preserve"> DIREKTORAT BINA PROGRAM JALAN</v>
          </cell>
          <cell r="BR803" t="str">
            <v>ANALISA HARGA SATUAN</v>
          </cell>
          <cell r="BV803" t="str">
            <v>K O D E</v>
          </cell>
        </row>
        <row r="804">
          <cell r="BM804" t="str">
            <v xml:space="preserve"> SUB DIT. PERENC. JALAN LOKAL &amp;</v>
          </cell>
          <cell r="BR804" t="str">
            <v>Lapis Penetrasi Macadam 5 cm (Lapen)</v>
          </cell>
          <cell r="BV804" t="str">
            <v>K 618</v>
          </cell>
        </row>
        <row r="805">
          <cell r="BM805" t="str">
            <v xml:space="preserve"> KABUPATEN</v>
          </cell>
          <cell r="BR805" t="str">
            <v>( Menggunakan Buruh )</v>
          </cell>
        </row>
        <row r="806">
          <cell r="BM806" t="str">
            <v>Propinsi</v>
          </cell>
          <cell r="BO806" t="str">
            <v>Kode</v>
          </cell>
          <cell r="BP806" t="str">
            <v>Kabupaten</v>
          </cell>
          <cell r="BS806" t="str">
            <v>Kode</v>
          </cell>
          <cell r="BT806" t="str">
            <v>Disiapkan Oleh</v>
          </cell>
          <cell r="BV806" t="str">
            <v>Tanggal</v>
          </cell>
        </row>
        <row r="807">
          <cell r="BM807" t="str">
            <v>Sumatera Utara</v>
          </cell>
          <cell r="BO807">
            <v>12</v>
          </cell>
          <cell r="BP807" t="str">
            <v>Mandailing Natal</v>
          </cell>
          <cell r="BS807" t="str">
            <v>02</v>
          </cell>
          <cell r="BT807" t="str">
            <v>CV. Citra Pramatra</v>
          </cell>
          <cell r="BV807" t="str">
            <v>- Maret 2003</v>
          </cell>
        </row>
        <row r="809">
          <cell r="BM809" t="str">
            <v xml:space="preserve"> URAIAN :</v>
          </cell>
          <cell r="BR809" t="str">
            <v xml:space="preserve"> ANGGAPAN / ASUMSI</v>
          </cell>
        </row>
        <row r="810">
          <cell r="BM810" t="str">
            <v xml:space="preserve"> 1. Semprotkan aspal tack coat 0,8 l/m2</v>
          </cell>
          <cell r="BR810" t="str">
            <v xml:space="preserve"> 1. Menggunakan tenaga buruh</v>
          </cell>
        </row>
        <row r="811">
          <cell r="BM811" t="str">
            <v xml:space="preserve"> 2. Hamparkan agregat pokok 3-5, 25 m2/m3 dan padatkan</v>
          </cell>
          <cell r="BR811" t="str">
            <v xml:space="preserve"> 2. Harga material (agregat pokok, agregat pengunci, agregat penutup, </v>
          </cell>
        </row>
        <row r="812">
          <cell r="BM812" t="str">
            <v xml:space="preserve"> 3. Hamparkan Bt. Pecah 2-3 ; 45 m2/m3 dan padatkan</v>
          </cell>
          <cell r="BR812" t="str">
            <v xml:space="preserve">     aspal) adalah harga di lokasi proyek.</v>
          </cell>
        </row>
        <row r="813">
          <cell r="BM813" t="str">
            <v xml:space="preserve"> 4. Semprotkan aspal (2,5 kg/m2)</v>
          </cell>
          <cell r="BR813" t="str">
            <v xml:space="preserve"> 3. Volume aspal cair untuk tack coat/prime coat 0,8 lt/m2</v>
          </cell>
        </row>
        <row r="814">
          <cell r="BM814" t="str">
            <v xml:space="preserve"> 5. Hamparkan agregat pengunci bt.pecah 1-2; 90 m2/m3 dan</v>
          </cell>
          <cell r="BR814" t="str">
            <v xml:space="preserve"> 4. Tebal lapisan penetrasi lebih kurang 5 cm</v>
          </cell>
        </row>
        <row r="815">
          <cell r="BM815" t="str">
            <v xml:space="preserve">     padatkan.</v>
          </cell>
          <cell r="BR815" t="str">
            <v xml:space="preserve"> 5. Agregat dikirim sampai tempat pekerjaan oleh leveransir</v>
          </cell>
        </row>
        <row r="816">
          <cell r="BM816" t="str">
            <v xml:space="preserve"> 6. Semprotkan aspal 1,5 kg/m2 dan gilas</v>
          </cell>
        </row>
        <row r="817">
          <cell r="BM817" t="str">
            <v xml:space="preserve"> 7. Taburkan pasir rata-rata 400 m2/m3</v>
          </cell>
        </row>
        <row r="821">
          <cell r="BN821" t="str">
            <v>P e k e r j a</v>
          </cell>
          <cell r="BP821" t="str">
            <v>Jumlah</v>
          </cell>
          <cell r="BQ821" t="str">
            <v>Hari</v>
          </cell>
          <cell r="BR821" t="str">
            <v>Kode</v>
          </cell>
          <cell r="BS821" t="str">
            <v>Jumlah</v>
          </cell>
          <cell r="BT821" t="str">
            <v>Upah</v>
          </cell>
          <cell r="BU821" t="str">
            <v>Biaya</v>
          </cell>
          <cell r="BV821" t="str">
            <v>Sub Total</v>
          </cell>
        </row>
        <row r="822">
          <cell r="BP822" t="str">
            <v>Orang</v>
          </cell>
          <cell r="BS822" t="str">
            <v>Hr - Org</v>
          </cell>
          <cell r="BT822" t="str">
            <v>(Rp./Org/Hr)</v>
          </cell>
          <cell r="BU822" t="str">
            <v>(Rp.)</v>
          </cell>
          <cell r="BV822" t="str">
            <v>(Rp.)</v>
          </cell>
        </row>
        <row r="824">
          <cell r="BM824" t="str">
            <v>P</v>
          </cell>
          <cell r="BN824" t="str">
            <v xml:space="preserve">  Mandor</v>
          </cell>
          <cell r="BP824">
            <v>2</v>
          </cell>
          <cell r="BQ824">
            <v>3</v>
          </cell>
          <cell r="BR824" t="str">
            <v>L 061</v>
          </cell>
          <cell r="BS824">
            <v>6</v>
          </cell>
          <cell r="BT824">
            <v>35000</v>
          </cell>
          <cell r="BU824">
            <v>210000</v>
          </cell>
        </row>
        <row r="825">
          <cell r="BM825" t="str">
            <v>E</v>
          </cell>
          <cell r="BN825" t="str">
            <v xml:space="preserve">  Operator - Terlatih</v>
          </cell>
          <cell r="BP825">
            <v>2</v>
          </cell>
          <cell r="BQ825">
            <v>3</v>
          </cell>
          <cell r="BR825" t="str">
            <v>L 081</v>
          </cell>
          <cell r="BS825">
            <v>6</v>
          </cell>
          <cell r="BT825">
            <v>31000</v>
          </cell>
          <cell r="BU825">
            <v>186000</v>
          </cell>
        </row>
        <row r="826">
          <cell r="BM826" t="str">
            <v>K</v>
          </cell>
          <cell r="BN826" t="str">
            <v xml:space="preserve">  Sopir  Terampil</v>
          </cell>
          <cell r="BP826">
            <v>1</v>
          </cell>
          <cell r="BQ826">
            <v>3</v>
          </cell>
          <cell r="BR826" t="str">
            <v>L 091</v>
          </cell>
          <cell r="BS826">
            <v>3</v>
          </cell>
          <cell r="BT826">
            <v>27000</v>
          </cell>
          <cell r="BU826">
            <v>81000</v>
          </cell>
        </row>
        <row r="827">
          <cell r="BM827" t="str">
            <v>E</v>
          </cell>
          <cell r="BN827" t="str">
            <v xml:space="preserve">  Buruh tak Terlatih</v>
          </cell>
          <cell r="BP827">
            <v>66</v>
          </cell>
          <cell r="BQ827">
            <v>3</v>
          </cell>
          <cell r="BR827" t="str">
            <v>L 101</v>
          </cell>
          <cell r="BS827">
            <v>198</v>
          </cell>
          <cell r="BT827">
            <v>20000</v>
          </cell>
          <cell r="BU827">
            <v>3960000</v>
          </cell>
        </row>
        <row r="828">
          <cell r="BM828" t="str">
            <v>R</v>
          </cell>
          <cell r="BN828" t="str">
            <v xml:space="preserve">  Buruh Terlatih</v>
          </cell>
          <cell r="BP828">
            <v>2</v>
          </cell>
          <cell r="BQ828">
            <v>3</v>
          </cell>
          <cell r="BR828" t="str">
            <v>L 106</v>
          </cell>
          <cell r="BS828">
            <v>6</v>
          </cell>
          <cell r="BT828">
            <v>26000</v>
          </cell>
          <cell r="BU828">
            <v>156000</v>
          </cell>
        </row>
        <row r="829">
          <cell r="BM829" t="str">
            <v>J</v>
          </cell>
        </row>
        <row r="830">
          <cell r="BM830" t="str">
            <v>A</v>
          </cell>
        </row>
        <row r="832">
          <cell r="BU832" t="str">
            <v>Pekerja</v>
          </cell>
          <cell r="BV832">
            <v>4593000</v>
          </cell>
        </row>
        <row r="833">
          <cell r="BN833" t="str">
            <v>M a t e r I a l</v>
          </cell>
          <cell r="BP833" t="str">
            <v>Jumlah</v>
          </cell>
          <cell r="BQ833" t="str">
            <v>Satuan</v>
          </cell>
          <cell r="BR833" t="str">
            <v>Kode</v>
          </cell>
          <cell r="BT833" t="str">
            <v>Harga</v>
          </cell>
          <cell r="BU833" t="str">
            <v>Biaya</v>
          </cell>
          <cell r="BV833" t="str">
            <v>Sub Total</v>
          </cell>
        </row>
        <row r="834">
          <cell r="BT834" t="str">
            <v>(Rp./Unit)</v>
          </cell>
          <cell r="BU834" t="str">
            <v xml:space="preserve"> (Rp.)</v>
          </cell>
          <cell r="BV834" t="str">
            <v>(Rp.)</v>
          </cell>
        </row>
        <row r="836">
          <cell r="BM836" t="str">
            <v>M</v>
          </cell>
          <cell r="BN836" t="str">
            <v xml:space="preserve"> Batu pecah 3-5 cm</v>
          </cell>
          <cell r="BP836">
            <v>56</v>
          </cell>
          <cell r="BQ836" t="str">
            <v>m3</v>
          </cell>
          <cell r="BR836" t="str">
            <v>M 023</v>
          </cell>
          <cell r="BT836">
            <v>140500</v>
          </cell>
          <cell r="BU836">
            <v>7868000</v>
          </cell>
        </row>
        <row r="837">
          <cell r="BM837" t="str">
            <v>A</v>
          </cell>
          <cell r="BN837" t="str">
            <v xml:space="preserve"> Batu koral 2-3 cm</v>
          </cell>
          <cell r="BP837">
            <v>31</v>
          </cell>
          <cell r="BQ837" t="str">
            <v>m3</v>
          </cell>
          <cell r="BR837" t="str">
            <v>M 024</v>
          </cell>
          <cell r="BT837">
            <v>184100</v>
          </cell>
          <cell r="BU837">
            <v>5707100</v>
          </cell>
        </row>
        <row r="838">
          <cell r="BM838" t="str">
            <v>T</v>
          </cell>
          <cell r="BN838" t="str">
            <v xml:space="preserve"> Batu spli 1-2 cm</v>
          </cell>
          <cell r="BP838">
            <v>15.5</v>
          </cell>
          <cell r="BQ838" t="str">
            <v>m3</v>
          </cell>
          <cell r="BR838" t="str">
            <v>M 025</v>
          </cell>
          <cell r="BT838">
            <v>198800</v>
          </cell>
          <cell r="BU838">
            <v>3081400</v>
          </cell>
        </row>
        <row r="839">
          <cell r="BM839" t="str">
            <v>E</v>
          </cell>
          <cell r="BN839" t="str">
            <v xml:space="preserve"> Pasir beton</v>
          </cell>
          <cell r="BP839">
            <v>3.5</v>
          </cell>
          <cell r="BQ839" t="str">
            <v>m3</v>
          </cell>
          <cell r="BR839" t="str">
            <v>M 041</v>
          </cell>
          <cell r="BT839">
            <v>41700</v>
          </cell>
          <cell r="BU839">
            <v>145950</v>
          </cell>
        </row>
        <row r="840">
          <cell r="BM840" t="str">
            <v>R</v>
          </cell>
          <cell r="BN840" t="str">
            <v xml:space="preserve"> Aspal </v>
          </cell>
          <cell r="BP840">
            <v>6270</v>
          </cell>
          <cell r="BQ840" t="str">
            <v>Kg</v>
          </cell>
          <cell r="BR840" t="str">
            <v>M 061</v>
          </cell>
          <cell r="BT840">
            <v>7100</v>
          </cell>
          <cell r="BU840">
            <v>44517000</v>
          </cell>
        </row>
        <row r="841">
          <cell r="BM841" t="str">
            <v>I</v>
          </cell>
          <cell r="BN841" t="str">
            <v xml:space="preserve"> Minyak bakar </v>
          </cell>
          <cell r="BP841">
            <v>450</v>
          </cell>
          <cell r="BQ841" t="str">
            <v>Ltr</v>
          </cell>
          <cell r="BR841" t="str">
            <v>M 065</v>
          </cell>
          <cell r="BT841">
            <v>1200</v>
          </cell>
          <cell r="BU841">
            <v>540000</v>
          </cell>
        </row>
        <row r="842">
          <cell r="BM842" t="str">
            <v>A</v>
          </cell>
          <cell r="BN842" t="str">
            <v xml:space="preserve"> Alat bantu</v>
          </cell>
          <cell r="BP842">
            <v>8.1</v>
          </cell>
          <cell r="BQ842" t="str">
            <v>set</v>
          </cell>
          <cell r="BR842" t="str">
            <v>M 170</v>
          </cell>
          <cell r="BT842">
            <v>67500</v>
          </cell>
          <cell r="BU842">
            <v>546750</v>
          </cell>
        </row>
        <row r="843">
          <cell r="BM843" t="str">
            <v>L</v>
          </cell>
        </row>
        <row r="844">
          <cell r="BU844" t="str">
            <v>Material</v>
          </cell>
          <cell r="BV844">
            <v>61859450</v>
          </cell>
        </row>
        <row r="845">
          <cell r="BN845" t="str">
            <v>P e r a l a t a n</v>
          </cell>
          <cell r="BP845" t="str">
            <v>Jumlah</v>
          </cell>
          <cell r="BQ845" t="str">
            <v xml:space="preserve">Hari </v>
          </cell>
          <cell r="BR845" t="str">
            <v>Kode</v>
          </cell>
          <cell r="BS845" t="str">
            <v>Jam</v>
          </cell>
          <cell r="BT845" t="str">
            <v>Harga</v>
          </cell>
          <cell r="BU845" t="str">
            <v>Biaya</v>
          </cell>
          <cell r="BV845" t="str">
            <v>Sub Total</v>
          </cell>
        </row>
        <row r="846">
          <cell r="BP846" t="str">
            <v>Alat</v>
          </cell>
          <cell r="BQ846" t="str">
            <v>Kerja</v>
          </cell>
          <cell r="BS846" t="str">
            <v>Kerja</v>
          </cell>
          <cell r="BT846" t="str">
            <v>(Rp./jam)</v>
          </cell>
          <cell r="BU846" t="str">
            <v>(Rp.)</v>
          </cell>
          <cell r="BV846" t="str">
            <v>(Rp.)</v>
          </cell>
        </row>
        <row r="847">
          <cell r="BM847" t="str">
            <v>P</v>
          </cell>
        </row>
        <row r="848">
          <cell r="BM848" t="str">
            <v>E</v>
          </cell>
          <cell r="BN848" t="str">
            <v xml:space="preserve"> Mesin Gilas 3 roda 8-10 T</v>
          </cell>
          <cell r="BP848">
            <v>1</v>
          </cell>
          <cell r="BQ848">
            <v>3</v>
          </cell>
          <cell r="BR848" t="str">
            <v>E 080</v>
          </cell>
          <cell r="BS848">
            <v>15</v>
          </cell>
          <cell r="BT848">
            <v>52683</v>
          </cell>
          <cell r="BU848">
            <v>2370735</v>
          </cell>
        </row>
        <row r="849">
          <cell r="BM849" t="str">
            <v>R</v>
          </cell>
          <cell r="BN849" t="str">
            <v xml:space="preserve"> Sprayer aspal 200 L</v>
          </cell>
          <cell r="BP849">
            <v>1</v>
          </cell>
          <cell r="BQ849">
            <v>3</v>
          </cell>
          <cell r="BR849" t="str">
            <v>E 153</v>
          </cell>
          <cell r="BS849">
            <v>15</v>
          </cell>
          <cell r="BT849">
            <v>46383</v>
          </cell>
          <cell r="BU849">
            <v>2087235</v>
          </cell>
        </row>
        <row r="850">
          <cell r="BM850" t="str">
            <v>A</v>
          </cell>
          <cell r="BN850" t="str">
            <v xml:space="preserve"> Dump truck (3,5 T / 44 HP)</v>
          </cell>
          <cell r="BP850">
            <v>1</v>
          </cell>
          <cell r="BQ850">
            <v>3</v>
          </cell>
          <cell r="BR850" t="str">
            <v>E 221</v>
          </cell>
          <cell r="BS850">
            <v>15</v>
          </cell>
          <cell r="BT850">
            <v>74410</v>
          </cell>
          <cell r="BU850">
            <v>3348450</v>
          </cell>
        </row>
        <row r="851">
          <cell r="BM851" t="str">
            <v>L</v>
          </cell>
        </row>
        <row r="852">
          <cell r="BM852" t="str">
            <v>A</v>
          </cell>
        </row>
        <row r="853">
          <cell r="BM853" t="str">
            <v>T</v>
          </cell>
        </row>
        <row r="854">
          <cell r="BM854" t="str">
            <v>A</v>
          </cell>
        </row>
        <row r="855">
          <cell r="BM855" t="str">
            <v>N</v>
          </cell>
        </row>
        <row r="856">
          <cell r="BU856" t="str">
            <v>Peralatan</v>
          </cell>
          <cell r="BV856">
            <v>7806420</v>
          </cell>
        </row>
        <row r="857">
          <cell r="BU857" t="str">
            <v>TOTAL (Rp.)</v>
          </cell>
          <cell r="BV857">
            <v>74258870</v>
          </cell>
        </row>
        <row r="859">
          <cell r="BM859" t="str">
            <v>VOLUME</v>
          </cell>
          <cell r="BO859">
            <v>1400</v>
          </cell>
          <cell r="BP859" t="str">
            <v>M2</v>
          </cell>
          <cell r="BS859" t="str">
            <v>HARGA SATUAN Rp.</v>
          </cell>
          <cell r="BU859">
            <v>53042</v>
          </cell>
          <cell r="BV859" t="str">
            <v>Per m2</v>
          </cell>
        </row>
        <row r="864">
          <cell r="BM864" t="str">
            <v xml:space="preserve"> DIREKTORAT JENDERAL BINA MARGA</v>
          </cell>
        </row>
        <row r="865">
          <cell r="BM865" t="str">
            <v xml:space="preserve"> DIREKTORAT BINA PROGRAM JALAN</v>
          </cell>
          <cell r="BR865" t="str">
            <v>ANALISA HARGA SATUAN</v>
          </cell>
          <cell r="BV865" t="str">
            <v>K O D E</v>
          </cell>
        </row>
        <row r="866">
          <cell r="BM866" t="str">
            <v xml:space="preserve"> SUB DIT. PERENC. JALAN LOKAL &amp;</v>
          </cell>
          <cell r="BR866" t="str">
            <v>Lapis Aspal Perekat</v>
          </cell>
          <cell r="BV866" t="str">
            <v>K 619</v>
          </cell>
        </row>
        <row r="867">
          <cell r="BM867" t="str">
            <v xml:space="preserve"> KABUPATEN</v>
          </cell>
          <cell r="BR867" t="str">
            <v>( Prime Coat )</v>
          </cell>
        </row>
        <row r="868">
          <cell r="BM868" t="str">
            <v>Propinsi</v>
          </cell>
          <cell r="BO868" t="str">
            <v>Kode</v>
          </cell>
          <cell r="BP868" t="str">
            <v>Kabupaten</v>
          </cell>
          <cell r="BS868" t="str">
            <v>Kode</v>
          </cell>
          <cell r="BT868" t="str">
            <v>Disiapkan Oleh</v>
          </cell>
          <cell r="BV868" t="str">
            <v>Tanggal</v>
          </cell>
        </row>
        <row r="869">
          <cell r="BM869" t="str">
            <v>Sumatera Utara</v>
          </cell>
          <cell r="BO869">
            <v>12</v>
          </cell>
          <cell r="BP869" t="str">
            <v>Mandailing Natal</v>
          </cell>
          <cell r="BS869" t="str">
            <v>02</v>
          </cell>
          <cell r="BT869" t="str">
            <v>CV. Citra Pramatra</v>
          </cell>
          <cell r="BV869" t="str">
            <v>- Maret 2003</v>
          </cell>
        </row>
        <row r="871">
          <cell r="BM871" t="str">
            <v xml:space="preserve"> URAIAN :</v>
          </cell>
          <cell r="BR871" t="str">
            <v xml:space="preserve"> ANGGAPAN / ASUMSI</v>
          </cell>
        </row>
        <row r="872">
          <cell r="BM872" t="str">
            <v xml:space="preserve"> 1. Pekerjaan harus dilaksanakan sesuai bab 6.2 spek.</v>
          </cell>
          <cell r="BR872" t="str">
            <v xml:space="preserve"> 1. Harga bahan, prangko (siap di lokasi)</v>
          </cell>
        </row>
        <row r="873">
          <cell r="BM873" t="str">
            <v xml:space="preserve">     umum jalan kabupaten B.M Maret 1992</v>
          </cell>
          <cell r="BR873" t="str">
            <v xml:space="preserve"> 2. Perbandingan aspal dengan minyak tanah = 100 bagian aspal </v>
          </cell>
        </row>
        <row r="874">
          <cell r="BM874" t="str">
            <v xml:space="preserve"> 2. Tingkat penyemprotan 10 Km/m2 disemprot </v>
          </cell>
          <cell r="BR874" t="str">
            <v xml:space="preserve">     = 100 bagian minyak tanah berdasarkan berat</v>
          </cell>
        </row>
        <row r="875">
          <cell r="BM875" t="str">
            <v xml:space="preserve">     mempergunakan mesin penyemprot aspal</v>
          </cell>
          <cell r="BR875" t="str">
            <v xml:space="preserve"> 3. Berat jenis minyak tanah = 0,86 </v>
          </cell>
        </row>
        <row r="883">
          <cell r="BN883" t="str">
            <v>P e k e r j a</v>
          </cell>
          <cell r="BP883" t="str">
            <v>Jumlah</v>
          </cell>
          <cell r="BQ883" t="str">
            <v>Hari</v>
          </cell>
          <cell r="BR883" t="str">
            <v>Kode</v>
          </cell>
          <cell r="BS883" t="str">
            <v>Jumlah</v>
          </cell>
          <cell r="BT883" t="str">
            <v>Upah</v>
          </cell>
          <cell r="BU883" t="str">
            <v>Biaya</v>
          </cell>
          <cell r="BV883" t="str">
            <v>Sub Total</v>
          </cell>
        </row>
        <row r="884">
          <cell r="BP884" t="str">
            <v>Orang</v>
          </cell>
          <cell r="BS884" t="str">
            <v>Hr - Org</v>
          </cell>
          <cell r="BT884" t="str">
            <v>(Rp./Org/Hr)</v>
          </cell>
          <cell r="BU884" t="str">
            <v>(Rp.)</v>
          </cell>
          <cell r="BV884" t="str">
            <v>(Rp.)</v>
          </cell>
        </row>
        <row r="886">
          <cell r="BM886" t="str">
            <v>P</v>
          </cell>
          <cell r="BN886" t="str">
            <v xml:space="preserve">  Mandor</v>
          </cell>
          <cell r="BP886">
            <v>1</v>
          </cell>
          <cell r="BQ886">
            <v>1</v>
          </cell>
          <cell r="BR886" t="str">
            <v>L 061</v>
          </cell>
          <cell r="BS886">
            <v>1</v>
          </cell>
          <cell r="BT886">
            <v>35000</v>
          </cell>
          <cell r="BU886">
            <v>35000</v>
          </cell>
        </row>
        <row r="887">
          <cell r="BM887" t="str">
            <v>E</v>
          </cell>
          <cell r="BN887" t="str">
            <v xml:space="preserve">  Operator - Terlatih</v>
          </cell>
          <cell r="BP887">
            <v>1</v>
          </cell>
          <cell r="BQ887">
            <v>1</v>
          </cell>
          <cell r="BR887" t="str">
            <v>L 081</v>
          </cell>
          <cell r="BS887">
            <v>1</v>
          </cell>
          <cell r="BT887">
            <v>31000</v>
          </cell>
          <cell r="BU887">
            <v>31000</v>
          </cell>
        </row>
        <row r="888">
          <cell r="BM888" t="str">
            <v>K</v>
          </cell>
          <cell r="BN888" t="str">
            <v xml:space="preserve">  Pembantu Operator</v>
          </cell>
          <cell r="BP888">
            <v>1</v>
          </cell>
          <cell r="BQ888">
            <v>1</v>
          </cell>
          <cell r="BR888" t="str">
            <v>L 083</v>
          </cell>
          <cell r="BS888">
            <v>1</v>
          </cell>
          <cell r="BT888">
            <v>22000</v>
          </cell>
          <cell r="BU888">
            <v>22000</v>
          </cell>
        </row>
        <row r="889">
          <cell r="BM889" t="str">
            <v>E</v>
          </cell>
          <cell r="BN889" t="str">
            <v xml:space="preserve">  Buruh tak Terlatih</v>
          </cell>
          <cell r="BP889">
            <v>4</v>
          </cell>
          <cell r="BQ889">
            <v>1</v>
          </cell>
          <cell r="BR889" t="str">
            <v>L 101</v>
          </cell>
          <cell r="BS889">
            <v>4</v>
          </cell>
          <cell r="BT889">
            <v>20000</v>
          </cell>
          <cell r="BU889">
            <v>80000</v>
          </cell>
        </row>
        <row r="890">
          <cell r="BM890" t="str">
            <v>R</v>
          </cell>
        </row>
        <row r="891">
          <cell r="BM891" t="str">
            <v>J</v>
          </cell>
        </row>
        <row r="892">
          <cell r="BM892" t="str">
            <v>A</v>
          </cell>
        </row>
        <row r="894">
          <cell r="BU894" t="str">
            <v>Pekerja</v>
          </cell>
          <cell r="BV894">
            <v>168000</v>
          </cell>
        </row>
        <row r="895">
          <cell r="BN895" t="str">
            <v>M a t e r I a l</v>
          </cell>
          <cell r="BP895" t="str">
            <v>Jumlah</v>
          </cell>
          <cell r="BQ895" t="str">
            <v>Satuan</v>
          </cell>
          <cell r="BR895" t="str">
            <v>Kode</v>
          </cell>
          <cell r="BT895" t="str">
            <v>Harga</v>
          </cell>
          <cell r="BU895" t="str">
            <v>Biaya</v>
          </cell>
          <cell r="BV895" t="str">
            <v>Sub Total</v>
          </cell>
        </row>
        <row r="896">
          <cell r="BT896" t="str">
            <v>(Rp./Unit)</v>
          </cell>
          <cell r="BU896" t="str">
            <v xml:space="preserve"> (Rp.)</v>
          </cell>
          <cell r="BV896" t="str">
            <v>(Rp.)</v>
          </cell>
        </row>
        <row r="898">
          <cell r="BM898" t="str">
            <v>M</v>
          </cell>
          <cell r="BN898" t="str">
            <v xml:space="preserve"> Aspal </v>
          </cell>
          <cell r="BP898">
            <v>510</v>
          </cell>
          <cell r="BQ898" t="str">
            <v>Kg</v>
          </cell>
          <cell r="BR898" t="str">
            <v>M 061</v>
          </cell>
          <cell r="BT898">
            <v>7100</v>
          </cell>
          <cell r="BU898">
            <v>3621000</v>
          </cell>
        </row>
        <row r="899">
          <cell r="BM899" t="str">
            <v>A</v>
          </cell>
          <cell r="BN899" t="str">
            <v xml:space="preserve"> Minyak bakar </v>
          </cell>
          <cell r="BP899">
            <v>599</v>
          </cell>
          <cell r="BQ899" t="str">
            <v>Ltr</v>
          </cell>
          <cell r="BR899" t="str">
            <v>M 065</v>
          </cell>
          <cell r="BT899">
            <v>1200</v>
          </cell>
          <cell r="BU899">
            <v>718800</v>
          </cell>
        </row>
        <row r="900">
          <cell r="BM900" t="str">
            <v>T</v>
          </cell>
          <cell r="BN900" t="str">
            <v xml:space="preserve"> Alat bantu</v>
          </cell>
          <cell r="BP900">
            <v>0.16</v>
          </cell>
          <cell r="BQ900" t="str">
            <v>set</v>
          </cell>
          <cell r="BR900" t="str">
            <v>M 170</v>
          </cell>
          <cell r="BT900">
            <v>67500</v>
          </cell>
          <cell r="BU900">
            <v>10800</v>
          </cell>
        </row>
        <row r="901">
          <cell r="BM901" t="str">
            <v>E</v>
          </cell>
        </row>
        <row r="902">
          <cell r="BM902" t="str">
            <v>R</v>
          </cell>
        </row>
        <row r="903">
          <cell r="BM903" t="str">
            <v>I</v>
          </cell>
        </row>
        <row r="904">
          <cell r="BM904" t="str">
            <v>A</v>
          </cell>
        </row>
        <row r="905">
          <cell r="BM905" t="str">
            <v>L</v>
          </cell>
        </row>
        <row r="906">
          <cell r="BU906" t="str">
            <v>Material</v>
          </cell>
          <cell r="BV906">
            <v>4350600</v>
          </cell>
        </row>
        <row r="907">
          <cell r="BN907" t="str">
            <v>P e r a l a t a n</v>
          </cell>
          <cell r="BP907" t="str">
            <v>Jumlah</v>
          </cell>
          <cell r="BQ907" t="str">
            <v xml:space="preserve">Hari </v>
          </cell>
          <cell r="BR907" t="str">
            <v>Kode</v>
          </cell>
          <cell r="BS907" t="str">
            <v>Jam</v>
          </cell>
          <cell r="BT907" t="str">
            <v>Harga</v>
          </cell>
          <cell r="BU907" t="str">
            <v>Biaya</v>
          </cell>
          <cell r="BV907" t="str">
            <v>Sub Total</v>
          </cell>
        </row>
        <row r="908">
          <cell r="BP908" t="str">
            <v>Alat</v>
          </cell>
          <cell r="BQ908" t="str">
            <v>Kerja</v>
          </cell>
          <cell r="BS908" t="str">
            <v>Kerja</v>
          </cell>
          <cell r="BT908" t="str">
            <v>(Rp./jam)</v>
          </cell>
          <cell r="BU908" t="str">
            <v>(Rp.)</v>
          </cell>
          <cell r="BV908" t="str">
            <v>(Rp.)</v>
          </cell>
        </row>
        <row r="909">
          <cell r="BM909" t="str">
            <v>P</v>
          </cell>
        </row>
        <row r="910">
          <cell r="BM910" t="str">
            <v>E</v>
          </cell>
          <cell r="BN910" t="str">
            <v xml:space="preserve"> Sprayer aspal 200 L</v>
          </cell>
          <cell r="BP910">
            <v>1</v>
          </cell>
          <cell r="BQ910">
            <v>1</v>
          </cell>
          <cell r="BR910" t="str">
            <v>E 153</v>
          </cell>
          <cell r="BS910">
            <v>5</v>
          </cell>
          <cell r="BT910">
            <v>46383</v>
          </cell>
          <cell r="BU910">
            <v>231915</v>
          </cell>
        </row>
        <row r="911">
          <cell r="BM911" t="str">
            <v>R</v>
          </cell>
          <cell r="BN911" t="str">
            <v xml:space="preserve"> Compressor 210 m3/jam</v>
          </cell>
          <cell r="BP911">
            <v>1</v>
          </cell>
          <cell r="BQ911">
            <v>1</v>
          </cell>
          <cell r="BR911" t="str">
            <v>E 301</v>
          </cell>
          <cell r="BS911">
            <v>1</v>
          </cell>
          <cell r="BT911">
            <v>31846</v>
          </cell>
          <cell r="BU911">
            <v>31846</v>
          </cell>
        </row>
        <row r="912">
          <cell r="BM912" t="str">
            <v>A</v>
          </cell>
        </row>
        <row r="913">
          <cell r="BM913" t="str">
            <v>L</v>
          </cell>
        </row>
        <row r="914">
          <cell r="BM914" t="str">
            <v>A</v>
          </cell>
        </row>
        <row r="915">
          <cell r="BM915" t="str">
            <v>T</v>
          </cell>
        </row>
        <row r="916">
          <cell r="BM916" t="str">
            <v>A</v>
          </cell>
        </row>
        <row r="917">
          <cell r="BM917" t="str">
            <v>N</v>
          </cell>
        </row>
        <row r="918">
          <cell r="BU918" t="str">
            <v>Peralatan</v>
          </cell>
          <cell r="BV918">
            <v>263761</v>
          </cell>
        </row>
        <row r="919">
          <cell r="BU919" t="str">
            <v>TOTAL (Rp.)</v>
          </cell>
          <cell r="BV919">
            <v>4782361</v>
          </cell>
        </row>
        <row r="921">
          <cell r="BM921" t="str">
            <v>VOLUME</v>
          </cell>
          <cell r="BO921">
            <v>600</v>
          </cell>
          <cell r="BP921" t="str">
            <v>M2</v>
          </cell>
          <cell r="BS921" t="str">
            <v>HARGA SATUAN Rp.</v>
          </cell>
          <cell r="BU921">
            <v>7971</v>
          </cell>
          <cell r="BV921" t="str">
            <v>Per m2</v>
          </cell>
        </row>
      </sheetData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1 Durp"/>
      <sheetName val="Sampul"/>
      <sheetName val="Nolas"/>
      <sheetName val="Pasarakat Biananga"/>
      <sheetName val="ANGG"/>
    </sheetNames>
    <sheetDataSet>
      <sheetData sheetId="0">
        <row r="2">
          <cell r="B2" t="str">
            <v>DAFTAR USULAN RENCANA PROYEK KABUPATEN MANDAILING NATAL</v>
          </cell>
        </row>
        <row r="3">
          <cell r="B3" t="str">
            <v>PERHUBUNGAN DAN PENANGANAN JALAN KABUPATEN</v>
          </cell>
        </row>
        <row r="4">
          <cell r="B4" t="str">
            <v>TAHUN ANGGARAN 2002</v>
          </cell>
        </row>
        <row r="6">
          <cell r="B6" t="str">
            <v>Propinsi</v>
          </cell>
          <cell r="F6" t="str">
            <v>:</v>
          </cell>
          <cell r="G6" t="str">
            <v>Sumatera Utara  ( 12 )</v>
          </cell>
        </row>
        <row r="7">
          <cell r="B7" t="str">
            <v>Kabupaten</v>
          </cell>
          <cell r="F7" t="str">
            <v>:</v>
          </cell>
          <cell r="G7" t="str">
            <v>Mandailing Natal</v>
          </cell>
        </row>
        <row r="8">
          <cell r="B8" t="str">
            <v>Nomor Proyek</v>
          </cell>
          <cell r="F8" t="str">
            <v>:</v>
          </cell>
        </row>
        <row r="9">
          <cell r="W9" t="str">
            <v>K1- DURP</v>
          </cell>
        </row>
        <row r="12">
          <cell r="B12" t="str">
            <v>1.</v>
          </cell>
          <cell r="C12" t="str">
            <v xml:space="preserve">Nama Proyek </v>
          </cell>
          <cell r="H12" t="str">
            <v>:</v>
          </cell>
          <cell r="I12" t="str">
            <v>Peningkatan Jalan Jurusan Pasarakat - Binanga</v>
          </cell>
          <cell r="O12" t="str">
            <v>8.</v>
          </cell>
          <cell r="P12" t="str">
            <v xml:space="preserve">Rencana Pelaksanaan </v>
          </cell>
          <cell r="T12" t="str">
            <v>:</v>
          </cell>
          <cell r="U12" t="str">
            <v>A.</v>
          </cell>
          <cell r="V12" t="str">
            <v>Mulai  Tanggal   :</v>
          </cell>
        </row>
        <row r="13">
          <cell r="I13" t="str">
            <v>STA. 0+000 - 1+500</v>
          </cell>
          <cell r="U13" t="str">
            <v>B.</v>
          </cell>
          <cell r="V13" t="str">
            <v>Selesai Tanggal :</v>
          </cell>
        </row>
        <row r="14">
          <cell r="O14" t="str">
            <v>9.</v>
          </cell>
          <cell r="P14" t="str">
            <v>Pemimpin Proyek</v>
          </cell>
          <cell r="T14" t="str">
            <v>:</v>
          </cell>
          <cell r="U14" t="str">
            <v>Nama</v>
          </cell>
          <cell r="W14" t="str">
            <v>:</v>
          </cell>
          <cell r="X14" t="str">
            <v>Ir. Ahmad Samari</v>
          </cell>
        </row>
        <row r="15">
          <cell r="U15" t="str">
            <v>Pangkat</v>
          </cell>
          <cell r="W15" t="str">
            <v>:</v>
          </cell>
          <cell r="X15" t="str">
            <v>Penata (III/c)</v>
          </cell>
        </row>
        <row r="16">
          <cell r="B16" t="str">
            <v>2.</v>
          </cell>
          <cell r="C16" t="str">
            <v xml:space="preserve">Lokasi Proyek / Desa </v>
          </cell>
          <cell r="H16" t="str">
            <v>:</v>
          </cell>
          <cell r="I16" t="str">
            <v>Kecamatan Panyabungan</v>
          </cell>
          <cell r="U16" t="str">
            <v xml:space="preserve">Jabatan </v>
          </cell>
          <cell r="W16" t="str">
            <v>:</v>
          </cell>
          <cell r="X16" t="str">
            <v>Kasubdin Bina Marga</v>
          </cell>
        </row>
        <row r="17">
          <cell r="U17" t="str">
            <v>N I P</v>
          </cell>
          <cell r="W17" t="str">
            <v>:</v>
          </cell>
          <cell r="X17" t="str">
            <v>400043232</v>
          </cell>
        </row>
        <row r="18">
          <cell r="B18" t="str">
            <v>3.</v>
          </cell>
          <cell r="C18" t="str">
            <v>Tujuan Manfaat Proyek</v>
          </cell>
          <cell r="H18" t="str">
            <v>:</v>
          </cell>
          <cell r="I18" t="str">
            <v>Melancarkan hubungan lalu lintas.</v>
          </cell>
          <cell r="O18" t="str">
            <v>10.</v>
          </cell>
          <cell r="P18" t="str">
            <v xml:space="preserve">Bendaharawan Proyek </v>
          </cell>
          <cell r="T18" t="str">
            <v>:</v>
          </cell>
          <cell r="U18" t="str">
            <v>Nama</v>
          </cell>
          <cell r="W18" t="str">
            <v>:</v>
          </cell>
          <cell r="X18" t="str">
            <v xml:space="preserve">Siti Maryam </v>
          </cell>
        </row>
        <row r="19">
          <cell r="U19" t="str">
            <v>Pangkat</v>
          </cell>
          <cell r="W19" t="str">
            <v>:</v>
          </cell>
          <cell r="X19" t="str">
            <v>Pengatur Tk. I (II/d)</v>
          </cell>
        </row>
        <row r="20">
          <cell r="U20" t="str">
            <v xml:space="preserve">Jabatan </v>
          </cell>
          <cell r="W20" t="str">
            <v>:</v>
          </cell>
          <cell r="X20" t="str">
            <v xml:space="preserve">Kaur Kepeg. </v>
          </cell>
        </row>
        <row r="21">
          <cell r="B21" t="str">
            <v>4.</v>
          </cell>
          <cell r="C21" t="str">
            <v>Volume Fisik Proyek</v>
          </cell>
          <cell r="H21" t="str">
            <v>:</v>
          </cell>
          <cell r="I21" t="str">
            <v>Lapen</v>
          </cell>
          <cell r="K21" t="str">
            <v>:</v>
          </cell>
          <cell r="L21">
            <v>3543</v>
          </cell>
          <cell r="M21" t="str">
            <v>m2</v>
          </cell>
          <cell r="U21" t="str">
            <v>N I P</v>
          </cell>
          <cell r="W21" t="str">
            <v>:</v>
          </cell>
          <cell r="X21" t="str">
            <v>400030977</v>
          </cell>
        </row>
        <row r="23">
          <cell r="O23" t="str">
            <v>11.</v>
          </cell>
          <cell r="P23" t="str">
            <v xml:space="preserve">Lampiran </v>
          </cell>
          <cell r="T23" t="str">
            <v>:</v>
          </cell>
          <cell r="U23" t="str">
            <v>a.</v>
          </cell>
          <cell r="V23" t="str">
            <v>Gambar Rencana Proyek</v>
          </cell>
        </row>
        <row r="24">
          <cell r="U24" t="str">
            <v>b.</v>
          </cell>
          <cell r="V24" t="str">
            <v>Analisa Pekerjaan dan Biaya</v>
          </cell>
        </row>
        <row r="25">
          <cell r="B25" t="str">
            <v>5.</v>
          </cell>
          <cell r="C25" t="str">
            <v xml:space="preserve">Jumlah Hari Kerja / mandays </v>
          </cell>
          <cell r="H25" t="str">
            <v>:</v>
          </cell>
          <cell r="I25">
            <v>684.95592230769228</v>
          </cell>
          <cell r="J25" t="str">
            <v>HK</v>
          </cell>
          <cell r="U25" t="str">
            <v>c.</v>
          </cell>
          <cell r="V25" t="str">
            <v>Daftar Upah</v>
          </cell>
        </row>
        <row r="27">
          <cell r="B27" t="str">
            <v>6.</v>
          </cell>
          <cell r="C27" t="str">
            <v>Sektor</v>
          </cell>
          <cell r="H27" t="str">
            <v>:</v>
          </cell>
          <cell r="I27" t="str">
            <v>Perhubungan</v>
          </cell>
          <cell r="O27" t="str">
            <v>12.</v>
          </cell>
          <cell r="P27" t="str">
            <v xml:space="preserve">Cara Pelaksanaan </v>
          </cell>
          <cell r="T27" t="str">
            <v>:</v>
          </cell>
          <cell r="U27" t="str">
            <v>Dikontrakkan</v>
          </cell>
        </row>
        <row r="29">
          <cell r="C29" t="str">
            <v xml:space="preserve">JENIS PENGELUARAN </v>
          </cell>
          <cell r="H29" t="str">
            <v>:</v>
          </cell>
          <cell r="I29" t="str">
            <v>JUMLAH</v>
          </cell>
          <cell r="K29" t="str">
            <v>:</v>
          </cell>
          <cell r="L29" t="str">
            <v>%</v>
          </cell>
        </row>
        <row r="31">
          <cell r="C31" t="str">
            <v>A.</v>
          </cell>
          <cell r="D31" t="str">
            <v>Upah</v>
          </cell>
          <cell r="H31" t="str">
            <v>:</v>
          </cell>
          <cell r="I31" t="str">
            <v>Rp.</v>
          </cell>
          <cell r="J31">
            <v>17808853.98</v>
          </cell>
          <cell r="K31" t="str">
            <v>:</v>
          </cell>
          <cell r="L31">
            <v>9.8938077666666668</v>
          </cell>
          <cell r="M31" t="str">
            <v>%</v>
          </cell>
        </row>
        <row r="32">
          <cell r="C32" t="str">
            <v>B.</v>
          </cell>
          <cell r="D32" t="str">
            <v>Bahan-bahan lokal</v>
          </cell>
          <cell r="H32" t="str">
            <v>:</v>
          </cell>
          <cell r="I32" t="str">
            <v>Rp.</v>
          </cell>
          <cell r="J32">
            <v>155604709.02000001</v>
          </cell>
          <cell r="K32" t="str">
            <v>:</v>
          </cell>
          <cell r="L32">
            <v>86.447060566666678</v>
          </cell>
          <cell r="M32" t="str">
            <v>%</v>
          </cell>
        </row>
        <row r="33">
          <cell r="C33" t="str">
            <v>C.</v>
          </cell>
          <cell r="D33" t="str">
            <v>Bahan-bahan lainnya</v>
          </cell>
          <cell r="H33" t="str">
            <v>:</v>
          </cell>
          <cell r="I33" t="str">
            <v>Rp.</v>
          </cell>
          <cell r="J33">
            <v>0</v>
          </cell>
          <cell r="K33" t="str">
            <v>:</v>
          </cell>
          <cell r="L33">
            <v>0</v>
          </cell>
          <cell r="M33" t="str">
            <v>%</v>
          </cell>
          <cell r="Q33" t="str">
            <v xml:space="preserve">Panyabungan , </v>
          </cell>
        </row>
        <row r="34">
          <cell r="C34" t="str">
            <v>D.</v>
          </cell>
          <cell r="D34" t="str">
            <v>Alat-alat</v>
          </cell>
          <cell r="H34" t="str">
            <v>:</v>
          </cell>
          <cell r="I34" t="str">
            <v>Rp.</v>
          </cell>
          <cell r="J34">
            <v>6586437</v>
          </cell>
          <cell r="K34" t="str">
            <v>:</v>
          </cell>
          <cell r="L34">
            <v>3.6591316666666667</v>
          </cell>
          <cell r="M34" t="str">
            <v>%</v>
          </cell>
        </row>
        <row r="35">
          <cell r="C35" t="str">
            <v>E.</v>
          </cell>
          <cell r="D35" t="str">
            <v xml:space="preserve">Perjalanan Dinas </v>
          </cell>
          <cell r="H35" t="str">
            <v>:</v>
          </cell>
          <cell r="I35" t="str">
            <v>Rp.</v>
          </cell>
          <cell r="J35">
            <v>0</v>
          </cell>
          <cell r="K35" t="str">
            <v>:</v>
          </cell>
          <cell r="L35">
            <v>0</v>
          </cell>
          <cell r="M35" t="str">
            <v>%</v>
          </cell>
          <cell r="Q35" t="str">
            <v xml:space="preserve">KEPALA DINAS P.U. KABUPATEN </v>
          </cell>
        </row>
        <row r="36">
          <cell r="C36" t="str">
            <v>F.</v>
          </cell>
          <cell r="D36" t="str">
            <v>Administrasi Proyek</v>
          </cell>
          <cell r="H36" t="str">
            <v>:</v>
          </cell>
          <cell r="I36" t="str">
            <v>Rp.</v>
          </cell>
          <cell r="J36">
            <v>0</v>
          </cell>
          <cell r="K36" t="str">
            <v>:</v>
          </cell>
          <cell r="L36">
            <v>0</v>
          </cell>
          <cell r="M36" t="str">
            <v>%</v>
          </cell>
          <cell r="Q36" t="str">
            <v>MANDAILING NATAL</v>
          </cell>
        </row>
        <row r="38">
          <cell r="C38" t="str">
            <v xml:space="preserve">JUMLAH </v>
          </cell>
          <cell r="H38" t="str">
            <v>:</v>
          </cell>
          <cell r="I38" t="str">
            <v>Rp.</v>
          </cell>
          <cell r="J38">
            <v>180000000</v>
          </cell>
          <cell r="K38" t="str">
            <v>:</v>
          </cell>
          <cell r="L38">
            <v>100.00000000000001</v>
          </cell>
          <cell r="M38" t="str">
            <v>%</v>
          </cell>
        </row>
        <row r="40">
          <cell r="B40" t="str">
            <v>7.</v>
          </cell>
          <cell r="C40" t="str">
            <v>SUMBER PEMBIAYAAN ( DALAM RIBUAN RUPIAH )</v>
          </cell>
          <cell r="Q40" t="str">
            <v>Ir. RAJA SAHLAN NASUTION</v>
          </cell>
        </row>
        <row r="41">
          <cell r="Q41" t="str">
            <v>NIP. 400039288</v>
          </cell>
        </row>
        <row r="42">
          <cell r="C42" t="str">
            <v xml:space="preserve">SUMBER PEMBIAYAAN </v>
          </cell>
          <cell r="H42" t="str">
            <v>:</v>
          </cell>
          <cell r="I42" t="str">
            <v>JUMLAH</v>
          </cell>
          <cell r="K42" t="str">
            <v>:</v>
          </cell>
          <cell r="L42" t="str">
            <v>%</v>
          </cell>
        </row>
        <row r="44">
          <cell r="C44" t="str">
            <v>DANA DAU</v>
          </cell>
          <cell r="H44" t="str">
            <v>:</v>
          </cell>
          <cell r="J44">
            <v>180000</v>
          </cell>
          <cell r="K44" t="str">
            <v>:</v>
          </cell>
          <cell r="L44">
            <v>100</v>
          </cell>
          <cell r="M44" t="str">
            <v>%</v>
          </cell>
        </row>
        <row r="45">
          <cell r="C45" t="str">
            <v>DANA BLN      (            )</v>
          </cell>
          <cell r="H45" t="str">
            <v>:</v>
          </cell>
          <cell r="J45">
            <v>0</v>
          </cell>
          <cell r="K45" t="str">
            <v>:</v>
          </cell>
          <cell r="L45">
            <v>0</v>
          </cell>
          <cell r="M45" t="str">
            <v>%</v>
          </cell>
        </row>
        <row r="46">
          <cell r="C46" t="str">
            <v>DANA SUBSIDI TK. I</v>
          </cell>
          <cell r="H46" t="str">
            <v>:</v>
          </cell>
          <cell r="J46">
            <v>0</v>
          </cell>
          <cell r="K46" t="str">
            <v>:</v>
          </cell>
          <cell r="L46">
            <v>0</v>
          </cell>
          <cell r="M46" t="str">
            <v>%</v>
          </cell>
        </row>
        <row r="48">
          <cell r="C48" t="str">
            <v>JUMLAH</v>
          </cell>
          <cell r="H48" t="str">
            <v>:</v>
          </cell>
          <cell r="J48">
            <v>180000</v>
          </cell>
          <cell r="K48" t="str">
            <v>:</v>
          </cell>
          <cell r="L48">
            <v>100</v>
          </cell>
          <cell r="M48" t="str">
            <v>%</v>
          </cell>
        </row>
        <row r="51">
          <cell r="B51" t="str">
            <v xml:space="preserve">MENGETAHUI </v>
          </cell>
        </row>
        <row r="52">
          <cell r="B52" t="str">
            <v xml:space="preserve">BUPATI MANDAILING NATAL </v>
          </cell>
          <cell r="S52" t="str">
            <v xml:space="preserve">KEPALA BAPPEDA KABUPATEN </v>
          </cell>
        </row>
        <row r="53">
          <cell r="S53" t="str">
            <v>MANDAILING NATAL</v>
          </cell>
        </row>
        <row r="57">
          <cell r="B57" t="str">
            <v>AMRU DAULAY, SH</v>
          </cell>
          <cell r="S57" t="str">
            <v>MOHD. ASWAN HASIBUAN, SH</v>
          </cell>
        </row>
        <row r="58">
          <cell r="S58" t="str">
            <v>NIP. 400033366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ta Proyek"/>
      <sheetName val="Informasi Umum"/>
      <sheetName val="Kuant dan Harga"/>
      <sheetName val="Satuan Upah"/>
      <sheetName val="Satuan Material"/>
      <sheetName val="Harga Material"/>
      <sheetName val="Daftar Harga Alat APBD"/>
      <sheetName val="ANB I"/>
      <sheetName val="Anls G"/>
      <sheetName val="Schedule"/>
      <sheetName val="Daftar Subkont"/>
      <sheetName val="Metode Pelaksanaan"/>
      <sheetName val="Daftar Personil"/>
      <sheetName val="Daftar Peralatan"/>
      <sheetName val="Lamp-Lamp"/>
    </sheetNames>
    <sheetDataSet>
      <sheetData sheetId="0"/>
      <sheetData sheetId="1" refreshError="1">
        <row r="1">
          <cell r="A1" t="str">
            <v>INFORMASI  UMUM</v>
          </cell>
        </row>
        <row r="2">
          <cell r="A2" t="str">
            <v/>
          </cell>
        </row>
        <row r="4">
          <cell r="A4" t="str">
            <v>No.</v>
          </cell>
          <cell r="C4" t="str">
            <v>U R A I A N</v>
          </cell>
          <cell r="F4" t="str">
            <v>I N F O R M A S I</v>
          </cell>
        </row>
        <row r="7">
          <cell r="A7">
            <v>1</v>
          </cell>
          <cell r="C7" t="str">
            <v>Program</v>
          </cell>
          <cell r="F7" t="str">
            <v>:</v>
          </cell>
          <cell r="G7" t="str">
            <v>PEMBANGUNAN JALAN DAN JEMBATAN</v>
          </cell>
        </row>
        <row r="9">
          <cell r="A9">
            <v>2</v>
          </cell>
          <cell r="C9" t="str">
            <v>Nama Kegiatan</v>
          </cell>
          <cell r="F9" t="str">
            <v>:</v>
          </cell>
          <cell r="G9" t="str">
            <v>PENINGKATAN JALAN KELILING HUTA SIANTAR DENGAN HOTMIX, LEBAR 4 M SEPANJANG 619 M, DAN LEBAR 3M SEPANJANG 889 M DARI STA. 0+000 S/D 1 + 508</v>
          </cell>
        </row>
        <row r="12">
          <cell r="A12">
            <v>3</v>
          </cell>
          <cell r="C12" t="str">
            <v>Propinsi / Kabupaten / Kotamadya</v>
          </cell>
          <cell r="F12" t="str">
            <v>:</v>
          </cell>
          <cell r="G12" t="str">
            <v>SUMATERA UTARA / MANDAILING NATAL</v>
          </cell>
        </row>
        <row r="15">
          <cell r="A15">
            <v>4</v>
          </cell>
          <cell r="C15" t="str">
            <v>Lokasi pekerjaan</v>
          </cell>
          <cell r="G15" t="str">
            <v>KECAMATAN PANYABUNGAN</v>
          </cell>
        </row>
        <row r="16">
          <cell r="A16">
            <v>5</v>
          </cell>
          <cell r="C16" t="str">
            <v>Kondisi jalan lama</v>
          </cell>
        </row>
        <row r="17">
          <cell r="A17">
            <v>6</v>
          </cell>
          <cell r="C17" t="str">
            <v>Panjang efektif</v>
          </cell>
          <cell r="D17" t="str">
            <v>( lihat sketsa di bawah )</v>
          </cell>
          <cell r="H17">
            <v>1.5</v>
          </cell>
          <cell r="I17" t="str">
            <v>Kilometer  ( Leff  = b )</v>
          </cell>
        </row>
        <row r="18">
          <cell r="A18">
            <v>7</v>
          </cell>
          <cell r="C18" t="str">
            <v>Jangka waktu pelaksanaan pekerjaan</v>
          </cell>
          <cell r="H18">
            <v>120</v>
          </cell>
          <cell r="I18" t="str">
            <v xml:space="preserve"> hari kalender</v>
          </cell>
        </row>
        <row r="19">
          <cell r="G19" t="str">
            <v>Atau :</v>
          </cell>
          <cell r="H19">
            <v>4</v>
          </cell>
          <cell r="I19" t="str">
            <v xml:space="preserve"> bulan</v>
          </cell>
        </row>
        <row r="22">
          <cell r="A22" t="str">
            <v>A</v>
          </cell>
          <cell r="C22" t="str">
            <v>Jarak Quarry Ke  (Base Camp)</v>
          </cell>
          <cell r="G22" t="str">
            <v>L1 =</v>
          </cell>
          <cell r="H22">
            <v>2</v>
          </cell>
          <cell r="J22" t="str">
            <v>Km</v>
          </cell>
        </row>
        <row r="23">
          <cell r="A23" t="str">
            <v>B</v>
          </cell>
          <cell r="C23" t="str">
            <v>Jarak Base Camp Ke  (Awal Proyek)</v>
          </cell>
          <cell r="H23">
            <v>5</v>
          </cell>
          <cell r="J23" t="str">
            <v>Km</v>
          </cell>
        </row>
        <row r="24">
          <cell r="A24" t="str">
            <v>C</v>
          </cell>
          <cell r="C24" t="str">
            <v>Jarak Dari Awal Proyek S/d Ujung Proyek</v>
          </cell>
          <cell r="H24">
            <v>1.5</v>
          </cell>
          <cell r="J24" t="str">
            <v>Km</v>
          </cell>
        </row>
        <row r="25">
          <cell r="A25" t="str">
            <v>D</v>
          </cell>
          <cell r="C25" t="str">
            <v>Jarak Quarry  ke lokasi pekerjaan  (L1+ a + b/2)</v>
          </cell>
          <cell r="H25">
            <v>7.75</v>
          </cell>
          <cell r="J25" t="str">
            <v>Km</v>
          </cell>
        </row>
        <row r="26">
          <cell r="A26" t="str">
            <v>E</v>
          </cell>
          <cell r="C26" t="str">
            <v>Jarak Base Camp ke lokasi pekerjaan  (a + b/2)</v>
          </cell>
          <cell r="H26">
            <v>5.75</v>
          </cell>
          <cell r="J26" t="str">
            <v>Km</v>
          </cell>
        </row>
        <row r="30">
          <cell r="C30" t="str">
            <v xml:space="preserve">                          A</v>
          </cell>
          <cell r="E30" t="str">
            <v>a</v>
          </cell>
          <cell r="I30" t="str">
            <v>B</v>
          </cell>
          <cell r="J30" t="str">
            <v>b</v>
          </cell>
          <cell r="K30" t="str">
            <v>C</v>
          </cell>
        </row>
        <row r="32">
          <cell r="C32" t="str">
            <v>Quarry</v>
          </cell>
          <cell r="E32">
            <v>7.75</v>
          </cell>
          <cell r="J32">
            <v>1.5</v>
          </cell>
        </row>
        <row r="39">
          <cell r="A39" t="str">
            <v>12.</v>
          </cell>
          <cell r="C39" t="str">
            <v>Jam kerja efektif dalam 1 hari</v>
          </cell>
          <cell r="H39">
            <v>7</v>
          </cell>
          <cell r="I39" t="str">
            <v xml:space="preserve"> jam</v>
          </cell>
        </row>
        <row r="40">
          <cell r="A40" t="str">
            <v>13.</v>
          </cell>
          <cell r="C40" t="str">
            <v>Asuransi, Pajak, dsb. untuk Peralatan</v>
          </cell>
          <cell r="H40">
            <v>2E-3</v>
          </cell>
          <cell r="I40" t="str">
            <v xml:space="preserve"> x  Harga Pokok Alat</v>
          </cell>
        </row>
        <row r="41">
          <cell r="A41" t="str">
            <v>14.</v>
          </cell>
          <cell r="C41" t="str">
            <v>Tingkat Suku Bunga Investasi Alat</v>
          </cell>
          <cell r="H41">
            <v>20</v>
          </cell>
          <cell r="I41" t="str">
            <v xml:space="preserve"> %</v>
          </cell>
        </row>
        <row r="42">
          <cell r="A42" t="str">
            <v>15.</v>
          </cell>
          <cell r="C42" t="str">
            <v>Biaya Umum dan Keuntungan</v>
          </cell>
          <cell r="H42">
            <v>10</v>
          </cell>
          <cell r="I42" t="str">
            <v xml:space="preserve"> % x Biaya Langsung</v>
          </cell>
        </row>
        <row r="45">
          <cell r="A45" t="str">
            <v>16.</v>
          </cell>
          <cell r="C45" t="str">
            <v>METHODE PELAKSANAAN</v>
          </cell>
        </row>
        <row r="46">
          <cell r="A46" t="str">
            <v>a.</v>
          </cell>
        </row>
        <row r="47">
          <cell r="A47" t="str">
            <v>b.</v>
          </cell>
        </row>
        <row r="49">
          <cell r="A49" t="str">
            <v>c.</v>
          </cell>
        </row>
        <row r="51">
          <cell r="A51" t="str">
            <v>d.</v>
          </cell>
        </row>
        <row r="53">
          <cell r="A53" t="str">
            <v>e.</v>
          </cell>
        </row>
        <row r="54">
          <cell r="A54">
            <v>17</v>
          </cell>
          <cell r="C54" t="str">
            <v>CATATAN :</v>
          </cell>
        </row>
        <row r="55">
          <cell r="C55" t="str">
            <v xml:space="preserve"> - Asumsi Harga dasar Peralatan Kepmen 1991 dengan penyesuaian untuk tahun 2002</v>
          </cell>
        </row>
        <row r="58">
          <cell r="A58">
            <v>18</v>
          </cell>
          <cell r="C58" t="str">
            <v xml:space="preserve">Lokasi Quarry  :  </v>
          </cell>
          <cell r="D58" t="str">
            <v>Sungai  Aek Pohon</v>
          </cell>
          <cell r="H58" t="str">
            <v>Periksa lampiran.</v>
          </cell>
        </row>
      </sheetData>
      <sheetData sheetId="2" refreshError="1">
        <row r="6">
          <cell r="D6" t="str">
            <v>PEMBANGUNAN JALAN DAN JEMBATAN</v>
          </cell>
        </row>
        <row r="10">
          <cell r="D10" t="str">
            <v>DAU</v>
          </cell>
        </row>
        <row r="12">
          <cell r="D12" t="str">
            <v>KECAMATAN PANYABUNGAN</v>
          </cell>
        </row>
        <row r="48">
          <cell r="I48" t="str">
            <v>Panyabungan, 02 Juli 2007</v>
          </cell>
        </row>
        <row r="50">
          <cell r="I50" t="str">
            <v>CV. SURYA NATAMA CONTRACKTOR</v>
          </cell>
        </row>
        <row r="56">
          <cell r="B56" t="str">
            <v>HUDDIN SULHANI SIREGAR</v>
          </cell>
          <cell r="I56" t="str">
            <v>SITI  AISYAH</v>
          </cell>
        </row>
        <row r="57">
          <cell r="B57" t="str">
            <v>Direktur</v>
          </cell>
          <cell r="I57" t="str">
            <v>Staf Teknik</v>
          </cell>
        </row>
        <row r="222">
          <cell r="Q222" t="str">
            <v>BIDANG INFRASTRUKTUR</v>
          </cell>
        </row>
        <row r="223">
          <cell r="D223" t="str">
            <v>PENINGKATAN JALAN KELILING HUTA SIANTAR DENGAN HOTMIX, LEBAR 4 M SEPANJANG 619 M, DAN LEBAR 3M SEPANJANG 889 M DARI STA. 0+000 S/D 1 + 508</v>
          </cell>
        </row>
      </sheetData>
      <sheetData sheetId="3" refreshError="1">
        <row r="15">
          <cell r="G15">
            <v>51000</v>
          </cell>
        </row>
        <row r="17">
          <cell r="G17">
            <v>56000</v>
          </cell>
        </row>
        <row r="19">
          <cell r="G19">
            <v>55000</v>
          </cell>
        </row>
        <row r="21">
          <cell r="G21">
            <v>50000</v>
          </cell>
        </row>
        <row r="23">
          <cell r="G23">
            <v>48000</v>
          </cell>
        </row>
        <row r="25">
          <cell r="G25">
            <v>42000</v>
          </cell>
        </row>
      </sheetData>
      <sheetData sheetId="4"/>
      <sheetData sheetId="5"/>
      <sheetData sheetId="6"/>
      <sheetData sheetId="7" refreshError="1">
        <row r="57">
          <cell r="N57">
            <v>5606</v>
          </cell>
        </row>
        <row r="672">
          <cell r="N672">
            <v>504837.9396694593</v>
          </cell>
        </row>
        <row r="840">
          <cell r="N840">
            <v>439209.6632530776</v>
          </cell>
        </row>
        <row r="920">
          <cell r="O920">
            <v>7718.1265257269933</v>
          </cell>
        </row>
        <row r="1237">
          <cell r="N1237">
            <v>459710.70678044151</v>
          </cell>
        </row>
        <row r="1650">
          <cell r="N1650">
            <v>72136.361155842184</v>
          </cell>
        </row>
        <row r="3061">
          <cell r="N3061">
            <v>907997.19922687218</v>
          </cell>
        </row>
      </sheetData>
      <sheetData sheetId="8" refreshError="1">
        <row r="10">
          <cell r="M10">
            <v>37777.222477895462</v>
          </cell>
        </row>
        <row r="27">
          <cell r="M27">
            <v>118707.23425953797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Nolas"/>
      <sheetName val="K1 Durp"/>
      <sheetName val="PHM"/>
      <sheetName val="HBU"/>
      <sheetName val="ANALISA"/>
      <sheetName val="AN-K"/>
      <sheetName val="VOLUME"/>
      <sheetName val="RAB"/>
      <sheetName val="RINC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BATAHAN"/>
      <sheetName val="RINGKAS"/>
      <sheetName val="Surat"/>
      <sheetName val="SCHE"/>
      <sheetName val="SCHE (2)"/>
    </sheetNames>
    <sheetDataSet>
      <sheetData sheetId="0">
        <row r="1792">
          <cell r="A1792" t="str">
            <v>Bangun Purba - Sibanggor Jae</v>
          </cell>
        </row>
        <row r="1793">
          <cell r="A1793" t="str">
            <v>DIREKTORAT JENDERAL BINA MARGA</v>
          </cell>
        </row>
        <row r="1794">
          <cell r="A1794" t="str">
            <v>DIREKTORAT BINA PROGRAM JALAN</v>
          </cell>
          <cell r="G1794" t="str">
            <v>ANALISA  HARGA  SATUAN</v>
          </cell>
          <cell r="K1794" t="str">
            <v>K O D E</v>
          </cell>
        </row>
        <row r="1795">
          <cell r="A1795" t="str">
            <v>SUB DIT. PERENC. JALAN LOKAL &amp;</v>
          </cell>
          <cell r="G1795" t="str">
            <v xml:space="preserve">Lapis Aspal Pelekat </v>
          </cell>
          <cell r="K1795" t="str">
            <v>K 620</v>
          </cell>
        </row>
        <row r="1796">
          <cell r="A1796" t="str">
            <v>KABUPATEN</v>
          </cell>
          <cell r="G1796" t="str">
            <v>( TAEC COAT )</v>
          </cell>
        </row>
        <row r="1797">
          <cell r="A1797" t="str">
            <v>Propinsi</v>
          </cell>
          <cell r="D1797" t="str">
            <v>Kode</v>
          </cell>
          <cell r="E1797" t="str">
            <v>Kabupaten</v>
          </cell>
          <cell r="H1797" t="str">
            <v>Kode</v>
          </cell>
          <cell r="I1797" t="str">
            <v>Disiapkan  Oleh</v>
          </cell>
          <cell r="K1797" t="str">
            <v>Tanggal</v>
          </cell>
        </row>
        <row r="1798">
          <cell r="A1798" t="str">
            <v>Sumatera Utara</v>
          </cell>
          <cell r="D1798" t="str">
            <v>12</v>
          </cell>
          <cell r="E1798" t="str">
            <v>Mandailing Natal</v>
          </cell>
        </row>
        <row r="1800">
          <cell r="A1800" t="str">
            <v xml:space="preserve"> URAIAN  :</v>
          </cell>
          <cell r="G1800" t="str">
            <v xml:space="preserve"> ANGGAPAN / ASUMSI  :</v>
          </cell>
        </row>
        <row r="1801">
          <cell r="A1801" t="str">
            <v xml:space="preserve"> 1. Pekerjaan harus dilaksanakan sesuai Bab 6.2 Spek. Umum</v>
          </cell>
          <cell r="G1801" t="str">
            <v xml:space="preserve"> 1. Harga bahan, prongko ( siap dilokasi )</v>
          </cell>
        </row>
        <row r="1802">
          <cell r="A1802" t="str">
            <v xml:space="preserve">     Jalan Kabupaten B.M Maret 92.</v>
          </cell>
          <cell r="G1802" t="str">
            <v xml:space="preserve"> 2. Perbandingan aspal dengan minyak tanah = 100 bagian aspal </v>
          </cell>
        </row>
        <row r="1803">
          <cell r="A1803" t="str">
            <v xml:space="preserve"> 2. Tingkat penyemprotan 10 km/m2 disemprot mempergunakan</v>
          </cell>
          <cell r="G1803" t="str">
            <v xml:space="preserve">     100 bagian minyak tanah berdasarkan berat.</v>
          </cell>
        </row>
        <row r="1804">
          <cell r="A1804" t="str">
            <v xml:space="preserve">      mesin penyemprot aspal.</v>
          </cell>
          <cell r="G1804" t="str">
            <v xml:space="preserve"> 3. Berat jenis minyak tanah = 0,86</v>
          </cell>
        </row>
        <row r="1812">
          <cell r="B1812" t="str">
            <v>P e k e r j a</v>
          </cell>
          <cell r="E1812" t="str">
            <v>Jumlah</v>
          </cell>
          <cell r="F1812" t="str">
            <v>Hari</v>
          </cell>
          <cell r="G1812" t="str">
            <v>Kode</v>
          </cell>
          <cell r="H1812" t="str">
            <v>Jumlah</v>
          </cell>
          <cell r="I1812" t="str">
            <v>Upah</v>
          </cell>
          <cell r="J1812" t="str">
            <v>Biaya</v>
          </cell>
          <cell r="K1812" t="str">
            <v>Sub Total</v>
          </cell>
        </row>
        <row r="1813">
          <cell r="E1813" t="str">
            <v>Orang</v>
          </cell>
          <cell r="H1813" t="str">
            <v>Hr-Org</v>
          </cell>
          <cell r="I1813" t="str">
            <v>(Rp./Org/Hr)</v>
          </cell>
          <cell r="J1813" t="str">
            <v>(Rp.)</v>
          </cell>
          <cell r="K1813" t="str">
            <v>(Rp.)</v>
          </cell>
        </row>
        <row r="1815">
          <cell r="A1815" t="str">
            <v>P</v>
          </cell>
          <cell r="B1815" t="str">
            <v xml:space="preserve"> Mandor</v>
          </cell>
          <cell r="E1815">
            <v>1</v>
          </cell>
          <cell r="F1815">
            <v>50</v>
          </cell>
          <cell r="G1815" t="str">
            <v>L 061</v>
          </cell>
          <cell r="H1815">
            <v>50</v>
          </cell>
          <cell r="I1815">
            <v>35000</v>
          </cell>
          <cell r="J1815">
            <v>1750000</v>
          </cell>
        </row>
        <row r="1816">
          <cell r="A1816" t="str">
            <v>E</v>
          </cell>
          <cell r="B1816" t="str">
            <v xml:space="preserve"> Operator terampil</v>
          </cell>
          <cell r="E1816">
            <v>1</v>
          </cell>
          <cell r="F1816">
            <v>1</v>
          </cell>
          <cell r="G1816" t="str">
            <v>L 081</v>
          </cell>
          <cell r="H1816">
            <v>1</v>
          </cell>
          <cell r="I1816">
            <v>31000</v>
          </cell>
          <cell r="J1816">
            <v>31000</v>
          </cell>
        </row>
        <row r="1817">
          <cell r="A1817" t="str">
            <v>K</v>
          </cell>
          <cell r="B1817" t="str">
            <v xml:space="preserve"> Pembantu Operator </v>
          </cell>
          <cell r="E1817">
            <v>1</v>
          </cell>
          <cell r="F1817">
            <v>1</v>
          </cell>
          <cell r="G1817" t="str">
            <v>L 083</v>
          </cell>
          <cell r="H1817">
            <v>1</v>
          </cell>
          <cell r="I1817">
            <v>22000</v>
          </cell>
          <cell r="J1817">
            <v>22000</v>
          </cell>
        </row>
        <row r="1818">
          <cell r="A1818" t="str">
            <v>E</v>
          </cell>
          <cell r="B1818" t="str">
            <v xml:space="preserve"> Buruh tak terampil</v>
          </cell>
          <cell r="E1818">
            <v>2</v>
          </cell>
          <cell r="F1818">
            <v>1</v>
          </cell>
          <cell r="G1818" t="str">
            <v>L 101</v>
          </cell>
          <cell r="H1818">
            <v>2</v>
          </cell>
          <cell r="I1818">
            <v>20000</v>
          </cell>
          <cell r="J1818">
            <v>40000</v>
          </cell>
        </row>
        <row r="1819">
          <cell r="A1819" t="str">
            <v>R</v>
          </cell>
        </row>
        <row r="1820">
          <cell r="A1820" t="str">
            <v>J</v>
          </cell>
        </row>
        <row r="1821">
          <cell r="A1821" t="str">
            <v>A</v>
          </cell>
        </row>
        <row r="1824">
          <cell r="J1824" t="str">
            <v>Pekerja</v>
          </cell>
          <cell r="K1824">
            <v>1843000</v>
          </cell>
        </row>
        <row r="1825">
          <cell r="B1825" t="str">
            <v>M a t e r i a l</v>
          </cell>
          <cell r="E1825" t="str">
            <v>Jumlah</v>
          </cell>
          <cell r="F1825" t="str">
            <v>Satuan</v>
          </cell>
          <cell r="G1825" t="str">
            <v>Kode</v>
          </cell>
          <cell r="H1825" t="str">
            <v>Total</v>
          </cell>
          <cell r="I1825" t="str">
            <v>Harga</v>
          </cell>
          <cell r="J1825" t="str">
            <v>Biaya</v>
          </cell>
          <cell r="K1825" t="str">
            <v>Sub Total</v>
          </cell>
        </row>
        <row r="1826">
          <cell r="H1826" t="str">
            <v>Volume</v>
          </cell>
          <cell r="I1826" t="str">
            <v>(Rp./Unit)</v>
          </cell>
          <cell r="J1826" t="str">
            <v>(Rp.)</v>
          </cell>
          <cell r="K1826" t="str">
            <v>(Rp.)</v>
          </cell>
        </row>
        <row r="1828">
          <cell r="A1828" t="str">
            <v>M</v>
          </cell>
          <cell r="B1828" t="str">
            <v xml:space="preserve"> Aspal</v>
          </cell>
          <cell r="F1828" t="str">
            <v>kg</v>
          </cell>
          <cell r="G1828" t="str">
            <v>M 061</v>
          </cell>
          <cell r="H1828">
            <v>98</v>
          </cell>
          <cell r="I1828">
            <v>7100</v>
          </cell>
          <cell r="J1828">
            <v>695800</v>
          </cell>
        </row>
        <row r="1829">
          <cell r="A1829" t="str">
            <v>A</v>
          </cell>
          <cell r="B1829" t="str">
            <v xml:space="preserve"> Minyak pengencer</v>
          </cell>
          <cell r="F1829" t="str">
            <v>ltr</v>
          </cell>
          <cell r="G1829" t="str">
            <v>M 065</v>
          </cell>
          <cell r="H1829">
            <v>29</v>
          </cell>
          <cell r="I1829">
            <v>550</v>
          </cell>
          <cell r="J1829">
            <v>15950</v>
          </cell>
        </row>
        <row r="1830">
          <cell r="A1830" t="str">
            <v>T</v>
          </cell>
          <cell r="B1830" t="str">
            <v xml:space="preserve"> Alat  bantu ( set 3 @ alat )</v>
          </cell>
          <cell r="F1830" t="str">
            <v>set</v>
          </cell>
          <cell r="G1830" t="str">
            <v>M 170</v>
          </cell>
          <cell r="H1830">
            <v>0.08</v>
          </cell>
          <cell r="I1830">
            <v>67500</v>
          </cell>
          <cell r="J1830">
            <v>5400</v>
          </cell>
        </row>
        <row r="1831">
          <cell r="A1831" t="str">
            <v>E</v>
          </cell>
        </row>
        <row r="1832">
          <cell r="A1832" t="str">
            <v>R</v>
          </cell>
        </row>
        <row r="1833">
          <cell r="A1833" t="str">
            <v>I</v>
          </cell>
        </row>
        <row r="1834">
          <cell r="A1834" t="str">
            <v>A</v>
          </cell>
        </row>
        <row r="1835">
          <cell r="A1835" t="str">
            <v>L</v>
          </cell>
        </row>
        <row r="1836">
          <cell r="J1836" t="str">
            <v>Material</v>
          </cell>
          <cell r="K1836">
            <v>717150</v>
          </cell>
        </row>
        <row r="1837">
          <cell r="B1837" t="str">
            <v>P e r a l a t a n</v>
          </cell>
          <cell r="E1837" t="str">
            <v>Jumlah</v>
          </cell>
          <cell r="F1837" t="str">
            <v>Hari</v>
          </cell>
          <cell r="G1837" t="str">
            <v>Kode</v>
          </cell>
          <cell r="H1837" t="str">
            <v>Jam</v>
          </cell>
          <cell r="I1837" t="str">
            <v>Harga</v>
          </cell>
          <cell r="J1837" t="str">
            <v>Biaya</v>
          </cell>
          <cell r="K1837" t="str">
            <v>Sub Total</v>
          </cell>
        </row>
        <row r="1838">
          <cell r="E1838" t="str">
            <v>Alat</v>
          </cell>
          <cell r="F1838" t="str">
            <v>Kerja</v>
          </cell>
          <cell r="H1838" t="str">
            <v>Kerja</v>
          </cell>
          <cell r="I1838" t="str">
            <v>(Rp./Jam)</v>
          </cell>
          <cell r="J1838" t="str">
            <v>(Rp.)</v>
          </cell>
          <cell r="K1838" t="str">
            <v>(Rp.)</v>
          </cell>
        </row>
        <row r="1839">
          <cell r="A1839" t="str">
            <v>P</v>
          </cell>
        </row>
        <row r="1840">
          <cell r="A1840" t="str">
            <v>E</v>
          </cell>
        </row>
        <row r="1841">
          <cell r="A1841" t="str">
            <v>R</v>
          </cell>
          <cell r="B1841" t="str">
            <v xml:space="preserve"> Mesin penyemprot aspal</v>
          </cell>
          <cell r="E1841">
            <v>1</v>
          </cell>
          <cell r="F1841">
            <v>1</v>
          </cell>
          <cell r="G1841" t="str">
            <v xml:space="preserve"> E 153</v>
          </cell>
          <cell r="H1841">
            <v>3</v>
          </cell>
          <cell r="I1841">
            <v>46384</v>
          </cell>
          <cell r="J1841">
            <v>139152</v>
          </cell>
        </row>
        <row r="1842">
          <cell r="A1842" t="str">
            <v>A</v>
          </cell>
          <cell r="B1842" t="str">
            <v xml:space="preserve"> Compresor </v>
          </cell>
          <cell r="E1842">
            <v>1</v>
          </cell>
          <cell r="F1842">
            <v>1</v>
          </cell>
          <cell r="G1842" t="str">
            <v xml:space="preserve"> E 301</v>
          </cell>
          <cell r="H1842">
            <v>1</v>
          </cell>
          <cell r="I1842">
            <v>31846</v>
          </cell>
          <cell r="J1842">
            <v>31846</v>
          </cell>
        </row>
        <row r="1843">
          <cell r="A1843" t="str">
            <v>L</v>
          </cell>
        </row>
        <row r="1844">
          <cell r="A1844" t="str">
            <v>A</v>
          </cell>
        </row>
        <row r="1845">
          <cell r="A1845" t="str">
            <v>T</v>
          </cell>
        </row>
        <row r="1846">
          <cell r="A1846" t="str">
            <v>A</v>
          </cell>
        </row>
        <row r="1847">
          <cell r="A1847" t="str">
            <v>N</v>
          </cell>
        </row>
        <row r="1848">
          <cell r="J1848" t="str">
            <v>Peralatan</v>
          </cell>
          <cell r="K1848">
            <v>170998</v>
          </cell>
        </row>
        <row r="1849">
          <cell r="J1849" t="str">
            <v>TOTAL (Rp.)</v>
          </cell>
          <cell r="K1849">
            <v>2731148</v>
          </cell>
        </row>
        <row r="1851">
          <cell r="B1851" t="str">
            <v>VOLUME  :</v>
          </cell>
          <cell r="D1851">
            <v>600</v>
          </cell>
          <cell r="E1851" t="str">
            <v>m2</v>
          </cell>
          <cell r="H1851" t="str">
            <v>HARGA SATUAN  Rp.</v>
          </cell>
          <cell r="J1851">
            <v>4552</v>
          </cell>
          <cell r="K1851" t="str">
            <v xml:space="preserve">    Per  m2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GANDUL 02"/>
      <sheetName val="mekarjaya 19"/>
      <sheetName val="SUKMAJAYA 02"/>
      <sheetName val="MEKARJAYA 09"/>
      <sheetName val="GROGOL 02"/>
      <sheetName val="mekarjaya 17"/>
      <sheetName val="BHAKTI JAYA 06"/>
      <sheetName val="KALIMULYA 03"/>
      <sheetName val="SUKMAJAYA 01"/>
      <sheetName val="MEKARJAYA 24"/>
      <sheetName val="MEKARJAYA 30"/>
      <sheetName val="ABADI JAYA 02"/>
      <sheetName val="SUKAMAJU 05"/>
      <sheetName val="MEKARJAYA 01"/>
      <sheetName val="MEKARJAYA 04"/>
      <sheetName val="mekarjaya 07"/>
      <sheetName val="MEKJAYA 18"/>
      <sheetName val="bhatijaya 01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04">
          <cell r="G304">
            <v>439970</v>
          </cell>
        </row>
        <row r="318">
          <cell r="G318">
            <v>623980</v>
          </cell>
        </row>
        <row r="332">
          <cell r="G332">
            <v>665650</v>
          </cell>
        </row>
        <row r="395">
          <cell r="G395">
            <v>10820</v>
          </cell>
        </row>
        <row r="408">
          <cell r="G408">
            <v>11690</v>
          </cell>
        </row>
        <row r="508">
          <cell r="G508">
            <v>39200</v>
          </cell>
        </row>
        <row r="536">
          <cell r="G536">
            <v>79300</v>
          </cell>
        </row>
        <row r="563">
          <cell r="G563">
            <v>161510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 input"/>
      <sheetName val="Pre Opex"/>
      <sheetName val="WD"/>
      <sheetName val="Assumptions"/>
      <sheetName val="Revenue"/>
      <sheetName val="Opex"/>
      <sheetName val="Rent"/>
      <sheetName val="Working capital"/>
      <sheetName val="Capex"/>
      <sheetName val="G"/>
      <sheetName val="Start-up financing"/>
      <sheetName val="Local borrowing"/>
      <sheetName val="Financial Statements"/>
      <sheetName val="FS in kUSD"/>
      <sheetName val="Ratios"/>
      <sheetName val="Ratios LDE"/>
      <sheetName val="Summary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 input"/>
      <sheetName val="Pre Opex"/>
      <sheetName val="WD"/>
      <sheetName val="Assumptions"/>
      <sheetName val="Revenue"/>
      <sheetName val="Opex"/>
      <sheetName val="Rent"/>
      <sheetName val="Working capital"/>
      <sheetName val="Capex"/>
      <sheetName val="G"/>
      <sheetName val="Start-up financing"/>
      <sheetName val="Local borrowing"/>
      <sheetName val="Financial Statements"/>
      <sheetName val="FS in kUSD"/>
      <sheetName val="Ratios"/>
      <sheetName val="Ratios LDE"/>
      <sheetName val="Summary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msoma"/>
      <sheetName val="RINGKAS"/>
      <sheetName val="Surat"/>
      <sheetName val="SCHE"/>
      <sheetName val="SCHE (2)"/>
    </sheetNames>
    <sheetDataSet>
      <sheetData sheetId="0">
        <row r="1">
          <cell r="S1" t="str">
            <v xml:space="preserve">DAFTAR ANALISA PERALATAN </v>
          </cell>
        </row>
        <row r="3">
          <cell r="U3" t="str">
            <v>ALAT</v>
          </cell>
          <cell r="V3" t="str">
            <v>KUDA</v>
          </cell>
          <cell r="AA3" t="str">
            <v>BIAYA  PEMILIKAN  (Rp)</v>
          </cell>
          <cell r="AC3" t="str">
            <v>BIAYA  OPERASIONAL  (Rp)</v>
          </cell>
          <cell r="AG3" t="str">
            <v>TOTAL  BIAYA</v>
          </cell>
        </row>
        <row r="4">
          <cell r="W4" t="str">
            <v>HARGA</v>
          </cell>
          <cell r="X4" t="str">
            <v>UMUR</v>
          </cell>
          <cell r="Y4" t="str">
            <v>N I L A I</v>
          </cell>
          <cell r="Z4" t="str">
            <v>JAM</v>
          </cell>
        </row>
        <row r="5">
          <cell r="S5" t="str">
            <v>NO</v>
          </cell>
          <cell r="T5" t="str">
            <v>P E R A L A T A N</v>
          </cell>
          <cell r="Y5" t="str">
            <v>C R F</v>
          </cell>
          <cell r="Z5" t="str">
            <v>KERJA</v>
          </cell>
          <cell r="AA5" t="str">
            <v>DEPRE-</v>
          </cell>
          <cell r="AB5" t="str">
            <v>ASURANSI</v>
          </cell>
          <cell r="AC5" t="str">
            <v xml:space="preserve">   KEBUTUHAN  BBM / OLIE  (Rp./Jam)</v>
          </cell>
          <cell r="AF5" t="str">
            <v>REPERASI</v>
          </cell>
          <cell r="AG5" t="str">
            <v>( Rp./ JAM )</v>
          </cell>
        </row>
        <row r="6">
          <cell r="T6" t="str">
            <v/>
          </cell>
          <cell r="W6" t="str">
            <v>ALAT</v>
          </cell>
          <cell r="X6" t="str">
            <v>ALAT</v>
          </cell>
          <cell r="Y6" t="str">
            <v xml:space="preserve"> i x ( 1 + i )^ n </v>
          </cell>
          <cell r="Z6" t="str">
            <v>PER</v>
          </cell>
          <cell r="AA6" t="str">
            <v>SIASI</v>
          </cell>
          <cell r="AB6" t="str">
            <v>&amp;</v>
          </cell>
          <cell r="AC6" t="str">
            <v>SOLAR</v>
          </cell>
          <cell r="AD6" t="str">
            <v>O L I</v>
          </cell>
          <cell r="AE6" t="str">
            <v>BENSIN</v>
          </cell>
          <cell r="AF6" t="str">
            <v>SPARE</v>
          </cell>
        </row>
        <row r="7">
          <cell r="Y7" t="str">
            <v>( 1 + i )^ n-1</v>
          </cell>
          <cell r="Z7" t="str">
            <v>TAHUN</v>
          </cell>
          <cell r="AA7" t="str">
            <v>ALAT</v>
          </cell>
          <cell r="AB7" t="str">
            <v>PAJAK</v>
          </cell>
          <cell r="AC7" t="str">
            <v>Rp. 1250 x</v>
          </cell>
          <cell r="AD7" t="str">
            <v>Rp. 16.000  x</v>
          </cell>
          <cell r="AE7" t="str">
            <v>Rp. 1000  x</v>
          </cell>
          <cell r="AF7" t="str">
            <v>PART</v>
          </cell>
          <cell r="AG7" t="str">
            <v>(I+J+K+L+M+N)</v>
          </cell>
        </row>
        <row r="8">
          <cell r="V8" t="str">
            <v>(HP)</v>
          </cell>
          <cell r="W8" t="str">
            <v>(Rp)</v>
          </cell>
          <cell r="X8" t="str">
            <v>(THN)</v>
          </cell>
          <cell r="AA8" t="str">
            <v>90%xExG/H</v>
          </cell>
          <cell r="AB8" t="str">
            <v>0,033xE/H</v>
          </cell>
          <cell r="AC8" t="str">
            <v>0,160 x D</v>
          </cell>
          <cell r="AD8" t="str">
            <v>0,006 x D</v>
          </cell>
          <cell r="AE8" t="str">
            <v>0,167 x D</v>
          </cell>
          <cell r="AF8" t="str">
            <v>60% x I</v>
          </cell>
        </row>
        <row r="9">
          <cell r="S9" t="str">
            <v>A</v>
          </cell>
          <cell r="T9" t="str">
            <v>B</v>
          </cell>
          <cell r="U9" t="str">
            <v>C</v>
          </cell>
          <cell r="V9" t="str">
            <v>D</v>
          </cell>
          <cell r="W9" t="str">
            <v>E</v>
          </cell>
          <cell r="X9" t="str">
            <v>F</v>
          </cell>
          <cell r="Y9" t="str">
            <v>G</v>
          </cell>
          <cell r="Z9" t="str">
            <v xml:space="preserve">H </v>
          </cell>
          <cell r="AA9" t="str">
            <v xml:space="preserve">I </v>
          </cell>
          <cell r="AB9" t="str">
            <v>J</v>
          </cell>
          <cell r="AC9" t="str">
            <v xml:space="preserve">K </v>
          </cell>
          <cell r="AD9" t="str">
            <v xml:space="preserve">L </v>
          </cell>
          <cell r="AE9" t="str">
            <v xml:space="preserve">M </v>
          </cell>
          <cell r="AF9" t="str">
            <v xml:space="preserve">N </v>
          </cell>
          <cell r="AG9" t="str">
            <v>O</v>
          </cell>
        </row>
        <row r="10">
          <cell r="S10">
            <v>1</v>
          </cell>
          <cell r="T10" t="str">
            <v xml:space="preserve"> BULLDOZER</v>
          </cell>
          <cell r="U10" t="str">
            <v>E 001</v>
          </cell>
          <cell r="V10">
            <v>140</v>
          </cell>
          <cell r="W10">
            <v>1000000000</v>
          </cell>
          <cell r="X10">
            <v>8</v>
          </cell>
          <cell r="Y10">
            <v>0.26061000000000001</v>
          </cell>
          <cell r="Z10">
            <v>1200</v>
          </cell>
          <cell r="AA10">
            <v>195458</v>
          </cell>
          <cell r="AB10">
            <v>27500</v>
          </cell>
          <cell r="AC10">
            <v>28000</v>
          </cell>
          <cell r="AD10">
            <v>13440</v>
          </cell>
          <cell r="AE10">
            <v>0</v>
          </cell>
          <cell r="AF10">
            <v>117275</v>
          </cell>
          <cell r="AG10">
            <v>381673</v>
          </cell>
        </row>
        <row r="11">
          <cell r="S11">
            <v>2</v>
          </cell>
          <cell r="T11" t="str">
            <v xml:space="preserve"> MOTOR GRADER </v>
          </cell>
          <cell r="U11" t="str">
            <v>E 010</v>
          </cell>
          <cell r="V11">
            <v>125</v>
          </cell>
          <cell r="W11">
            <v>457500000</v>
          </cell>
          <cell r="X11">
            <v>8</v>
          </cell>
          <cell r="Y11">
            <v>0.26061000000000001</v>
          </cell>
          <cell r="Z11">
            <v>1500</v>
          </cell>
          <cell r="AA11">
            <v>71537</v>
          </cell>
          <cell r="AB11">
            <v>10065</v>
          </cell>
          <cell r="AC11">
            <v>25000</v>
          </cell>
          <cell r="AD11">
            <v>12000</v>
          </cell>
          <cell r="AE11">
            <v>0</v>
          </cell>
          <cell r="AF11">
            <v>42922</v>
          </cell>
          <cell r="AG11">
            <v>161524</v>
          </cell>
        </row>
        <row r="12">
          <cell r="S12">
            <v>3</v>
          </cell>
          <cell r="T12" t="str">
            <v xml:space="preserve"> STONE CRUSSER</v>
          </cell>
          <cell r="U12" t="str">
            <v>E 031</v>
          </cell>
          <cell r="V12">
            <v>220</v>
          </cell>
          <cell r="W12">
            <v>1750000000</v>
          </cell>
          <cell r="X12">
            <v>10</v>
          </cell>
          <cell r="Y12">
            <v>0.23852000000000001</v>
          </cell>
          <cell r="Z12">
            <v>1500</v>
          </cell>
          <cell r="AA12">
            <v>250446</v>
          </cell>
          <cell r="AB12">
            <v>38500</v>
          </cell>
          <cell r="AC12">
            <v>44000</v>
          </cell>
          <cell r="AD12">
            <v>21120</v>
          </cell>
          <cell r="AE12">
            <v>0</v>
          </cell>
          <cell r="AF12">
            <v>150268</v>
          </cell>
          <cell r="AG12">
            <v>504334</v>
          </cell>
        </row>
        <row r="13">
          <cell r="S13">
            <v>4</v>
          </cell>
          <cell r="T13" t="str">
            <v xml:space="preserve"> MESIN PENYARING</v>
          </cell>
          <cell r="U13" t="str">
            <v>E 040</v>
          </cell>
          <cell r="V13">
            <v>80</v>
          </cell>
          <cell r="W13">
            <v>236540000</v>
          </cell>
          <cell r="X13">
            <v>8</v>
          </cell>
          <cell r="Y13">
            <v>0.26061000000000001</v>
          </cell>
          <cell r="Z13">
            <v>1500</v>
          </cell>
          <cell r="AA13">
            <v>36987</v>
          </cell>
          <cell r="AB13">
            <v>5204</v>
          </cell>
          <cell r="AC13">
            <v>16000</v>
          </cell>
          <cell r="AD13">
            <v>7680</v>
          </cell>
          <cell r="AE13">
            <v>0</v>
          </cell>
          <cell r="AF13">
            <v>22192</v>
          </cell>
          <cell r="AG13">
            <v>88063</v>
          </cell>
        </row>
        <row r="14">
          <cell r="S14">
            <v>5</v>
          </cell>
          <cell r="T14" t="str">
            <v xml:space="preserve"> WHELL LOADER</v>
          </cell>
          <cell r="U14" t="str">
            <v>E 052</v>
          </cell>
          <cell r="V14">
            <v>105</v>
          </cell>
          <cell r="W14">
            <v>650000000</v>
          </cell>
          <cell r="X14">
            <v>8</v>
          </cell>
          <cell r="Y14">
            <v>0.26061000000000001</v>
          </cell>
          <cell r="Z14">
            <v>1500</v>
          </cell>
          <cell r="AA14">
            <v>101638</v>
          </cell>
          <cell r="AB14">
            <v>14300</v>
          </cell>
          <cell r="AC14">
            <v>21000</v>
          </cell>
          <cell r="AD14">
            <v>10080</v>
          </cell>
          <cell r="AE14">
            <v>0</v>
          </cell>
          <cell r="AF14">
            <v>60983</v>
          </cell>
          <cell r="AG14">
            <v>208001</v>
          </cell>
        </row>
        <row r="15">
          <cell r="S15">
            <v>6</v>
          </cell>
          <cell r="T15" t="str">
            <v xml:space="preserve"> TRACTOR </v>
          </cell>
          <cell r="U15" t="str">
            <v>E 053</v>
          </cell>
          <cell r="V15">
            <v>60</v>
          </cell>
          <cell r="W15">
            <v>97020000</v>
          </cell>
          <cell r="X15">
            <v>10</v>
          </cell>
          <cell r="Y15">
            <v>0.23852000000000001</v>
          </cell>
          <cell r="Z15">
            <v>1500</v>
          </cell>
          <cell r="AA15">
            <v>13885</v>
          </cell>
          <cell r="AB15">
            <v>2134</v>
          </cell>
          <cell r="AC15">
            <v>12000</v>
          </cell>
          <cell r="AD15">
            <v>5760</v>
          </cell>
          <cell r="AE15">
            <v>0</v>
          </cell>
          <cell r="AF15">
            <v>8331</v>
          </cell>
          <cell r="AG15">
            <v>42110</v>
          </cell>
        </row>
        <row r="16">
          <cell r="S16">
            <v>7</v>
          </cell>
          <cell r="T16" t="str">
            <v xml:space="preserve"> THREE WHELL ROLLER (MESIN GILAS 3 RODA)</v>
          </cell>
          <cell r="U16" t="str">
            <v>E 080</v>
          </cell>
          <cell r="V16">
            <v>55</v>
          </cell>
          <cell r="W16">
            <v>145040000</v>
          </cell>
          <cell r="X16">
            <v>10</v>
          </cell>
          <cell r="Y16">
            <v>0.23852000000000001</v>
          </cell>
          <cell r="Z16">
            <v>1500</v>
          </cell>
          <cell r="AA16">
            <v>20757</v>
          </cell>
          <cell r="AB16">
            <v>3191</v>
          </cell>
          <cell r="AC16">
            <v>11000</v>
          </cell>
          <cell r="AD16">
            <v>5280</v>
          </cell>
          <cell r="AE16">
            <v>0</v>
          </cell>
          <cell r="AF16">
            <v>12454</v>
          </cell>
          <cell r="AG16">
            <v>52682</v>
          </cell>
        </row>
        <row r="17">
          <cell r="S17">
            <v>8</v>
          </cell>
          <cell r="T17" t="str">
            <v xml:space="preserve"> TANDEM ROLLER (MESIN GILAS TANDEM)</v>
          </cell>
          <cell r="U17" t="str">
            <v>E 081</v>
          </cell>
          <cell r="V17">
            <v>50</v>
          </cell>
          <cell r="W17">
            <v>217540000</v>
          </cell>
          <cell r="X17">
            <v>10</v>
          </cell>
          <cell r="Y17">
            <v>0.23852000000000001</v>
          </cell>
          <cell r="Z17">
            <v>1500</v>
          </cell>
          <cell r="AA17">
            <v>31133</v>
          </cell>
          <cell r="AB17">
            <v>4786</v>
          </cell>
          <cell r="AC17">
            <v>10000</v>
          </cell>
          <cell r="AD17">
            <v>4800</v>
          </cell>
          <cell r="AE17">
            <v>0</v>
          </cell>
          <cell r="AF17">
            <v>18680</v>
          </cell>
          <cell r="AG17">
            <v>69399</v>
          </cell>
        </row>
        <row r="18">
          <cell r="S18">
            <v>9</v>
          </cell>
          <cell r="T18" t="str">
            <v xml:space="preserve"> VIBRATOR ROLLER (MESIN GILAS BERGETAR)</v>
          </cell>
          <cell r="U18" t="str">
            <v>E 082</v>
          </cell>
          <cell r="V18">
            <v>75</v>
          </cell>
          <cell r="W18">
            <v>295000000</v>
          </cell>
          <cell r="X18">
            <v>8</v>
          </cell>
          <cell r="Y18">
            <v>0.26061000000000001</v>
          </cell>
          <cell r="Z18">
            <v>1500</v>
          </cell>
          <cell r="AA18">
            <v>46128</v>
          </cell>
          <cell r="AB18">
            <v>6490</v>
          </cell>
          <cell r="AC18">
            <v>15000</v>
          </cell>
          <cell r="AD18">
            <v>7200</v>
          </cell>
          <cell r="AE18">
            <v>0</v>
          </cell>
          <cell r="AF18">
            <v>27677</v>
          </cell>
          <cell r="AG18">
            <v>102495</v>
          </cell>
        </row>
        <row r="19">
          <cell r="S19">
            <v>10</v>
          </cell>
          <cell r="T19" t="str">
            <v xml:space="preserve"> TIRE ROLLER (MESIN GILAS RODA KARET)</v>
          </cell>
          <cell r="U19" t="str">
            <v>E 084</v>
          </cell>
          <cell r="V19">
            <v>60</v>
          </cell>
          <cell r="W19">
            <v>314248000</v>
          </cell>
          <cell r="X19">
            <v>10</v>
          </cell>
          <cell r="Y19">
            <v>0.23852000000000001</v>
          </cell>
          <cell r="Z19">
            <v>1500</v>
          </cell>
          <cell r="AA19">
            <v>44973</v>
          </cell>
          <cell r="AB19">
            <v>6913</v>
          </cell>
          <cell r="AC19">
            <v>12000</v>
          </cell>
          <cell r="AD19">
            <v>5760</v>
          </cell>
          <cell r="AE19">
            <v>0</v>
          </cell>
          <cell r="AF19">
            <v>26984</v>
          </cell>
          <cell r="AG19">
            <v>96630</v>
          </cell>
        </row>
        <row r="20">
          <cell r="S20">
            <v>11</v>
          </cell>
          <cell r="T20" t="str">
            <v xml:space="preserve"> VIBRATOR ROLLER (MESIN GILAS BERGETAR)</v>
          </cell>
          <cell r="U20" t="str">
            <v>E 087</v>
          </cell>
          <cell r="V20">
            <v>12</v>
          </cell>
          <cell r="W20">
            <v>48520000</v>
          </cell>
          <cell r="X20">
            <v>6</v>
          </cell>
          <cell r="Y20">
            <v>0.30070999999999998</v>
          </cell>
          <cell r="Z20">
            <v>1200</v>
          </cell>
          <cell r="AA20">
            <v>10943</v>
          </cell>
          <cell r="AB20">
            <v>1334</v>
          </cell>
          <cell r="AC20">
            <v>2400</v>
          </cell>
          <cell r="AD20">
            <v>1152</v>
          </cell>
          <cell r="AE20">
            <v>0</v>
          </cell>
          <cell r="AF20">
            <v>6566</v>
          </cell>
          <cell r="AG20">
            <v>22395</v>
          </cell>
        </row>
        <row r="21">
          <cell r="S21">
            <v>12</v>
          </cell>
          <cell r="T21" t="str">
            <v xml:space="preserve"> MESIN TAMPER, VIBRATOR PLATE</v>
          </cell>
          <cell r="U21" t="str">
            <v>E 088</v>
          </cell>
          <cell r="V21">
            <v>5</v>
          </cell>
          <cell r="W21">
            <v>7500000</v>
          </cell>
          <cell r="X21">
            <v>6</v>
          </cell>
          <cell r="Y21">
            <v>0.30070999999999998</v>
          </cell>
          <cell r="Z21">
            <v>750</v>
          </cell>
          <cell r="AA21">
            <v>2706</v>
          </cell>
          <cell r="AB21">
            <v>330</v>
          </cell>
          <cell r="AC21">
            <v>1000</v>
          </cell>
          <cell r="AD21">
            <v>480</v>
          </cell>
          <cell r="AE21">
            <v>0</v>
          </cell>
          <cell r="AF21">
            <v>1624</v>
          </cell>
          <cell r="AG21">
            <v>6140</v>
          </cell>
        </row>
        <row r="22">
          <cell r="S22">
            <v>13</v>
          </cell>
          <cell r="T22" t="str">
            <v xml:space="preserve"> CONCRETTE VIBRATOR (ALAT PENGGETAR BETON)</v>
          </cell>
          <cell r="U22" t="str">
            <v>E 089</v>
          </cell>
          <cell r="V22">
            <v>10</v>
          </cell>
          <cell r="W22">
            <v>4488000</v>
          </cell>
          <cell r="X22">
            <v>5</v>
          </cell>
          <cell r="Y22">
            <v>0.33438000000000001</v>
          </cell>
          <cell r="Z22">
            <v>600</v>
          </cell>
          <cell r="AA22">
            <v>2252</v>
          </cell>
          <cell r="AB22">
            <v>247</v>
          </cell>
          <cell r="AC22">
            <v>2000</v>
          </cell>
          <cell r="AD22">
            <v>960</v>
          </cell>
          <cell r="AE22">
            <v>0</v>
          </cell>
          <cell r="AF22">
            <v>1351</v>
          </cell>
          <cell r="AG22">
            <v>6810</v>
          </cell>
        </row>
        <row r="23">
          <cell r="S23">
            <v>14</v>
          </cell>
          <cell r="T23" t="str">
            <v xml:space="preserve"> ASPALT SPRAYER (MESIN PENYEMPROT ASPAL)</v>
          </cell>
          <cell r="U23" t="str">
            <v>E 153</v>
          </cell>
          <cell r="V23">
            <v>15</v>
          </cell>
          <cell r="W23">
            <v>67500000</v>
          </cell>
          <cell r="X23">
            <v>6</v>
          </cell>
          <cell r="Y23">
            <v>0.30070999999999998</v>
          </cell>
          <cell r="Z23">
            <v>750</v>
          </cell>
          <cell r="AA23">
            <v>24358</v>
          </cell>
          <cell r="AB23">
            <v>2970</v>
          </cell>
          <cell r="AC23">
            <v>3000</v>
          </cell>
          <cell r="AD23">
            <v>1440</v>
          </cell>
          <cell r="AE23">
            <v>0</v>
          </cell>
          <cell r="AF23">
            <v>14616</v>
          </cell>
          <cell r="AG23">
            <v>46384</v>
          </cell>
        </row>
        <row r="24">
          <cell r="S24">
            <v>15</v>
          </cell>
          <cell r="T24" t="str">
            <v xml:space="preserve"> ASPALT MIXING PLANT (MESIN PENCAMPUR ASPAL)</v>
          </cell>
          <cell r="U24" t="str">
            <v>E 155</v>
          </cell>
          <cell r="V24">
            <v>150</v>
          </cell>
          <cell r="W24">
            <v>3000000000</v>
          </cell>
          <cell r="X24">
            <v>10</v>
          </cell>
          <cell r="Y24">
            <v>0.23852000000000001</v>
          </cell>
          <cell r="Z24">
            <v>1200</v>
          </cell>
          <cell r="AA24">
            <v>536670</v>
          </cell>
          <cell r="AB24">
            <v>82500</v>
          </cell>
          <cell r="AC24">
            <v>30000</v>
          </cell>
          <cell r="AD24">
            <v>14400</v>
          </cell>
          <cell r="AE24">
            <v>0</v>
          </cell>
          <cell r="AF24">
            <v>322002</v>
          </cell>
          <cell r="AG24">
            <v>985572</v>
          </cell>
        </row>
        <row r="25">
          <cell r="S25">
            <v>16</v>
          </cell>
          <cell r="T25" t="str">
            <v xml:space="preserve"> ASPALT FINISHER (MESIN PENGHAMPAR ASPAL)</v>
          </cell>
          <cell r="U25" t="str">
            <v>E 157</v>
          </cell>
          <cell r="V25">
            <v>47</v>
          </cell>
          <cell r="W25">
            <v>487500000</v>
          </cell>
          <cell r="X25">
            <v>7</v>
          </cell>
          <cell r="Y25">
            <v>0.27742</v>
          </cell>
          <cell r="Z25">
            <v>1200</v>
          </cell>
          <cell r="AA25">
            <v>101432</v>
          </cell>
          <cell r="AB25">
            <v>13406</v>
          </cell>
          <cell r="AC25">
            <v>9400</v>
          </cell>
          <cell r="AD25">
            <v>4512</v>
          </cell>
          <cell r="AE25">
            <v>0</v>
          </cell>
          <cell r="AF25">
            <v>60859</v>
          </cell>
          <cell r="AG25">
            <v>189609</v>
          </cell>
        </row>
        <row r="26">
          <cell r="S26">
            <v>17</v>
          </cell>
          <cell r="T26" t="str">
            <v xml:space="preserve"> WATER TANK TRUCK (TRUK TANGKI AIR)</v>
          </cell>
          <cell r="U26" t="str">
            <v>E 182</v>
          </cell>
          <cell r="V26">
            <v>68</v>
          </cell>
          <cell r="W26">
            <v>117207000</v>
          </cell>
          <cell r="X26">
            <v>8</v>
          </cell>
          <cell r="Y26">
            <v>0.26061000000000001</v>
          </cell>
          <cell r="Z26">
            <v>1500</v>
          </cell>
          <cell r="AA26">
            <v>18327</v>
          </cell>
          <cell r="AB26">
            <v>2579</v>
          </cell>
          <cell r="AC26">
            <v>13600</v>
          </cell>
          <cell r="AD26">
            <v>6528</v>
          </cell>
          <cell r="AE26">
            <v>0</v>
          </cell>
          <cell r="AF26">
            <v>10996</v>
          </cell>
          <cell r="AG26">
            <v>52030</v>
          </cell>
        </row>
        <row r="27">
          <cell r="S27">
            <v>18</v>
          </cell>
          <cell r="T27" t="str">
            <v xml:space="preserve"> TRAILLER GANDENGAN 20 TON</v>
          </cell>
          <cell r="U27" t="str">
            <v>E 191</v>
          </cell>
          <cell r="V27">
            <v>175</v>
          </cell>
          <cell r="W27">
            <v>415625000</v>
          </cell>
          <cell r="X27">
            <v>12</v>
          </cell>
          <cell r="Y27">
            <v>0.22525999999999999</v>
          </cell>
          <cell r="Z27">
            <v>750</v>
          </cell>
          <cell r="AA27">
            <v>112348</v>
          </cell>
          <cell r="AB27">
            <v>18288</v>
          </cell>
          <cell r="AC27">
            <v>35000</v>
          </cell>
          <cell r="AD27">
            <v>16800</v>
          </cell>
          <cell r="AE27">
            <v>0</v>
          </cell>
          <cell r="AF27">
            <v>67409</v>
          </cell>
          <cell r="AG27">
            <v>249845</v>
          </cell>
        </row>
        <row r="28">
          <cell r="S28">
            <v>19</v>
          </cell>
          <cell r="T28" t="str">
            <v xml:space="preserve"> DUMP TRUCK 3,5 TON</v>
          </cell>
          <cell r="U28" t="str">
            <v>E 211</v>
          </cell>
          <cell r="V28">
            <v>100</v>
          </cell>
          <cell r="W28">
            <v>125000000</v>
          </cell>
          <cell r="X28">
            <v>6</v>
          </cell>
          <cell r="Y28">
            <v>0.30070999999999998</v>
          </cell>
          <cell r="Z28">
            <v>1300</v>
          </cell>
          <cell r="AA28">
            <v>26023</v>
          </cell>
          <cell r="AB28">
            <v>3173</v>
          </cell>
          <cell r="AC28">
            <v>20000</v>
          </cell>
          <cell r="AD28">
            <v>9600</v>
          </cell>
          <cell r="AE28">
            <v>0</v>
          </cell>
          <cell r="AF28">
            <v>15614</v>
          </cell>
          <cell r="AG28">
            <v>74410</v>
          </cell>
        </row>
        <row r="29">
          <cell r="S29">
            <v>20</v>
          </cell>
          <cell r="T29" t="str">
            <v xml:space="preserve"> DUMP TRUCK 5 TON</v>
          </cell>
          <cell r="U29" t="str">
            <v>E 212</v>
          </cell>
          <cell r="V29">
            <v>125</v>
          </cell>
          <cell r="W29">
            <v>227500000</v>
          </cell>
          <cell r="X29">
            <v>6</v>
          </cell>
          <cell r="Y29">
            <v>0.30070999999999998</v>
          </cell>
          <cell r="Z29">
            <v>1300</v>
          </cell>
          <cell r="AA29">
            <v>47362</v>
          </cell>
          <cell r="AB29">
            <v>5775</v>
          </cell>
          <cell r="AC29">
            <v>25000</v>
          </cell>
          <cell r="AD29">
            <v>12000</v>
          </cell>
          <cell r="AE29">
            <v>0</v>
          </cell>
          <cell r="AF29">
            <v>28417</v>
          </cell>
          <cell r="AG29">
            <v>118554</v>
          </cell>
        </row>
        <row r="30">
          <cell r="S30">
            <v>21</v>
          </cell>
          <cell r="T30" t="str">
            <v xml:space="preserve"> TRUCK BAK TERBUKA 3,5 TON</v>
          </cell>
          <cell r="U30" t="str">
            <v>E 221</v>
          </cell>
          <cell r="V30">
            <v>100</v>
          </cell>
          <cell r="W30">
            <v>125000000</v>
          </cell>
          <cell r="X30">
            <v>6</v>
          </cell>
          <cell r="Y30">
            <v>0.30070999999999998</v>
          </cell>
          <cell r="Z30">
            <v>1300</v>
          </cell>
          <cell r="AA30">
            <v>26023</v>
          </cell>
          <cell r="AB30">
            <v>3173</v>
          </cell>
          <cell r="AC30">
            <v>20000</v>
          </cell>
          <cell r="AD30">
            <v>9600</v>
          </cell>
          <cell r="AE30">
            <v>0</v>
          </cell>
          <cell r="AF30">
            <v>15614</v>
          </cell>
          <cell r="AG30">
            <v>74410</v>
          </cell>
        </row>
        <row r="31">
          <cell r="S31">
            <v>22</v>
          </cell>
          <cell r="T31" t="str">
            <v xml:space="preserve"> CONCRETTE MIXER (PENGADUK BETON) 125 Ltr</v>
          </cell>
          <cell r="U31" t="str">
            <v>E 251</v>
          </cell>
          <cell r="V31">
            <v>7</v>
          </cell>
          <cell r="W31">
            <v>6195000</v>
          </cell>
          <cell r="X31">
            <v>4</v>
          </cell>
          <cell r="Y31">
            <v>0.38629000000000002</v>
          </cell>
          <cell r="Z31">
            <v>1500</v>
          </cell>
          <cell r="AA31">
            <v>1436</v>
          </cell>
          <cell r="AB31">
            <v>136</v>
          </cell>
          <cell r="AC31">
            <v>1400</v>
          </cell>
          <cell r="AD31">
            <v>672</v>
          </cell>
          <cell r="AE31">
            <v>0</v>
          </cell>
          <cell r="AF31">
            <v>862</v>
          </cell>
          <cell r="AG31">
            <v>4506</v>
          </cell>
        </row>
        <row r="32">
          <cell r="S32">
            <v>23</v>
          </cell>
          <cell r="T32" t="str">
            <v xml:space="preserve"> CONCRETTE MIXER (PENGADUK BETON) 250 Ltr</v>
          </cell>
          <cell r="U32" t="str">
            <v>E 252</v>
          </cell>
          <cell r="V32">
            <v>10</v>
          </cell>
          <cell r="W32">
            <v>12390000</v>
          </cell>
          <cell r="X32">
            <v>5</v>
          </cell>
          <cell r="Y32">
            <v>0.33438000000000001</v>
          </cell>
          <cell r="Z32">
            <v>1500</v>
          </cell>
          <cell r="AA32">
            <v>2486</v>
          </cell>
          <cell r="AB32">
            <v>273</v>
          </cell>
          <cell r="AC32">
            <v>2000</v>
          </cell>
          <cell r="AD32">
            <v>960</v>
          </cell>
          <cell r="AE32">
            <v>0</v>
          </cell>
          <cell r="AF32">
            <v>1492</v>
          </cell>
          <cell r="AG32">
            <v>7211</v>
          </cell>
        </row>
        <row r="33">
          <cell r="S33">
            <v>24</v>
          </cell>
          <cell r="T33" t="str">
            <v xml:space="preserve"> CONCRETTE MIXER (PENGADUK BETON) 500 Ltr</v>
          </cell>
          <cell r="U33" t="str">
            <v>E 253</v>
          </cell>
          <cell r="V33">
            <v>15</v>
          </cell>
          <cell r="W33">
            <v>35000000</v>
          </cell>
          <cell r="X33">
            <v>5</v>
          </cell>
          <cell r="Y33">
            <v>0.33438000000000001</v>
          </cell>
          <cell r="Z33">
            <v>1500</v>
          </cell>
          <cell r="AA33">
            <v>7022</v>
          </cell>
          <cell r="AB33">
            <v>770</v>
          </cell>
          <cell r="AC33">
            <v>3000</v>
          </cell>
          <cell r="AD33">
            <v>1440</v>
          </cell>
          <cell r="AE33">
            <v>0</v>
          </cell>
          <cell r="AF33">
            <v>4213</v>
          </cell>
          <cell r="AG33">
            <v>16445</v>
          </cell>
        </row>
        <row r="34">
          <cell r="S34">
            <v>25</v>
          </cell>
          <cell r="T34" t="str">
            <v xml:space="preserve"> COMPRESSOR 4000 - 6500 L/M</v>
          </cell>
          <cell r="U34" t="str">
            <v>E 301</v>
          </cell>
          <cell r="V34">
            <v>80</v>
          </cell>
          <cell r="W34">
            <v>15000000</v>
          </cell>
          <cell r="X34">
            <v>8</v>
          </cell>
          <cell r="Y34">
            <v>0.26061000000000001</v>
          </cell>
          <cell r="Z34">
            <v>750</v>
          </cell>
          <cell r="AA34">
            <v>4691</v>
          </cell>
          <cell r="AB34">
            <v>660</v>
          </cell>
          <cell r="AC34">
            <v>16000</v>
          </cell>
          <cell r="AD34">
            <v>7680</v>
          </cell>
          <cell r="AE34">
            <v>0</v>
          </cell>
          <cell r="AF34">
            <v>2815</v>
          </cell>
          <cell r="AG34">
            <v>31846</v>
          </cell>
        </row>
        <row r="35">
          <cell r="S35">
            <v>26</v>
          </cell>
          <cell r="T35" t="str">
            <v xml:space="preserve"> POMPA AIR    Ø  50 mm</v>
          </cell>
          <cell r="U35" t="str">
            <v>E 341</v>
          </cell>
          <cell r="V35">
            <v>6</v>
          </cell>
          <cell r="W35">
            <v>7500000</v>
          </cell>
          <cell r="X35">
            <v>4</v>
          </cell>
          <cell r="Y35">
            <v>0.38629000000000002</v>
          </cell>
          <cell r="Z35">
            <v>750</v>
          </cell>
          <cell r="AA35">
            <v>3477</v>
          </cell>
          <cell r="AB35">
            <v>330</v>
          </cell>
          <cell r="AC35">
            <v>1200</v>
          </cell>
          <cell r="AD35">
            <v>576</v>
          </cell>
          <cell r="AE35">
            <v>0</v>
          </cell>
          <cell r="AF35">
            <v>2086</v>
          </cell>
          <cell r="AG35">
            <v>7669</v>
          </cell>
        </row>
        <row r="36">
          <cell r="S36">
            <v>27</v>
          </cell>
          <cell r="T36" t="str">
            <v xml:space="preserve"> PERALATAN TRAKTOR, DAN LAIN-LAIN</v>
          </cell>
          <cell r="U36" t="str">
            <v>E 401</v>
          </cell>
          <cell r="W36">
            <v>45055000</v>
          </cell>
          <cell r="X36">
            <v>5</v>
          </cell>
          <cell r="Y36">
            <v>0.33438000000000001</v>
          </cell>
          <cell r="Z36">
            <v>600</v>
          </cell>
          <cell r="AA36">
            <v>22598</v>
          </cell>
          <cell r="AB36">
            <v>2478</v>
          </cell>
          <cell r="AC36">
            <v>0</v>
          </cell>
          <cell r="AD36">
            <v>0</v>
          </cell>
          <cell r="AE36">
            <v>0</v>
          </cell>
          <cell r="AF36">
            <v>13559</v>
          </cell>
          <cell r="AG36">
            <v>38635</v>
          </cell>
        </row>
        <row r="39">
          <cell r="AD39" t="str">
            <v>Panyabungan,</v>
          </cell>
        </row>
        <row r="42">
          <cell r="AD42" t="str">
            <v xml:space="preserve">KEPALA SUB DINAS BINA MARGA </v>
          </cell>
        </row>
        <row r="43">
          <cell r="AD43" t="str">
            <v>DINAS PU KABUPATEN MANDAILING NATAL</v>
          </cell>
        </row>
        <row r="47">
          <cell r="AD47" t="str">
            <v>Ir. AHMAD SAMARI</v>
          </cell>
        </row>
        <row r="48">
          <cell r="AD48" t="str">
            <v>NIP. 400043232</v>
          </cell>
        </row>
        <row r="1792">
          <cell r="A1792" t="str">
            <v>Bangun Purba - Sibanggor Jae</v>
          </cell>
        </row>
        <row r="1793">
          <cell r="A1793" t="str">
            <v>DIREKTORAT JENDERAL BINA MARGA</v>
          </cell>
        </row>
        <row r="1794">
          <cell r="A1794" t="str">
            <v>DIREKTORAT BINA PROGRAM JALAN</v>
          </cell>
          <cell r="G1794" t="str">
            <v>ANALISA  HARGA  SATUAN</v>
          </cell>
          <cell r="K1794" t="str">
            <v>K O D E</v>
          </cell>
        </row>
        <row r="1795">
          <cell r="A1795" t="str">
            <v>SUB DIT. PERENC. JALAN LOKAL &amp;</v>
          </cell>
          <cell r="G1795" t="str">
            <v xml:space="preserve">Lapis Aspal Pelekat </v>
          </cell>
          <cell r="K1795" t="str">
            <v>K 620</v>
          </cell>
        </row>
        <row r="1796">
          <cell r="A1796" t="str">
            <v>KABUPATEN</v>
          </cell>
          <cell r="G1796" t="str">
            <v>( TAEC COAT )</v>
          </cell>
        </row>
        <row r="1797">
          <cell r="A1797" t="str">
            <v>Propinsi</v>
          </cell>
          <cell r="D1797" t="str">
            <v>Kode</v>
          </cell>
          <cell r="E1797" t="str">
            <v>Kabupaten</v>
          </cell>
          <cell r="H1797" t="str">
            <v>Kode</v>
          </cell>
          <cell r="I1797" t="str">
            <v>Disiapkan  Oleh</v>
          </cell>
          <cell r="K1797" t="str">
            <v>Tanggal</v>
          </cell>
        </row>
        <row r="1798">
          <cell r="A1798" t="str">
            <v>Sumatera Utara</v>
          </cell>
          <cell r="D1798" t="str">
            <v>12</v>
          </cell>
          <cell r="E1798" t="str">
            <v>Mandailing Natal</v>
          </cell>
        </row>
        <row r="1800">
          <cell r="A1800" t="str">
            <v xml:space="preserve"> URAIAN  :</v>
          </cell>
          <cell r="G1800" t="str">
            <v xml:space="preserve"> ANGGAPAN / ASUMSI  :</v>
          </cell>
        </row>
        <row r="1801">
          <cell r="A1801" t="str">
            <v xml:space="preserve"> 1. Pekerjaan harus dilaksanakan sesuai Bab 6.2 Spek. Umum</v>
          </cell>
          <cell r="G1801" t="str">
            <v xml:space="preserve"> 1. Harga bahan, prongko ( siap dilokasi )</v>
          </cell>
        </row>
        <row r="1802">
          <cell r="A1802" t="str">
            <v xml:space="preserve">     Jalan Kabupaten B.M Maret 92.</v>
          </cell>
          <cell r="G1802" t="str">
            <v xml:space="preserve"> 2. Perbandingan aspal dengan minyak tanah = 100 bagian aspal </v>
          </cell>
        </row>
        <row r="1803">
          <cell r="A1803" t="str">
            <v xml:space="preserve"> 2. Tingkat penyemprotan 10 km/m2 disemprot mempergunakan</v>
          </cell>
          <cell r="G1803" t="str">
            <v xml:space="preserve">     100 bagian minyak tanah berdasarkan berat.</v>
          </cell>
        </row>
        <row r="1804">
          <cell r="A1804" t="str">
            <v xml:space="preserve">      mesin penyemprot aspal.</v>
          </cell>
          <cell r="G1804" t="str">
            <v xml:space="preserve"> 3. Berat jenis minyak tanah = 0,86</v>
          </cell>
        </row>
        <row r="1812">
          <cell r="B1812" t="str">
            <v>P e k e r j a</v>
          </cell>
          <cell r="E1812" t="str">
            <v>Jumlah</v>
          </cell>
          <cell r="F1812" t="str">
            <v>Hari</v>
          </cell>
          <cell r="G1812" t="str">
            <v>Kode</v>
          </cell>
          <cell r="H1812" t="str">
            <v>Jumlah</v>
          </cell>
          <cell r="I1812" t="str">
            <v>Upah</v>
          </cell>
          <cell r="J1812" t="str">
            <v>Biaya</v>
          </cell>
          <cell r="K1812" t="str">
            <v>Sub Total</v>
          </cell>
        </row>
        <row r="1813">
          <cell r="E1813" t="str">
            <v>Orang</v>
          </cell>
          <cell r="H1813" t="str">
            <v>Hr-Org</v>
          </cell>
          <cell r="I1813" t="str">
            <v>(Rp./Org/Hr)</v>
          </cell>
          <cell r="J1813" t="str">
            <v>(Rp.)</v>
          </cell>
          <cell r="K1813" t="str">
            <v>(Rp.)</v>
          </cell>
        </row>
        <row r="1815">
          <cell r="A1815" t="str">
            <v>P</v>
          </cell>
          <cell r="B1815" t="str">
            <v xml:space="preserve"> Mandor</v>
          </cell>
          <cell r="E1815">
            <v>1</v>
          </cell>
          <cell r="F1815">
            <v>50</v>
          </cell>
          <cell r="G1815" t="str">
            <v>L 061</v>
          </cell>
          <cell r="H1815">
            <v>50</v>
          </cell>
          <cell r="I1815">
            <v>35000</v>
          </cell>
          <cell r="J1815">
            <v>1750000</v>
          </cell>
        </row>
        <row r="1816">
          <cell r="A1816" t="str">
            <v>E</v>
          </cell>
          <cell r="B1816" t="str">
            <v xml:space="preserve"> Operator terampil</v>
          </cell>
          <cell r="E1816">
            <v>1</v>
          </cell>
          <cell r="F1816">
            <v>1</v>
          </cell>
          <cell r="G1816" t="str">
            <v>L 081</v>
          </cell>
          <cell r="H1816">
            <v>1</v>
          </cell>
          <cell r="I1816">
            <v>31000</v>
          </cell>
          <cell r="J1816">
            <v>31000</v>
          </cell>
        </row>
        <row r="1817">
          <cell r="A1817" t="str">
            <v>K</v>
          </cell>
          <cell r="B1817" t="str">
            <v xml:space="preserve"> Pembantu Operator </v>
          </cell>
          <cell r="E1817">
            <v>1</v>
          </cell>
          <cell r="F1817">
            <v>1</v>
          </cell>
          <cell r="G1817" t="str">
            <v>L 083</v>
          </cell>
          <cell r="H1817">
            <v>1</v>
          </cell>
          <cell r="I1817">
            <v>22000</v>
          </cell>
          <cell r="J1817">
            <v>22000</v>
          </cell>
        </row>
        <row r="1818">
          <cell r="A1818" t="str">
            <v>E</v>
          </cell>
          <cell r="B1818" t="str">
            <v xml:space="preserve"> Buruh tak terampil</v>
          </cell>
          <cell r="E1818">
            <v>2</v>
          </cell>
          <cell r="F1818">
            <v>1</v>
          </cell>
          <cell r="G1818" t="str">
            <v>L 101</v>
          </cell>
          <cell r="H1818">
            <v>2</v>
          </cell>
          <cell r="I1818">
            <v>20000</v>
          </cell>
          <cell r="J1818">
            <v>40000</v>
          </cell>
        </row>
        <row r="1819">
          <cell r="A1819" t="str">
            <v>R</v>
          </cell>
        </row>
        <row r="1820">
          <cell r="A1820" t="str">
            <v>J</v>
          </cell>
        </row>
        <row r="1821">
          <cell r="A1821" t="str">
            <v>A</v>
          </cell>
        </row>
        <row r="1824">
          <cell r="J1824" t="str">
            <v>Pekerja</v>
          </cell>
          <cell r="K1824">
            <v>1843000</v>
          </cell>
        </row>
        <row r="1825">
          <cell r="B1825" t="str">
            <v>M a t e r i a l</v>
          </cell>
          <cell r="E1825" t="str">
            <v>Jumlah</v>
          </cell>
          <cell r="F1825" t="str">
            <v>Satuan</v>
          </cell>
          <cell r="G1825" t="str">
            <v>Kode</v>
          </cell>
          <cell r="H1825" t="str">
            <v>Total</v>
          </cell>
          <cell r="I1825" t="str">
            <v>Harga</v>
          </cell>
          <cell r="J1825" t="str">
            <v>Biaya</v>
          </cell>
          <cell r="K1825" t="str">
            <v>Sub Total</v>
          </cell>
        </row>
        <row r="1826">
          <cell r="H1826" t="str">
            <v>Volume</v>
          </cell>
          <cell r="I1826" t="str">
            <v>(Rp./Unit)</v>
          </cell>
          <cell r="J1826" t="str">
            <v>(Rp.)</v>
          </cell>
          <cell r="K1826" t="str">
            <v>(Rp.)</v>
          </cell>
        </row>
        <row r="1828">
          <cell r="A1828" t="str">
            <v>M</v>
          </cell>
          <cell r="B1828" t="str">
            <v xml:space="preserve"> Aspal</v>
          </cell>
          <cell r="F1828" t="str">
            <v>kg</v>
          </cell>
          <cell r="G1828" t="str">
            <v>M 061</v>
          </cell>
          <cell r="H1828">
            <v>98</v>
          </cell>
          <cell r="I1828">
            <v>7100</v>
          </cell>
          <cell r="J1828">
            <v>695800</v>
          </cell>
        </row>
        <row r="1829">
          <cell r="A1829" t="str">
            <v>A</v>
          </cell>
          <cell r="B1829" t="str">
            <v xml:space="preserve"> Minyak pengencer</v>
          </cell>
          <cell r="F1829" t="str">
            <v>ltr</v>
          </cell>
          <cell r="G1829" t="str">
            <v>M 065</v>
          </cell>
          <cell r="H1829">
            <v>29</v>
          </cell>
          <cell r="I1829">
            <v>550</v>
          </cell>
          <cell r="J1829">
            <v>15950</v>
          </cell>
        </row>
        <row r="1830">
          <cell r="A1830" t="str">
            <v>T</v>
          </cell>
          <cell r="B1830" t="str">
            <v xml:space="preserve"> Alat  bantu ( set 3 @ alat )</v>
          </cell>
          <cell r="F1830" t="str">
            <v>set</v>
          </cell>
          <cell r="G1830" t="str">
            <v>M 170</v>
          </cell>
          <cell r="H1830">
            <v>0.08</v>
          </cell>
          <cell r="I1830">
            <v>67500</v>
          </cell>
          <cell r="J1830">
            <v>5400</v>
          </cell>
        </row>
        <row r="1831">
          <cell r="A1831" t="str">
            <v>E</v>
          </cell>
        </row>
        <row r="1832">
          <cell r="A1832" t="str">
            <v>R</v>
          </cell>
        </row>
        <row r="1833">
          <cell r="A1833" t="str">
            <v>I</v>
          </cell>
        </row>
        <row r="1834">
          <cell r="A1834" t="str">
            <v>A</v>
          </cell>
        </row>
        <row r="1835">
          <cell r="A1835" t="str">
            <v>L</v>
          </cell>
        </row>
        <row r="1836">
          <cell r="J1836" t="str">
            <v>Material</v>
          </cell>
          <cell r="K1836">
            <v>717150</v>
          </cell>
        </row>
        <row r="1837">
          <cell r="B1837" t="str">
            <v>P e r a l a t a n</v>
          </cell>
          <cell r="E1837" t="str">
            <v>Jumlah</v>
          </cell>
          <cell r="F1837" t="str">
            <v>Hari</v>
          </cell>
          <cell r="G1837" t="str">
            <v>Kode</v>
          </cell>
          <cell r="H1837" t="str">
            <v>Jam</v>
          </cell>
          <cell r="I1837" t="str">
            <v>Harga</v>
          </cell>
          <cell r="J1837" t="str">
            <v>Biaya</v>
          </cell>
          <cell r="K1837" t="str">
            <v>Sub Total</v>
          </cell>
        </row>
        <row r="1838">
          <cell r="E1838" t="str">
            <v>Alat</v>
          </cell>
          <cell r="F1838" t="str">
            <v>Kerja</v>
          </cell>
          <cell r="H1838" t="str">
            <v>Kerja</v>
          </cell>
          <cell r="I1838" t="str">
            <v>(Rp./Jam)</v>
          </cell>
          <cell r="J1838" t="str">
            <v>(Rp.)</v>
          </cell>
          <cell r="K1838" t="str">
            <v>(Rp.)</v>
          </cell>
        </row>
        <row r="1839">
          <cell r="A1839" t="str">
            <v>P</v>
          </cell>
        </row>
        <row r="1840">
          <cell r="A1840" t="str">
            <v>E</v>
          </cell>
        </row>
        <row r="1841">
          <cell r="A1841" t="str">
            <v>R</v>
          </cell>
          <cell r="B1841" t="str">
            <v xml:space="preserve"> Mesin penyemprot aspal</v>
          </cell>
          <cell r="E1841">
            <v>1</v>
          </cell>
          <cell r="F1841">
            <v>1</v>
          </cell>
          <cell r="G1841" t="str">
            <v xml:space="preserve"> E 153</v>
          </cell>
          <cell r="H1841">
            <v>3</v>
          </cell>
          <cell r="I1841">
            <v>46384</v>
          </cell>
          <cell r="J1841">
            <v>139152</v>
          </cell>
        </row>
        <row r="1842">
          <cell r="A1842" t="str">
            <v>A</v>
          </cell>
          <cell r="B1842" t="str">
            <v xml:space="preserve"> Compresor </v>
          </cell>
          <cell r="E1842">
            <v>1</v>
          </cell>
          <cell r="F1842">
            <v>1</v>
          </cell>
          <cell r="G1842" t="str">
            <v xml:space="preserve"> E 301</v>
          </cell>
          <cell r="H1842">
            <v>1</v>
          </cell>
          <cell r="I1842">
            <v>31846</v>
          </cell>
          <cell r="J1842">
            <v>31846</v>
          </cell>
        </row>
        <row r="1843">
          <cell r="A1843" t="str">
            <v>L</v>
          </cell>
        </row>
        <row r="1844">
          <cell r="A1844" t="str">
            <v>A</v>
          </cell>
        </row>
        <row r="1845">
          <cell r="A1845" t="str">
            <v>T</v>
          </cell>
        </row>
        <row r="1846">
          <cell r="A1846" t="str">
            <v>A</v>
          </cell>
        </row>
        <row r="1847">
          <cell r="A1847" t="str">
            <v>N</v>
          </cell>
        </row>
        <row r="1848">
          <cell r="J1848" t="str">
            <v>Peralatan</v>
          </cell>
          <cell r="K1848">
            <v>170998</v>
          </cell>
        </row>
        <row r="1849">
          <cell r="J1849" t="str">
            <v>TOTAL (Rp.)</v>
          </cell>
          <cell r="K1849">
            <v>2731148</v>
          </cell>
        </row>
        <row r="1851">
          <cell r="B1851" t="str">
            <v>VOLUME  :</v>
          </cell>
          <cell r="D1851">
            <v>600</v>
          </cell>
          <cell r="E1851" t="str">
            <v>m2</v>
          </cell>
          <cell r="H1851" t="str">
            <v>HARGA SATUAN  Rp.</v>
          </cell>
          <cell r="J1851">
            <v>4552</v>
          </cell>
          <cell r="K1851" t="str">
            <v xml:space="preserve">    Per  m2</v>
          </cell>
        </row>
        <row r="2598">
          <cell r="A2598" t="str">
            <v>An, F. 9  (Memasang Lantai Jembatan Kayu) / M2 :</v>
          </cell>
        </row>
        <row r="2600">
          <cell r="B2600">
            <v>0.75</v>
          </cell>
          <cell r="C2600" t="str">
            <v xml:space="preserve"> Tukang kayu</v>
          </cell>
          <cell r="E2600" t="str">
            <v>a  Rp.</v>
          </cell>
          <cell r="F2600">
            <v>30000</v>
          </cell>
          <cell r="H2600" t="str">
            <v xml:space="preserve"> = Rp.</v>
          </cell>
          <cell r="I2600">
            <v>22500</v>
          </cell>
        </row>
        <row r="2601">
          <cell r="B2601">
            <v>7.4999999999999997E-2</v>
          </cell>
          <cell r="C2601" t="str">
            <v xml:space="preserve"> Kepala Tukang</v>
          </cell>
          <cell r="E2601" t="str">
            <v>a  Rp.</v>
          </cell>
          <cell r="F2601">
            <v>36000</v>
          </cell>
          <cell r="H2601" t="str">
            <v xml:space="preserve"> = Rp.</v>
          </cell>
          <cell r="I2601">
            <v>2700</v>
          </cell>
        </row>
        <row r="2602">
          <cell r="B2602">
            <v>0.25</v>
          </cell>
          <cell r="C2602" t="str">
            <v xml:space="preserve"> Pekerja</v>
          </cell>
          <cell r="E2602" t="str">
            <v>a  Rp.</v>
          </cell>
          <cell r="F2602">
            <v>26000</v>
          </cell>
          <cell r="H2602" t="str">
            <v xml:space="preserve"> = Rp.</v>
          </cell>
          <cell r="I2602">
            <v>6500</v>
          </cell>
        </row>
        <row r="2603">
          <cell r="B2603">
            <v>1.2500000000000001E-2</v>
          </cell>
          <cell r="C2603" t="str">
            <v xml:space="preserve"> Mandor</v>
          </cell>
          <cell r="E2603" t="str">
            <v>a  Rp.</v>
          </cell>
          <cell r="F2603">
            <v>35000</v>
          </cell>
          <cell r="H2603" t="str">
            <v xml:space="preserve"> = Rp.</v>
          </cell>
          <cell r="I2603">
            <v>437.5</v>
          </cell>
        </row>
        <row r="2604">
          <cell r="H2604" t="str">
            <v xml:space="preserve"> = Rp.</v>
          </cell>
          <cell r="I2604">
            <v>32137.5</v>
          </cell>
        </row>
        <row r="2605">
          <cell r="H2605" t="str">
            <v xml:space="preserve"> = Rp.</v>
          </cell>
          <cell r="I2605">
            <v>32138</v>
          </cell>
        </row>
        <row r="2609">
          <cell r="A2609" t="str">
            <v>An, K. 36  (Mengkolter lantai jembatan kayu) / m2 :</v>
          </cell>
        </row>
        <row r="2611">
          <cell r="B2611">
            <v>0.05</v>
          </cell>
          <cell r="C2611" t="str">
            <v xml:space="preserve"> Pekerja</v>
          </cell>
          <cell r="E2611" t="str">
            <v>a  Rp.</v>
          </cell>
          <cell r="F2611">
            <v>26000</v>
          </cell>
          <cell r="H2611" t="str">
            <v xml:space="preserve"> = Rp.</v>
          </cell>
          <cell r="I2611">
            <v>1300</v>
          </cell>
        </row>
        <row r="2612">
          <cell r="B2612">
            <v>2.5000000000000001E-3</v>
          </cell>
          <cell r="C2612" t="str">
            <v xml:space="preserve"> Mandor</v>
          </cell>
          <cell r="E2612" t="str">
            <v>a  Rp.</v>
          </cell>
          <cell r="F2612">
            <v>35000</v>
          </cell>
          <cell r="H2612" t="str">
            <v xml:space="preserve"> = Rp.</v>
          </cell>
          <cell r="I2612">
            <v>87.5</v>
          </cell>
        </row>
        <row r="2613">
          <cell r="B2613">
            <v>0.1</v>
          </cell>
          <cell r="C2613" t="str">
            <v xml:space="preserve"> Kg Kolter</v>
          </cell>
          <cell r="E2613" t="str">
            <v>a  Rp.</v>
          </cell>
          <cell r="F2613">
            <v>22000</v>
          </cell>
          <cell r="H2613" t="str">
            <v xml:space="preserve"> = Rp.</v>
          </cell>
          <cell r="I2613">
            <v>2200</v>
          </cell>
        </row>
        <row r="2614">
          <cell r="H2614" t="str">
            <v xml:space="preserve"> = Rp.</v>
          </cell>
          <cell r="I2614">
            <v>3587.5</v>
          </cell>
        </row>
        <row r="2615">
          <cell r="H2615" t="str">
            <v xml:space="preserve"> = Rp.</v>
          </cell>
          <cell r="I2615">
            <v>3588</v>
          </cell>
        </row>
        <row r="2620">
          <cell r="A2620" t="str">
            <v xml:space="preserve"> An. K. 23  Upah mencat /100   m2  :</v>
          </cell>
          <cell r="F2620" t="str">
            <v>Bangun Purba - Sibanggor Jae</v>
          </cell>
        </row>
        <row r="2622">
          <cell r="B2622">
            <v>7.5</v>
          </cell>
          <cell r="C2622" t="str">
            <v xml:space="preserve"> Tukang C a t</v>
          </cell>
          <cell r="E2622" t="str">
            <v>a  Rp.</v>
          </cell>
          <cell r="F2622">
            <v>30000</v>
          </cell>
          <cell r="H2622" t="str">
            <v xml:space="preserve"> = Rp.</v>
          </cell>
          <cell r="I2622">
            <v>225000</v>
          </cell>
        </row>
        <row r="2623">
          <cell r="B2623">
            <v>0.75</v>
          </cell>
          <cell r="C2623" t="str">
            <v xml:space="preserve"> Kepala Tukang</v>
          </cell>
          <cell r="E2623" t="str">
            <v>a  Rp.</v>
          </cell>
          <cell r="F2623">
            <v>36000</v>
          </cell>
          <cell r="H2623" t="str">
            <v xml:space="preserve"> = Rp.</v>
          </cell>
          <cell r="I2623">
            <v>27000</v>
          </cell>
        </row>
        <row r="2624">
          <cell r="B2624">
            <v>5</v>
          </cell>
          <cell r="C2624" t="str">
            <v xml:space="preserve"> Pekerja</v>
          </cell>
          <cell r="E2624" t="str">
            <v>a  Rp.</v>
          </cell>
          <cell r="F2624">
            <v>26000</v>
          </cell>
          <cell r="H2624" t="str">
            <v xml:space="preserve"> = Rp.</v>
          </cell>
          <cell r="I2624">
            <v>130000</v>
          </cell>
        </row>
        <row r="2625">
          <cell r="B2625">
            <v>0.25</v>
          </cell>
          <cell r="C2625" t="str">
            <v xml:space="preserve"> Mandor</v>
          </cell>
          <cell r="E2625" t="str">
            <v>a  Rp.</v>
          </cell>
          <cell r="F2625">
            <v>35000</v>
          </cell>
          <cell r="H2625" t="str">
            <v xml:space="preserve"> = Rp.</v>
          </cell>
          <cell r="I2625">
            <v>8750</v>
          </cell>
        </row>
        <row r="2626">
          <cell r="H2626" t="str">
            <v xml:space="preserve"> = Rp.</v>
          </cell>
          <cell r="I2626">
            <v>390750</v>
          </cell>
        </row>
        <row r="2627">
          <cell r="A2627" t="str">
            <v xml:space="preserve">   1    m2</v>
          </cell>
          <cell r="C2627" t="str">
            <v xml:space="preserve"> =   1/100</v>
          </cell>
          <cell r="D2627" t="str">
            <v xml:space="preserve">                 x  Rp.</v>
          </cell>
          <cell r="F2627">
            <v>390750</v>
          </cell>
          <cell r="H2627" t="str">
            <v xml:space="preserve"> = Rp.</v>
          </cell>
          <cell r="I2627">
            <v>3907.5</v>
          </cell>
        </row>
        <row r="2628">
          <cell r="H2628" t="str">
            <v xml:space="preserve"> = Rp.</v>
          </cell>
          <cell r="I2628">
            <v>3908</v>
          </cell>
        </row>
        <row r="2632">
          <cell r="A2632" t="str">
            <v xml:space="preserve"> An. K. 2 /10   m2   (Mencat bahan)  :</v>
          </cell>
          <cell r="F2632" t="str">
            <v>Bangun Purba - Sibanggor Jae</v>
          </cell>
        </row>
        <row r="2634">
          <cell r="B2634">
            <v>0.33</v>
          </cell>
          <cell r="C2634" t="str">
            <v xml:space="preserve"> Minyak cat</v>
          </cell>
          <cell r="E2634" t="str">
            <v>a  Rp.</v>
          </cell>
          <cell r="F2634">
            <v>454500</v>
          </cell>
          <cell r="H2634" t="str">
            <v xml:space="preserve"> = Rp.</v>
          </cell>
          <cell r="I2634">
            <v>149985</v>
          </cell>
        </row>
        <row r="2635">
          <cell r="B2635">
            <v>1.5</v>
          </cell>
          <cell r="C2635" t="str">
            <v xml:space="preserve"> Cat Warna</v>
          </cell>
          <cell r="E2635" t="str">
            <v>a  Rp.</v>
          </cell>
          <cell r="F2635">
            <v>0</v>
          </cell>
          <cell r="H2635" t="str">
            <v xml:space="preserve"> = Rp.</v>
          </cell>
          <cell r="I2635">
            <v>0</v>
          </cell>
        </row>
        <row r="2636">
          <cell r="H2636" t="str">
            <v xml:space="preserve"> = Rp.</v>
          </cell>
          <cell r="I2636">
            <v>149985</v>
          </cell>
        </row>
        <row r="2637">
          <cell r="B2637">
            <v>1</v>
          </cell>
          <cell r="C2637" t="str">
            <v>m2</v>
          </cell>
          <cell r="D2637" t="str">
            <v>=   1/10</v>
          </cell>
          <cell r="E2637" t="str">
            <v>x  Rp.</v>
          </cell>
          <cell r="F2637">
            <v>149985</v>
          </cell>
          <cell r="H2637" t="str">
            <v xml:space="preserve"> = Rp.</v>
          </cell>
          <cell r="I2637">
            <v>14998.5</v>
          </cell>
        </row>
        <row r="2638">
          <cell r="B2638">
            <v>3</v>
          </cell>
          <cell r="C2638" t="str">
            <v>x Cat</v>
          </cell>
          <cell r="D2638" t="str">
            <v>=   3  x</v>
          </cell>
          <cell r="E2638" t="str">
            <v>x  Rp.</v>
          </cell>
          <cell r="F2638">
            <v>14998.5</v>
          </cell>
          <cell r="H2638" t="str">
            <v xml:space="preserve"> = Rp.</v>
          </cell>
          <cell r="I2638">
            <v>44995.5</v>
          </cell>
        </row>
        <row r="2642">
          <cell r="A2642" t="str">
            <v xml:space="preserve"> An. K. 3 / m2   = 1 1/2  x</v>
          </cell>
          <cell r="E2642" t="str">
            <v>a  Rp.</v>
          </cell>
          <cell r="F2642">
            <v>44995.5</v>
          </cell>
          <cell r="H2642" t="str">
            <v xml:space="preserve"> = Rp.</v>
          </cell>
          <cell r="I2642">
            <v>67493.25</v>
          </cell>
        </row>
        <row r="2645">
          <cell r="A2645" t="str">
            <v>Untuk mencat perak</v>
          </cell>
          <cell r="D2645" t="str">
            <v>K 3   +   K 23</v>
          </cell>
          <cell r="H2645" t="str">
            <v xml:space="preserve"> = Rp.</v>
          </cell>
          <cell r="I2645">
            <v>67493.25</v>
          </cell>
        </row>
        <row r="2646">
          <cell r="H2646" t="str">
            <v xml:space="preserve"> = Rp.</v>
          </cell>
          <cell r="I2646">
            <v>3908</v>
          </cell>
        </row>
        <row r="2647">
          <cell r="H2647" t="str">
            <v xml:space="preserve"> = Rp.</v>
          </cell>
          <cell r="I2647">
            <v>71401.25</v>
          </cell>
        </row>
        <row r="2648">
          <cell r="H2648" t="str">
            <v xml:space="preserve"> = Rp.</v>
          </cell>
          <cell r="I2648">
            <v>71401</v>
          </cell>
        </row>
      </sheetData>
      <sheetData sheetId="1"/>
      <sheetData sheetId="2"/>
      <sheetData sheetId="3" refreshError="1"/>
      <sheetData sheetId="4"/>
      <sheetData sheetId="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T"/>
      <sheetName val="BQ-MEC"/>
      <sheetName val="pr"/>
      <sheetName val="profit.Const"/>
      <sheetName val="SITE-E"/>
      <sheetName val="Sheet1"/>
      <sheetName val="MAKER"/>
      <sheetName val="SITE_E"/>
      <sheetName val="DAF-2"/>
      <sheetName val="Elektrikal"/>
      <sheetName val="BAHAN"/>
    </sheetNames>
    <sheetDataSet>
      <sheetData sheetId="0" refreshError="1"/>
      <sheetData sheetId="1"/>
      <sheetData sheetId="2" refreshError="1"/>
      <sheetData sheetId="3" refreshError="1"/>
      <sheetData sheetId="4" refreshError="1">
        <row r="40">
          <cell r="AI40">
            <v>0</v>
          </cell>
        </row>
        <row r="47">
          <cell r="AI47">
            <v>0</v>
          </cell>
        </row>
        <row r="52">
          <cell r="AI52">
            <v>0</v>
          </cell>
        </row>
        <row r="60">
          <cell r="AI60">
            <v>0</v>
          </cell>
        </row>
        <row r="88">
          <cell r="AI88">
            <v>0</v>
          </cell>
        </row>
        <row r="95">
          <cell r="AI95">
            <v>0</v>
          </cell>
        </row>
        <row r="104">
          <cell r="AI104">
            <v>0</v>
          </cell>
        </row>
        <row r="113">
          <cell r="AI113">
            <v>0</v>
          </cell>
        </row>
        <row r="122">
          <cell r="AI122">
            <v>0</v>
          </cell>
        </row>
        <row r="129">
          <cell r="AI129">
            <v>0</v>
          </cell>
        </row>
        <row r="138">
          <cell r="AI138">
            <v>0</v>
          </cell>
        </row>
        <row r="140">
          <cell r="AI140">
            <v>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Nolas"/>
      <sheetName val="K1 Durp"/>
      <sheetName val="PHM"/>
      <sheetName val="HBU"/>
      <sheetName val="ANALISA"/>
      <sheetName val="AN-K"/>
      <sheetName val="VOLUME"/>
      <sheetName val="RAB"/>
      <sheetName val="RINCI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ek Godang - Tambangan"/>
      <sheetName val="Mompang - Rumbio"/>
      <sheetName val="Pasarakat-Binanga"/>
      <sheetName val="Kp.Baru - Tambiski"/>
      <sheetName val="Simandolam-Mpotan"/>
      <sheetName val="Pungkut-Banyak(1)"/>
      <sheetName val="Pungkut-Banyak(2)"/>
      <sheetName val="Sipalangka"/>
      <sheetName val="Morsip Ht Julu"/>
      <sheetName val="AekPohon"/>
      <sheetName val="Binangap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18">
          <cell r="P118" t="str">
            <v>L 061</v>
          </cell>
          <cell r="Q118" t="str">
            <v xml:space="preserve">  Mandor</v>
          </cell>
          <cell r="T118">
            <v>35000</v>
          </cell>
        </row>
        <row r="119">
          <cell r="P119" t="str">
            <v>L 073</v>
          </cell>
          <cell r="Q119" t="str">
            <v xml:space="preserve">  Kepala Tukang</v>
          </cell>
          <cell r="T119">
            <v>36000</v>
          </cell>
        </row>
        <row r="120">
          <cell r="P120" t="str">
            <v>L 079</v>
          </cell>
          <cell r="Q120" t="str">
            <v xml:space="preserve">  Tukang</v>
          </cell>
          <cell r="T120">
            <v>30000</v>
          </cell>
        </row>
        <row r="121">
          <cell r="P121" t="str">
            <v>L 081</v>
          </cell>
          <cell r="Q121" t="str">
            <v xml:space="preserve">  Operator - Terlatih</v>
          </cell>
          <cell r="T121">
            <v>31000</v>
          </cell>
        </row>
        <row r="122">
          <cell r="P122" t="str">
            <v>L 082</v>
          </cell>
          <cell r="Q122" t="str">
            <v xml:space="preserve">  Operator - Semi Terlatih</v>
          </cell>
          <cell r="T122">
            <v>27500</v>
          </cell>
        </row>
        <row r="123">
          <cell r="P123" t="str">
            <v>L 083</v>
          </cell>
          <cell r="Q123" t="str">
            <v xml:space="preserve">  Pembantu Operator</v>
          </cell>
          <cell r="T123">
            <v>22000</v>
          </cell>
        </row>
        <row r="124">
          <cell r="P124" t="str">
            <v>L 091</v>
          </cell>
          <cell r="Q124" t="str">
            <v xml:space="preserve">  Sopir  Terampil</v>
          </cell>
          <cell r="T124">
            <v>27000</v>
          </cell>
        </row>
        <row r="125">
          <cell r="P125" t="str">
            <v>L 099</v>
          </cell>
          <cell r="Q125" t="str">
            <v xml:space="preserve">  Pembantu Sopir</v>
          </cell>
          <cell r="T125">
            <v>21000</v>
          </cell>
        </row>
        <row r="126">
          <cell r="P126" t="str">
            <v>L 101</v>
          </cell>
          <cell r="Q126" t="str">
            <v xml:space="preserve">  Buruh tak Terlatih</v>
          </cell>
          <cell r="T126">
            <v>20000</v>
          </cell>
        </row>
        <row r="127">
          <cell r="P127" t="str">
            <v>L 103</v>
          </cell>
          <cell r="Q127" t="str">
            <v xml:space="preserve">  Buruh semi Terlatih</v>
          </cell>
          <cell r="T127">
            <v>21000</v>
          </cell>
        </row>
        <row r="128">
          <cell r="P128" t="str">
            <v>L 106</v>
          </cell>
          <cell r="Q128" t="str">
            <v xml:space="preserve">  Buruh Terlatih</v>
          </cell>
          <cell r="T128">
            <v>26000</v>
          </cell>
        </row>
      </sheetData>
      <sheetData sheetId="9"/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MPULku"/>
      <sheetName val="Rekap"/>
      <sheetName val="RAB"/>
      <sheetName val="Volume"/>
      <sheetName val="Material"/>
      <sheetName val="BHN&amp;UPAH"/>
      <sheetName val="Alat"/>
      <sheetName val="Analisa"/>
      <sheetName val="ANALISA (2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58">
          <cell r="I58">
            <v>50788</v>
          </cell>
        </row>
        <row r="120">
          <cell r="I120">
            <v>40151</v>
          </cell>
        </row>
        <row r="183">
          <cell r="I183">
            <v>618181</v>
          </cell>
        </row>
      </sheetData>
      <sheetData sheetId="8">
        <row r="41">
          <cell r="F41">
            <v>193896</v>
          </cell>
        </row>
        <row r="73">
          <cell r="F73">
            <v>901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ASARANA"/>
      <sheetName val="R.KET+BP+OSIS+UKS"/>
      <sheetName val="3 R.KLS+KM"/>
      <sheetName val="MUSHOLLAH"/>
      <sheetName val="R.KEPSEK"/>
      <sheetName val="LAB.FISIKA"/>
      <sheetName val="R.LAB.KIMIA"/>
      <sheetName val="2 R.KLS"/>
      <sheetName val="3 R.KLS"/>
      <sheetName val="MEUBELAIR"/>
      <sheetName val="REKAPITULASI"/>
      <sheetName val="DATA1"/>
      <sheetName val="ANALISA PEK.UMUM"/>
      <sheetName val="ANALISA KONST BTN"/>
      <sheetName val="BAHAN"/>
      <sheetName val="UPAH"/>
      <sheetName val="SAT.PEK.UMUM "/>
      <sheetName val="SAT.PEK.KONST.BTN"/>
      <sheetName val="Sked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361">
          <cell r="G1361">
            <v>28160</v>
          </cell>
        </row>
        <row r="1372">
          <cell r="G1372">
            <v>30540</v>
          </cell>
        </row>
        <row r="1438">
          <cell r="G1438">
            <v>67760</v>
          </cell>
        </row>
        <row r="1460">
          <cell r="G1460">
            <v>48760</v>
          </cell>
        </row>
        <row r="1721">
          <cell r="G1721">
            <v>140030</v>
          </cell>
        </row>
        <row r="1733">
          <cell r="G1733">
            <v>256870</v>
          </cell>
        </row>
        <row r="1755">
          <cell r="G1755">
            <v>111120</v>
          </cell>
        </row>
        <row r="1784">
          <cell r="G1784">
            <v>103960</v>
          </cell>
        </row>
        <row r="2291">
          <cell r="G2291">
            <v>66970</v>
          </cell>
        </row>
        <row r="2298">
          <cell r="G2298">
            <v>95570</v>
          </cell>
        </row>
        <row r="2305">
          <cell r="G2305">
            <v>90290</v>
          </cell>
        </row>
        <row r="2312">
          <cell r="G2312">
            <v>105750</v>
          </cell>
        </row>
        <row r="2738">
          <cell r="G2738">
            <v>47000</v>
          </cell>
        </row>
        <row r="2745">
          <cell r="G2745">
            <v>66500</v>
          </cell>
        </row>
        <row r="2752">
          <cell r="G2752">
            <v>16300</v>
          </cell>
        </row>
        <row r="2759">
          <cell r="G2759">
            <v>170000</v>
          </cell>
        </row>
      </sheetData>
      <sheetData sheetId="14" refreshError="1"/>
      <sheetData sheetId="15" refreshError="1">
        <row r="150">
          <cell r="D150">
            <v>49900</v>
          </cell>
        </row>
        <row r="151">
          <cell r="D151">
            <v>65100</v>
          </cell>
        </row>
        <row r="152">
          <cell r="D152">
            <v>71900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(E) "/>
      <sheetName val="SRT"/>
      <sheetName val="ESCON"/>
      <sheetName val="SCOPE"/>
      <sheetName val="MAKER (E)"/>
      <sheetName val="MAKER"/>
      <sheetName val="SUM-PRO"/>
      <sheetName val="Sheet1"/>
      <sheetName val="BQ"/>
      <sheetName val="Pro(M)"/>
      <sheetName val="SEX"/>
      <sheetName val="DBP-E"/>
      <sheetName val="DBP-0900"/>
      <sheetName val="DBP-0200"/>
      <sheetName val="rab me (by owner) "/>
      <sheetName val="BQ (by owner)"/>
      <sheetName val="rab me (fisik)"/>
      <sheetName val="STR"/>
      <sheetName val="H.Satuan"/>
      <sheetName val="Bill Of Quantity"/>
      <sheetName val="L-Mechanical"/>
      <sheetName val="rab - persiapan &amp; lantai-1"/>
      <sheetName val="PC"/>
      <sheetName val="Balok"/>
      <sheetName val="Upah+Bahan"/>
      <sheetName val="GLP-DISCOUNT"/>
      <sheetName val="GLP 2001"/>
      <sheetName val="EE-PROP"/>
      <sheetName val="Mekanikal"/>
      <sheetName val="harsat"/>
      <sheetName val="FLAF&amp;PARTSI"/>
      <sheetName val="Analisa"/>
      <sheetName val="DAF-1"/>
      <sheetName val="BOQ INTERN"/>
      <sheetName val="HB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7">
          <cell r="P7" t="str">
            <v xml:space="preserve">B U D G E T A R Y 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  <sheetName val="CASHFLOW"/>
      <sheetName val="ASET"/>
      <sheetName val="LABA RUGI"/>
      <sheetName val="NERACA"/>
      <sheetName val="INVOICE"/>
      <sheetName val="Laporan Keuangan - Nonanan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r-banua.raja"/>
      <sheetName val="ringkas"/>
      <sheetName val="SCHE (2)"/>
    </sheetNames>
    <sheetDataSet>
      <sheetData sheetId="0"/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N.BARINGIN"/>
      <sheetName val="vol"/>
      <sheetName val="NOTA"/>
      <sheetName val="KOP"/>
      <sheetName val="K1"/>
      <sheetName val="ANG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emb.AekSayur"/>
      <sheetName val="RINGKAS"/>
      <sheetName val="SCHE (2)"/>
    </sheetNames>
    <sheetDataSet>
      <sheetData sheetId="0"/>
      <sheetData sheetId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ntah Lelang"/>
      <sheetName val="Undangan Persiapan"/>
      <sheetName val="BA Persiapan"/>
      <sheetName val="Undangan hps"/>
      <sheetName val="BA HPS"/>
      <sheetName val="Usulan Penetapan"/>
      <sheetName val="Penetapan HPS dll"/>
      <sheetName val="Jadwal"/>
      <sheetName val="Pengumuman lelang"/>
      <sheetName val="Pendaftaran"/>
      <sheetName val="Pemasukan Prakaf"/>
      <sheetName val="Sheet1"/>
      <sheetName val="INPUT"/>
      <sheetName val="BA PRAKAF"/>
      <sheetName val="Lamp BA Prakaf"/>
      <sheetName val="Undangan Pembuktian"/>
      <sheetName val="Lamp BAPP"/>
      <sheetName val="BAPP"/>
      <sheetName val="G"/>
      <sheetName val="GT"/>
      <sheetName val="Rinci GT"/>
      <sheetName val="Rekap"/>
      <sheetName val="Usulan Sampul1"/>
      <sheetName val="Penetapan Sampul1"/>
      <sheetName val="Pengumuman Sampul1"/>
      <sheetName val="Und SampulII"/>
      <sheetName val="Koreksi Aritmatik"/>
      <sheetName val="BA II"/>
      <sheetName val="Lamp BA Gab"/>
      <sheetName val="BA Gab"/>
      <sheetName val="BAHP"/>
      <sheetName val="Usulan Pemenang"/>
      <sheetName val="Penetapan Pemenang"/>
      <sheetName val="Pengumuman"/>
      <sheetName val="BA Sanggah"/>
      <sheetName val="Und Klarifikasi"/>
      <sheetName val="CT"/>
      <sheetName val="Klarifikasi"/>
      <sheetName val="BA Klarifikasi"/>
      <sheetName val="SPP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8">
          <cell r="H28" t="b">
            <v>1</v>
          </cell>
        </row>
      </sheetData>
      <sheetData sheetId="13"/>
      <sheetData sheetId="14"/>
      <sheetData sheetId="15"/>
      <sheetData sheetId="16">
        <row r="6">
          <cell r="AP6" t="str">
            <v xml:space="preserve">Keterangan </v>
          </cell>
        </row>
        <row r="7">
          <cell r="AP7" t="e">
            <v>#N/A</v>
          </cell>
        </row>
        <row r="8">
          <cell r="AP8" t="e">
            <v>#N/A</v>
          </cell>
        </row>
        <row r="9">
          <cell r="AP9" t="e">
            <v>#N/A</v>
          </cell>
        </row>
        <row r="10">
          <cell r="AP10" t="e">
            <v>#N/A</v>
          </cell>
        </row>
        <row r="11">
          <cell r="AP11" t="e">
            <v>#N/A</v>
          </cell>
        </row>
        <row r="12">
          <cell r="AP12" t="e">
            <v>#N/A</v>
          </cell>
        </row>
        <row r="13">
          <cell r="AP13" t="e">
            <v>#N/A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si"/>
      <sheetName val="Quarry"/>
      <sheetName val="PAL XI"/>
      <sheetName val="TA - TT"/>
    </sheetNames>
    <sheetDataSet>
      <sheetData sheetId="0">
        <row r="1">
          <cell r="A1" t="str">
            <v>INFORMASI  UMUM</v>
          </cell>
        </row>
        <row r="2">
          <cell r="A2" t="str">
            <v/>
          </cell>
        </row>
        <row r="4">
          <cell r="A4" t="str">
            <v>No.</v>
          </cell>
          <cell r="C4" t="str">
            <v>U R A I A N</v>
          </cell>
          <cell r="F4" t="str">
            <v>I N F O R M A S I</v>
          </cell>
        </row>
        <row r="7">
          <cell r="A7" t="str">
            <v>1.</v>
          </cell>
          <cell r="C7" t="str">
            <v>No. Paket Kontrak</v>
          </cell>
          <cell r="G7" t="str">
            <v>: -</v>
          </cell>
        </row>
        <row r="9">
          <cell r="A9" t="str">
            <v>2.</v>
          </cell>
          <cell r="C9" t="str">
            <v>Nama Paket</v>
          </cell>
          <cell r="G9" t="str">
            <v>: PEMBANGUNAN JALAN KABANJAHE - KUTABULUH ( EFF. 4,50 KM )</v>
          </cell>
        </row>
        <row r="11">
          <cell r="A11" t="str">
            <v>3.</v>
          </cell>
          <cell r="C11" t="str">
            <v>Propinsi / Kabupaten / Kotamadya</v>
          </cell>
          <cell r="G11" t="str">
            <v>: SUMATERA UTARA / KARO - DAIRI</v>
          </cell>
        </row>
        <row r="14">
          <cell r="A14" t="str">
            <v>4.</v>
          </cell>
          <cell r="C14" t="str">
            <v>Lokasi pekerjaan</v>
          </cell>
          <cell r="H14" t="str">
            <v>Periksa peta lokasi pekerjaan</v>
          </cell>
        </row>
        <row r="16">
          <cell r="A16" t="str">
            <v>5.</v>
          </cell>
          <cell r="C16" t="str">
            <v>Kondisi jalan lama</v>
          </cell>
        </row>
        <row r="18">
          <cell r="A18" t="str">
            <v>6.</v>
          </cell>
          <cell r="C18" t="str">
            <v>Panjang efektif</v>
          </cell>
          <cell r="D18" t="str">
            <v>( lihat sketsa di bawah )</v>
          </cell>
          <cell r="I18" t="str">
            <v>Kilometer  ( Leff  = a + b )</v>
          </cell>
        </row>
        <row r="20">
          <cell r="A20" t="str">
            <v>7.</v>
          </cell>
          <cell r="C20" t="str">
            <v>Lebar jalan lama</v>
          </cell>
          <cell r="D20" t="str">
            <v>( bahu + perkerasan + bahu )</v>
          </cell>
          <cell r="G20" t="str">
            <v>(</v>
          </cell>
          <cell r="H20" t="str">
            <v>Varies</v>
          </cell>
          <cell r="I20" t="str">
            <v>+</v>
          </cell>
          <cell r="J20" t="str">
            <v>Var</v>
          </cell>
          <cell r="K20" t="str">
            <v>+</v>
          </cell>
          <cell r="L20" t="str">
            <v>Varies</v>
          </cell>
          <cell r="M20" t="str">
            <v>)</v>
          </cell>
          <cell r="N20" t="str">
            <v xml:space="preserve"> meter</v>
          </cell>
        </row>
        <row r="22">
          <cell r="A22" t="str">
            <v>8.</v>
          </cell>
          <cell r="C22" t="str">
            <v>Lebar Rencana</v>
          </cell>
          <cell r="D22" t="str">
            <v>( bahu + perkerasan + bahu )</v>
          </cell>
          <cell r="G22" t="str">
            <v>(</v>
          </cell>
          <cell r="H22">
            <v>1</v>
          </cell>
          <cell r="I22" t="str">
            <v>+</v>
          </cell>
          <cell r="J22">
            <v>6</v>
          </cell>
          <cell r="K22" t="str">
            <v>+</v>
          </cell>
          <cell r="L22">
            <v>1</v>
          </cell>
          <cell r="M22" t="str">
            <v>)</v>
          </cell>
          <cell r="N22" t="str">
            <v xml:space="preserve"> meter</v>
          </cell>
        </row>
        <row r="24">
          <cell r="A24" t="str">
            <v>9.</v>
          </cell>
          <cell r="C24" t="str">
            <v>Penampang jalan, jenis dan volume pekerjaan pokok</v>
          </cell>
          <cell r="H24" t="str">
            <v>Lihat lampiran.</v>
          </cell>
        </row>
        <row r="26">
          <cell r="A26" t="str">
            <v>10.</v>
          </cell>
          <cell r="C26" t="str">
            <v>Jangka waktu pelaksanaan pekerjaan</v>
          </cell>
          <cell r="H26">
            <v>150</v>
          </cell>
          <cell r="I26" t="str">
            <v xml:space="preserve"> hari kalender</v>
          </cell>
        </row>
        <row r="27">
          <cell r="G27" t="str">
            <v>Atau :</v>
          </cell>
          <cell r="H27">
            <v>5</v>
          </cell>
          <cell r="I27" t="str">
            <v xml:space="preserve"> bulan</v>
          </cell>
        </row>
        <row r="30">
          <cell r="A30" t="str">
            <v>11.</v>
          </cell>
          <cell r="C30" t="str">
            <v>Jarak rata-rata Base Camp ke lokasi pekerjaan  ---&gt;</v>
          </cell>
          <cell r="G30" t="str">
            <v>L =</v>
          </cell>
          <cell r="H30">
            <v>81</v>
          </cell>
          <cell r="I30" t="str">
            <v xml:space="preserve"> Kilometer</v>
          </cell>
        </row>
        <row r="32">
          <cell r="C32" t="str">
            <v>Perhitungan didasarkan pada sketsa di bawah ini :</v>
          </cell>
          <cell r="G32" t="str">
            <v xml:space="preserve">L = { (26,00+ 52,5 +5,0/2) } </v>
          </cell>
        </row>
        <row r="49">
          <cell r="A49" t="str">
            <v>12.</v>
          </cell>
          <cell r="C49" t="str">
            <v>Jam kerja efektif dalam 1 hari</v>
          </cell>
          <cell r="H49">
            <v>7</v>
          </cell>
          <cell r="I49" t="str">
            <v xml:space="preserve"> jam</v>
          </cell>
        </row>
        <row r="50">
          <cell r="A50" t="str">
            <v>13.</v>
          </cell>
          <cell r="C50" t="str">
            <v>Asuransi, Pajak, dsb. untuk Peralatan</v>
          </cell>
          <cell r="H50">
            <v>2E-3</v>
          </cell>
          <cell r="I50" t="str">
            <v xml:space="preserve"> x  Harga Pokok Alat</v>
          </cell>
        </row>
        <row r="51">
          <cell r="A51" t="str">
            <v>14.</v>
          </cell>
          <cell r="C51" t="str">
            <v>Tingkat Suku Bunga Investasi Alat</v>
          </cell>
          <cell r="H51">
            <v>20</v>
          </cell>
          <cell r="I51" t="str">
            <v xml:space="preserve"> %</v>
          </cell>
        </row>
        <row r="52">
          <cell r="A52" t="str">
            <v>15.</v>
          </cell>
          <cell r="C52" t="str">
            <v>Biaya Umum dan Keuntungan</v>
          </cell>
          <cell r="H52">
            <v>10</v>
          </cell>
          <cell r="I52" t="str">
            <v xml:space="preserve"> % x Biaya Langsung</v>
          </cell>
        </row>
        <row r="55">
          <cell r="A55">
            <v>16</v>
          </cell>
          <cell r="C55" t="str">
            <v>Lokasi Quarry  :  GURU KUNAYAN</v>
          </cell>
          <cell r="H55" t="str">
            <v>Periksa lampiran.</v>
          </cell>
        </row>
        <row r="57">
          <cell r="A57">
            <v>17</v>
          </cell>
          <cell r="C57" t="str">
            <v>Lokasi Quarry  :  SUKA</v>
          </cell>
        </row>
      </sheetData>
      <sheetData sheetId="1"/>
      <sheetData sheetId="2"/>
      <sheetData sheetId="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ANGGARAN"/>
      <sheetName val="Sheet1"/>
      <sheetName val="analisa"/>
      <sheetName val="harga satuan"/>
      <sheetName val="RAB. al.2"/>
      <sheetName val="RAB. al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ah"/>
      <sheetName val="Material"/>
      <sheetName val="Peralatan"/>
      <sheetName val="AnalisaK(1)"/>
      <sheetName val="AnalisaK (2)"/>
      <sheetName val="AnalisaK"/>
    </sheetNames>
    <sheetDataSet>
      <sheetData sheetId="0" refreshError="1">
        <row r="14">
          <cell r="C14" t="str">
            <v>L 061</v>
          </cell>
          <cell r="D14" t="str">
            <v xml:space="preserve">  Mandor</v>
          </cell>
          <cell r="G14">
            <v>40000</v>
          </cell>
        </row>
        <row r="15">
          <cell r="C15" t="str">
            <v>L 073</v>
          </cell>
          <cell r="D15" t="str">
            <v xml:space="preserve">  Kepala Tukang</v>
          </cell>
          <cell r="G15">
            <v>41000</v>
          </cell>
        </row>
        <row r="16">
          <cell r="C16" t="str">
            <v>L 079</v>
          </cell>
          <cell r="D16" t="str">
            <v xml:space="preserve">  Tukang</v>
          </cell>
          <cell r="G16">
            <v>35000</v>
          </cell>
        </row>
        <row r="17">
          <cell r="C17" t="str">
            <v>L 081</v>
          </cell>
          <cell r="D17" t="str">
            <v xml:space="preserve">  Operator - Terlatih</v>
          </cell>
          <cell r="G17">
            <v>32000</v>
          </cell>
        </row>
        <row r="18">
          <cell r="C18" t="str">
            <v>L 082</v>
          </cell>
          <cell r="D18" t="str">
            <v xml:space="preserve">  Operator - Semi Terlatih</v>
          </cell>
          <cell r="G18">
            <v>30000</v>
          </cell>
        </row>
        <row r="19">
          <cell r="C19" t="str">
            <v>L 083</v>
          </cell>
          <cell r="D19" t="str">
            <v xml:space="preserve">  Pembantu Operator</v>
          </cell>
          <cell r="G19">
            <v>26000</v>
          </cell>
        </row>
        <row r="20">
          <cell r="C20" t="str">
            <v>L 091</v>
          </cell>
          <cell r="D20" t="str">
            <v xml:space="preserve">  Sopir  Terampil</v>
          </cell>
          <cell r="G20">
            <v>30000</v>
          </cell>
        </row>
        <row r="21">
          <cell r="C21" t="str">
            <v>L 099</v>
          </cell>
          <cell r="D21" t="str">
            <v xml:space="preserve">  Pembantu Sopir</v>
          </cell>
          <cell r="G21">
            <v>26000</v>
          </cell>
        </row>
        <row r="22">
          <cell r="C22" t="str">
            <v>L 101</v>
          </cell>
          <cell r="D22" t="str">
            <v xml:space="preserve">  Buruh tak Terlatih</v>
          </cell>
          <cell r="G22">
            <v>22000</v>
          </cell>
        </row>
        <row r="23">
          <cell r="C23" t="str">
            <v>L 103</v>
          </cell>
          <cell r="D23" t="str">
            <v xml:space="preserve">  Buruh semi Terlatih</v>
          </cell>
          <cell r="G23">
            <v>25000</v>
          </cell>
        </row>
        <row r="24">
          <cell r="C24" t="str">
            <v>L 106</v>
          </cell>
          <cell r="D24" t="str">
            <v xml:space="preserve">  Buruh Terlatih</v>
          </cell>
          <cell r="G24">
            <v>30000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ek Godang - Tambangan"/>
      <sheetName val="Mompang - Rumbio"/>
      <sheetName val="Pasarakat-Binanga"/>
      <sheetName val="Kp.Baru - Tambiski"/>
      <sheetName val="Simandolam-Mpotan"/>
      <sheetName val="Pungkut-Banyak(1)"/>
      <sheetName val="Pungkut-Banyak(2)"/>
      <sheetName val="Sipalangka"/>
      <sheetName val="Morsip Ht Julu"/>
      <sheetName val="AekPohon"/>
      <sheetName val="Binangap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89">
          <cell r="BM289" t="str">
            <v xml:space="preserve"> DIREKTORAT JENDERAL BINA MARGA</v>
          </cell>
        </row>
        <row r="290">
          <cell r="BM290" t="str">
            <v xml:space="preserve"> DIREKTORAT BINA PROGRAM JALAN</v>
          </cell>
          <cell r="BR290" t="str">
            <v>ANALISA HARGA SATUAN</v>
          </cell>
          <cell r="BV290" t="str">
            <v>K O D E</v>
          </cell>
        </row>
        <row r="291">
          <cell r="BM291" t="str">
            <v xml:space="preserve"> SUB DIT. PERENC. JALAN LOKAL &amp;</v>
          </cell>
          <cell r="BR291" t="str">
            <v>Galian Tanah untuk Konstruksi</v>
          </cell>
          <cell r="BV291" t="str">
            <v>K 224</v>
          </cell>
        </row>
        <row r="292">
          <cell r="BM292" t="str">
            <v xml:space="preserve"> KABUPATEN</v>
          </cell>
          <cell r="BR292" t="str">
            <v>(Menggunakan Buruh)</v>
          </cell>
        </row>
        <row r="293">
          <cell r="BM293" t="str">
            <v>Propinsi</v>
          </cell>
          <cell r="BO293" t="str">
            <v>Kode</v>
          </cell>
          <cell r="BP293" t="str">
            <v>Kabupaten</v>
          </cell>
          <cell r="BS293" t="str">
            <v>Kode</v>
          </cell>
          <cell r="BT293" t="str">
            <v>Disiapkan Oleh</v>
          </cell>
          <cell r="BV293" t="str">
            <v>Tanggal</v>
          </cell>
        </row>
        <row r="294">
          <cell r="BM294" t="str">
            <v>Sumatera Utara</v>
          </cell>
          <cell r="BO294">
            <v>12</v>
          </cell>
          <cell r="BP294" t="str">
            <v>Mandailing Natal</v>
          </cell>
          <cell r="BS294" t="str">
            <v>02</v>
          </cell>
          <cell r="BT294" t="str">
            <v>CV. Citra Pramatra</v>
          </cell>
          <cell r="BV294" t="str">
            <v xml:space="preserve"> - Maret 2003</v>
          </cell>
        </row>
        <row r="296">
          <cell r="BM296" t="str">
            <v xml:space="preserve"> URAIAN :</v>
          </cell>
          <cell r="BR296" t="str">
            <v xml:space="preserve"> ANGGAPAN / ASUMSI</v>
          </cell>
        </row>
        <row r="297">
          <cell r="BM297" t="str">
            <v xml:space="preserve"> 1. Digali dengan tenaga manusia</v>
          </cell>
          <cell r="BR297" t="str">
            <v xml:space="preserve"> 1. Menggunakan tenaga manusia (40m3/hari)</v>
          </cell>
        </row>
        <row r="298">
          <cell r="BM298" t="str">
            <v xml:space="preserve"> 2. Membuang tanah galian sejauh 30 m dari lubang</v>
          </cell>
          <cell r="BR298" t="str">
            <v xml:space="preserve"> 2. Kapasitas kerja per orang 1,3m3/hari</v>
          </cell>
        </row>
        <row r="299">
          <cell r="BM299" t="str">
            <v xml:space="preserve">    galian</v>
          </cell>
          <cell r="BR299" t="str">
            <v xml:space="preserve"> 3. Kedalaman rata-rata galian s/d  3m</v>
          </cell>
        </row>
        <row r="300">
          <cell r="BR300" t="str">
            <v xml:space="preserve"> 4. Umur alat bantu rata-rata 1 bulan/orang/set @ 3 alat</v>
          </cell>
        </row>
        <row r="302">
          <cell r="BR302" t="str">
            <v/>
          </cell>
        </row>
        <row r="303">
          <cell r="BM303" t="str">
            <v/>
          </cell>
        </row>
        <row r="305">
          <cell r="BR305" t="str">
            <v/>
          </cell>
          <cell r="BS305" t="str">
            <v/>
          </cell>
        </row>
        <row r="306">
          <cell r="BR306" t="str">
            <v/>
          </cell>
        </row>
        <row r="308">
          <cell r="BN308" t="str">
            <v>P e k e r j a</v>
          </cell>
          <cell r="BP308" t="str">
            <v>Jumlah</v>
          </cell>
          <cell r="BQ308" t="str">
            <v>Hari</v>
          </cell>
          <cell r="BR308" t="str">
            <v>Kode</v>
          </cell>
          <cell r="BS308" t="str">
            <v>Jumlah</v>
          </cell>
          <cell r="BT308" t="str">
            <v>Upah</v>
          </cell>
          <cell r="BU308" t="str">
            <v>Biaya</v>
          </cell>
          <cell r="BV308" t="str">
            <v>Sub Total</v>
          </cell>
        </row>
        <row r="309">
          <cell r="BP309" t="str">
            <v>Orang</v>
          </cell>
          <cell r="BS309" t="str">
            <v>Hr - Org</v>
          </cell>
          <cell r="BT309" t="str">
            <v>(Rp./Org/Hr)</v>
          </cell>
          <cell r="BU309" t="str">
            <v>(Rp.)</v>
          </cell>
          <cell r="BV309" t="str">
            <v>(Rp.)</v>
          </cell>
        </row>
        <row r="311">
          <cell r="BM311" t="str">
            <v>P</v>
          </cell>
          <cell r="BN311" t="str">
            <v xml:space="preserve">  Mandor</v>
          </cell>
          <cell r="BP311">
            <v>1</v>
          </cell>
          <cell r="BQ311">
            <v>1</v>
          </cell>
          <cell r="BR311" t="str">
            <v>L 061</v>
          </cell>
          <cell r="BS311">
            <v>1</v>
          </cell>
          <cell r="BT311">
            <v>35000</v>
          </cell>
          <cell r="BU311">
            <v>35000</v>
          </cell>
        </row>
        <row r="312">
          <cell r="BM312" t="str">
            <v>E</v>
          </cell>
        </row>
        <row r="313">
          <cell r="BM313" t="str">
            <v>K</v>
          </cell>
          <cell r="BN313" t="str">
            <v xml:space="preserve">  Buruh tak Terlatih</v>
          </cell>
          <cell r="BP313">
            <v>30</v>
          </cell>
          <cell r="BQ313">
            <v>1</v>
          </cell>
          <cell r="BR313" t="str">
            <v>L 101</v>
          </cell>
          <cell r="BS313">
            <v>30</v>
          </cell>
          <cell r="BT313">
            <v>20000</v>
          </cell>
          <cell r="BU313">
            <v>600000</v>
          </cell>
        </row>
        <row r="314">
          <cell r="BM314" t="str">
            <v>E</v>
          </cell>
        </row>
        <row r="315">
          <cell r="BM315" t="str">
            <v>R</v>
          </cell>
        </row>
        <row r="316">
          <cell r="BM316" t="str">
            <v>J</v>
          </cell>
        </row>
        <row r="317">
          <cell r="BM317" t="str">
            <v>A</v>
          </cell>
        </row>
        <row r="319">
          <cell r="BU319" t="str">
            <v>Pekerja</v>
          </cell>
          <cell r="BV319">
            <v>635000</v>
          </cell>
        </row>
        <row r="320">
          <cell r="BN320" t="str">
            <v>M a t e r i a l</v>
          </cell>
          <cell r="BP320" t="str">
            <v>Jumlah</v>
          </cell>
          <cell r="BQ320" t="str">
            <v>Satuan</v>
          </cell>
          <cell r="BR320" t="str">
            <v>Kode</v>
          </cell>
          <cell r="BT320" t="str">
            <v>Harga</v>
          </cell>
          <cell r="BU320" t="str">
            <v>Biaya</v>
          </cell>
          <cell r="BV320" t="str">
            <v>Sub Total</v>
          </cell>
        </row>
        <row r="321">
          <cell r="BT321" t="str">
            <v>(Rp./Unit)</v>
          </cell>
          <cell r="BU321" t="str">
            <v xml:space="preserve"> (Rp.)</v>
          </cell>
          <cell r="BV321" t="str">
            <v>(Rp.)</v>
          </cell>
        </row>
        <row r="323">
          <cell r="BM323" t="str">
            <v>M</v>
          </cell>
          <cell r="BN323" t="str">
            <v xml:space="preserve"> Alat Bantu ( set @ 3 alat )</v>
          </cell>
          <cell r="BP323">
            <v>1.2</v>
          </cell>
          <cell r="BQ323" t="str">
            <v>Set</v>
          </cell>
          <cell r="BR323" t="str">
            <v>M 170</v>
          </cell>
          <cell r="BT323">
            <v>67500</v>
          </cell>
          <cell r="BU323">
            <v>81000</v>
          </cell>
        </row>
        <row r="324">
          <cell r="BM324" t="str">
            <v>A</v>
          </cell>
        </row>
        <row r="325">
          <cell r="BM325" t="str">
            <v>T</v>
          </cell>
        </row>
        <row r="326">
          <cell r="BM326" t="str">
            <v>E</v>
          </cell>
        </row>
        <row r="327">
          <cell r="BM327" t="str">
            <v>R</v>
          </cell>
        </row>
        <row r="328">
          <cell r="BM328" t="str">
            <v>I</v>
          </cell>
        </row>
        <row r="329">
          <cell r="BM329" t="str">
            <v>A</v>
          </cell>
        </row>
        <row r="330">
          <cell r="BM330" t="str">
            <v>L</v>
          </cell>
        </row>
        <row r="331">
          <cell r="BU331" t="str">
            <v>Material</v>
          </cell>
          <cell r="BV331">
            <v>81000</v>
          </cell>
        </row>
        <row r="332">
          <cell r="BN332" t="str">
            <v>P e r a l a t a n</v>
          </cell>
          <cell r="BP332" t="str">
            <v>Jumlah</v>
          </cell>
          <cell r="BQ332" t="str">
            <v xml:space="preserve">Hari </v>
          </cell>
          <cell r="BR332" t="str">
            <v>Kode</v>
          </cell>
          <cell r="BS332" t="str">
            <v>Jam</v>
          </cell>
          <cell r="BT332" t="str">
            <v>Harga</v>
          </cell>
          <cell r="BU332" t="str">
            <v>Biaya</v>
          </cell>
          <cell r="BV332" t="str">
            <v>Sub Total</v>
          </cell>
        </row>
        <row r="333">
          <cell r="BP333" t="str">
            <v>Alat</v>
          </cell>
          <cell r="BQ333" t="str">
            <v>Kerja</v>
          </cell>
          <cell r="BS333" t="str">
            <v>Kerja</v>
          </cell>
          <cell r="BT333" t="str">
            <v>(Rp./jam)</v>
          </cell>
          <cell r="BU333" t="str">
            <v>(Rp.)</v>
          </cell>
          <cell r="BV333" t="str">
            <v>(Rp.)</v>
          </cell>
        </row>
        <row r="334">
          <cell r="BM334" t="str">
            <v>P</v>
          </cell>
        </row>
        <row r="335">
          <cell r="BM335" t="str">
            <v>E</v>
          </cell>
        </row>
        <row r="336">
          <cell r="BM336" t="str">
            <v>R</v>
          </cell>
        </row>
        <row r="337">
          <cell r="BM337" t="str">
            <v>A</v>
          </cell>
        </row>
        <row r="338">
          <cell r="BM338" t="str">
            <v>L</v>
          </cell>
        </row>
        <row r="339">
          <cell r="BM339" t="str">
            <v>A</v>
          </cell>
        </row>
        <row r="340">
          <cell r="BM340" t="str">
            <v>T</v>
          </cell>
        </row>
        <row r="341">
          <cell r="BM341" t="str">
            <v>A</v>
          </cell>
        </row>
        <row r="342">
          <cell r="BM342" t="str">
            <v>N</v>
          </cell>
        </row>
        <row r="343">
          <cell r="BU343" t="str">
            <v>Peralatan</v>
          </cell>
          <cell r="BV343">
            <v>0</v>
          </cell>
        </row>
        <row r="344">
          <cell r="BU344" t="str">
            <v>TOTAL(Rp.)</v>
          </cell>
          <cell r="BV344">
            <v>716000</v>
          </cell>
        </row>
        <row r="346">
          <cell r="BM346" t="str">
            <v>VOLUME</v>
          </cell>
          <cell r="BO346">
            <v>40</v>
          </cell>
          <cell r="BP346" t="str">
            <v>m3</v>
          </cell>
          <cell r="BS346" t="str">
            <v>HARGA SATUAN Rp.</v>
          </cell>
          <cell r="BU346">
            <v>17900</v>
          </cell>
          <cell r="BV346" t="str">
            <v>Per m3</v>
          </cell>
        </row>
      </sheetData>
      <sheetData sheetId="9"/>
      <sheetData sheetId="1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no srt"/>
      <sheetName val="Barang"/>
      <sheetName val="JDWL"/>
      <sheetName val="Perintah"/>
      <sheetName val="HPS"/>
      <sheetName val="HPS (2)"/>
      <sheetName val="Und. Persiapan"/>
      <sheetName val="B.A. Persiapan"/>
      <sheetName val="Jadwal"/>
      <sheetName val="BA Pendaftaran Prakaf"/>
      <sheetName val="BA Pemasukan Prakaf"/>
      <sheetName val="Und. Evaluasi prakaf"/>
      <sheetName val="B.A. Kualifikasi"/>
      <sheetName val="Kual 2"/>
      <sheetName val="Und. Pembuktian"/>
      <sheetName val="B.A. Pembuktian"/>
      <sheetName val="B.A. Penetapan kUAL"/>
      <sheetName val="Und. Penjelasan"/>
      <sheetName val="B.A. Pembuktian (2)"/>
      <sheetName val="Dftr hadir"/>
      <sheetName val="Und. SPH"/>
      <sheetName val="BA Pemasukan PENAWARAN"/>
      <sheetName val="B.A. SPH"/>
      <sheetName val="Dftr hadir (2)"/>
      <sheetName val="Und. Evaluasi"/>
      <sheetName val="B.A. Adm"/>
      <sheetName val="Adm 1"/>
      <sheetName val="B.A. Teknis"/>
      <sheetName val="Teknis 1"/>
      <sheetName val="B.A. Harga"/>
      <sheetName val="Harga 1"/>
      <sheetName val="Und. nego"/>
      <sheetName val="B.A. Nego"/>
      <sheetName val="Dftr hadir (3)"/>
      <sheetName val="BAHP"/>
      <sheetName val="B.A. Penetapan"/>
      <sheetName val="Umum Pemenang lpse"/>
      <sheetName val="Und. Sanggah"/>
      <sheetName val="B.A. Sanggah"/>
      <sheetName val="Usulan SPPBJ"/>
      <sheetName val="Sheet1"/>
    </sheetNames>
    <sheetDataSet>
      <sheetData sheetId="0">
        <row r="15">
          <cell r="G15" t="str">
            <v>http://lpse.depok.go.id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Sinonoan"/>
      <sheetName val="RINGKAS"/>
      <sheetName val="Surat"/>
      <sheetName val="SCHE"/>
      <sheetName val="SCHE (2)"/>
    </sheetNames>
    <sheetDataSet>
      <sheetData sheetId="0">
        <row r="1792">
          <cell r="A1792" t="str">
            <v>Bangun Purba - Sibanggor Jae</v>
          </cell>
        </row>
        <row r="1793">
          <cell r="A1793" t="str">
            <v>DIREKTORAT JENDERAL BINA MARGA</v>
          </cell>
        </row>
        <row r="1794">
          <cell r="A1794" t="str">
            <v>DIREKTORAT BINA PROGRAM JALAN</v>
          </cell>
          <cell r="G1794" t="str">
            <v>ANALISA  HARGA  SATUAN</v>
          </cell>
          <cell r="K1794" t="str">
            <v>K O D E</v>
          </cell>
        </row>
        <row r="1795">
          <cell r="A1795" t="str">
            <v>SUB DIT. PERENC. JALAN LOKAL &amp;</v>
          </cell>
          <cell r="G1795" t="str">
            <v xml:space="preserve">Lapis Aspal Pelekat </v>
          </cell>
          <cell r="K1795" t="str">
            <v>K 620</v>
          </cell>
        </row>
        <row r="1796">
          <cell r="A1796" t="str">
            <v>KABUPATEN</v>
          </cell>
          <cell r="G1796" t="str">
            <v>( TAEC COAT )</v>
          </cell>
        </row>
        <row r="1797">
          <cell r="A1797" t="str">
            <v>Propinsi</v>
          </cell>
          <cell r="D1797" t="str">
            <v>Kode</v>
          </cell>
          <cell r="E1797" t="str">
            <v>Kabupaten</v>
          </cell>
          <cell r="H1797" t="str">
            <v>Kode</v>
          </cell>
          <cell r="I1797" t="str">
            <v>Disiapkan  Oleh</v>
          </cell>
          <cell r="K1797" t="str">
            <v>Tanggal</v>
          </cell>
        </row>
        <row r="1798">
          <cell r="A1798" t="str">
            <v>Sumatera Utara</v>
          </cell>
          <cell r="D1798" t="str">
            <v>12</v>
          </cell>
          <cell r="E1798" t="str">
            <v>Mandailing Natal</v>
          </cell>
        </row>
        <row r="1800">
          <cell r="A1800" t="str">
            <v xml:space="preserve"> URAIAN  :</v>
          </cell>
          <cell r="G1800" t="str">
            <v xml:space="preserve"> ANGGAPAN / ASUMSI  :</v>
          </cell>
        </row>
        <row r="1801">
          <cell r="A1801" t="str">
            <v xml:space="preserve"> 1. Pekerjaan harus dilaksanakan sesuai Bab 6.2 Spek. Umum</v>
          </cell>
          <cell r="G1801" t="str">
            <v xml:space="preserve"> 1. Harga bahan, prongko ( siap dilokasi )</v>
          </cell>
        </row>
        <row r="1802">
          <cell r="A1802" t="str">
            <v xml:space="preserve">     Jalan Kabupaten B.M Maret 92.</v>
          </cell>
          <cell r="G1802" t="str">
            <v xml:space="preserve"> 2. Perbandingan aspal dengan minyak tanah = 100 bagian aspal </v>
          </cell>
        </row>
        <row r="1803">
          <cell r="A1803" t="str">
            <v xml:space="preserve"> 2. Tingkat penyemprotan 10 km/m2 disemprot mempergunakan</v>
          </cell>
          <cell r="G1803" t="str">
            <v xml:space="preserve">     100 bagian minyak tanah berdasarkan berat.</v>
          </cell>
        </row>
        <row r="1804">
          <cell r="A1804" t="str">
            <v xml:space="preserve">      mesin penyemprot aspal.</v>
          </cell>
          <cell r="G1804" t="str">
            <v xml:space="preserve"> 3. Berat jenis minyak tanah = 0,86</v>
          </cell>
        </row>
        <row r="1812">
          <cell r="B1812" t="str">
            <v>P e k e r j a</v>
          </cell>
          <cell r="E1812" t="str">
            <v>Jumlah</v>
          </cell>
          <cell r="F1812" t="str">
            <v>Hari</v>
          </cell>
          <cell r="G1812" t="str">
            <v>Kode</v>
          </cell>
          <cell r="H1812" t="str">
            <v>Jumlah</v>
          </cell>
          <cell r="I1812" t="str">
            <v>Upah</v>
          </cell>
          <cell r="J1812" t="str">
            <v>Biaya</v>
          </cell>
          <cell r="K1812" t="str">
            <v>Sub Total</v>
          </cell>
        </row>
        <row r="1813">
          <cell r="E1813" t="str">
            <v>Orang</v>
          </cell>
          <cell r="H1813" t="str">
            <v>Hr-Org</v>
          </cell>
          <cell r="I1813" t="str">
            <v>(Rp./Org/Hr)</v>
          </cell>
          <cell r="J1813" t="str">
            <v>(Rp.)</v>
          </cell>
          <cell r="K1813" t="str">
            <v>(Rp.)</v>
          </cell>
        </row>
        <row r="1815">
          <cell r="A1815" t="str">
            <v>P</v>
          </cell>
          <cell r="B1815" t="str">
            <v xml:space="preserve"> Mandor</v>
          </cell>
          <cell r="E1815">
            <v>1</v>
          </cell>
          <cell r="F1815">
            <v>50</v>
          </cell>
          <cell r="G1815" t="str">
            <v>L 061</v>
          </cell>
          <cell r="H1815">
            <v>50</v>
          </cell>
          <cell r="I1815">
            <v>35000</v>
          </cell>
          <cell r="J1815">
            <v>1750000</v>
          </cell>
        </row>
        <row r="1816">
          <cell r="A1816" t="str">
            <v>E</v>
          </cell>
          <cell r="B1816" t="str">
            <v xml:space="preserve"> Operator terampil</v>
          </cell>
          <cell r="E1816">
            <v>1</v>
          </cell>
          <cell r="F1816">
            <v>1</v>
          </cell>
          <cell r="G1816" t="str">
            <v>L 081</v>
          </cell>
          <cell r="H1816">
            <v>1</v>
          </cell>
          <cell r="I1816">
            <v>31000</v>
          </cell>
          <cell r="J1816">
            <v>31000</v>
          </cell>
        </row>
        <row r="1817">
          <cell r="A1817" t="str">
            <v>K</v>
          </cell>
          <cell r="B1817" t="str">
            <v xml:space="preserve"> Pembantu Operator </v>
          </cell>
          <cell r="E1817">
            <v>1</v>
          </cell>
          <cell r="F1817">
            <v>1</v>
          </cell>
          <cell r="G1817" t="str">
            <v>L 083</v>
          </cell>
          <cell r="H1817">
            <v>1</v>
          </cell>
          <cell r="I1817">
            <v>22000</v>
          </cell>
          <cell r="J1817">
            <v>22000</v>
          </cell>
        </row>
        <row r="1818">
          <cell r="A1818" t="str">
            <v>E</v>
          </cell>
          <cell r="B1818" t="str">
            <v xml:space="preserve"> Buruh tak terampil</v>
          </cell>
          <cell r="E1818">
            <v>2</v>
          </cell>
          <cell r="F1818">
            <v>1</v>
          </cell>
          <cell r="G1818" t="str">
            <v>L 101</v>
          </cell>
          <cell r="H1818">
            <v>2</v>
          </cell>
          <cell r="I1818">
            <v>20000</v>
          </cell>
          <cell r="J1818">
            <v>40000</v>
          </cell>
        </row>
        <row r="1819">
          <cell r="A1819" t="str">
            <v>R</v>
          </cell>
        </row>
        <row r="1820">
          <cell r="A1820" t="str">
            <v>J</v>
          </cell>
        </row>
        <row r="1821">
          <cell r="A1821" t="str">
            <v>A</v>
          </cell>
        </row>
        <row r="1824">
          <cell r="J1824" t="str">
            <v>Pekerja</v>
          </cell>
          <cell r="K1824">
            <v>1843000</v>
          </cell>
        </row>
        <row r="1825">
          <cell r="B1825" t="str">
            <v>M a t e r i a l</v>
          </cell>
          <cell r="E1825" t="str">
            <v>Jumlah</v>
          </cell>
          <cell r="F1825" t="str">
            <v>Satuan</v>
          </cell>
          <cell r="G1825" t="str">
            <v>Kode</v>
          </cell>
          <cell r="H1825" t="str">
            <v>Total</v>
          </cell>
          <cell r="I1825" t="str">
            <v>Harga</v>
          </cell>
          <cell r="J1825" t="str">
            <v>Biaya</v>
          </cell>
          <cell r="K1825" t="str">
            <v>Sub Total</v>
          </cell>
        </row>
        <row r="1826">
          <cell r="H1826" t="str">
            <v>Volume</v>
          </cell>
          <cell r="I1826" t="str">
            <v>(Rp./Unit)</v>
          </cell>
          <cell r="J1826" t="str">
            <v>(Rp.)</v>
          </cell>
          <cell r="K1826" t="str">
            <v>(Rp.)</v>
          </cell>
        </row>
        <row r="1828">
          <cell r="A1828" t="str">
            <v>M</v>
          </cell>
          <cell r="B1828" t="str">
            <v xml:space="preserve"> Aspal</v>
          </cell>
          <cell r="F1828" t="str">
            <v>kg</v>
          </cell>
          <cell r="G1828" t="str">
            <v>M 061</v>
          </cell>
          <cell r="H1828">
            <v>98</v>
          </cell>
          <cell r="I1828">
            <v>7100</v>
          </cell>
          <cell r="J1828">
            <v>695800</v>
          </cell>
        </row>
        <row r="1829">
          <cell r="A1829" t="str">
            <v>A</v>
          </cell>
          <cell r="B1829" t="str">
            <v xml:space="preserve"> Minyak pengencer</v>
          </cell>
          <cell r="F1829" t="str">
            <v>ltr</v>
          </cell>
          <cell r="G1829" t="str">
            <v>M 065</v>
          </cell>
          <cell r="H1829">
            <v>29</v>
          </cell>
          <cell r="I1829">
            <v>550</v>
          </cell>
          <cell r="J1829">
            <v>15950</v>
          </cell>
        </row>
        <row r="1830">
          <cell r="A1830" t="str">
            <v>T</v>
          </cell>
          <cell r="B1830" t="str">
            <v xml:space="preserve"> Alat  bantu ( set 3 @ alat )</v>
          </cell>
          <cell r="F1830" t="str">
            <v>set</v>
          </cell>
          <cell r="G1830" t="str">
            <v>M 170</v>
          </cell>
          <cell r="H1830">
            <v>0.08</v>
          </cell>
          <cell r="I1830">
            <v>67500</v>
          </cell>
          <cell r="J1830">
            <v>5400</v>
          </cell>
        </row>
        <row r="1831">
          <cell r="A1831" t="str">
            <v>E</v>
          </cell>
        </row>
        <row r="1832">
          <cell r="A1832" t="str">
            <v>R</v>
          </cell>
        </row>
        <row r="1833">
          <cell r="A1833" t="str">
            <v>I</v>
          </cell>
        </row>
        <row r="1834">
          <cell r="A1834" t="str">
            <v>A</v>
          </cell>
        </row>
        <row r="1835">
          <cell r="A1835" t="str">
            <v>L</v>
          </cell>
        </row>
        <row r="1836">
          <cell r="J1836" t="str">
            <v>Material</v>
          </cell>
          <cell r="K1836">
            <v>717150</v>
          </cell>
        </row>
        <row r="1837">
          <cell r="B1837" t="str">
            <v>P e r a l a t a n</v>
          </cell>
          <cell r="E1837" t="str">
            <v>Jumlah</v>
          </cell>
          <cell r="F1837" t="str">
            <v>Hari</v>
          </cell>
          <cell r="G1837" t="str">
            <v>Kode</v>
          </cell>
          <cell r="H1837" t="str">
            <v>Jam</v>
          </cell>
          <cell r="I1837" t="str">
            <v>Harga</v>
          </cell>
          <cell r="J1837" t="str">
            <v>Biaya</v>
          </cell>
          <cell r="K1837" t="str">
            <v>Sub Total</v>
          </cell>
        </row>
        <row r="1838">
          <cell r="E1838" t="str">
            <v>Alat</v>
          </cell>
          <cell r="F1838" t="str">
            <v>Kerja</v>
          </cell>
          <cell r="H1838" t="str">
            <v>Kerja</v>
          </cell>
          <cell r="I1838" t="str">
            <v>(Rp./Jam)</v>
          </cell>
          <cell r="J1838" t="str">
            <v>(Rp.)</v>
          </cell>
          <cell r="K1838" t="str">
            <v>(Rp.)</v>
          </cell>
        </row>
        <row r="1839">
          <cell r="A1839" t="str">
            <v>P</v>
          </cell>
        </row>
        <row r="1840">
          <cell r="A1840" t="str">
            <v>E</v>
          </cell>
        </row>
        <row r="1841">
          <cell r="A1841" t="str">
            <v>R</v>
          </cell>
          <cell r="B1841" t="str">
            <v xml:space="preserve"> Mesin penyemprot aspal</v>
          </cell>
          <cell r="E1841">
            <v>1</v>
          </cell>
          <cell r="F1841">
            <v>1</v>
          </cell>
          <cell r="G1841" t="str">
            <v xml:space="preserve"> E 153</v>
          </cell>
          <cell r="H1841">
            <v>3</v>
          </cell>
          <cell r="I1841">
            <v>46384</v>
          </cell>
          <cell r="J1841">
            <v>139152</v>
          </cell>
        </row>
        <row r="1842">
          <cell r="A1842" t="str">
            <v>A</v>
          </cell>
          <cell r="B1842" t="str">
            <v xml:space="preserve"> Compresor </v>
          </cell>
          <cell r="E1842">
            <v>1</v>
          </cell>
          <cell r="F1842">
            <v>1</v>
          </cell>
          <cell r="G1842" t="str">
            <v xml:space="preserve"> E 301</v>
          </cell>
          <cell r="H1842">
            <v>1</v>
          </cell>
          <cell r="I1842">
            <v>31846</v>
          </cell>
          <cell r="J1842">
            <v>31846</v>
          </cell>
        </row>
        <row r="1843">
          <cell r="A1843" t="str">
            <v>L</v>
          </cell>
        </row>
        <row r="1844">
          <cell r="A1844" t="str">
            <v>A</v>
          </cell>
        </row>
        <row r="1845">
          <cell r="A1845" t="str">
            <v>T</v>
          </cell>
        </row>
        <row r="1846">
          <cell r="A1846" t="str">
            <v>A</v>
          </cell>
        </row>
        <row r="1847">
          <cell r="A1847" t="str">
            <v>N</v>
          </cell>
        </row>
        <row r="1848">
          <cell r="J1848" t="str">
            <v>Peralatan</v>
          </cell>
          <cell r="K1848">
            <v>170998</v>
          </cell>
        </row>
        <row r="1849">
          <cell r="J1849" t="str">
            <v>TOTAL (Rp.)</v>
          </cell>
          <cell r="K1849">
            <v>2731148</v>
          </cell>
        </row>
        <row r="1851">
          <cell r="B1851" t="str">
            <v>VOLUME  :</v>
          </cell>
          <cell r="D1851">
            <v>600</v>
          </cell>
          <cell r="E1851" t="str">
            <v>m2</v>
          </cell>
          <cell r="H1851" t="str">
            <v>HARGA SATUAN  Rp.</v>
          </cell>
          <cell r="J1851">
            <v>4552</v>
          </cell>
          <cell r="K1851" t="str">
            <v xml:space="preserve">    Per  m2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HIT"/>
      <sheetName val="RAB"/>
      <sheetName val="Rekap"/>
      <sheetName val="Analisa (Kosong)"/>
      <sheetName val="cover"/>
      <sheetName val="sub cover"/>
      <sheetName val="Harsat Upah"/>
      <sheetName val="Harsat Material"/>
      <sheetName val="Analisa"/>
      <sheetName val="Rekap Analisa"/>
      <sheetName val="Perhit Beton"/>
      <sheetName val="Perhit Beton (2)"/>
      <sheetName val="Perhitungan Besi"/>
      <sheetName val="DAFTAR BESI KANAL C SIKU"/>
      <sheetName val="DAFTAR  BESI IWF"/>
      <sheetName val="bahan-semua daerah"/>
      <sheetName val="upah-semua daerah"/>
      <sheetName val="Pekerjaan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 House"/>
      <sheetName val="cab ix"/>
      <sheetName val="AN-CK"/>
      <sheetName val="upah"/>
      <sheetName val="bahan"/>
      <sheetName val="SATPEK"/>
      <sheetName val="AN-CK (2007)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A7">
            <v>1</v>
          </cell>
          <cell r="B7" t="str">
            <v>URUT</v>
          </cell>
          <cell r="C7" t="str">
            <v>UPAH</v>
          </cell>
          <cell r="D7" t="str">
            <v>BAHAN</v>
          </cell>
          <cell r="E7" t="str">
            <v>ALAT</v>
          </cell>
          <cell r="H7">
            <v>1</v>
          </cell>
          <cell r="I7">
            <v>2</v>
          </cell>
          <cell r="J7">
            <v>3</v>
          </cell>
          <cell r="K7">
            <v>4</v>
          </cell>
          <cell r="L7">
            <v>5</v>
          </cell>
          <cell r="M7">
            <v>6</v>
          </cell>
          <cell r="N7">
            <v>7</v>
          </cell>
        </row>
        <row r="8">
          <cell r="A8" t="str">
            <v>A001</v>
          </cell>
          <cell r="B8">
            <v>1</v>
          </cell>
          <cell r="H8" t="str">
            <v>A001</v>
          </cell>
          <cell r="I8" t="str">
            <v>M²</v>
          </cell>
          <cell r="J8" t="str">
            <v>PEK. PENGUKURAN KEMBALI (SITE)</v>
          </cell>
          <cell r="K8" t="str">
            <v>Harga per 1 M² ……</v>
          </cell>
          <cell r="M8" t="str">
            <v>Rp.</v>
          </cell>
          <cell r="N8">
            <v>1080</v>
          </cell>
        </row>
        <row r="9">
          <cell r="B9">
            <v>2</v>
          </cell>
          <cell r="C9" t="str">
            <v>P</v>
          </cell>
          <cell r="F9" t="str">
            <v>Tukang Batu (Terampil)</v>
          </cell>
          <cell r="J9" t="str">
            <v>Tukang Batu Terampil</v>
          </cell>
          <cell r="K9">
            <v>0.01</v>
          </cell>
          <cell r="L9" t="str">
            <v>Org</v>
          </cell>
          <cell r="M9">
            <v>27300</v>
          </cell>
          <cell r="N9">
            <v>273</v>
          </cell>
        </row>
        <row r="10">
          <cell r="B10">
            <v>3</v>
          </cell>
          <cell r="C10" t="str">
            <v>P</v>
          </cell>
          <cell r="F10" t="str">
            <v>Buruh Lapangan Terlatih / Pekerja Terampil</v>
          </cell>
          <cell r="G10">
            <v>30000</v>
          </cell>
          <cell r="J10" t="str">
            <v>Pekerja Terampil</v>
          </cell>
          <cell r="K10">
            <v>0.02</v>
          </cell>
          <cell r="L10" t="str">
            <v>Org</v>
          </cell>
          <cell r="M10">
            <v>26400</v>
          </cell>
          <cell r="N10">
            <v>528</v>
          </cell>
        </row>
        <row r="11">
          <cell r="B11">
            <v>4</v>
          </cell>
          <cell r="J11" t="str">
            <v>Peralatan</v>
          </cell>
          <cell r="K11">
            <v>1</v>
          </cell>
          <cell r="L11" t="str">
            <v>Ls</v>
          </cell>
          <cell r="M11">
            <v>280</v>
          </cell>
          <cell r="N11">
            <v>280</v>
          </cell>
        </row>
        <row r="12">
          <cell r="B12">
            <v>5</v>
          </cell>
          <cell r="M12" t="str">
            <v>Jumlah</v>
          </cell>
          <cell r="N12">
            <v>1081</v>
          </cell>
        </row>
        <row r="13">
          <cell r="B13">
            <v>6</v>
          </cell>
          <cell r="M13" t="str">
            <v>Dibulatkan</v>
          </cell>
          <cell r="N13">
            <v>1080</v>
          </cell>
        </row>
        <row r="14">
          <cell r="B14">
            <v>7</v>
          </cell>
        </row>
        <row r="15">
          <cell r="A15" t="str">
            <v>A002</v>
          </cell>
          <cell r="B15">
            <v>8</v>
          </cell>
          <cell r="H15" t="str">
            <v>A002</v>
          </cell>
          <cell r="I15" t="str">
            <v>M²</v>
          </cell>
          <cell r="J15" t="str">
            <v>PEK. PASANGAN BOUWPLANK</v>
          </cell>
          <cell r="K15" t="str">
            <v>Harga per 1 M' ……</v>
          </cell>
          <cell r="M15" t="str">
            <v>Rp.</v>
          </cell>
          <cell r="N15">
            <v>15070</v>
          </cell>
        </row>
        <row r="16">
          <cell r="B16">
            <v>9</v>
          </cell>
          <cell r="D16" t="str">
            <v>B</v>
          </cell>
          <cell r="F16" t="str">
            <v>Kayu Papan Cor Borneo / Papan Terentang</v>
          </cell>
          <cell r="J16" t="str">
            <v>Kayu Terentang / Papan</v>
          </cell>
          <cell r="K16">
            <v>0.01</v>
          </cell>
          <cell r="L16" t="str">
            <v>M3</v>
          </cell>
          <cell r="M16">
            <v>1317000</v>
          </cell>
          <cell r="N16">
            <v>13170</v>
          </cell>
        </row>
        <row r="17">
          <cell r="B17">
            <v>10</v>
          </cell>
          <cell r="D17" t="str">
            <v>B</v>
          </cell>
          <cell r="F17" t="str">
            <v>Paku 5 - 7 cm</v>
          </cell>
          <cell r="J17" t="str">
            <v>Paku 5 - 7</v>
          </cell>
          <cell r="K17">
            <v>3.7999999999999999E-2</v>
          </cell>
          <cell r="L17" t="str">
            <v>Kg</v>
          </cell>
          <cell r="M17">
            <v>10550</v>
          </cell>
          <cell r="N17">
            <v>400.9</v>
          </cell>
        </row>
        <row r="18">
          <cell r="B18">
            <v>11</v>
          </cell>
          <cell r="J18" t="str">
            <v>Ongkos Pasang</v>
          </cell>
          <cell r="K18">
            <v>1</v>
          </cell>
          <cell r="L18" t="str">
            <v>Ls</v>
          </cell>
          <cell r="M18">
            <v>1500</v>
          </cell>
          <cell r="N18">
            <v>1500</v>
          </cell>
        </row>
        <row r="19">
          <cell r="B19">
            <v>12</v>
          </cell>
          <cell r="M19" t="str">
            <v>Jumlah</v>
          </cell>
          <cell r="N19">
            <v>15070.9</v>
          </cell>
        </row>
        <row r="20">
          <cell r="B20">
            <v>13</v>
          </cell>
          <cell r="M20" t="str">
            <v>Dibulatkan</v>
          </cell>
          <cell r="N20">
            <v>15070</v>
          </cell>
        </row>
        <row r="21">
          <cell r="B21">
            <v>14</v>
          </cell>
        </row>
        <row r="22">
          <cell r="A22" t="str">
            <v>A003</v>
          </cell>
          <cell r="B22">
            <v>15</v>
          </cell>
          <cell r="H22" t="str">
            <v>A003</v>
          </cell>
          <cell r="I22" t="str">
            <v>M²</v>
          </cell>
          <cell r="J22" t="str">
            <v>LOS KERJA / GUDANG</v>
          </cell>
          <cell r="K22" t="str">
            <v>Harga per 1 M² ……</v>
          </cell>
          <cell r="M22" t="str">
            <v>Rp.</v>
          </cell>
          <cell r="N22">
            <v>375210</v>
          </cell>
        </row>
        <row r="23">
          <cell r="B23">
            <v>16</v>
          </cell>
          <cell r="D23" t="str">
            <v>B</v>
          </cell>
          <cell r="F23" t="str">
            <v>Kayu Balok Borneo Super</v>
          </cell>
          <cell r="J23" t="str">
            <v>Kayu Balok Borneo Super</v>
          </cell>
          <cell r="K23">
            <v>0.1</v>
          </cell>
          <cell r="L23" t="str">
            <v>M3</v>
          </cell>
          <cell r="M23">
            <v>2621000</v>
          </cell>
          <cell r="N23">
            <v>262100</v>
          </cell>
        </row>
        <row r="24">
          <cell r="B24">
            <v>17</v>
          </cell>
          <cell r="D24" t="str">
            <v>B</v>
          </cell>
          <cell r="F24" t="str">
            <v>Paku 5 - 7 cm</v>
          </cell>
          <cell r="J24" t="str">
            <v>Paku 5 - 7</v>
          </cell>
          <cell r="K24">
            <v>0.25</v>
          </cell>
          <cell r="L24" t="str">
            <v>Kg</v>
          </cell>
          <cell r="M24">
            <v>10550</v>
          </cell>
          <cell r="N24">
            <v>2637.5</v>
          </cell>
        </row>
        <row r="25">
          <cell r="B25">
            <v>18</v>
          </cell>
          <cell r="D25" t="str">
            <v>B</v>
          </cell>
          <cell r="F25" t="str">
            <v>Seng gelombang BJLS 30</v>
          </cell>
          <cell r="J25" t="str">
            <v>Seng BJLS 30 Lebar 90 cm (1 rol 50 m')</v>
          </cell>
          <cell r="K25">
            <v>1.1000000000000001</v>
          </cell>
          <cell r="L25" t="str">
            <v>M'</v>
          </cell>
          <cell r="M25">
            <v>52400</v>
          </cell>
          <cell r="N25">
            <v>57640.000000000007</v>
          </cell>
        </row>
        <row r="26">
          <cell r="B26">
            <v>19</v>
          </cell>
          <cell r="D26" t="str">
            <v>B</v>
          </cell>
          <cell r="F26" t="str">
            <v>Tripleks tebal 3 mm uk. 120 x 240</v>
          </cell>
          <cell r="J26" t="str">
            <v>Triplek 3 mm uk. 120 x 240</v>
          </cell>
          <cell r="K26">
            <v>0.5</v>
          </cell>
          <cell r="L26" t="str">
            <v>Lbr</v>
          </cell>
          <cell r="M26">
            <v>42500</v>
          </cell>
          <cell r="N26">
            <v>21250</v>
          </cell>
        </row>
        <row r="27">
          <cell r="B27">
            <v>20</v>
          </cell>
          <cell r="D27" t="str">
            <v>B</v>
          </cell>
          <cell r="F27" t="str">
            <v>Semen portland</v>
          </cell>
          <cell r="J27" t="str">
            <v>PC (50 Kg)</v>
          </cell>
          <cell r="K27">
            <v>0.1</v>
          </cell>
          <cell r="L27" t="str">
            <v>Zak</v>
          </cell>
          <cell r="M27">
            <v>44200</v>
          </cell>
          <cell r="N27">
            <v>4420</v>
          </cell>
        </row>
        <row r="28">
          <cell r="B28">
            <v>21</v>
          </cell>
          <cell r="J28" t="str">
            <v>Peralatan</v>
          </cell>
          <cell r="K28">
            <v>1</v>
          </cell>
          <cell r="L28" t="str">
            <v>Ls</v>
          </cell>
          <cell r="M28">
            <v>4915</v>
          </cell>
          <cell r="N28">
            <v>4915</v>
          </cell>
        </row>
        <row r="29">
          <cell r="B29">
            <v>22</v>
          </cell>
          <cell r="J29" t="str">
            <v>Ongkos Pasang</v>
          </cell>
          <cell r="K29">
            <v>1</v>
          </cell>
          <cell r="L29" t="str">
            <v>Ls</v>
          </cell>
          <cell r="M29">
            <v>22250</v>
          </cell>
          <cell r="N29">
            <v>22250</v>
          </cell>
        </row>
        <row r="30">
          <cell r="B30">
            <v>23</v>
          </cell>
          <cell r="M30" t="str">
            <v>Jumlah</v>
          </cell>
          <cell r="N30">
            <v>375212.5</v>
          </cell>
        </row>
        <row r="31">
          <cell r="B31">
            <v>24</v>
          </cell>
          <cell r="M31" t="str">
            <v>Dibulatkan</v>
          </cell>
          <cell r="N31">
            <v>375210</v>
          </cell>
        </row>
        <row r="32">
          <cell r="B32">
            <v>25</v>
          </cell>
        </row>
        <row r="33">
          <cell r="A33" t="str">
            <v>A004</v>
          </cell>
          <cell r="B33">
            <v>26</v>
          </cell>
          <cell r="H33" t="str">
            <v>A004</v>
          </cell>
          <cell r="I33" t="str">
            <v>M²</v>
          </cell>
          <cell r="J33" t="str">
            <v>PEKERJAAN KANTOR DIREKSI</v>
          </cell>
          <cell r="K33" t="str">
            <v>Harga per 1 M² ……</v>
          </cell>
          <cell r="M33" t="str">
            <v>Rp.</v>
          </cell>
          <cell r="N33">
            <v>400490</v>
          </cell>
        </row>
        <row r="34">
          <cell r="B34">
            <v>27</v>
          </cell>
          <cell r="D34" t="str">
            <v>B</v>
          </cell>
          <cell r="F34" t="str">
            <v>Kayu Balok Borneo Super</v>
          </cell>
          <cell r="J34" t="str">
            <v>Kayu Balok Borneo Super</v>
          </cell>
          <cell r="K34">
            <v>0.1</v>
          </cell>
          <cell r="L34" t="str">
            <v>M3</v>
          </cell>
          <cell r="M34">
            <v>2621000</v>
          </cell>
          <cell r="N34">
            <v>262100</v>
          </cell>
        </row>
        <row r="35">
          <cell r="B35">
            <v>28</v>
          </cell>
          <cell r="D35" t="str">
            <v>B</v>
          </cell>
          <cell r="F35" t="str">
            <v>Paku 5 - 7 cm</v>
          </cell>
          <cell r="J35" t="str">
            <v>Paku 5 - 7</v>
          </cell>
          <cell r="K35">
            <v>0.25</v>
          </cell>
          <cell r="L35" t="str">
            <v>Kg</v>
          </cell>
          <cell r="M35">
            <v>10550</v>
          </cell>
          <cell r="N35">
            <v>2637.5</v>
          </cell>
        </row>
        <row r="36">
          <cell r="B36">
            <v>29</v>
          </cell>
          <cell r="D36" t="str">
            <v>B</v>
          </cell>
          <cell r="F36" t="str">
            <v>Seng gelombang BJLS 30</v>
          </cell>
          <cell r="J36" t="str">
            <v>Seng BJLS 30 Lebar 90 cm (1 rol 50 m')</v>
          </cell>
          <cell r="K36">
            <v>1.1000000000000001</v>
          </cell>
          <cell r="L36" t="str">
            <v>M'</v>
          </cell>
          <cell r="M36">
            <v>52400</v>
          </cell>
          <cell r="N36">
            <v>57640.000000000007</v>
          </cell>
        </row>
        <row r="37">
          <cell r="B37">
            <v>30</v>
          </cell>
          <cell r="D37" t="str">
            <v>B</v>
          </cell>
          <cell r="F37" t="str">
            <v>Tripleks tebal 3 mm uk. 120 x 240</v>
          </cell>
          <cell r="J37" t="str">
            <v>Triplek 3 mm uk. 120 x 240</v>
          </cell>
          <cell r="K37">
            <v>0.5</v>
          </cell>
          <cell r="L37" t="str">
            <v>Lbr</v>
          </cell>
          <cell r="M37">
            <v>42500</v>
          </cell>
          <cell r="N37">
            <v>21250</v>
          </cell>
        </row>
        <row r="38">
          <cell r="B38">
            <v>31</v>
          </cell>
          <cell r="D38" t="str">
            <v>B</v>
          </cell>
          <cell r="F38" t="str">
            <v>Semen portland</v>
          </cell>
          <cell r="J38" t="str">
            <v>PC (50 Kg)</v>
          </cell>
          <cell r="K38">
            <v>0.1</v>
          </cell>
          <cell r="L38" t="str">
            <v>Zak</v>
          </cell>
          <cell r="M38">
            <v>44200</v>
          </cell>
          <cell r="N38">
            <v>4420</v>
          </cell>
        </row>
        <row r="39">
          <cell r="B39">
            <v>32</v>
          </cell>
          <cell r="D39" t="str">
            <v>B</v>
          </cell>
          <cell r="F39" t="str">
            <v>Pasir Pasang</v>
          </cell>
          <cell r="J39" t="str">
            <v>Pasir Pasang</v>
          </cell>
          <cell r="K39">
            <v>0.1</v>
          </cell>
          <cell r="L39" t="str">
            <v>M3</v>
          </cell>
          <cell r="M39">
            <v>160000</v>
          </cell>
          <cell r="N39">
            <v>16000</v>
          </cell>
        </row>
        <row r="40">
          <cell r="B40">
            <v>33</v>
          </cell>
          <cell r="D40" t="str">
            <v>B</v>
          </cell>
          <cell r="F40" t="str">
            <v>Bata Merah Bakar Kelas I</v>
          </cell>
          <cell r="J40" t="str">
            <v>Bata Merah Bakar Kelas 1</v>
          </cell>
          <cell r="K40">
            <v>16</v>
          </cell>
          <cell r="L40" t="str">
            <v>BH</v>
          </cell>
          <cell r="M40">
            <v>440</v>
          </cell>
          <cell r="N40">
            <v>7040</v>
          </cell>
        </row>
        <row r="41">
          <cell r="B41">
            <v>34</v>
          </cell>
          <cell r="J41" t="str">
            <v>Peralatan</v>
          </cell>
          <cell r="K41">
            <v>1</v>
          </cell>
          <cell r="L41" t="str">
            <v>Ls</v>
          </cell>
          <cell r="M41">
            <v>5300</v>
          </cell>
          <cell r="N41">
            <v>5300</v>
          </cell>
        </row>
        <row r="42">
          <cell r="B42">
            <v>35</v>
          </cell>
          <cell r="J42" t="str">
            <v>Ongkos Pasang</v>
          </cell>
          <cell r="K42">
            <v>1</v>
          </cell>
          <cell r="L42" t="str">
            <v>Ls</v>
          </cell>
          <cell r="M42">
            <v>24100</v>
          </cell>
          <cell r="N42">
            <v>24100</v>
          </cell>
        </row>
        <row r="43">
          <cell r="B43">
            <v>36</v>
          </cell>
          <cell r="M43" t="str">
            <v>Jumlah</v>
          </cell>
          <cell r="N43">
            <v>400487.5</v>
          </cell>
        </row>
        <row r="44">
          <cell r="B44">
            <v>37</v>
          </cell>
          <cell r="M44" t="str">
            <v>Dibulatkan</v>
          </cell>
          <cell r="N44">
            <v>400490</v>
          </cell>
        </row>
        <row r="45">
          <cell r="B45">
            <v>38</v>
          </cell>
        </row>
        <row r="46">
          <cell r="A46" t="str">
            <v>A005</v>
          </cell>
          <cell r="B46">
            <v>39</v>
          </cell>
          <cell r="H46" t="str">
            <v>A005</v>
          </cell>
          <cell r="I46" t="str">
            <v>M²</v>
          </cell>
          <cell r="J46" t="str">
            <v>PAPAN NAMA PROYEK</v>
          </cell>
          <cell r="K46" t="str">
            <v>Harga per 1 M³ ……</v>
          </cell>
          <cell r="M46" t="str">
            <v>Rp.</v>
          </cell>
          <cell r="N46">
            <v>337050</v>
          </cell>
        </row>
        <row r="47">
          <cell r="B47">
            <v>40</v>
          </cell>
          <cell r="D47" t="str">
            <v>B</v>
          </cell>
          <cell r="F47" t="str">
            <v>Kayu Balok Borneo Super</v>
          </cell>
          <cell r="J47" t="str">
            <v>Kayu Borneo Super</v>
          </cell>
          <cell r="K47">
            <v>6.5000000000000002E-2</v>
          </cell>
          <cell r="L47" t="str">
            <v xml:space="preserve"> m3 </v>
          </cell>
          <cell r="M47">
            <v>2621000</v>
          </cell>
          <cell r="N47">
            <v>170365</v>
          </cell>
        </row>
        <row r="48">
          <cell r="B48">
            <v>41</v>
          </cell>
          <cell r="D48" t="str">
            <v>B</v>
          </cell>
          <cell r="F48" t="str">
            <v>Tripleks tebal 4 mm uk. 120 x 240</v>
          </cell>
          <cell r="J48" t="str">
            <v>Triplex 4 mm</v>
          </cell>
          <cell r="K48">
            <v>1</v>
          </cell>
          <cell r="L48" t="str">
            <v>m3</v>
          </cell>
          <cell r="M48">
            <v>53700</v>
          </cell>
          <cell r="N48">
            <v>53700</v>
          </cell>
        </row>
        <row r="49">
          <cell r="B49">
            <v>42</v>
          </cell>
          <cell r="D49" t="str">
            <v>B</v>
          </cell>
          <cell r="F49" t="str">
            <v>Seng BJLS 30  lebar 90 cm ( 1 rol 50 m')</v>
          </cell>
          <cell r="J49" t="str">
            <v>Seng BJLS 30 Lebar 90 cm (1 rol 50 m')</v>
          </cell>
          <cell r="K49">
            <v>0.25</v>
          </cell>
          <cell r="L49" t="str">
            <v xml:space="preserve"> kg </v>
          </cell>
          <cell r="M49">
            <v>29000</v>
          </cell>
          <cell r="N49">
            <v>7250</v>
          </cell>
        </row>
        <row r="50">
          <cell r="B50">
            <v>43</v>
          </cell>
          <cell r="D50" t="str">
            <v>B</v>
          </cell>
          <cell r="F50" t="str">
            <v>Cat</v>
          </cell>
          <cell r="J50" t="str">
            <v xml:space="preserve">Cat </v>
          </cell>
          <cell r="K50">
            <v>1</v>
          </cell>
          <cell r="L50" t="str">
            <v xml:space="preserve"> kg </v>
          </cell>
          <cell r="M50">
            <v>35000</v>
          </cell>
          <cell r="N50">
            <v>35000</v>
          </cell>
        </row>
        <row r="51">
          <cell r="B51">
            <v>44</v>
          </cell>
          <cell r="J51" t="str">
            <v>Penulisan</v>
          </cell>
          <cell r="K51">
            <v>0.125</v>
          </cell>
          <cell r="L51" t="str">
            <v xml:space="preserve"> ls </v>
          </cell>
          <cell r="M51">
            <v>266315</v>
          </cell>
          <cell r="N51">
            <v>33289.375</v>
          </cell>
        </row>
        <row r="52">
          <cell r="B52">
            <v>45</v>
          </cell>
          <cell r="J52" t="str">
            <v xml:space="preserve">Ongkos Pasang </v>
          </cell>
          <cell r="K52">
            <v>0.125</v>
          </cell>
          <cell r="L52" t="str">
            <v xml:space="preserve"> ls </v>
          </cell>
          <cell r="M52">
            <v>299604.375</v>
          </cell>
          <cell r="N52">
            <v>37450.546875</v>
          </cell>
        </row>
        <row r="53">
          <cell r="B53">
            <v>46</v>
          </cell>
          <cell r="M53" t="str">
            <v>Jumlah</v>
          </cell>
          <cell r="N53">
            <v>337054.921875</v>
          </cell>
        </row>
        <row r="54">
          <cell r="B54">
            <v>47</v>
          </cell>
          <cell r="M54" t="str">
            <v>Dibulatkan</v>
          </cell>
          <cell r="N54">
            <v>337050</v>
          </cell>
        </row>
        <row r="55">
          <cell r="B55">
            <v>48</v>
          </cell>
        </row>
        <row r="56">
          <cell r="A56" t="str">
            <v>A006</v>
          </cell>
          <cell r="B56">
            <v>49</v>
          </cell>
          <cell r="H56" t="str">
            <v>A006</v>
          </cell>
          <cell r="I56" t="str">
            <v>M¹</v>
          </cell>
          <cell r="J56" t="str">
            <v>PAGAR PENGAMAN PROYEK</v>
          </cell>
          <cell r="K56" t="str">
            <v>Harga per 1 M³ ……</v>
          </cell>
          <cell r="M56" t="str">
            <v>Rp.</v>
          </cell>
          <cell r="N56">
            <v>241120</v>
          </cell>
        </row>
        <row r="57">
          <cell r="B57">
            <v>50</v>
          </cell>
          <cell r="D57" t="str">
            <v>B</v>
          </cell>
          <cell r="F57" t="str">
            <v>Seng BJLS 30  lebar 90 cm ( 1 rol 50 m')</v>
          </cell>
          <cell r="J57" t="str">
            <v>Seng BJLS 30 Lebar 90 cm (1 rol 50 m')</v>
          </cell>
          <cell r="K57">
            <v>1.43</v>
          </cell>
          <cell r="L57" t="str">
            <v>M¹</v>
          </cell>
          <cell r="M57">
            <v>29000</v>
          </cell>
          <cell r="N57">
            <v>41470</v>
          </cell>
        </row>
        <row r="58">
          <cell r="B58">
            <v>51</v>
          </cell>
          <cell r="D58" t="str">
            <v>B</v>
          </cell>
          <cell r="F58" t="str">
            <v>Kayu Balok Borneo Super</v>
          </cell>
          <cell r="J58" t="str">
            <v>Kayu Borneo Super</v>
          </cell>
          <cell r="K58">
            <v>3.6000000000000004E-2</v>
          </cell>
          <cell r="L58" t="str">
            <v>m3</v>
          </cell>
          <cell r="M58">
            <v>2621000</v>
          </cell>
          <cell r="N58">
            <v>94356.000000000015</v>
          </cell>
        </row>
        <row r="59">
          <cell r="B59">
            <v>52</v>
          </cell>
          <cell r="D59" t="str">
            <v>B</v>
          </cell>
          <cell r="F59" t="str">
            <v>Paku 5 - 7 cm</v>
          </cell>
          <cell r="J59" t="str">
            <v>Paku 5 - 7</v>
          </cell>
          <cell r="K59">
            <v>0.2</v>
          </cell>
          <cell r="L59" t="str">
            <v>kg</v>
          </cell>
          <cell r="M59">
            <v>10550</v>
          </cell>
          <cell r="N59">
            <v>2110</v>
          </cell>
        </row>
        <row r="60">
          <cell r="B60">
            <v>53</v>
          </cell>
          <cell r="D60" t="str">
            <v>B</v>
          </cell>
          <cell r="F60" t="str">
            <v>Cat</v>
          </cell>
          <cell r="J60" t="str">
            <v>Cat 2 x bagian luar</v>
          </cell>
          <cell r="K60">
            <v>1.8</v>
          </cell>
          <cell r="L60" t="str">
            <v>kg</v>
          </cell>
          <cell r="M60">
            <v>35000</v>
          </cell>
          <cell r="N60">
            <v>63000</v>
          </cell>
        </row>
        <row r="61">
          <cell r="B61">
            <v>54</v>
          </cell>
          <cell r="J61" t="str">
            <v xml:space="preserve">Ongkos Pasang </v>
          </cell>
          <cell r="K61">
            <v>0.2</v>
          </cell>
          <cell r="L61" t="str">
            <v>ls</v>
          </cell>
          <cell r="M61">
            <v>200936</v>
          </cell>
          <cell r="N61">
            <v>40187.200000000004</v>
          </cell>
        </row>
        <row r="62">
          <cell r="B62">
            <v>55</v>
          </cell>
          <cell r="M62" t="str">
            <v>Jumlah</v>
          </cell>
          <cell r="N62">
            <v>241123.20000000001</v>
          </cell>
        </row>
        <row r="63">
          <cell r="B63">
            <v>56</v>
          </cell>
          <cell r="M63" t="str">
            <v>Dibulatkan</v>
          </cell>
          <cell r="N63">
            <v>241120</v>
          </cell>
        </row>
        <row r="64">
          <cell r="B64">
            <v>57</v>
          </cell>
        </row>
        <row r="65">
          <cell r="A65" t="str">
            <v>A007</v>
          </cell>
          <cell r="B65">
            <v>58</v>
          </cell>
          <cell r="H65" t="str">
            <v>A007</v>
          </cell>
          <cell r="I65" t="str">
            <v>M³</v>
          </cell>
          <cell r="J65" t="str">
            <v>GALIAN TANAH BIASA</v>
          </cell>
          <cell r="K65" t="str">
            <v>Harga per 1 M³ ……</v>
          </cell>
          <cell r="M65" t="str">
            <v>Rp.</v>
          </cell>
          <cell r="N65">
            <v>19170</v>
          </cell>
        </row>
        <row r="66">
          <cell r="B66">
            <v>59</v>
          </cell>
          <cell r="C66" t="str">
            <v>P</v>
          </cell>
          <cell r="F66" t="str">
            <v>Mandor Lapangan</v>
          </cell>
          <cell r="J66" t="str">
            <v>Mandor Lapangan</v>
          </cell>
          <cell r="K66">
            <v>2.5000000000000001E-2</v>
          </cell>
          <cell r="L66" t="str">
            <v>HO</v>
          </cell>
          <cell r="M66">
            <v>31800</v>
          </cell>
          <cell r="N66">
            <v>795</v>
          </cell>
        </row>
        <row r="67">
          <cell r="B67">
            <v>60</v>
          </cell>
          <cell r="C67" t="str">
            <v>P</v>
          </cell>
          <cell r="F67" t="str">
            <v>Buruh Lapangan Agak Terlatih / Pekerja setengah Terampil</v>
          </cell>
          <cell r="J67" t="str">
            <v>Buruh Lapangan Agak Terlatih</v>
          </cell>
          <cell r="K67">
            <v>0.75</v>
          </cell>
          <cell r="L67" t="str">
            <v>HO</v>
          </cell>
          <cell r="M67">
            <v>24500</v>
          </cell>
          <cell r="N67">
            <v>18375</v>
          </cell>
        </row>
        <row r="68">
          <cell r="B68">
            <v>61</v>
          </cell>
          <cell r="M68" t="str">
            <v>Jumlah</v>
          </cell>
          <cell r="N68">
            <v>19170</v>
          </cell>
        </row>
        <row r="69">
          <cell r="B69">
            <v>62</v>
          </cell>
          <cell r="M69" t="str">
            <v>Dibulatkan</v>
          </cell>
          <cell r="N69">
            <v>19170</v>
          </cell>
        </row>
        <row r="70">
          <cell r="B70">
            <v>63</v>
          </cell>
        </row>
        <row r="71">
          <cell r="A71" t="str">
            <v>A008</v>
          </cell>
          <cell r="B71">
            <v>64</v>
          </cell>
          <cell r="H71" t="str">
            <v>A008</v>
          </cell>
          <cell r="I71" t="str">
            <v>M³</v>
          </cell>
          <cell r="J71" t="str">
            <v>GALIAN TANAH KERAS</v>
          </cell>
          <cell r="K71" t="str">
            <v>Harga per 1 M³ ……</v>
          </cell>
          <cell r="M71" t="str">
            <v>Rp.</v>
          </cell>
          <cell r="N71">
            <v>25550</v>
          </cell>
        </row>
        <row r="72">
          <cell r="B72">
            <v>65</v>
          </cell>
          <cell r="C72" t="str">
            <v>P</v>
          </cell>
          <cell r="F72" t="str">
            <v>Mandor Lapangan</v>
          </cell>
          <cell r="J72" t="str">
            <v>Mandor Lapangan</v>
          </cell>
          <cell r="K72">
            <v>3.3000000000000002E-2</v>
          </cell>
          <cell r="L72" t="str">
            <v>HO</v>
          </cell>
          <cell r="M72">
            <v>31800</v>
          </cell>
          <cell r="N72">
            <v>1049.4000000000001</v>
          </cell>
        </row>
        <row r="73">
          <cell r="B73">
            <v>66</v>
          </cell>
          <cell r="C73" t="str">
            <v>P</v>
          </cell>
          <cell r="F73" t="str">
            <v>Buruh Lapangan Agak Terlatih / Pekerja setengah Terampil</v>
          </cell>
          <cell r="J73" t="str">
            <v>Buruh Lapangan Agak Terlatih</v>
          </cell>
          <cell r="K73">
            <v>1</v>
          </cell>
          <cell r="L73" t="str">
            <v>HO</v>
          </cell>
          <cell r="M73">
            <v>24500</v>
          </cell>
          <cell r="N73">
            <v>24500</v>
          </cell>
        </row>
        <row r="74">
          <cell r="B74">
            <v>67</v>
          </cell>
          <cell r="M74" t="str">
            <v>Jumlah</v>
          </cell>
          <cell r="N74">
            <v>25549.4</v>
          </cell>
        </row>
        <row r="75">
          <cell r="B75">
            <v>68</v>
          </cell>
          <cell r="M75" t="str">
            <v>Dibulatkan</v>
          </cell>
          <cell r="N75">
            <v>25550</v>
          </cell>
        </row>
        <row r="76">
          <cell r="B76">
            <v>69</v>
          </cell>
        </row>
        <row r="77">
          <cell r="A77" t="str">
            <v>A009</v>
          </cell>
          <cell r="B77">
            <v>70</v>
          </cell>
          <cell r="H77" t="str">
            <v>A009</v>
          </cell>
          <cell r="I77" t="str">
            <v>M³</v>
          </cell>
          <cell r="J77" t="str">
            <v>GALIAN TANAH BERBATU</v>
          </cell>
          <cell r="K77" t="str">
            <v>Harga per 1 M³ ……</v>
          </cell>
          <cell r="M77" t="str">
            <v>Rp.</v>
          </cell>
          <cell r="N77">
            <v>35640</v>
          </cell>
        </row>
        <row r="78">
          <cell r="B78">
            <v>71</v>
          </cell>
          <cell r="C78" t="str">
            <v>P</v>
          </cell>
          <cell r="F78" t="str">
            <v>Mandor Lapangan</v>
          </cell>
          <cell r="J78" t="str">
            <v>Mandor Lapangan</v>
          </cell>
          <cell r="K78">
            <v>0.05</v>
          </cell>
          <cell r="L78" t="str">
            <v>HO</v>
          </cell>
          <cell r="M78">
            <v>31800</v>
          </cell>
          <cell r="N78">
            <v>1590</v>
          </cell>
        </row>
        <row r="79">
          <cell r="B79">
            <v>72</v>
          </cell>
          <cell r="C79" t="str">
            <v>P</v>
          </cell>
          <cell r="F79" t="str">
            <v>Buruh Lapangan Tak Terlatih / Pekerja</v>
          </cell>
          <cell r="J79" t="str">
            <v>Buruh Lapangan Tak Terlatih</v>
          </cell>
          <cell r="K79">
            <v>1.5</v>
          </cell>
          <cell r="L79" t="str">
            <v>HO</v>
          </cell>
          <cell r="M79">
            <v>22700</v>
          </cell>
          <cell r="N79">
            <v>34050</v>
          </cell>
        </row>
        <row r="80">
          <cell r="B80">
            <v>73</v>
          </cell>
          <cell r="M80" t="str">
            <v>Jumlah</v>
          </cell>
          <cell r="N80">
            <v>35640</v>
          </cell>
        </row>
        <row r="81">
          <cell r="B81">
            <v>74</v>
          </cell>
          <cell r="M81" t="str">
            <v>Dibulatkan</v>
          </cell>
          <cell r="N81">
            <v>35640</v>
          </cell>
        </row>
        <row r="82">
          <cell r="B82">
            <v>75</v>
          </cell>
        </row>
        <row r="83">
          <cell r="A83" t="str">
            <v>A010</v>
          </cell>
          <cell r="B83">
            <v>76</v>
          </cell>
          <cell r="H83" t="str">
            <v>A010</v>
          </cell>
          <cell r="I83" t="str">
            <v>M³</v>
          </cell>
          <cell r="J83" t="str">
            <v>GALIAN TANAH LUMPUR</v>
          </cell>
          <cell r="K83" t="str">
            <v>Harga per 1 M³ ……</v>
          </cell>
          <cell r="M83" t="str">
            <v>Rp.</v>
          </cell>
          <cell r="N83">
            <v>35640</v>
          </cell>
        </row>
        <row r="84">
          <cell r="B84">
            <v>77</v>
          </cell>
          <cell r="C84" t="str">
            <v>P</v>
          </cell>
          <cell r="F84" t="str">
            <v>Mandor Lapangan</v>
          </cell>
          <cell r="J84" t="str">
            <v>Mandor Lapangan</v>
          </cell>
          <cell r="K84">
            <v>0.05</v>
          </cell>
          <cell r="L84" t="str">
            <v>HO</v>
          </cell>
          <cell r="M84">
            <v>31800</v>
          </cell>
          <cell r="N84">
            <v>1590</v>
          </cell>
        </row>
        <row r="85">
          <cell r="B85">
            <v>78</v>
          </cell>
          <cell r="C85" t="str">
            <v>P</v>
          </cell>
          <cell r="F85" t="str">
            <v>Buruh Lapangan Tak Terlatih / Pekerja</v>
          </cell>
          <cell r="J85" t="str">
            <v>Buruh Lapangan Tak Terlatih</v>
          </cell>
          <cell r="K85">
            <v>1.5</v>
          </cell>
          <cell r="L85" t="str">
            <v>HO</v>
          </cell>
          <cell r="M85">
            <v>22700</v>
          </cell>
          <cell r="N85">
            <v>34050</v>
          </cell>
        </row>
        <row r="86">
          <cell r="B86">
            <v>79</v>
          </cell>
          <cell r="M86" t="str">
            <v>Jumlah</v>
          </cell>
          <cell r="N86">
            <v>35640</v>
          </cell>
        </row>
        <row r="87">
          <cell r="B87">
            <v>80</v>
          </cell>
          <cell r="M87" t="str">
            <v>Dibulatkan</v>
          </cell>
          <cell r="N87">
            <v>35640</v>
          </cell>
        </row>
        <row r="88">
          <cell r="B88">
            <v>81</v>
          </cell>
        </row>
        <row r="89">
          <cell r="A89" t="str">
            <v>A011</v>
          </cell>
          <cell r="B89">
            <v>82</v>
          </cell>
          <cell r="H89" t="str">
            <v>A011</v>
          </cell>
          <cell r="I89" t="str">
            <v>M³</v>
          </cell>
          <cell r="J89" t="str">
            <v>GALIAN TANAH CADAS</v>
          </cell>
          <cell r="K89" t="str">
            <v>Harga per 1 M³ ……</v>
          </cell>
          <cell r="M89" t="str">
            <v>Rp.</v>
          </cell>
          <cell r="N89">
            <v>47500</v>
          </cell>
        </row>
        <row r="90">
          <cell r="B90">
            <v>83</v>
          </cell>
          <cell r="C90" t="str">
            <v>P</v>
          </cell>
          <cell r="F90" t="str">
            <v>Mandor Lapangan</v>
          </cell>
          <cell r="J90" t="str">
            <v>Mandor Lapangan</v>
          </cell>
          <cell r="K90">
            <v>6.6000000000000003E-2</v>
          </cell>
          <cell r="L90" t="str">
            <v>HO</v>
          </cell>
          <cell r="M90">
            <v>31800</v>
          </cell>
          <cell r="N90">
            <v>2098.8000000000002</v>
          </cell>
        </row>
        <row r="91">
          <cell r="B91">
            <v>84</v>
          </cell>
          <cell r="C91" t="str">
            <v>P</v>
          </cell>
          <cell r="F91" t="str">
            <v>Buruh Lapangan Tak Terlatih / Pekerja</v>
          </cell>
          <cell r="J91" t="str">
            <v>Buruh Lapangan Tak Terlatih</v>
          </cell>
          <cell r="K91">
            <v>2</v>
          </cell>
          <cell r="L91" t="str">
            <v>HO</v>
          </cell>
          <cell r="M91">
            <v>22700</v>
          </cell>
          <cell r="N91">
            <v>45400</v>
          </cell>
        </row>
        <row r="92">
          <cell r="B92">
            <v>85</v>
          </cell>
          <cell r="M92" t="str">
            <v>Jumlah</v>
          </cell>
          <cell r="N92">
            <v>47498.8</v>
          </cell>
        </row>
        <row r="93">
          <cell r="B93">
            <v>86</v>
          </cell>
          <cell r="M93" t="str">
            <v>Dibulatkan</v>
          </cell>
          <cell r="N93">
            <v>47500</v>
          </cell>
        </row>
        <row r="94">
          <cell r="B94">
            <v>87</v>
          </cell>
        </row>
        <row r="95">
          <cell r="A95" t="str">
            <v>A012</v>
          </cell>
          <cell r="B95">
            <v>88</v>
          </cell>
          <cell r="H95" t="str">
            <v>A012</v>
          </cell>
          <cell r="I95" t="str">
            <v>M³</v>
          </cell>
          <cell r="J95" t="str">
            <v>TANAH DIANGKUT SEJAUH 30 M'</v>
          </cell>
          <cell r="K95" t="str">
            <v>Harga per 1 M³ ……</v>
          </cell>
          <cell r="M95" t="str">
            <v>Rp.</v>
          </cell>
          <cell r="N95">
            <v>7810</v>
          </cell>
        </row>
        <row r="96">
          <cell r="B96">
            <v>89</v>
          </cell>
          <cell r="C96" t="str">
            <v>P</v>
          </cell>
          <cell r="F96" t="str">
            <v>Mandor Lapangan</v>
          </cell>
          <cell r="J96" t="str">
            <v>Mandor Lapangan</v>
          </cell>
          <cell r="K96">
            <v>0.01</v>
          </cell>
          <cell r="L96" t="str">
            <v>HO</v>
          </cell>
          <cell r="M96">
            <v>31800</v>
          </cell>
          <cell r="N96">
            <v>318</v>
          </cell>
        </row>
        <row r="97">
          <cell r="B97">
            <v>90</v>
          </cell>
          <cell r="C97" t="str">
            <v>P</v>
          </cell>
          <cell r="F97" t="str">
            <v>Buruh Lapangan Tak Terlatih / Pekerja</v>
          </cell>
          <cell r="J97" t="str">
            <v>Buruh Lapangan Tak Terlatih</v>
          </cell>
          <cell r="K97">
            <v>0.33</v>
          </cell>
          <cell r="L97" t="str">
            <v>HO</v>
          </cell>
          <cell r="M97">
            <v>22700</v>
          </cell>
          <cell r="N97">
            <v>7491</v>
          </cell>
        </row>
        <row r="98">
          <cell r="B98">
            <v>91</v>
          </cell>
          <cell r="M98" t="str">
            <v>Jumlah</v>
          </cell>
          <cell r="N98">
            <v>7809</v>
          </cell>
        </row>
        <row r="99">
          <cell r="B99">
            <v>92</v>
          </cell>
          <cell r="M99" t="str">
            <v>Dibulatkan</v>
          </cell>
          <cell r="N99">
            <v>7810</v>
          </cell>
        </row>
        <row r="100">
          <cell r="B100">
            <v>93</v>
          </cell>
        </row>
        <row r="101">
          <cell r="A101" t="str">
            <v>A013</v>
          </cell>
          <cell r="B101">
            <v>94</v>
          </cell>
          <cell r="H101" t="str">
            <v>A013</v>
          </cell>
          <cell r="I101" t="str">
            <v>M³</v>
          </cell>
          <cell r="J101" t="str">
            <v>TANAH DIANGKUT JARAK LEBIH DARI  30 M' (L=100 M')</v>
          </cell>
          <cell r="K101" t="str">
            <v>Harga per 1 M³ ……</v>
          </cell>
          <cell r="M101" t="str">
            <v>Rp.</v>
          </cell>
          <cell r="N101">
            <v>14440</v>
          </cell>
        </row>
        <row r="102">
          <cell r="B102">
            <v>95</v>
          </cell>
          <cell r="C102" t="str">
            <v>P</v>
          </cell>
          <cell r="F102" t="str">
            <v>Buruh Lapangan Tak Terlatih / Pekerja</v>
          </cell>
          <cell r="J102" t="str">
            <v>Buruh Lapangan Tak Terlatih</v>
          </cell>
          <cell r="K102">
            <v>0.63600000000000001</v>
          </cell>
          <cell r="L102" t="str">
            <v>HO</v>
          </cell>
          <cell r="M102">
            <v>22700</v>
          </cell>
          <cell r="N102">
            <v>14437.2</v>
          </cell>
        </row>
        <row r="103">
          <cell r="B103">
            <v>96</v>
          </cell>
          <cell r="M103" t="str">
            <v>Jumlah</v>
          </cell>
          <cell r="N103">
            <v>14437.2</v>
          </cell>
        </row>
        <row r="104">
          <cell r="B104">
            <v>97</v>
          </cell>
          <cell r="M104" t="str">
            <v>Dibulatkan</v>
          </cell>
          <cell r="N104">
            <v>14440</v>
          </cell>
        </row>
        <row r="105">
          <cell r="B105">
            <v>98</v>
          </cell>
        </row>
        <row r="106">
          <cell r="A106" t="str">
            <v>A014</v>
          </cell>
          <cell r="B106">
            <v>99</v>
          </cell>
          <cell r="H106" t="str">
            <v>A014</v>
          </cell>
          <cell r="I106" t="str">
            <v>M²</v>
          </cell>
          <cell r="J106" t="str">
            <v>MEMASANG LEMPENGAN RUMPUT DIANGKUT LEBIH DARI 30M'</v>
          </cell>
          <cell r="K106" t="str">
            <v>Harga per 1 M² ……</v>
          </cell>
          <cell r="M106" t="str">
            <v>Rp.</v>
          </cell>
          <cell r="N106">
            <v>18370</v>
          </cell>
        </row>
        <row r="107">
          <cell r="B107">
            <v>100</v>
          </cell>
          <cell r="C107" t="str">
            <v>P</v>
          </cell>
          <cell r="F107" t="str">
            <v>Mandor Lapangan</v>
          </cell>
          <cell r="J107" t="str">
            <v>Mandor Lapangan</v>
          </cell>
          <cell r="K107">
            <v>0.01</v>
          </cell>
          <cell r="L107" t="str">
            <v>HO</v>
          </cell>
          <cell r="M107">
            <v>31800</v>
          </cell>
          <cell r="N107">
            <v>318</v>
          </cell>
        </row>
        <row r="108">
          <cell r="B108">
            <v>101</v>
          </cell>
          <cell r="C108" t="str">
            <v>P</v>
          </cell>
          <cell r="F108" t="str">
            <v>Buruh Lapangan Tak Terlatih / Pekerja</v>
          </cell>
          <cell r="J108" t="str">
            <v>Buruh Lapangan Tak Terlatih</v>
          </cell>
          <cell r="K108">
            <v>0.15</v>
          </cell>
          <cell r="L108" t="str">
            <v>HO</v>
          </cell>
          <cell r="M108">
            <v>22700</v>
          </cell>
          <cell r="N108">
            <v>3405</v>
          </cell>
        </row>
        <row r="109">
          <cell r="B109">
            <v>102</v>
          </cell>
          <cell r="J109" t="str">
            <v>Angkutan (A013)</v>
          </cell>
          <cell r="K109">
            <v>0.1</v>
          </cell>
          <cell r="L109" t="str">
            <v>HO</v>
          </cell>
          <cell r="M109">
            <v>14440</v>
          </cell>
          <cell r="N109">
            <v>1444</v>
          </cell>
        </row>
        <row r="110">
          <cell r="B110">
            <v>103</v>
          </cell>
          <cell r="D110" t="str">
            <v>B</v>
          </cell>
          <cell r="F110" t="str">
            <v>Lempengan rumput</v>
          </cell>
          <cell r="J110" t="str">
            <v>Lempengan Rumput</v>
          </cell>
          <cell r="K110">
            <v>1.2</v>
          </cell>
          <cell r="L110" t="str">
            <v>M2</v>
          </cell>
          <cell r="M110">
            <v>11000</v>
          </cell>
          <cell r="N110">
            <v>13200</v>
          </cell>
        </row>
        <row r="111">
          <cell r="B111">
            <v>104</v>
          </cell>
          <cell r="M111" t="str">
            <v>Jumlah</v>
          </cell>
          <cell r="N111">
            <v>18367</v>
          </cell>
        </row>
        <row r="112">
          <cell r="B112">
            <v>105</v>
          </cell>
          <cell r="M112" t="str">
            <v>Dibulatkan</v>
          </cell>
          <cell r="N112">
            <v>18370</v>
          </cell>
        </row>
        <row r="113">
          <cell r="B113">
            <v>106</v>
          </cell>
        </row>
        <row r="114">
          <cell r="A114" t="str">
            <v>A015</v>
          </cell>
          <cell r="B114">
            <v>107</v>
          </cell>
          <cell r="H114" t="str">
            <v>A015</v>
          </cell>
          <cell r="I114" t="str">
            <v>M²</v>
          </cell>
          <cell r="J114" t="str">
            <v>MEMASANG LEMPENGAN RUMPUT DIANGKUT  30M'</v>
          </cell>
          <cell r="K114" t="str">
            <v>Harga per 1 M² ……</v>
          </cell>
          <cell r="M114" t="str">
            <v>Rp.</v>
          </cell>
          <cell r="N114">
            <v>17700</v>
          </cell>
        </row>
        <row r="115">
          <cell r="B115">
            <v>108</v>
          </cell>
          <cell r="C115" t="str">
            <v>P</v>
          </cell>
          <cell r="F115" t="str">
            <v>Mandor Lapangan</v>
          </cell>
          <cell r="J115" t="str">
            <v>Mandor Lapangan</v>
          </cell>
          <cell r="K115">
            <v>0.01</v>
          </cell>
          <cell r="L115" t="str">
            <v>HO</v>
          </cell>
          <cell r="M115">
            <v>31800</v>
          </cell>
          <cell r="N115">
            <v>318</v>
          </cell>
        </row>
        <row r="116">
          <cell r="B116">
            <v>109</v>
          </cell>
          <cell r="C116" t="str">
            <v>P</v>
          </cell>
          <cell r="F116" t="str">
            <v>Buruh Lapangan Tak Terlatih / Pekerja</v>
          </cell>
          <cell r="J116" t="str">
            <v>Buruh Lapangan Tak Terlatih</v>
          </cell>
          <cell r="K116">
            <v>0.15</v>
          </cell>
          <cell r="L116" t="str">
            <v>HO</v>
          </cell>
          <cell r="M116">
            <v>22700</v>
          </cell>
          <cell r="N116">
            <v>3405</v>
          </cell>
        </row>
        <row r="117">
          <cell r="B117">
            <v>110</v>
          </cell>
          <cell r="J117" t="str">
            <v>Angkutan (A012)</v>
          </cell>
          <cell r="K117">
            <v>0.1</v>
          </cell>
          <cell r="L117" t="str">
            <v>HO</v>
          </cell>
          <cell r="M117">
            <v>7810</v>
          </cell>
          <cell r="N117">
            <v>781</v>
          </cell>
        </row>
        <row r="118">
          <cell r="B118">
            <v>111</v>
          </cell>
          <cell r="D118" t="str">
            <v>B</v>
          </cell>
          <cell r="F118" t="str">
            <v>Lempengan rumput</v>
          </cell>
          <cell r="J118" t="str">
            <v>Lempengan Rumput</v>
          </cell>
          <cell r="K118">
            <v>1.2</v>
          </cell>
          <cell r="L118" t="str">
            <v>M2</v>
          </cell>
          <cell r="M118">
            <v>11000</v>
          </cell>
          <cell r="N118">
            <v>13200</v>
          </cell>
        </row>
        <row r="119">
          <cell r="B119">
            <v>112</v>
          </cell>
          <cell r="M119" t="str">
            <v>Jumlah</v>
          </cell>
          <cell r="N119">
            <v>17704</v>
          </cell>
        </row>
        <row r="120">
          <cell r="B120">
            <v>113</v>
          </cell>
          <cell r="M120" t="str">
            <v>Dibulatkan</v>
          </cell>
          <cell r="N120">
            <v>17700</v>
          </cell>
        </row>
        <row r="121">
          <cell r="B121">
            <v>114</v>
          </cell>
        </row>
        <row r="122">
          <cell r="A122" t="str">
            <v>A016</v>
          </cell>
          <cell r="B122">
            <v>115</v>
          </cell>
          <cell r="H122" t="str">
            <v>A016</v>
          </cell>
          <cell r="I122" t="str">
            <v>M²</v>
          </cell>
          <cell r="J122" t="str">
            <v>PEK. STRIPING TANAH TEBAL = 0.2 M2</v>
          </cell>
          <cell r="K122" t="str">
            <v>Harga per 1 M² ……</v>
          </cell>
          <cell r="M122" t="str">
            <v>Rp.</v>
          </cell>
          <cell r="N122">
            <v>1630</v>
          </cell>
        </row>
        <row r="123">
          <cell r="B123">
            <v>116</v>
          </cell>
          <cell r="C123" t="str">
            <v>P</v>
          </cell>
          <cell r="F123" t="str">
            <v>Buruh Lapangan Agak Terlatih / Pekerja setengah Terampil</v>
          </cell>
          <cell r="J123" t="str">
            <v>Pekarja Setengah Terampil</v>
          </cell>
          <cell r="K123">
            <v>0.05</v>
          </cell>
          <cell r="L123" t="str">
            <v>Orang</v>
          </cell>
          <cell r="M123">
            <v>24500</v>
          </cell>
          <cell r="N123">
            <v>1225</v>
          </cell>
        </row>
        <row r="124">
          <cell r="B124">
            <v>117</v>
          </cell>
          <cell r="C124" t="str">
            <v>P</v>
          </cell>
          <cell r="F124" t="str">
            <v>Mandor Lapangan</v>
          </cell>
          <cell r="J124" t="str">
            <v>Mandor</v>
          </cell>
          <cell r="K124">
            <v>5.0000000000000001E-3</v>
          </cell>
          <cell r="L124" t="str">
            <v>Orang</v>
          </cell>
          <cell r="M124">
            <v>31800</v>
          </cell>
          <cell r="N124">
            <v>159</v>
          </cell>
        </row>
        <row r="125">
          <cell r="B125">
            <v>118</v>
          </cell>
          <cell r="J125" t="str">
            <v>Alat Bantu</v>
          </cell>
          <cell r="K125">
            <v>1</v>
          </cell>
          <cell r="L125" t="str">
            <v>Ls</v>
          </cell>
          <cell r="M125">
            <v>245</v>
          </cell>
          <cell r="N125">
            <v>245</v>
          </cell>
        </row>
        <row r="126">
          <cell r="B126">
            <v>119</v>
          </cell>
          <cell r="M126" t="str">
            <v>Jumlah</v>
          </cell>
          <cell r="N126">
            <v>1629</v>
          </cell>
        </row>
        <row r="127">
          <cell r="B127">
            <v>120</v>
          </cell>
          <cell r="M127" t="str">
            <v>Dibulatkan</v>
          </cell>
          <cell r="N127">
            <v>1630</v>
          </cell>
        </row>
        <row r="128">
          <cell r="B128">
            <v>121</v>
          </cell>
        </row>
        <row r="129">
          <cell r="A129" t="str">
            <v>A017</v>
          </cell>
          <cell r="B129">
            <v>122</v>
          </cell>
          <cell r="H129" t="str">
            <v>A017</v>
          </cell>
          <cell r="I129" t="str">
            <v>M³</v>
          </cell>
          <cell r="J129" t="str">
            <v>URUGAN TANAH KEMBALI</v>
          </cell>
          <cell r="K129" t="str">
            <v>Harga per 1 M³ ……</v>
          </cell>
          <cell r="M129" t="str">
            <v>Rp.</v>
          </cell>
          <cell r="N129">
            <v>5210</v>
          </cell>
        </row>
        <row r="130">
          <cell r="B130">
            <v>123</v>
          </cell>
          <cell r="C130" t="str">
            <v>P</v>
          </cell>
          <cell r="F130" t="str">
            <v>Buruh Lapangan Tak Terlatih / Pekerja</v>
          </cell>
          <cell r="J130" t="str">
            <v>Pekerja</v>
          </cell>
          <cell r="K130">
            <v>0.192</v>
          </cell>
          <cell r="L130" t="str">
            <v>Orang</v>
          </cell>
          <cell r="M130">
            <v>22700</v>
          </cell>
          <cell r="N130">
            <v>4358.3999999999996</v>
          </cell>
        </row>
        <row r="131">
          <cell r="B131">
            <v>124</v>
          </cell>
          <cell r="C131" t="str">
            <v>P</v>
          </cell>
          <cell r="F131" t="str">
            <v>Mandor Lapangan</v>
          </cell>
          <cell r="J131" t="str">
            <v>Mandor</v>
          </cell>
          <cell r="K131">
            <v>1.9E-2</v>
          </cell>
          <cell r="L131" t="str">
            <v>Orang</v>
          </cell>
          <cell r="M131">
            <v>31800</v>
          </cell>
          <cell r="N131">
            <v>604.19999999999993</v>
          </cell>
        </row>
        <row r="132">
          <cell r="B132">
            <v>125</v>
          </cell>
          <cell r="J132" t="str">
            <v>Alat Bantu</v>
          </cell>
          <cell r="K132">
            <v>1</v>
          </cell>
          <cell r="L132" t="str">
            <v>Ls</v>
          </cell>
          <cell r="M132">
            <v>245</v>
          </cell>
          <cell r="N132">
            <v>245</v>
          </cell>
        </row>
        <row r="133">
          <cell r="B133">
            <v>126</v>
          </cell>
          <cell r="M133" t="str">
            <v>Jumlah</v>
          </cell>
          <cell r="N133">
            <v>5207.5999999999995</v>
          </cell>
        </row>
        <row r="134">
          <cell r="B134">
            <v>127</v>
          </cell>
          <cell r="M134" t="str">
            <v>Dibulatkan</v>
          </cell>
          <cell r="N134">
            <v>5210</v>
          </cell>
        </row>
        <row r="135">
          <cell r="B135">
            <v>128</v>
          </cell>
        </row>
        <row r="136">
          <cell r="A136" t="str">
            <v>A018</v>
          </cell>
          <cell r="B136">
            <v>129</v>
          </cell>
          <cell r="H136" t="str">
            <v>A018</v>
          </cell>
          <cell r="I136" t="str">
            <v>M³</v>
          </cell>
          <cell r="J136" t="str">
            <v>PEK. PEMADATAN TANAH SETIAP 20 CM</v>
          </cell>
          <cell r="K136" t="str">
            <v>Harga per 1 M³ ……</v>
          </cell>
          <cell r="M136" t="str">
            <v>Rp.</v>
          </cell>
          <cell r="N136">
            <v>15640</v>
          </cell>
        </row>
        <row r="137">
          <cell r="B137">
            <v>130</v>
          </cell>
          <cell r="C137" t="str">
            <v>P</v>
          </cell>
          <cell r="F137" t="str">
            <v>Buruh Lapangan Terlatih / Pekerja Terampil</v>
          </cell>
          <cell r="J137" t="str">
            <v>Pekerja Terampil</v>
          </cell>
          <cell r="K137">
            <v>0.5</v>
          </cell>
          <cell r="L137" t="str">
            <v>Orang</v>
          </cell>
          <cell r="M137">
            <v>26400</v>
          </cell>
          <cell r="N137">
            <v>13200</v>
          </cell>
        </row>
        <row r="138">
          <cell r="B138">
            <v>131</v>
          </cell>
          <cell r="C138" t="str">
            <v>P</v>
          </cell>
          <cell r="F138" t="str">
            <v>Mandor Lapangan</v>
          </cell>
          <cell r="J138" t="str">
            <v>Mandor</v>
          </cell>
          <cell r="K138">
            <v>0.05</v>
          </cell>
          <cell r="L138" t="str">
            <v>orang</v>
          </cell>
          <cell r="M138">
            <v>31800</v>
          </cell>
          <cell r="N138">
            <v>1590</v>
          </cell>
        </row>
        <row r="139">
          <cell r="B139">
            <v>132</v>
          </cell>
          <cell r="J139" t="str">
            <v>Alat Bantu (Sewa Stemper)</v>
          </cell>
          <cell r="K139">
            <v>1</v>
          </cell>
          <cell r="L139" t="str">
            <v>Ls</v>
          </cell>
          <cell r="M139">
            <v>850</v>
          </cell>
          <cell r="N139">
            <v>850</v>
          </cell>
        </row>
        <row r="140">
          <cell r="B140">
            <v>133</v>
          </cell>
          <cell r="M140" t="str">
            <v>Jumlah</v>
          </cell>
          <cell r="N140">
            <v>15640</v>
          </cell>
        </row>
        <row r="141">
          <cell r="B141">
            <v>134</v>
          </cell>
          <cell r="M141" t="str">
            <v>Dibulatkan</v>
          </cell>
          <cell r="N141">
            <v>15640</v>
          </cell>
        </row>
        <row r="142">
          <cell r="B142">
            <v>135</v>
          </cell>
        </row>
        <row r="143">
          <cell r="A143" t="str">
            <v>A019</v>
          </cell>
          <cell r="B143">
            <v>136</v>
          </cell>
          <cell r="H143" t="str">
            <v>A019</v>
          </cell>
          <cell r="I143" t="str">
            <v>M³</v>
          </cell>
          <cell r="J143" t="str">
            <v>1 M³ PEK BUANGAN TANAH</v>
          </cell>
          <cell r="K143" t="str">
            <v>Harga per 1 M³ ……</v>
          </cell>
          <cell r="M143" t="str">
            <v>Rp.</v>
          </cell>
          <cell r="N143">
            <v>15290</v>
          </cell>
        </row>
        <row r="144">
          <cell r="B144">
            <v>137</v>
          </cell>
          <cell r="C144" t="str">
            <v>P</v>
          </cell>
          <cell r="F144" t="str">
            <v>Buruh Lapangan Terlatih / Pekerja Terampil</v>
          </cell>
          <cell r="J144" t="str">
            <v>Pekerja Terampil</v>
          </cell>
          <cell r="K144">
            <v>0.5</v>
          </cell>
          <cell r="L144" t="str">
            <v>Org</v>
          </cell>
          <cell r="M144">
            <v>26400</v>
          </cell>
          <cell r="N144">
            <v>13200</v>
          </cell>
        </row>
        <row r="145">
          <cell r="B145">
            <v>138</v>
          </cell>
          <cell r="C145" t="str">
            <v>P</v>
          </cell>
          <cell r="F145" t="str">
            <v>Mandor Lapangan</v>
          </cell>
          <cell r="J145" t="str">
            <v>Mandor</v>
          </cell>
          <cell r="K145">
            <v>0.05</v>
          </cell>
          <cell r="L145" t="str">
            <v>Org</v>
          </cell>
          <cell r="M145">
            <v>31800</v>
          </cell>
          <cell r="N145">
            <v>1590</v>
          </cell>
        </row>
        <row r="146">
          <cell r="B146">
            <v>139</v>
          </cell>
          <cell r="J146" t="str">
            <v xml:space="preserve">Alat Bantu </v>
          </cell>
          <cell r="K146">
            <v>1</v>
          </cell>
          <cell r="L146" t="str">
            <v>Ls</v>
          </cell>
          <cell r="M146">
            <v>500</v>
          </cell>
          <cell r="N146">
            <v>500</v>
          </cell>
        </row>
        <row r="147">
          <cell r="B147">
            <v>140</v>
          </cell>
          <cell r="M147" t="str">
            <v>Jumlah</v>
          </cell>
          <cell r="N147">
            <v>15290</v>
          </cell>
        </row>
        <row r="148">
          <cell r="B148">
            <v>141</v>
          </cell>
          <cell r="M148" t="str">
            <v>Dibulatkan</v>
          </cell>
          <cell r="N148">
            <v>15290</v>
          </cell>
        </row>
        <row r="149">
          <cell r="B149">
            <v>142</v>
          </cell>
        </row>
        <row r="150">
          <cell r="A150" t="str">
            <v>A020</v>
          </cell>
          <cell r="B150">
            <v>143</v>
          </cell>
          <cell r="H150" t="str">
            <v>A020</v>
          </cell>
          <cell r="I150" t="str">
            <v>M³</v>
          </cell>
          <cell r="J150" t="str">
            <v>URUGAN PASIR URUG</v>
          </cell>
          <cell r="K150" t="str">
            <v>Harga per 1 M³ ……</v>
          </cell>
          <cell r="M150" t="str">
            <v>Rp.</v>
          </cell>
          <cell r="N150">
            <v>161870</v>
          </cell>
        </row>
        <row r="151">
          <cell r="B151">
            <v>144</v>
          </cell>
          <cell r="D151" t="str">
            <v>B</v>
          </cell>
          <cell r="F151" t="str">
            <v>Pasir Urug</v>
          </cell>
          <cell r="J151" t="str">
            <v>Pasir Urug</v>
          </cell>
          <cell r="K151">
            <v>1.2</v>
          </cell>
          <cell r="L151" t="str">
            <v>M3</v>
          </cell>
          <cell r="M151">
            <v>120000</v>
          </cell>
          <cell r="N151">
            <v>144000</v>
          </cell>
        </row>
        <row r="152">
          <cell r="B152">
            <v>145</v>
          </cell>
          <cell r="D152" t="str">
            <v>B</v>
          </cell>
          <cell r="F152" t="str">
            <v>Buruh Lapangan Tak Terlatih / Pekerja</v>
          </cell>
          <cell r="J152" t="str">
            <v>Pekerja</v>
          </cell>
          <cell r="K152">
            <v>0.15</v>
          </cell>
          <cell r="L152" t="str">
            <v>Orang</v>
          </cell>
          <cell r="M152">
            <v>117000</v>
          </cell>
          <cell r="N152">
            <v>17550</v>
          </cell>
        </row>
        <row r="153">
          <cell r="B153">
            <v>146</v>
          </cell>
          <cell r="C153" t="str">
            <v>P</v>
          </cell>
          <cell r="F153" t="str">
            <v>Mandor Lapangan</v>
          </cell>
          <cell r="J153" t="str">
            <v>Mandor</v>
          </cell>
          <cell r="K153">
            <v>0.01</v>
          </cell>
          <cell r="L153" t="str">
            <v>Orang</v>
          </cell>
          <cell r="M153">
            <v>31800</v>
          </cell>
          <cell r="N153">
            <v>318</v>
          </cell>
        </row>
        <row r="154">
          <cell r="B154">
            <v>147</v>
          </cell>
          <cell r="M154" t="str">
            <v>Jumlah</v>
          </cell>
          <cell r="N154">
            <v>161868</v>
          </cell>
        </row>
        <row r="155">
          <cell r="B155">
            <v>148</v>
          </cell>
          <cell r="M155" t="str">
            <v>Dibulatkan</v>
          </cell>
          <cell r="N155">
            <v>161870</v>
          </cell>
        </row>
        <row r="156">
          <cell r="B156">
            <v>149</v>
          </cell>
        </row>
        <row r="157">
          <cell r="A157" t="str">
            <v>A021</v>
          </cell>
          <cell r="B157">
            <v>150</v>
          </cell>
          <cell r="H157" t="str">
            <v>A021</v>
          </cell>
          <cell r="I157" t="str">
            <v>M³</v>
          </cell>
          <cell r="J157" t="str">
            <v>URUGAN SIRTU UNTUK PONDASI</v>
          </cell>
          <cell r="K157" t="str">
            <v>Harga per 1 M³ ……</v>
          </cell>
          <cell r="M157" t="str">
            <v>Rp.</v>
          </cell>
          <cell r="N157">
            <v>139870</v>
          </cell>
        </row>
        <row r="158">
          <cell r="B158">
            <v>151</v>
          </cell>
          <cell r="C158" t="str">
            <v>P</v>
          </cell>
          <cell r="F158" t="str">
            <v>Mandor Lapangan</v>
          </cell>
          <cell r="J158" t="str">
            <v>Mandor Lapangan</v>
          </cell>
          <cell r="K158">
            <v>0.02</v>
          </cell>
          <cell r="L158" t="str">
            <v>HO</v>
          </cell>
          <cell r="M158">
            <v>31800</v>
          </cell>
          <cell r="N158">
            <v>636</v>
          </cell>
        </row>
        <row r="159">
          <cell r="B159">
            <v>152</v>
          </cell>
          <cell r="C159" t="str">
            <v>P</v>
          </cell>
          <cell r="F159" t="str">
            <v>Buruh Lapangan Tak Terlatih / Pekerja</v>
          </cell>
          <cell r="J159" t="str">
            <v>Buruh Lapangan Tak Terlatih</v>
          </cell>
          <cell r="K159">
            <v>0.9</v>
          </cell>
          <cell r="L159" t="str">
            <v>HO</v>
          </cell>
          <cell r="M159">
            <v>22700</v>
          </cell>
          <cell r="N159">
            <v>20430</v>
          </cell>
        </row>
        <row r="160">
          <cell r="B160">
            <v>153</v>
          </cell>
          <cell r="D160" t="str">
            <v>B</v>
          </cell>
          <cell r="F160" t="str">
            <v>Sirtu</v>
          </cell>
          <cell r="J160" t="str">
            <v>Sirtu</v>
          </cell>
          <cell r="K160">
            <v>1.1000000000000001</v>
          </cell>
          <cell r="L160" t="str">
            <v>M3</v>
          </cell>
          <cell r="M160">
            <v>108000</v>
          </cell>
          <cell r="N160">
            <v>118800.00000000001</v>
          </cell>
        </row>
        <row r="161">
          <cell r="B161">
            <v>154</v>
          </cell>
          <cell r="M161" t="str">
            <v>Jumlah</v>
          </cell>
          <cell r="N161">
            <v>139866</v>
          </cell>
        </row>
        <row r="162">
          <cell r="B162">
            <v>155</v>
          </cell>
          <cell r="M162" t="str">
            <v>Dibulatkan</v>
          </cell>
          <cell r="N162">
            <v>139870</v>
          </cell>
        </row>
        <row r="163">
          <cell r="B163">
            <v>156</v>
          </cell>
        </row>
        <row r="164">
          <cell r="A164" t="str">
            <v>A022</v>
          </cell>
          <cell r="B164">
            <v>157</v>
          </cell>
          <cell r="H164" t="str">
            <v>A022</v>
          </cell>
          <cell r="I164" t="str">
            <v>M³</v>
          </cell>
          <cell r="J164" t="str">
            <v>LANTAI KERJA 1pc : 3ps : 5kr</v>
          </cell>
          <cell r="K164" t="str">
            <v>Harga per 1 M³ ……</v>
          </cell>
          <cell r="M164" t="str">
            <v>Rp.</v>
          </cell>
          <cell r="N164">
            <v>451900</v>
          </cell>
        </row>
        <row r="165">
          <cell r="B165">
            <v>158</v>
          </cell>
          <cell r="D165" t="str">
            <v>B</v>
          </cell>
          <cell r="F165" t="str">
            <v>Semen portland</v>
          </cell>
          <cell r="J165" t="str">
            <v xml:space="preserve">PC (50 Kg) </v>
          </cell>
          <cell r="K165">
            <v>3.956</v>
          </cell>
          <cell r="L165" t="str">
            <v>Zak</v>
          </cell>
          <cell r="M165">
            <v>44200</v>
          </cell>
          <cell r="N165">
            <v>174855.2</v>
          </cell>
        </row>
        <row r="166">
          <cell r="B166">
            <v>159</v>
          </cell>
          <cell r="D166" t="str">
            <v>B</v>
          </cell>
          <cell r="F166" t="str">
            <v>Pasir Beton</v>
          </cell>
          <cell r="J166" t="str">
            <v>Pasir Beton</v>
          </cell>
          <cell r="K166">
            <v>0.55000000000000004</v>
          </cell>
          <cell r="L166" t="str">
            <v>M3</v>
          </cell>
          <cell r="M166">
            <v>169000</v>
          </cell>
          <cell r="N166">
            <v>92950.000000000015</v>
          </cell>
        </row>
        <row r="167">
          <cell r="B167">
            <v>160</v>
          </cell>
          <cell r="D167" t="str">
            <v>B</v>
          </cell>
          <cell r="F167" t="str">
            <v>Batu Pecah 2 - 3 cm</v>
          </cell>
          <cell r="J167" t="str">
            <v>Split Pecah Mesin 2/3</v>
          </cell>
          <cell r="K167">
            <v>0.93</v>
          </cell>
          <cell r="L167" t="str">
            <v>M3</v>
          </cell>
          <cell r="M167">
            <v>147000</v>
          </cell>
          <cell r="N167">
            <v>136710</v>
          </cell>
        </row>
        <row r="168">
          <cell r="B168">
            <v>161</v>
          </cell>
          <cell r="J168" t="str">
            <v>Peralatan</v>
          </cell>
          <cell r="K168">
            <v>1</v>
          </cell>
          <cell r="L168" t="str">
            <v>Ls</v>
          </cell>
          <cell r="M168">
            <v>2000</v>
          </cell>
          <cell r="N168">
            <v>2000</v>
          </cell>
        </row>
        <row r="169">
          <cell r="B169">
            <v>162</v>
          </cell>
          <cell r="C169" t="str">
            <v>P</v>
          </cell>
          <cell r="F169" t="str">
            <v>Buruh Lapangan Tak Terlatih / Pekerja</v>
          </cell>
          <cell r="J169" t="str">
            <v>Pekerja</v>
          </cell>
          <cell r="K169">
            <v>1.5</v>
          </cell>
          <cell r="L169" t="str">
            <v>Orang</v>
          </cell>
          <cell r="M169">
            <v>22700</v>
          </cell>
          <cell r="N169">
            <v>34050</v>
          </cell>
        </row>
        <row r="170">
          <cell r="B170">
            <v>163</v>
          </cell>
          <cell r="C170" t="str">
            <v>P</v>
          </cell>
          <cell r="F170" t="str">
            <v>Tukang Batu setengah terampil</v>
          </cell>
          <cell r="J170" t="str">
            <v>Tukang Batu Setengah Terampil</v>
          </cell>
          <cell r="K170">
            <v>0.375</v>
          </cell>
          <cell r="L170" t="str">
            <v>Orang</v>
          </cell>
          <cell r="M170">
            <v>26800</v>
          </cell>
          <cell r="N170">
            <v>10050</v>
          </cell>
        </row>
        <row r="171">
          <cell r="B171">
            <v>164</v>
          </cell>
          <cell r="C171" t="str">
            <v>P</v>
          </cell>
          <cell r="F171" t="str">
            <v>Kepala Tukang Batu</v>
          </cell>
          <cell r="J171" t="str">
            <v>Kepala Tukang Batu</v>
          </cell>
          <cell r="K171">
            <v>3.7499999999999999E-2</v>
          </cell>
          <cell r="L171" t="str">
            <v>Orang</v>
          </cell>
          <cell r="M171">
            <v>29100</v>
          </cell>
          <cell r="N171">
            <v>1091.25</v>
          </cell>
        </row>
        <row r="172">
          <cell r="B172">
            <v>165</v>
          </cell>
          <cell r="C172" t="str">
            <v>P</v>
          </cell>
          <cell r="F172" t="str">
            <v>Mandor Lapangan</v>
          </cell>
          <cell r="J172" t="str">
            <v>Mandor</v>
          </cell>
          <cell r="K172">
            <v>7.4999999999999997E-3</v>
          </cell>
          <cell r="L172" t="str">
            <v>Orang</v>
          </cell>
          <cell r="M172">
            <v>31800</v>
          </cell>
          <cell r="N172">
            <v>238.5</v>
          </cell>
        </row>
        <row r="173">
          <cell r="B173">
            <v>166</v>
          </cell>
          <cell r="M173" t="str">
            <v>Jumlah</v>
          </cell>
          <cell r="N173">
            <v>451944.95</v>
          </cell>
        </row>
        <row r="174">
          <cell r="B174">
            <v>167</v>
          </cell>
          <cell r="M174" t="str">
            <v>Dibulatkan</v>
          </cell>
          <cell r="N174">
            <v>451900</v>
          </cell>
        </row>
        <row r="175">
          <cell r="B175">
            <v>168</v>
          </cell>
        </row>
        <row r="176">
          <cell r="A176" t="str">
            <v>A023</v>
          </cell>
          <cell r="B176">
            <v>169</v>
          </cell>
          <cell r="H176" t="str">
            <v>A023</v>
          </cell>
          <cell r="I176" t="str">
            <v>M³</v>
          </cell>
          <cell r="J176" t="str">
            <v>PEK. BETON CYCLOOF + 40 % BATU BELAH</v>
          </cell>
          <cell r="K176" t="str">
            <v>Harga per 1 M³ ……</v>
          </cell>
          <cell r="M176" t="str">
            <v>Rp.</v>
          </cell>
          <cell r="N176">
            <v>450500</v>
          </cell>
        </row>
        <row r="177">
          <cell r="B177">
            <v>170</v>
          </cell>
          <cell r="D177" t="str">
            <v>B</v>
          </cell>
          <cell r="F177" t="str">
            <v>Batu Belah 10 - 15 cm</v>
          </cell>
          <cell r="J177" t="str">
            <v>Batu Belah 40 %</v>
          </cell>
          <cell r="K177">
            <v>0.48</v>
          </cell>
          <cell r="L177" t="str">
            <v>M³</v>
          </cell>
          <cell r="M177">
            <v>141000</v>
          </cell>
          <cell r="N177">
            <v>67680</v>
          </cell>
        </row>
        <row r="178">
          <cell r="B178">
            <v>171</v>
          </cell>
          <cell r="D178" t="str">
            <v>B</v>
          </cell>
          <cell r="F178" t="str">
            <v>Beton Ready Mix K.175</v>
          </cell>
          <cell r="J178" t="str">
            <v>Adukan beton Site Mix K.175</v>
          </cell>
          <cell r="K178">
            <v>0.6</v>
          </cell>
          <cell r="L178" t="str">
            <v>M³</v>
          </cell>
          <cell r="M178">
            <v>609100</v>
          </cell>
          <cell r="N178">
            <v>365460</v>
          </cell>
        </row>
        <row r="179">
          <cell r="B179">
            <v>172</v>
          </cell>
          <cell r="J179" t="str">
            <v>Upah Kerja</v>
          </cell>
          <cell r="K179">
            <v>0.04</v>
          </cell>
          <cell r="L179" t="str">
            <v>ls</v>
          </cell>
          <cell r="M179">
            <v>433140</v>
          </cell>
          <cell r="N179">
            <v>17325.599999999999</v>
          </cell>
        </row>
        <row r="180">
          <cell r="B180">
            <v>173</v>
          </cell>
          <cell r="M180" t="str">
            <v>Jumlah</v>
          </cell>
          <cell r="N180">
            <v>450465.6</v>
          </cell>
        </row>
        <row r="181">
          <cell r="B181">
            <v>174</v>
          </cell>
          <cell r="M181" t="str">
            <v>Dibulatkan</v>
          </cell>
          <cell r="N181">
            <v>450500</v>
          </cell>
        </row>
        <row r="182">
          <cell r="B182">
            <v>175</v>
          </cell>
        </row>
        <row r="183">
          <cell r="A183" t="str">
            <v>A024</v>
          </cell>
          <cell r="B183">
            <v>176</v>
          </cell>
          <cell r="H183" t="str">
            <v>A024</v>
          </cell>
          <cell r="I183" t="str">
            <v>M³</v>
          </cell>
          <cell r="J183" t="str">
            <v>PEK. BETON SITE MIX K175</v>
          </cell>
          <cell r="K183" t="str">
            <v>Harga per 1 M³ ……</v>
          </cell>
          <cell r="M183" t="str">
            <v>Rp.</v>
          </cell>
          <cell r="N183">
            <v>609100</v>
          </cell>
        </row>
        <row r="184">
          <cell r="B184">
            <v>177</v>
          </cell>
          <cell r="D184" t="str">
            <v>B</v>
          </cell>
          <cell r="F184" t="str">
            <v>Semen portland</v>
          </cell>
          <cell r="J184" t="str">
            <v>PC (50 Kg)</v>
          </cell>
          <cell r="K184">
            <v>6.8</v>
          </cell>
          <cell r="L184" t="str">
            <v>Zak</v>
          </cell>
          <cell r="M184">
            <v>44200</v>
          </cell>
          <cell r="N184">
            <v>300560</v>
          </cell>
        </row>
        <row r="185">
          <cell r="B185">
            <v>178</v>
          </cell>
          <cell r="D185" t="str">
            <v>B</v>
          </cell>
          <cell r="F185" t="str">
            <v>Batu Pecah 2 - 3 cm</v>
          </cell>
          <cell r="J185" t="str">
            <v>Split Pecah Mesin 2/3</v>
          </cell>
          <cell r="K185">
            <v>0.83</v>
          </cell>
          <cell r="L185" t="str">
            <v>M3</v>
          </cell>
          <cell r="M185">
            <v>147000</v>
          </cell>
          <cell r="N185">
            <v>122010</v>
          </cell>
        </row>
        <row r="186">
          <cell r="B186">
            <v>179</v>
          </cell>
          <cell r="D186" t="str">
            <v>B</v>
          </cell>
          <cell r="F186" t="str">
            <v>Pasir Beton</v>
          </cell>
          <cell r="J186" t="str">
            <v>Pasir Beton</v>
          </cell>
          <cell r="K186">
            <v>0.54</v>
          </cell>
          <cell r="L186" t="str">
            <v>M3</v>
          </cell>
          <cell r="M186">
            <v>169000</v>
          </cell>
          <cell r="N186">
            <v>91260</v>
          </cell>
        </row>
        <row r="187">
          <cell r="B187">
            <v>180</v>
          </cell>
          <cell r="C187" t="str">
            <v>P</v>
          </cell>
          <cell r="F187" t="str">
            <v>Buruh Lapangan Tak Terlatih / Pekerja</v>
          </cell>
          <cell r="J187" t="str">
            <v>Pekerja</v>
          </cell>
          <cell r="K187">
            <v>3</v>
          </cell>
          <cell r="L187" t="str">
            <v>Orang</v>
          </cell>
          <cell r="M187">
            <v>22700</v>
          </cell>
          <cell r="N187">
            <v>68100</v>
          </cell>
        </row>
        <row r="188">
          <cell r="B188">
            <v>181</v>
          </cell>
          <cell r="C188" t="str">
            <v>P</v>
          </cell>
          <cell r="F188" t="str">
            <v>Tukang Batu setengah terampil</v>
          </cell>
          <cell r="J188" t="str">
            <v>Tukang Batu Setengah Terampil</v>
          </cell>
          <cell r="K188">
            <v>0.5</v>
          </cell>
          <cell r="L188" t="str">
            <v>Orang</v>
          </cell>
          <cell r="M188">
            <v>26800</v>
          </cell>
          <cell r="N188">
            <v>13400</v>
          </cell>
        </row>
        <row r="189">
          <cell r="B189">
            <v>182</v>
          </cell>
          <cell r="C189" t="str">
            <v>P</v>
          </cell>
          <cell r="F189" t="str">
            <v>Kepala Tukang Batu</v>
          </cell>
          <cell r="J189" t="str">
            <v>Kepala Tukang Batu</v>
          </cell>
          <cell r="K189">
            <v>0.05</v>
          </cell>
          <cell r="L189" t="str">
            <v>Orang</v>
          </cell>
          <cell r="M189">
            <v>29100</v>
          </cell>
          <cell r="N189">
            <v>1455</v>
          </cell>
        </row>
        <row r="190">
          <cell r="B190">
            <v>183</v>
          </cell>
          <cell r="C190" t="str">
            <v>P</v>
          </cell>
          <cell r="F190" t="str">
            <v>Mandor Lapangan</v>
          </cell>
          <cell r="J190" t="str">
            <v>Mandor</v>
          </cell>
          <cell r="K190">
            <v>0.01</v>
          </cell>
          <cell r="L190" t="str">
            <v>Orang</v>
          </cell>
          <cell r="M190">
            <v>31800</v>
          </cell>
          <cell r="N190">
            <v>318</v>
          </cell>
        </row>
        <row r="191">
          <cell r="B191">
            <v>184</v>
          </cell>
          <cell r="J191" t="str">
            <v>Peralatan</v>
          </cell>
          <cell r="K191">
            <v>1</v>
          </cell>
          <cell r="L191" t="str">
            <v>Ls</v>
          </cell>
          <cell r="M191">
            <v>12000</v>
          </cell>
          <cell r="N191">
            <v>12000</v>
          </cell>
        </row>
        <row r="192">
          <cell r="B192">
            <v>185</v>
          </cell>
          <cell r="M192" t="str">
            <v>Jumlah</v>
          </cell>
          <cell r="N192">
            <v>609103</v>
          </cell>
        </row>
        <row r="193">
          <cell r="B193">
            <v>186</v>
          </cell>
          <cell r="M193" t="str">
            <v>Dibulatkan</v>
          </cell>
          <cell r="N193">
            <v>609100</v>
          </cell>
        </row>
        <row r="194">
          <cell r="B194">
            <v>187</v>
          </cell>
        </row>
        <row r="195">
          <cell r="A195" t="str">
            <v>A025</v>
          </cell>
          <cell r="B195">
            <v>188</v>
          </cell>
          <cell r="H195" t="str">
            <v>A025</v>
          </cell>
          <cell r="I195" t="str">
            <v>M³</v>
          </cell>
          <cell r="J195" t="str">
            <v>PEK. BETON SITE MIX K225</v>
          </cell>
          <cell r="K195" t="str">
            <v>Harga per 1 M³ ……</v>
          </cell>
          <cell r="M195" t="str">
            <v>Rp.</v>
          </cell>
          <cell r="N195">
            <v>646200</v>
          </cell>
        </row>
        <row r="196">
          <cell r="B196">
            <v>189</v>
          </cell>
          <cell r="D196" t="str">
            <v>B</v>
          </cell>
          <cell r="F196" t="str">
            <v>Semen portland</v>
          </cell>
          <cell r="J196" t="str">
            <v>PC (50 Kg)</v>
          </cell>
          <cell r="K196">
            <v>7.8959999999999999</v>
          </cell>
          <cell r="L196" t="str">
            <v>Zak</v>
          </cell>
          <cell r="M196">
            <v>44200</v>
          </cell>
          <cell r="N196">
            <v>349003.2</v>
          </cell>
        </row>
        <row r="197">
          <cell r="B197">
            <v>190</v>
          </cell>
          <cell r="D197" t="str">
            <v>B</v>
          </cell>
          <cell r="F197" t="str">
            <v>Batu Pecah 2 - 3 cm</v>
          </cell>
          <cell r="J197" t="str">
            <v>Split Pecah Mesin 2/3</v>
          </cell>
          <cell r="K197">
            <v>0.81</v>
          </cell>
          <cell r="L197" t="str">
            <v>M3</v>
          </cell>
          <cell r="M197">
            <v>147000</v>
          </cell>
          <cell r="N197">
            <v>119070.00000000001</v>
          </cell>
        </row>
        <row r="198">
          <cell r="B198">
            <v>191</v>
          </cell>
          <cell r="D198" t="str">
            <v>B</v>
          </cell>
          <cell r="F198" t="str">
            <v>Pasir Beton</v>
          </cell>
          <cell r="J198" t="str">
            <v>Pasir Beton</v>
          </cell>
          <cell r="K198">
            <v>0.49</v>
          </cell>
          <cell r="L198" t="str">
            <v>M3</v>
          </cell>
          <cell r="M198">
            <v>169000</v>
          </cell>
          <cell r="N198">
            <v>82810</v>
          </cell>
        </row>
        <row r="199">
          <cell r="B199">
            <v>192</v>
          </cell>
          <cell r="C199" t="str">
            <v>P</v>
          </cell>
          <cell r="F199" t="str">
            <v>Buruh Lapangan Tak Terlatih / Pekerja</v>
          </cell>
          <cell r="J199" t="str">
            <v>Pekerja</v>
          </cell>
          <cell r="K199">
            <v>3</v>
          </cell>
          <cell r="L199" t="str">
            <v>Orang</v>
          </cell>
          <cell r="M199">
            <v>22700</v>
          </cell>
          <cell r="N199">
            <v>68100</v>
          </cell>
        </row>
        <row r="200">
          <cell r="B200">
            <v>193</v>
          </cell>
          <cell r="C200" t="str">
            <v>P</v>
          </cell>
          <cell r="F200" t="str">
            <v>Tukang Batu setengah terampil</v>
          </cell>
          <cell r="J200" t="str">
            <v>Tukang Batu Setengah Terampil</v>
          </cell>
          <cell r="K200">
            <v>0.5</v>
          </cell>
          <cell r="L200" t="str">
            <v>Orang</v>
          </cell>
          <cell r="M200">
            <v>26800</v>
          </cell>
          <cell r="N200">
            <v>13400</v>
          </cell>
        </row>
        <row r="201">
          <cell r="B201">
            <v>194</v>
          </cell>
          <cell r="C201" t="str">
            <v>P</v>
          </cell>
          <cell r="F201" t="str">
            <v>Kepala Tukang Batu</v>
          </cell>
          <cell r="J201" t="str">
            <v>Kepala Tukang Batu</v>
          </cell>
          <cell r="K201">
            <v>0.05</v>
          </cell>
          <cell r="L201" t="str">
            <v>Orang</v>
          </cell>
          <cell r="M201">
            <v>29100</v>
          </cell>
          <cell r="N201">
            <v>1455</v>
          </cell>
        </row>
        <row r="202">
          <cell r="B202">
            <v>195</v>
          </cell>
          <cell r="C202" t="str">
            <v>P</v>
          </cell>
          <cell r="F202" t="str">
            <v>Mandor Lapangan</v>
          </cell>
          <cell r="J202" t="str">
            <v>Mandor</v>
          </cell>
          <cell r="K202">
            <v>0.01</v>
          </cell>
          <cell r="L202" t="str">
            <v>Orang</v>
          </cell>
          <cell r="M202">
            <v>31800</v>
          </cell>
          <cell r="N202">
            <v>318</v>
          </cell>
        </row>
        <row r="203">
          <cell r="B203">
            <v>196</v>
          </cell>
          <cell r="J203" t="str">
            <v>Peralatan</v>
          </cell>
          <cell r="K203">
            <v>1</v>
          </cell>
          <cell r="L203" t="str">
            <v>Ls</v>
          </cell>
          <cell r="M203">
            <v>12000</v>
          </cell>
          <cell r="N203">
            <v>12000</v>
          </cell>
        </row>
        <row r="204">
          <cell r="B204">
            <v>197</v>
          </cell>
          <cell r="M204" t="str">
            <v>Jumlah</v>
          </cell>
          <cell r="N204">
            <v>646156.19999999995</v>
          </cell>
        </row>
        <row r="205">
          <cell r="B205">
            <v>198</v>
          </cell>
          <cell r="M205" t="str">
            <v>Dibulatkan</v>
          </cell>
          <cell r="N205">
            <v>646200</v>
          </cell>
        </row>
        <row r="206">
          <cell r="B206">
            <v>199</v>
          </cell>
        </row>
        <row r="207">
          <cell r="A207" t="str">
            <v>A026</v>
          </cell>
          <cell r="B207">
            <v>200</v>
          </cell>
          <cell r="H207" t="str">
            <v>A026</v>
          </cell>
          <cell r="I207" t="str">
            <v>M³</v>
          </cell>
          <cell r="J207" t="str">
            <v>PEK. BETON SITE MIX K.250</v>
          </cell>
          <cell r="K207" t="str">
            <v>Harga per 1 M³ ……</v>
          </cell>
          <cell r="M207" t="str">
            <v>Rp.</v>
          </cell>
          <cell r="N207">
            <v>672000</v>
          </cell>
        </row>
        <row r="208">
          <cell r="B208">
            <v>201</v>
          </cell>
          <cell r="D208" t="str">
            <v>B</v>
          </cell>
          <cell r="F208" t="str">
            <v>Semen portland</v>
          </cell>
          <cell r="J208" t="str">
            <v>PC (50 Kg)</v>
          </cell>
          <cell r="K208">
            <v>8.1630000000000003</v>
          </cell>
          <cell r="L208" t="str">
            <v>Zak</v>
          </cell>
          <cell r="M208">
            <v>44200</v>
          </cell>
          <cell r="N208">
            <v>360804.60000000003</v>
          </cell>
        </row>
        <row r="209">
          <cell r="B209">
            <v>202</v>
          </cell>
          <cell r="D209" t="str">
            <v>B</v>
          </cell>
          <cell r="F209" t="str">
            <v>Batu Pecah 2 - 3 cm</v>
          </cell>
          <cell r="J209" t="str">
            <v>Split Pecah Mesin 2/3</v>
          </cell>
          <cell r="K209">
            <v>0.81</v>
          </cell>
          <cell r="L209" t="str">
            <v>M3</v>
          </cell>
          <cell r="M209">
            <v>147000</v>
          </cell>
          <cell r="N209">
            <v>119070.00000000001</v>
          </cell>
        </row>
        <row r="210">
          <cell r="B210">
            <v>203</v>
          </cell>
          <cell r="D210" t="str">
            <v>B</v>
          </cell>
          <cell r="F210" t="str">
            <v>Pasir Beton</v>
          </cell>
          <cell r="J210" t="str">
            <v>Pasir Beton</v>
          </cell>
          <cell r="K210">
            <v>0.49</v>
          </cell>
          <cell r="L210" t="str">
            <v>M3</v>
          </cell>
          <cell r="M210">
            <v>169000</v>
          </cell>
          <cell r="N210">
            <v>82810</v>
          </cell>
        </row>
        <row r="211">
          <cell r="B211">
            <v>204</v>
          </cell>
          <cell r="C211" t="str">
            <v>P</v>
          </cell>
          <cell r="F211" t="str">
            <v>Buruh Lapangan Tak Terlatih / Pekerja</v>
          </cell>
          <cell r="J211" t="str">
            <v>Pekerja</v>
          </cell>
          <cell r="K211">
            <v>3</v>
          </cell>
          <cell r="L211" t="str">
            <v>Orang</v>
          </cell>
          <cell r="M211">
            <v>22700</v>
          </cell>
          <cell r="N211">
            <v>68100</v>
          </cell>
        </row>
        <row r="212">
          <cell r="B212">
            <v>205</v>
          </cell>
          <cell r="C212" t="str">
            <v>P</v>
          </cell>
          <cell r="F212" t="str">
            <v>Tukang Batu setengah terampil</v>
          </cell>
          <cell r="J212" t="str">
            <v>Tukang Batu Setengah Terampil</v>
          </cell>
          <cell r="K212">
            <v>0.5</v>
          </cell>
          <cell r="L212" t="str">
            <v>Orang</v>
          </cell>
          <cell r="M212">
            <v>26800</v>
          </cell>
          <cell r="N212">
            <v>13400</v>
          </cell>
        </row>
        <row r="213">
          <cell r="B213">
            <v>206</v>
          </cell>
          <cell r="C213" t="str">
            <v>P</v>
          </cell>
          <cell r="F213" t="str">
            <v>Kepala Tukang Batu</v>
          </cell>
          <cell r="J213" t="str">
            <v>Kepala Tukang Batu</v>
          </cell>
          <cell r="K213">
            <v>0.05</v>
          </cell>
          <cell r="L213" t="str">
            <v>Orang</v>
          </cell>
          <cell r="M213">
            <v>29100</v>
          </cell>
          <cell r="N213">
            <v>1455</v>
          </cell>
        </row>
        <row r="214">
          <cell r="B214">
            <v>207</v>
          </cell>
          <cell r="C214" t="str">
            <v>P</v>
          </cell>
          <cell r="F214" t="str">
            <v>Mandor Lapangan</v>
          </cell>
          <cell r="J214" t="str">
            <v>Mandor</v>
          </cell>
          <cell r="K214">
            <v>0.01</v>
          </cell>
          <cell r="L214" t="str">
            <v>Orang</v>
          </cell>
          <cell r="M214">
            <v>31800</v>
          </cell>
          <cell r="N214">
            <v>318</v>
          </cell>
        </row>
        <row r="215">
          <cell r="B215">
            <v>208</v>
          </cell>
          <cell r="J215" t="str">
            <v>Peralatan</v>
          </cell>
          <cell r="K215">
            <v>1</v>
          </cell>
          <cell r="L215" t="str">
            <v>Ls</v>
          </cell>
          <cell r="M215">
            <v>26040</v>
          </cell>
          <cell r="N215">
            <v>26040</v>
          </cell>
        </row>
        <row r="216">
          <cell r="B216">
            <v>209</v>
          </cell>
          <cell r="M216" t="str">
            <v>Jumlah</v>
          </cell>
          <cell r="N216">
            <v>671997.60000000009</v>
          </cell>
        </row>
        <row r="217">
          <cell r="B217">
            <v>210</v>
          </cell>
          <cell r="M217" t="str">
            <v>Dibulatkan</v>
          </cell>
          <cell r="N217">
            <v>672000</v>
          </cell>
        </row>
        <row r="218">
          <cell r="B218">
            <v>211</v>
          </cell>
        </row>
        <row r="219">
          <cell r="A219" t="str">
            <v>A027</v>
          </cell>
          <cell r="B219">
            <v>212</v>
          </cell>
          <cell r="H219" t="str">
            <v>A027</v>
          </cell>
          <cell r="I219" t="str">
            <v>M³</v>
          </cell>
          <cell r="J219" t="str">
            <v>PEK. BETON SITE MIX K.300</v>
          </cell>
          <cell r="K219" t="str">
            <v>Harga per 1 M³ ……</v>
          </cell>
          <cell r="M219" t="str">
            <v>Rp.</v>
          </cell>
          <cell r="N219">
            <v>695600</v>
          </cell>
        </row>
        <row r="220">
          <cell r="B220">
            <v>213</v>
          </cell>
          <cell r="D220" t="str">
            <v>B</v>
          </cell>
          <cell r="F220" t="str">
            <v>Semen portland</v>
          </cell>
          <cell r="J220" t="str">
            <v>PC (50 Kg)</v>
          </cell>
          <cell r="K220">
            <v>8.6959999999999997</v>
          </cell>
          <cell r="L220" t="str">
            <v>Zak</v>
          </cell>
          <cell r="M220">
            <v>44200</v>
          </cell>
          <cell r="N220">
            <v>384363.2</v>
          </cell>
        </row>
        <row r="221">
          <cell r="B221">
            <v>214</v>
          </cell>
          <cell r="D221" t="str">
            <v>B</v>
          </cell>
          <cell r="F221" t="str">
            <v>Batu Pecah 2 - 3 cm</v>
          </cell>
          <cell r="J221" t="str">
            <v>Split Pecah Mesin 2/3</v>
          </cell>
          <cell r="K221">
            <v>0.81</v>
          </cell>
          <cell r="L221" t="str">
            <v>M3</v>
          </cell>
          <cell r="M221">
            <v>147000</v>
          </cell>
          <cell r="N221">
            <v>119070.00000000001</v>
          </cell>
        </row>
        <row r="222">
          <cell r="B222">
            <v>215</v>
          </cell>
          <cell r="D222" t="str">
            <v>B</v>
          </cell>
          <cell r="F222" t="str">
            <v>Pasir Beton</v>
          </cell>
          <cell r="J222" t="str">
            <v>Pasir Beton</v>
          </cell>
          <cell r="K222">
            <v>0.49</v>
          </cell>
          <cell r="L222" t="str">
            <v>M3</v>
          </cell>
          <cell r="M222">
            <v>169000</v>
          </cell>
          <cell r="N222">
            <v>82810</v>
          </cell>
        </row>
        <row r="223">
          <cell r="B223">
            <v>216</v>
          </cell>
          <cell r="C223" t="str">
            <v>P</v>
          </cell>
          <cell r="F223" t="str">
            <v>Buruh Lapangan Tak Terlatih / Pekerja</v>
          </cell>
          <cell r="J223" t="str">
            <v>Pekerja</v>
          </cell>
          <cell r="K223">
            <v>3</v>
          </cell>
          <cell r="L223" t="str">
            <v>Orang</v>
          </cell>
          <cell r="M223">
            <v>22700</v>
          </cell>
          <cell r="N223">
            <v>68100</v>
          </cell>
        </row>
        <row r="224">
          <cell r="B224">
            <v>217</v>
          </cell>
          <cell r="C224" t="str">
            <v>P</v>
          </cell>
          <cell r="F224" t="str">
            <v>Tukang Batu setengah terampil</v>
          </cell>
          <cell r="J224" t="str">
            <v>Tukang Batu Setengah Terampil</v>
          </cell>
          <cell r="K224">
            <v>0.5</v>
          </cell>
          <cell r="L224" t="str">
            <v>Orang</v>
          </cell>
          <cell r="M224">
            <v>26800</v>
          </cell>
          <cell r="N224">
            <v>13400</v>
          </cell>
        </row>
        <row r="225">
          <cell r="B225">
            <v>218</v>
          </cell>
          <cell r="C225" t="str">
            <v>P</v>
          </cell>
          <cell r="F225" t="str">
            <v>Kepala Tukang Batu</v>
          </cell>
          <cell r="J225" t="str">
            <v>Kepala Tukang Batu</v>
          </cell>
          <cell r="K225">
            <v>0.05</v>
          </cell>
          <cell r="L225" t="str">
            <v>Orang</v>
          </cell>
          <cell r="M225">
            <v>29100</v>
          </cell>
          <cell r="N225">
            <v>1455</v>
          </cell>
        </row>
        <row r="226">
          <cell r="B226">
            <v>219</v>
          </cell>
          <cell r="C226" t="str">
            <v>P</v>
          </cell>
          <cell r="F226" t="str">
            <v>Mandor Lapangan</v>
          </cell>
          <cell r="J226" t="str">
            <v>Mandor</v>
          </cell>
          <cell r="K226">
            <v>0.01</v>
          </cell>
          <cell r="L226" t="str">
            <v>Orang</v>
          </cell>
          <cell r="M226">
            <v>31800</v>
          </cell>
          <cell r="N226">
            <v>318</v>
          </cell>
        </row>
        <row r="227">
          <cell r="B227">
            <v>220</v>
          </cell>
          <cell r="J227" t="str">
            <v>Peralatan</v>
          </cell>
          <cell r="K227">
            <v>1</v>
          </cell>
          <cell r="L227" t="str">
            <v>Ls</v>
          </cell>
          <cell r="M227">
            <v>26040</v>
          </cell>
          <cell r="N227">
            <v>26040</v>
          </cell>
        </row>
        <row r="228">
          <cell r="B228">
            <v>221</v>
          </cell>
          <cell r="M228" t="str">
            <v>Jumlah</v>
          </cell>
          <cell r="N228">
            <v>695556.2</v>
          </cell>
        </row>
        <row r="229">
          <cell r="B229">
            <v>222</v>
          </cell>
          <cell r="M229" t="str">
            <v>Dibulatkan</v>
          </cell>
          <cell r="N229">
            <v>695600</v>
          </cell>
        </row>
        <row r="230">
          <cell r="B230">
            <v>223</v>
          </cell>
        </row>
        <row r="231">
          <cell r="A231" t="str">
            <v>A028</v>
          </cell>
          <cell r="B231">
            <v>224</v>
          </cell>
          <cell r="H231" t="str">
            <v>A028</v>
          </cell>
          <cell r="I231" t="str">
            <v>KG</v>
          </cell>
          <cell r="J231" t="str">
            <v>BESI BETON TERPASANG U - 24</v>
          </cell>
          <cell r="K231" t="str">
            <v>Harga per 1 KG ……</v>
          </cell>
          <cell r="M231" t="str">
            <v>Rp.</v>
          </cell>
          <cell r="N231">
            <v>10040</v>
          </cell>
        </row>
        <row r="232">
          <cell r="B232">
            <v>225</v>
          </cell>
          <cell r="D232" t="str">
            <v>B</v>
          </cell>
          <cell r="F232" t="str">
            <v>Besi Beton U-24 Rata-rata</v>
          </cell>
          <cell r="J232" t="str">
            <v>Besi Beton U - 24 Rata - rata</v>
          </cell>
          <cell r="K232">
            <v>1.05</v>
          </cell>
          <cell r="L232" t="str">
            <v>Kg</v>
          </cell>
          <cell r="M232">
            <v>7850</v>
          </cell>
          <cell r="N232">
            <v>8242.5</v>
          </cell>
        </row>
        <row r="233">
          <cell r="B233">
            <v>226</v>
          </cell>
          <cell r="D233" t="str">
            <v>B</v>
          </cell>
          <cell r="F233" t="str">
            <v>Kawat Beton</v>
          </cell>
          <cell r="J233" t="str">
            <v>Kawat Beton</v>
          </cell>
          <cell r="K233">
            <v>0.01</v>
          </cell>
          <cell r="L233" t="str">
            <v>Kg</v>
          </cell>
          <cell r="M233">
            <v>12200</v>
          </cell>
          <cell r="N233">
            <v>122</v>
          </cell>
        </row>
        <row r="234">
          <cell r="B234">
            <v>227</v>
          </cell>
          <cell r="C234" t="str">
            <v>P</v>
          </cell>
          <cell r="F234" t="str">
            <v>Tukang Besi Beton setengah terampil</v>
          </cell>
          <cell r="J234" t="str">
            <v>Tukang Besi Beton Setengah Terampil</v>
          </cell>
          <cell r="K234">
            <v>2.5000000000000001E-2</v>
          </cell>
          <cell r="L234" t="str">
            <v>Orang</v>
          </cell>
          <cell r="M234">
            <v>27300</v>
          </cell>
          <cell r="N234">
            <v>682.5</v>
          </cell>
        </row>
        <row r="235">
          <cell r="B235">
            <v>228</v>
          </cell>
          <cell r="C235" t="str">
            <v>P</v>
          </cell>
          <cell r="F235" t="str">
            <v>Tukang Besi Beton terampil</v>
          </cell>
          <cell r="J235" t="str">
            <v>Tukang Besi Beton Terampil</v>
          </cell>
          <cell r="K235">
            <v>1.4999999999999999E-2</v>
          </cell>
          <cell r="L235" t="str">
            <v>Orang</v>
          </cell>
          <cell r="M235">
            <v>29100</v>
          </cell>
          <cell r="N235">
            <v>436.5</v>
          </cell>
        </row>
        <row r="236">
          <cell r="B236">
            <v>229</v>
          </cell>
          <cell r="C236" t="str">
            <v>P</v>
          </cell>
          <cell r="F236" t="str">
            <v>Kepala Tukang Besi Beton</v>
          </cell>
          <cell r="J236" t="str">
            <v>Kepala Tukang Besi Beton 1</v>
          </cell>
          <cell r="K236">
            <v>0.01</v>
          </cell>
          <cell r="L236" t="str">
            <v>Orang</v>
          </cell>
          <cell r="M236">
            <v>30000</v>
          </cell>
          <cell r="N236">
            <v>300</v>
          </cell>
        </row>
        <row r="237">
          <cell r="B237">
            <v>230</v>
          </cell>
          <cell r="C237" t="str">
            <v>P</v>
          </cell>
          <cell r="F237" t="str">
            <v>Mandor Lapangan</v>
          </cell>
          <cell r="J237" t="str">
            <v>Mandor</v>
          </cell>
          <cell r="K237">
            <v>5.0000000000000001E-3</v>
          </cell>
          <cell r="L237" t="str">
            <v>Orang</v>
          </cell>
          <cell r="M237">
            <v>31800</v>
          </cell>
          <cell r="N237">
            <v>159</v>
          </cell>
        </row>
        <row r="238">
          <cell r="B238">
            <v>231</v>
          </cell>
          <cell r="J238" t="str">
            <v>Peralatan, Spencer</v>
          </cell>
          <cell r="K238">
            <v>1</v>
          </cell>
          <cell r="L238" t="str">
            <v>Ls</v>
          </cell>
          <cell r="M238">
            <v>100</v>
          </cell>
          <cell r="N238">
            <v>100</v>
          </cell>
        </row>
        <row r="239">
          <cell r="B239">
            <v>232</v>
          </cell>
          <cell r="M239" t="str">
            <v>Jumlah</v>
          </cell>
          <cell r="N239">
            <v>10042.5</v>
          </cell>
        </row>
        <row r="240">
          <cell r="B240">
            <v>233</v>
          </cell>
          <cell r="M240" t="str">
            <v>Dibulatkan</v>
          </cell>
          <cell r="N240">
            <v>10040</v>
          </cell>
        </row>
        <row r="241">
          <cell r="B241">
            <v>234</v>
          </cell>
        </row>
        <row r="242">
          <cell r="A242" t="str">
            <v>A029</v>
          </cell>
          <cell r="B242">
            <v>235</v>
          </cell>
          <cell r="H242" t="str">
            <v>A029</v>
          </cell>
          <cell r="I242" t="str">
            <v>KG</v>
          </cell>
          <cell r="J242" t="str">
            <v>PEKERJAAN BAJA IWF EX DN</v>
          </cell>
          <cell r="K242" t="str">
            <v>Harga per 1 KG ……</v>
          </cell>
          <cell r="M242" t="str">
            <v>Rp.</v>
          </cell>
          <cell r="N242">
            <v>17290</v>
          </cell>
        </row>
        <row r="243">
          <cell r="B243">
            <v>236</v>
          </cell>
          <cell r="D243" t="str">
            <v>B</v>
          </cell>
          <cell r="F243" t="str">
            <v>Besi WF (Baja struktur)</v>
          </cell>
          <cell r="J243" t="str">
            <v xml:space="preserve">Besi IWF </v>
          </cell>
          <cell r="K243">
            <v>1.0249999999999999</v>
          </cell>
          <cell r="L243" t="str">
            <v>Kg</v>
          </cell>
          <cell r="M243">
            <v>14200</v>
          </cell>
          <cell r="N243">
            <v>14554.999999999998</v>
          </cell>
        </row>
        <row r="244">
          <cell r="B244">
            <v>237</v>
          </cell>
          <cell r="C244" t="str">
            <v>P</v>
          </cell>
          <cell r="F244" t="str">
            <v>Buruh Lapangan Terlatih / Pekerja Terampil</v>
          </cell>
          <cell r="J244" t="str">
            <v>Pekerja Terampil</v>
          </cell>
          <cell r="K244">
            <v>0.06</v>
          </cell>
          <cell r="L244" t="str">
            <v>Orang</v>
          </cell>
          <cell r="M244">
            <v>26400</v>
          </cell>
          <cell r="N244">
            <v>1584</v>
          </cell>
        </row>
        <row r="245">
          <cell r="B245">
            <v>238</v>
          </cell>
          <cell r="C245" t="str">
            <v>P</v>
          </cell>
          <cell r="F245" t="str">
            <v>Tukang Besi Profil terampil</v>
          </cell>
          <cell r="J245" t="str">
            <v>Tukang Besi Profil Terampil</v>
          </cell>
          <cell r="K245">
            <v>4.0000000000000001E-3</v>
          </cell>
          <cell r="L245" t="str">
            <v>Orang</v>
          </cell>
          <cell r="M245">
            <v>29100</v>
          </cell>
          <cell r="N245">
            <v>116.4</v>
          </cell>
        </row>
        <row r="246">
          <cell r="B246">
            <v>239</v>
          </cell>
          <cell r="C246" t="str">
            <v>P</v>
          </cell>
          <cell r="F246" t="str">
            <v>Kepala Tukang Besi Profil</v>
          </cell>
          <cell r="J246" t="str">
            <v>Kepala Tukang Besi Profil 1</v>
          </cell>
          <cell r="K246">
            <v>1E-3</v>
          </cell>
          <cell r="L246" t="str">
            <v>Orang</v>
          </cell>
          <cell r="M246">
            <v>30000</v>
          </cell>
          <cell r="N246">
            <v>30</v>
          </cell>
        </row>
        <row r="247">
          <cell r="B247">
            <v>240</v>
          </cell>
          <cell r="C247" t="str">
            <v>P</v>
          </cell>
          <cell r="F247" t="str">
            <v>Mandor Lapangan</v>
          </cell>
          <cell r="J247" t="str">
            <v>Mandor</v>
          </cell>
          <cell r="K247">
            <v>2.0000000000000001E-4</v>
          </cell>
          <cell r="L247" t="str">
            <v>Orang</v>
          </cell>
          <cell r="M247">
            <v>31800</v>
          </cell>
          <cell r="N247">
            <v>6.36</v>
          </cell>
        </row>
        <row r="248">
          <cell r="B248">
            <v>241</v>
          </cell>
          <cell r="J248" t="str">
            <v xml:space="preserve">Peralatan ( Oksigen, Solar dll ). </v>
          </cell>
          <cell r="K248">
            <v>1</v>
          </cell>
          <cell r="L248" t="str">
            <v>Ls</v>
          </cell>
          <cell r="M248">
            <v>1000</v>
          </cell>
          <cell r="N248">
            <v>1000</v>
          </cell>
        </row>
        <row r="249">
          <cell r="B249">
            <v>242</v>
          </cell>
          <cell r="M249" t="str">
            <v>Jumlah</v>
          </cell>
          <cell r="N249">
            <v>17291.759999999998</v>
          </cell>
        </row>
        <row r="250">
          <cell r="B250">
            <v>243</v>
          </cell>
          <cell r="M250" t="str">
            <v>Dibulatkan</v>
          </cell>
          <cell r="N250">
            <v>17290</v>
          </cell>
        </row>
        <row r="251">
          <cell r="B251">
            <v>244</v>
          </cell>
        </row>
        <row r="252">
          <cell r="A252" t="str">
            <v>A030</v>
          </cell>
          <cell r="B252">
            <v>245</v>
          </cell>
          <cell r="H252" t="str">
            <v>A030</v>
          </cell>
          <cell r="I252" t="str">
            <v>KG</v>
          </cell>
          <cell r="J252" t="str">
            <v>PEKERJAAN BESI SIKU / PROFIL EX DN</v>
          </cell>
          <cell r="K252" t="str">
            <v>Harga per 1 KG ……</v>
          </cell>
          <cell r="M252" t="str">
            <v>Rp.</v>
          </cell>
          <cell r="N252">
            <v>11560</v>
          </cell>
        </row>
        <row r="253">
          <cell r="B253">
            <v>246</v>
          </cell>
          <cell r="D253" t="str">
            <v>B</v>
          </cell>
          <cell r="F253" t="str">
            <v>Besi Profil DN SII</v>
          </cell>
          <cell r="J253" t="str">
            <v>Besi Profil DN SII</v>
          </cell>
          <cell r="K253">
            <v>1.0249999999999999</v>
          </cell>
          <cell r="L253" t="str">
            <v>Kg</v>
          </cell>
          <cell r="M253">
            <v>8730</v>
          </cell>
          <cell r="N253">
            <v>8948.25</v>
          </cell>
        </row>
        <row r="254">
          <cell r="B254">
            <v>247</v>
          </cell>
          <cell r="C254" t="str">
            <v>P</v>
          </cell>
          <cell r="F254" t="str">
            <v>Buruh Lapangan Terlatih / Pekerja Terampil</v>
          </cell>
          <cell r="J254" t="str">
            <v>Pekerja Terampil</v>
          </cell>
          <cell r="K254">
            <v>0.06</v>
          </cell>
          <cell r="L254" t="str">
            <v>Orang</v>
          </cell>
          <cell r="M254">
            <v>26400</v>
          </cell>
          <cell r="N254">
            <v>1584</v>
          </cell>
        </row>
        <row r="255">
          <cell r="B255">
            <v>248</v>
          </cell>
          <cell r="C255" t="str">
            <v>P</v>
          </cell>
          <cell r="F255" t="str">
            <v>Tukang Besi Profil terampil</v>
          </cell>
          <cell r="J255" t="str">
            <v>Tukang Besi Profil Terampil</v>
          </cell>
          <cell r="K255">
            <v>4.0000000000000001E-3</v>
          </cell>
          <cell r="L255" t="str">
            <v>Orang</v>
          </cell>
          <cell r="M255">
            <v>29100</v>
          </cell>
          <cell r="N255">
            <v>116.4</v>
          </cell>
        </row>
        <row r="256">
          <cell r="B256">
            <v>249</v>
          </cell>
          <cell r="C256" t="str">
            <v>P</v>
          </cell>
          <cell r="F256" t="str">
            <v>Kepala Tukang Besi Profil</v>
          </cell>
          <cell r="J256" t="str">
            <v>Kepala Tukang Besi Profil 1</v>
          </cell>
          <cell r="K256">
            <v>1E-3</v>
          </cell>
          <cell r="L256" t="str">
            <v>Orang</v>
          </cell>
          <cell r="M256">
            <v>30000</v>
          </cell>
          <cell r="N256">
            <v>30</v>
          </cell>
        </row>
        <row r="257">
          <cell r="B257">
            <v>250</v>
          </cell>
          <cell r="C257" t="str">
            <v>P</v>
          </cell>
          <cell r="F257" t="str">
            <v>Mandor Lapangan</v>
          </cell>
          <cell r="J257" t="str">
            <v>Mandor</v>
          </cell>
          <cell r="K257">
            <v>2.0000000000000001E-4</v>
          </cell>
          <cell r="L257" t="str">
            <v>Orang</v>
          </cell>
          <cell r="M257">
            <v>31800</v>
          </cell>
          <cell r="N257">
            <v>6.36</v>
          </cell>
        </row>
        <row r="258">
          <cell r="B258">
            <v>251</v>
          </cell>
          <cell r="J258" t="str">
            <v xml:space="preserve">Peralatan ( Oksigen, Solar dll ). </v>
          </cell>
          <cell r="K258">
            <v>1</v>
          </cell>
          <cell r="L258" t="str">
            <v>Ls</v>
          </cell>
          <cell r="M258">
            <v>875</v>
          </cell>
          <cell r="N258">
            <v>875</v>
          </cell>
        </row>
        <row r="259">
          <cell r="B259">
            <v>252</v>
          </cell>
          <cell r="M259" t="str">
            <v>Jumlah</v>
          </cell>
          <cell r="N259">
            <v>11560.01</v>
          </cell>
        </row>
        <row r="260">
          <cell r="B260">
            <v>253</v>
          </cell>
          <cell r="M260" t="str">
            <v>Dibulatkan</v>
          </cell>
          <cell r="N260">
            <v>11560</v>
          </cell>
        </row>
        <row r="261">
          <cell r="B261">
            <v>254</v>
          </cell>
        </row>
        <row r="262">
          <cell r="A262" t="str">
            <v>A031</v>
          </cell>
          <cell r="B262">
            <v>255</v>
          </cell>
          <cell r="H262" t="str">
            <v>A031</v>
          </cell>
          <cell r="I262" t="str">
            <v>KG</v>
          </cell>
          <cell r="J262" t="str">
            <v>PEMASANGAN RANGKA BAJA</v>
          </cell>
          <cell r="K262" t="str">
            <v>Harga per 1 KG ……</v>
          </cell>
          <cell r="M262" t="str">
            <v>Rp.</v>
          </cell>
          <cell r="N262">
            <v>1152</v>
          </cell>
        </row>
        <row r="263">
          <cell r="B263">
            <v>256</v>
          </cell>
          <cell r="I263">
            <v>100</v>
          </cell>
        </row>
        <row r="264">
          <cell r="B264">
            <v>257</v>
          </cell>
          <cell r="C264" t="str">
            <v>P</v>
          </cell>
          <cell r="F264" t="str">
            <v>Mandor Lapangan</v>
          </cell>
          <cell r="J264" t="str">
            <v>Mandor Lapangan</v>
          </cell>
          <cell r="K264">
            <v>0.01</v>
          </cell>
          <cell r="L264" t="str">
            <v>HO</v>
          </cell>
          <cell r="M264">
            <v>31800</v>
          </cell>
          <cell r="N264">
            <v>318</v>
          </cell>
        </row>
        <row r="265">
          <cell r="B265">
            <v>258</v>
          </cell>
          <cell r="C265" t="str">
            <v>P</v>
          </cell>
          <cell r="F265" t="str">
            <v>Tukang Kepala</v>
          </cell>
          <cell r="J265" t="str">
            <v>Tukang Kepala</v>
          </cell>
          <cell r="K265">
            <v>0.01</v>
          </cell>
          <cell r="L265" t="str">
            <v>HO</v>
          </cell>
          <cell r="M265">
            <v>29100</v>
          </cell>
          <cell r="N265">
            <v>291</v>
          </cell>
        </row>
        <row r="266">
          <cell r="B266">
            <v>259</v>
          </cell>
          <cell r="C266" t="str">
            <v>P</v>
          </cell>
          <cell r="F266" t="str">
            <v>Tukang Besi</v>
          </cell>
          <cell r="J266" t="str">
            <v>Tukang Besi</v>
          </cell>
          <cell r="K266">
            <v>7.0000000000000001E-3</v>
          </cell>
          <cell r="L266" t="str">
            <v>HO</v>
          </cell>
          <cell r="M266">
            <v>29100</v>
          </cell>
          <cell r="N266">
            <v>203.70000000000002</v>
          </cell>
        </row>
        <row r="267">
          <cell r="B267">
            <v>260</v>
          </cell>
          <cell r="C267" t="str">
            <v>P</v>
          </cell>
          <cell r="F267" t="str">
            <v>Operator Terlatih</v>
          </cell>
          <cell r="J267" t="str">
            <v>Operator Terlatih</v>
          </cell>
          <cell r="K267">
            <v>0.01</v>
          </cell>
          <cell r="L267" t="str">
            <v>HO</v>
          </cell>
          <cell r="M267">
            <v>38200</v>
          </cell>
          <cell r="N267">
            <v>382</v>
          </cell>
        </row>
        <row r="268">
          <cell r="B268">
            <v>261</v>
          </cell>
          <cell r="C268" t="str">
            <v>P</v>
          </cell>
          <cell r="F268" t="str">
            <v>Sopir</v>
          </cell>
          <cell r="J268" t="str">
            <v>Sopir</v>
          </cell>
          <cell r="K268">
            <v>0.01</v>
          </cell>
          <cell r="L268" t="str">
            <v>HO</v>
          </cell>
          <cell r="M268">
            <v>30900</v>
          </cell>
          <cell r="N268">
            <v>309</v>
          </cell>
        </row>
        <row r="269">
          <cell r="B269">
            <v>262</v>
          </cell>
          <cell r="C269" t="str">
            <v>P</v>
          </cell>
          <cell r="F269" t="str">
            <v>Buruh Lapangan Terlatih / Pekerja Terampil</v>
          </cell>
          <cell r="J269" t="str">
            <v>Buruh Lapangan Terlatih</v>
          </cell>
          <cell r="K269">
            <v>0.3</v>
          </cell>
          <cell r="L269" t="str">
            <v>HO</v>
          </cell>
          <cell r="M269">
            <v>26400</v>
          </cell>
          <cell r="N269">
            <v>7920</v>
          </cell>
        </row>
        <row r="270">
          <cell r="B270">
            <v>263</v>
          </cell>
          <cell r="C270" t="str">
            <v>P</v>
          </cell>
          <cell r="F270" t="str">
            <v>Buruh Lapangan Tak Terlatih / Pekerja</v>
          </cell>
          <cell r="J270" t="str">
            <v>Buruh Lapangan Tak Terlatih</v>
          </cell>
          <cell r="K270">
            <v>3</v>
          </cell>
          <cell r="L270" t="str">
            <v>HO</v>
          </cell>
          <cell r="M270">
            <v>22700</v>
          </cell>
          <cell r="N270">
            <v>68100</v>
          </cell>
        </row>
        <row r="271">
          <cell r="B271">
            <v>264</v>
          </cell>
          <cell r="D271" t="str">
            <v>B</v>
          </cell>
          <cell r="F271" t="str">
            <v>Solar</v>
          </cell>
          <cell r="J271" t="str">
            <v>Solar</v>
          </cell>
          <cell r="K271">
            <v>3</v>
          </cell>
          <cell r="L271" t="str">
            <v>Liter</v>
          </cell>
          <cell r="M271">
            <v>4300</v>
          </cell>
          <cell r="N271">
            <v>12900</v>
          </cell>
        </row>
        <row r="272">
          <cell r="B272">
            <v>265</v>
          </cell>
          <cell r="D272" t="str">
            <v>B</v>
          </cell>
          <cell r="F272" t="str">
            <v>Pelumas</v>
          </cell>
          <cell r="J272" t="str">
            <v>Pelumas</v>
          </cell>
          <cell r="K272">
            <v>3.415E-2</v>
          </cell>
          <cell r="L272" t="str">
            <v>Liter</v>
          </cell>
          <cell r="M272">
            <v>24550</v>
          </cell>
          <cell r="N272">
            <v>838.38250000000005</v>
          </cell>
        </row>
        <row r="273">
          <cell r="B273">
            <v>266</v>
          </cell>
          <cell r="D273" t="str">
            <v>B</v>
          </cell>
          <cell r="F273" t="str">
            <v>Alat bantu</v>
          </cell>
          <cell r="J273" t="str">
            <v>Alat Bantu</v>
          </cell>
          <cell r="K273">
            <v>0.4</v>
          </cell>
          <cell r="L273" t="str">
            <v>Set</v>
          </cell>
          <cell r="M273">
            <v>52000</v>
          </cell>
          <cell r="N273">
            <v>20800</v>
          </cell>
        </row>
        <row r="274">
          <cell r="B274">
            <v>267</v>
          </cell>
          <cell r="E274" t="str">
            <v>A</v>
          </cell>
          <cell r="F274" t="str">
            <v>Flatbed Truck With Crane</v>
          </cell>
          <cell r="J274" t="str">
            <v>Fletbed Truck With Crane</v>
          </cell>
          <cell r="K274">
            <v>0.02</v>
          </cell>
          <cell r="L274" t="str">
            <v>Jam</v>
          </cell>
          <cell r="M274">
            <v>156900</v>
          </cell>
          <cell r="N274">
            <v>3138</v>
          </cell>
        </row>
        <row r="275">
          <cell r="B275">
            <v>268</v>
          </cell>
          <cell r="M275" t="str">
            <v>Jumlah</v>
          </cell>
          <cell r="N275">
            <v>115200.0825</v>
          </cell>
        </row>
        <row r="276">
          <cell r="B276">
            <v>269</v>
          </cell>
          <cell r="M276" t="str">
            <v>Dibulatkan</v>
          </cell>
          <cell r="N276">
            <v>115200</v>
          </cell>
        </row>
        <row r="277">
          <cell r="B277">
            <v>270</v>
          </cell>
        </row>
        <row r="278">
          <cell r="A278" t="str">
            <v>A031.1</v>
          </cell>
          <cell r="B278">
            <v>271</v>
          </cell>
          <cell r="H278" t="str">
            <v>A031.1</v>
          </cell>
          <cell r="I278" t="str">
            <v>KG</v>
          </cell>
          <cell r="J278" t="str">
            <v>PEKERJAAN RANGKA BAJA JEMBATAN</v>
          </cell>
          <cell r="K278" t="str">
            <v>Harga per 1 KG ……</v>
          </cell>
          <cell r="M278" t="str">
            <v>Rp.</v>
          </cell>
          <cell r="N278">
            <v>20160</v>
          </cell>
        </row>
        <row r="279">
          <cell r="B279">
            <v>272</v>
          </cell>
          <cell r="D279" t="str">
            <v>B</v>
          </cell>
          <cell r="F279" t="str">
            <v>Besi Rangka Baja Jembatan</v>
          </cell>
          <cell r="J279" t="str">
            <v>Rangka Baja Jembatan</v>
          </cell>
          <cell r="K279">
            <v>1.0249999999999999</v>
          </cell>
          <cell r="L279" t="str">
            <v>Kg</v>
          </cell>
          <cell r="M279">
            <v>17000</v>
          </cell>
          <cell r="N279">
            <v>17425</v>
          </cell>
        </row>
        <row r="280">
          <cell r="B280">
            <v>273</v>
          </cell>
          <cell r="C280" t="str">
            <v>P</v>
          </cell>
          <cell r="F280" t="str">
            <v>Buruh Lapangan Terlatih / Pekerja Terampil</v>
          </cell>
          <cell r="J280" t="str">
            <v>Pekerja Terampil</v>
          </cell>
          <cell r="K280">
            <v>0.06</v>
          </cell>
          <cell r="L280" t="str">
            <v>Orang</v>
          </cell>
          <cell r="M280">
            <v>26400</v>
          </cell>
          <cell r="N280">
            <v>1584</v>
          </cell>
        </row>
        <row r="281">
          <cell r="B281">
            <v>274</v>
          </cell>
          <cell r="C281" t="str">
            <v>P</v>
          </cell>
          <cell r="F281" t="str">
            <v>Tukang Besi Profil terampil</v>
          </cell>
          <cell r="J281" t="str">
            <v>Tukang Besi Profil Terampil</v>
          </cell>
          <cell r="K281">
            <v>4.0000000000000001E-3</v>
          </cell>
          <cell r="L281" t="str">
            <v>Orang</v>
          </cell>
          <cell r="M281">
            <v>29100</v>
          </cell>
          <cell r="N281">
            <v>116.4</v>
          </cell>
        </row>
        <row r="282">
          <cell r="B282">
            <v>275</v>
          </cell>
          <cell r="C282" t="str">
            <v>P</v>
          </cell>
          <cell r="F282" t="str">
            <v>Kepala Tukang Besi Profil</v>
          </cell>
          <cell r="J282" t="str">
            <v>Kepala Tukang Besi Profil 1</v>
          </cell>
          <cell r="K282">
            <v>1E-3</v>
          </cell>
          <cell r="L282" t="str">
            <v>Orang</v>
          </cell>
          <cell r="M282">
            <v>30000</v>
          </cell>
          <cell r="N282">
            <v>30</v>
          </cell>
        </row>
        <row r="283">
          <cell r="B283">
            <v>276</v>
          </cell>
          <cell r="C283" t="str">
            <v>P</v>
          </cell>
          <cell r="F283" t="str">
            <v>Mandor Lapangan</v>
          </cell>
          <cell r="J283" t="str">
            <v>Mandor</v>
          </cell>
          <cell r="K283">
            <v>2.0000000000000001E-4</v>
          </cell>
          <cell r="L283" t="str">
            <v>Orang</v>
          </cell>
          <cell r="M283">
            <v>31800</v>
          </cell>
          <cell r="N283">
            <v>6.36</v>
          </cell>
        </row>
        <row r="284">
          <cell r="B284">
            <v>277</v>
          </cell>
          <cell r="J284" t="str">
            <v xml:space="preserve">Peralatan ( Oksigen, Solar dll ). </v>
          </cell>
          <cell r="K284">
            <v>1</v>
          </cell>
          <cell r="L284" t="str">
            <v>Ls</v>
          </cell>
          <cell r="M284">
            <v>1000</v>
          </cell>
          <cell r="N284">
            <v>1000</v>
          </cell>
        </row>
        <row r="285">
          <cell r="B285">
            <v>278</v>
          </cell>
          <cell r="M285" t="str">
            <v>Jumlah</v>
          </cell>
          <cell r="N285">
            <v>20161.760000000002</v>
          </cell>
        </row>
        <row r="286">
          <cell r="B286">
            <v>279</v>
          </cell>
          <cell r="M286" t="str">
            <v>Dibulatkan</v>
          </cell>
          <cell r="N286">
            <v>20160</v>
          </cell>
        </row>
        <row r="287">
          <cell r="B287">
            <v>280</v>
          </cell>
        </row>
        <row r="288">
          <cell r="A288" t="str">
            <v>A032</v>
          </cell>
          <cell r="B288">
            <v>281</v>
          </cell>
          <cell r="H288" t="str">
            <v>A032</v>
          </cell>
          <cell r="I288" t="str">
            <v>KG</v>
          </cell>
          <cell r="J288" t="str">
            <v>PENGANGKUTAN RANGKA BAJA</v>
          </cell>
          <cell r="K288" t="str">
            <v>Harga per 1 KG ……</v>
          </cell>
          <cell r="M288" t="str">
            <v>Rp.</v>
          </cell>
          <cell r="N288">
            <v>647</v>
          </cell>
        </row>
        <row r="289">
          <cell r="B289">
            <v>282</v>
          </cell>
          <cell r="I289">
            <v>100</v>
          </cell>
        </row>
        <row r="290">
          <cell r="B290">
            <v>283</v>
          </cell>
          <cell r="C290" t="str">
            <v>P</v>
          </cell>
          <cell r="F290" t="str">
            <v>Mandor Lapangan</v>
          </cell>
          <cell r="J290" t="str">
            <v>Mandor Lapangan</v>
          </cell>
          <cell r="K290">
            <v>0.01</v>
          </cell>
          <cell r="L290" t="str">
            <v>HO</v>
          </cell>
          <cell r="M290">
            <v>31800</v>
          </cell>
          <cell r="N290">
            <v>318</v>
          </cell>
        </row>
        <row r="291">
          <cell r="B291">
            <v>284</v>
          </cell>
          <cell r="C291" t="str">
            <v>P</v>
          </cell>
          <cell r="F291" t="str">
            <v>Tukang Kepala</v>
          </cell>
          <cell r="J291" t="str">
            <v>Tukang Kepala</v>
          </cell>
          <cell r="K291">
            <v>0.01</v>
          </cell>
          <cell r="L291" t="str">
            <v>HO</v>
          </cell>
          <cell r="M291">
            <v>29100</v>
          </cell>
          <cell r="N291">
            <v>291</v>
          </cell>
        </row>
        <row r="292">
          <cell r="B292">
            <v>285</v>
          </cell>
          <cell r="C292" t="str">
            <v>P</v>
          </cell>
          <cell r="F292" t="str">
            <v>Tukang Besi</v>
          </cell>
          <cell r="J292" t="str">
            <v>Tukang Besi</v>
          </cell>
          <cell r="K292">
            <v>0.01</v>
          </cell>
          <cell r="L292" t="str">
            <v>HO</v>
          </cell>
          <cell r="M292">
            <v>29100</v>
          </cell>
          <cell r="N292">
            <v>291</v>
          </cell>
        </row>
        <row r="293">
          <cell r="B293">
            <v>286</v>
          </cell>
          <cell r="C293" t="str">
            <v>P</v>
          </cell>
          <cell r="F293" t="str">
            <v>Operator Terlatih</v>
          </cell>
          <cell r="J293" t="str">
            <v>Operator Terlatih</v>
          </cell>
          <cell r="K293">
            <v>0.01</v>
          </cell>
          <cell r="L293" t="str">
            <v>HO</v>
          </cell>
          <cell r="M293">
            <v>38200</v>
          </cell>
          <cell r="N293">
            <v>382</v>
          </cell>
        </row>
        <row r="294">
          <cell r="B294">
            <v>287</v>
          </cell>
          <cell r="C294" t="str">
            <v>P</v>
          </cell>
          <cell r="F294" t="str">
            <v>Sopir</v>
          </cell>
          <cell r="J294" t="str">
            <v>Sopir</v>
          </cell>
          <cell r="K294">
            <v>0.01</v>
          </cell>
          <cell r="L294" t="str">
            <v>HO</v>
          </cell>
          <cell r="M294">
            <v>30900</v>
          </cell>
          <cell r="N294">
            <v>309</v>
          </cell>
        </row>
        <row r="295">
          <cell r="B295">
            <v>288</v>
          </cell>
          <cell r="C295" t="str">
            <v>P</v>
          </cell>
          <cell r="F295" t="str">
            <v>Buruh Lapangan Terlatih / Pekerja Terampil</v>
          </cell>
          <cell r="J295" t="str">
            <v>Buruh Lapangan Terlatih</v>
          </cell>
          <cell r="K295">
            <v>0.23</v>
          </cell>
          <cell r="L295" t="str">
            <v>HO</v>
          </cell>
          <cell r="M295">
            <v>26400</v>
          </cell>
          <cell r="N295">
            <v>6072</v>
          </cell>
        </row>
        <row r="296">
          <cell r="B296">
            <v>289</v>
          </cell>
          <cell r="C296" t="str">
            <v>P</v>
          </cell>
          <cell r="F296" t="str">
            <v>Buruh Lapangan Tak Terlatih / Pekerja</v>
          </cell>
          <cell r="J296" t="str">
            <v>Buruh Lapangan Tak Terlatih</v>
          </cell>
          <cell r="K296">
            <v>1.86</v>
          </cell>
          <cell r="L296" t="str">
            <v>HO</v>
          </cell>
          <cell r="M296">
            <v>22700</v>
          </cell>
          <cell r="N296">
            <v>42222</v>
          </cell>
        </row>
        <row r="297">
          <cell r="B297">
            <v>290</v>
          </cell>
          <cell r="D297" t="str">
            <v>B</v>
          </cell>
          <cell r="F297" t="str">
            <v>Solar</v>
          </cell>
          <cell r="J297" t="str">
            <v>Solar</v>
          </cell>
          <cell r="K297">
            <v>2.3849999999999998</v>
          </cell>
          <cell r="L297" t="str">
            <v>Liter</v>
          </cell>
          <cell r="M297">
            <v>4300</v>
          </cell>
          <cell r="N297">
            <v>10255.499999999998</v>
          </cell>
        </row>
        <row r="298">
          <cell r="B298">
            <v>291</v>
          </cell>
          <cell r="D298" t="str">
            <v>B</v>
          </cell>
          <cell r="F298" t="str">
            <v>Pelumas</v>
          </cell>
          <cell r="J298" t="str">
            <v>Pelumas</v>
          </cell>
          <cell r="K298">
            <v>1.4E-2</v>
          </cell>
          <cell r="L298" t="str">
            <v>Liter</v>
          </cell>
          <cell r="M298">
            <v>24550</v>
          </cell>
          <cell r="N298">
            <v>343.7</v>
          </cell>
        </row>
        <row r="299">
          <cell r="B299">
            <v>292</v>
          </cell>
          <cell r="D299" t="str">
            <v>B</v>
          </cell>
          <cell r="F299" t="str">
            <v>Alat bantu</v>
          </cell>
          <cell r="J299" t="str">
            <v>Alat Bantu</v>
          </cell>
          <cell r="K299">
            <v>1.4E-2</v>
          </cell>
          <cell r="L299" t="str">
            <v>Set</v>
          </cell>
          <cell r="M299">
            <v>52000</v>
          </cell>
          <cell r="N299">
            <v>728</v>
          </cell>
        </row>
        <row r="300">
          <cell r="B300">
            <v>293</v>
          </cell>
          <cell r="E300" t="str">
            <v>A</v>
          </cell>
          <cell r="F300" t="str">
            <v>Dump Truck 5 Ton (145 HP)</v>
          </cell>
          <cell r="J300" t="str">
            <v>Dump Truck 5 T / 145 HP</v>
          </cell>
          <cell r="K300">
            <v>1.4E-2</v>
          </cell>
          <cell r="L300" t="str">
            <v>Jam</v>
          </cell>
          <cell r="M300">
            <v>139300</v>
          </cell>
          <cell r="N300">
            <v>1950.2</v>
          </cell>
        </row>
        <row r="301">
          <cell r="B301">
            <v>294</v>
          </cell>
          <cell r="E301" t="str">
            <v>A</v>
          </cell>
          <cell r="F301" t="str">
            <v>Flatbed Truck With Crane</v>
          </cell>
          <cell r="J301" t="str">
            <v>Fletbed Truck With Crane</v>
          </cell>
          <cell r="K301">
            <v>0.01</v>
          </cell>
          <cell r="L301" t="str">
            <v>Jam</v>
          </cell>
          <cell r="M301">
            <v>156900</v>
          </cell>
          <cell r="N301">
            <v>1569</v>
          </cell>
        </row>
        <row r="302">
          <cell r="B302">
            <v>295</v>
          </cell>
          <cell r="M302" t="str">
            <v>Jumlah</v>
          </cell>
          <cell r="N302">
            <v>64731.399999999994</v>
          </cell>
        </row>
        <row r="303">
          <cell r="B303">
            <v>296</v>
          </cell>
          <cell r="M303" t="str">
            <v>Dibulatkan</v>
          </cell>
          <cell r="N303">
            <v>64700</v>
          </cell>
        </row>
        <row r="304">
          <cell r="B304">
            <v>297</v>
          </cell>
        </row>
        <row r="305">
          <cell r="A305" t="str">
            <v>A033</v>
          </cell>
          <cell r="B305">
            <v>298</v>
          </cell>
          <cell r="H305" t="str">
            <v>A033</v>
          </cell>
          <cell r="I305" t="str">
            <v>M²</v>
          </cell>
          <cell r="J305" t="str">
            <v>BEKISTING DENGAN PAPAN</v>
          </cell>
          <cell r="K305" t="str">
            <v>Harga per 1 M² ……</v>
          </cell>
          <cell r="M305" t="str">
            <v>Rp.</v>
          </cell>
          <cell r="N305">
            <v>68120</v>
          </cell>
        </row>
        <row r="306">
          <cell r="B306">
            <v>299</v>
          </cell>
          <cell r="D306" t="str">
            <v>B</v>
          </cell>
          <cell r="F306" t="str">
            <v>Kayu Balok Borneo Super</v>
          </cell>
          <cell r="J306" t="str">
            <v>Kaso 5/7 Terentang (2 x pakai) 50%</v>
          </cell>
          <cell r="K306">
            <v>1.7000000000000001E-2</v>
          </cell>
          <cell r="L306" t="str">
            <v>M3</v>
          </cell>
          <cell r="M306">
            <v>2621000</v>
          </cell>
          <cell r="N306">
            <v>22278.5</v>
          </cell>
        </row>
        <row r="307">
          <cell r="B307">
            <v>300</v>
          </cell>
          <cell r="D307" t="str">
            <v>B</v>
          </cell>
          <cell r="F307" t="str">
            <v>Kayu Papan Cor Borneo / Papan Terentang</v>
          </cell>
          <cell r="J307" t="str">
            <v>Papan Terentang (2 x pakai) 75%</v>
          </cell>
          <cell r="K307">
            <v>2.4E-2</v>
          </cell>
          <cell r="L307" t="str">
            <v>M3</v>
          </cell>
          <cell r="M307">
            <v>1317000</v>
          </cell>
          <cell r="N307">
            <v>23706</v>
          </cell>
        </row>
        <row r="308">
          <cell r="B308">
            <v>301</v>
          </cell>
          <cell r="D308" t="str">
            <v>B</v>
          </cell>
          <cell r="F308" t="str">
            <v>Paku 1 cm s.d 3 cm</v>
          </cell>
          <cell r="J308" t="str">
            <v>Paku 1 cm s.d 3 cm</v>
          </cell>
          <cell r="K308">
            <v>0.4</v>
          </cell>
          <cell r="L308" t="str">
            <v>Kg</v>
          </cell>
          <cell r="M308">
            <v>14200</v>
          </cell>
          <cell r="N308">
            <v>5680</v>
          </cell>
        </row>
        <row r="309">
          <cell r="B309">
            <v>302</v>
          </cell>
          <cell r="C309" t="str">
            <v>P</v>
          </cell>
          <cell r="F309" t="str">
            <v>Buruh Lapangan Tak Terlatih / Pekerja</v>
          </cell>
          <cell r="J309" t="str">
            <v>Pekerja</v>
          </cell>
          <cell r="K309">
            <v>0.12</v>
          </cell>
          <cell r="L309" t="str">
            <v>Orang</v>
          </cell>
          <cell r="M309">
            <v>22700</v>
          </cell>
          <cell r="N309">
            <v>2724</v>
          </cell>
        </row>
        <row r="310">
          <cell r="B310">
            <v>303</v>
          </cell>
          <cell r="C310" t="str">
            <v>P</v>
          </cell>
          <cell r="F310" t="str">
            <v>Tukang Kayu (terampil)</v>
          </cell>
          <cell r="J310" t="str">
            <v>Tukang Kayu Terampil</v>
          </cell>
          <cell r="K310">
            <v>0.15</v>
          </cell>
          <cell r="L310" t="str">
            <v>Orang</v>
          </cell>
          <cell r="M310">
            <v>29100</v>
          </cell>
          <cell r="N310">
            <v>4365</v>
          </cell>
        </row>
        <row r="311">
          <cell r="B311">
            <v>304</v>
          </cell>
          <cell r="C311" t="str">
            <v>P</v>
          </cell>
          <cell r="F311" t="str">
            <v>Kepala Tukang Kayu</v>
          </cell>
          <cell r="J311" t="str">
            <v>Kepala Tukang Kayu</v>
          </cell>
          <cell r="K311">
            <v>0.15</v>
          </cell>
          <cell r="L311" t="str">
            <v>Orang</v>
          </cell>
          <cell r="M311">
            <v>30000</v>
          </cell>
          <cell r="N311">
            <v>4500</v>
          </cell>
        </row>
        <row r="312">
          <cell r="B312">
            <v>305</v>
          </cell>
          <cell r="C312" t="str">
            <v>P</v>
          </cell>
          <cell r="F312" t="str">
            <v>Mandor Lapangan</v>
          </cell>
          <cell r="J312" t="str">
            <v>Mandor</v>
          </cell>
          <cell r="K312">
            <v>0.05</v>
          </cell>
          <cell r="L312" t="str">
            <v>Orang</v>
          </cell>
          <cell r="M312">
            <v>31800</v>
          </cell>
          <cell r="N312">
            <v>1590</v>
          </cell>
        </row>
        <row r="313">
          <cell r="B313">
            <v>306</v>
          </cell>
          <cell r="C313" t="str">
            <v>P</v>
          </cell>
          <cell r="F313" t="str">
            <v>Tukang Kayu setengah terampil</v>
          </cell>
          <cell r="J313" t="str">
            <v>Tukang Kayu Setengah Terampil</v>
          </cell>
          <cell r="K313">
            <v>0.12</v>
          </cell>
          <cell r="L313" t="str">
            <v>Orang</v>
          </cell>
          <cell r="M313">
            <v>27300</v>
          </cell>
          <cell r="N313">
            <v>3276</v>
          </cell>
        </row>
        <row r="314">
          <cell r="B314">
            <v>307</v>
          </cell>
          <cell r="M314" t="str">
            <v>Jumlah</v>
          </cell>
          <cell r="N314">
            <v>68119.5</v>
          </cell>
        </row>
        <row r="315">
          <cell r="B315">
            <v>308</v>
          </cell>
          <cell r="M315" t="str">
            <v>Dibulatkan</v>
          </cell>
          <cell r="N315">
            <v>68120</v>
          </cell>
        </row>
        <row r="316">
          <cell r="B316">
            <v>309</v>
          </cell>
        </row>
        <row r="317">
          <cell r="A317" t="str">
            <v>A034</v>
          </cell>
          <cell r="B317">
            <v>310</v>
          </cell>
          <cell r="H317" t="str">
            <v>A034</v>
          </cell>
          <cell r="I317" t="str">
            <v>M²</v>
          </cell>
          <cell r="J317" t="str">
            <v>BEKISTING MULTIPLESX 9 MM</v>
          </cell>
          <cell r="K317" t="str">
            <v>Harga per 1 M² ……</v>
          </cell>
          <cell r="M317" t="str">
            <v>Rp.</v>
          </cell>
          <cell r="N317">
            <v>74860</v>
          </cell>
        </row>
        <row r="318">
          <cell r="B318">
            <v>311</v>
          </cell>
          <cell r="D318" t="str">
            <v>B</v>
          </cell>
          <cell r="F318" t="str">
            <v>Kayu Balok Borneo Super</v>
          </cell>
          <cell r="J318" t="str">
            <v>Kaso 5/7 Terentang (2 x pakai) 50%</v>
          </cell>
          <cell r="K318">
            <v>1.7000000000000001E-2</v>
          </cell>
          <cell r="L318" t="str">
            <v>M3</v>
          </cell>
          <cell r="M318">
            <v>2621000</v>
          </cell>
          <cell r="N318">
            <v>22278.5</v>
          </cell>
        </row>
        <row r="319">
          <cell r="B319">
            <v>312</v>
          </cell>
          <cell r="D319" t="str">
            <v>B</v>
          </cell>
          <cell r="F319" t="str">
            <v>Multiplek 9 mm 120 x 240</v>
          </cell>
          <cell r="J319" t="str">
            <v>Multiplex 9 mm 120 x 240 (2 x pakai) 75 %</v>
          </cell>
          <cell r="K319">
            <v>0.34699999999999998</v>
          </cell>
          <cell r="L319" t="str">
            <v>Lbr</v>
          </cell>
          <cell r="M319">
            <v>117000</v>
          </cell>
          <cell r="N319">
            <v>30449.25</v>
          </cell>
        </row>
        <row r="320">
          <cell r="B320">
            <v>313</v>
          </cell>
          <cell r="D320" t="str">
            <v>B</v>
          </cell>
          <cell r="F320" t="str">
            <v>Paku 1 cm s.d 3 cm</v>
          </cell>
          <cell r="J320" t="str">
            <v>Paku 1 cm s.d 3 cm</v>
          </cell>
          <cell r="K320">
            <v>0.4</v>
          </cell>
          <cell r="L320" t="str">
            <v>Kg</v>
          </cell>
          <cell r="M320">
            <v>14200</v>
          </cell>
          <cell r="N320">
            <v>5680</v>
          </cell>
        </row>
        <row r="321">
          <cell r="B321">
            <v>314</v>
          </cell>
          <cell r="C321" t="str">
            <v>P</v>
          </cell>
          <cell r="F321" t="str">
            <v>Buruh Lapangan Tak Terlatih / Pekerja</v>
          </cell>
          <cell r="J321" t="str">
            <v>Pekerja</v>
          </cell>
          <cell r="K321">
            <v>0.12</v>
          </cell>
          <cell r="L321" t="str">
            <v>Orang</v>
          </cell>
          <cell r="M321">
            <v>22700</v>
          </cell>
          <cell r="N321">
            <v>2724</v>
          </cell>
        </row>
        <row r="322">
          <cell r="B322">
            <v>315</v>
          </cell>
          <cell r="C322" t="str">
            <v>P</v>
          </cell>
          <cell r="F322" t="str">
            <v>Tukang Kayu (terampil)</v>
          </cell>
          <cell r="J322" t="str">
            <v>Tukang Kayu Terampil</v>
          </cell>
          <cell r="K322">
            <v>0.15</v>
          </cell>
          <cell r="L322" t="str">
            <v>Orang</v>
          </cell>
          <cell r="M322">
            <v>29100</v>
          </cell>
          <cell r="N322">
            <v>4365</v>
          </cell>
        </row>
        <row r="323">
          <cell r="B323">
            <v>316</v>
          </cell>
          <cell r="C323" t="str">
            <v>P</v>
          </cell>
          <cell r="F323" t="str">
            <v>Kepala Tukang Kayu</v>
          </cell>
          <cell r="J323" t="str">
            <v>Kepala Tukang Kayu</v>
          </cell>
          <cell r="K323">
            <v>0.15</v>
          </cell>
          <cell r="L323" t="str">
            <v>Orang</v>
          </cell>
          <cell r="M323">
            <v>30000</v>
          </cell>
          <cell r="N323">
            <v>4500</v>
          </cell>
        </row>
        <row r="324">
          <cell r="B324">
            <v>317</v>
          </cell>
          <cell r="C324" t="str">
            <v>P</v>
          </cell>
          <cell r="F324" t="str">
            <v>Mandor Lapangan</v>
          </cell>
          <cell r="J324" t="str">
            <v>Mandor</v>
          </cell>
          <cell r="K324">
            <v>0.05</v>
          </cell>
          <cell r="L324" t="str">
            <v>Orang</v>
          </cell>
          <cell r="M324">
            <v>31800</v>
          </cell>
          <cell r="N324">
            <v>1590</v>
          </cell>
        </row>
        <row r="325">
          <cell r="B325">
            <v>318</v>
          </cell>
          <cell r="C325" t="str">
            <v>P</v>
          </cell>
          <cell r="F325" t="str">
            <v>Tukang Kayu setengah terampil</v>
          </cell>
          <cell r="J325" t="str">
            <v>Tukang Kayu Setengah Terampil</v>
          </cell>
          <cell r="K325">
            <v>0.12</v>
          </cell>
          <cell r="L325" t="str">
            <v>Orang</v>
          </cell>
          <cell r="M325">
            <v>27300</v>
          </cell>
          <cell r="N325">
            <v>3276</v>
          </cell>
        </row>
        <row r="326">
          <cell r="B326">
            <v>319</v>
          </cell>
          <cell r="M326" t="str">
            <v>Jumlah</v>
          </cell>
          <cell r="N326">
            <v>74862.75</v>
          </cell>
        </row>
        <row r="327">
          <cell r="B327">
            <v>320</v>
          </cell>
          <cell r="M327" t="str">
            <v>Dibulatkan</v>
          </cell>
          <cell r="N327">
            <v>74860</v>
          </cell>
        </row>
        <row r="328">
          <cell r="B328">
            <v>321</v>
          </cell>
        </row>
        <row r="329">
          <cell r="A329" t="str">
            <v>A035</v>
          </cell>
          <cell r="B329">
            <v>322</v>
          </cell>
          <cell r="H329" t="str">
            <v>A035</v>
          </cell>
          <cell r="I329" t="str">
            <v>M²</v>
          </cell>
          <cell r="J329" t="str">
            <v>PASANGAN STOOT WERK</v>
          </cell>
          <cell r="K329" t="str">
            <v>Harga per 1 M² ……</v>
          </cell>
          <cell r="M329" t="str">
            <v>Rp.</v>
          </cell>
          <cell r="N329">
            <v>85440</v>
          </cell>
        </row>
        <row r="330">
          <cell r="B330">
            <v>323</v>
          </cell>
          <cell r="D330" t="str">
            <v>B</v>
          </cell>
          <cell r="F330" t="str">
            <v>Dolken 5 s.d 7</v>
          </cell>
          <cell r="J330" t="str">
            <v>Dolken 5 s.d 7 (50 %)</v>
          </cell>
          <cell r="K330">
            <v>9</v>
          </cell>
          <cell r="L330" t="str">
            <v>bt</v>
          </cell>
          <cell r="M330">
            <v>10800</v>
          </cell>
          <cell r="N330">
            <v>48600</v>
          </cell>
        </row>
        <row r="331">
          <cell r="B331">
            <v>324</v>
          </cell>
          <cell r="D331" t="str">
            <v>B</v>
          </cell>
          <cell r="F331" t="str">
            <v>Kayu Papan Cor Borneo / Papan Terentang</v>
          </cell>
          <cell r="J331" t="str">
            <v>Papan Terentang (2 x pakai) 75%</v>
          </cell>
          <cell r="K331">
            <v>1.6E-2</v>
          </cell>
          <cell r="L331" t="str">
            <v>M3</v>
          </cell>
          <cell r="M331">
            <v>1317000</v>
          </cell>
          <cell r="N331">
            <v>15804</v>
          </cell>
        </row>
        <row r="332">
          <cell r="B332">
            <v>325</v>
          </cell>
          <cell r="D332" t="str">
            <v>B</v>
          </cell>
          <cell r="F332" t="str">
            <v>Paku 5 - 7 cm</v>
          </cell>
          <cell r="J332" t="str">
            <v>Paku 5 - 7</v>
          </cell>
          <cell r="K332">
            <v>0.5</v>
          </cell>
          <cell r="L332" t="str">
            <v>Kg</v>
          </cell>
          <cell r="M332">
            <v>10550</v>
          </cell>
          <cell r="N332">
            <v>5275</v>
          </cell>
        </row>
        <row r="333">
          <cell r="B333">
            <v>326</v>
          </cell>
          <cell r="C333" t="str">
            <v>P</v>
          </cell>
          <cell r="F333" t="str">
            <v>Buruh Lapangan Tak Terlatih / Pekerja</v>
          </cell>
          <cell r="J333" t="str">
            <v>Pekerja</v>
          </cell>
          <cell r="K333">
            <v>0.15</v>
          </cell>
          <cell r="L333" t="str">
            <v>Orang</v>
          </cell>
          <cell r="M333">
            <v>22700</v>
          </cell>
          <cell r="N333">
            <v>3405</v>
          </cell>
        </row>
        <row r="334">
          <cell r="B334">
            <v>327</v>
          </cell>
          <cell r="C334" t="str">
            <v>P</v>
          </cell>
          <cell r="F334" t="str">
            <v>Tukang Kayu (terampil)</v>
          </cell>
          <cell r="J334" t="str">
            <v>Tukang Kayu Terampil</v>
          </cell>
          <cell r="K334">
            <v>0.2</v>
          </cell>
          <cell r="L334" t="str">
            <v>Orang</v>
          </cell>
          <cell r="M334">
            <v>29100</v>
          </cell>
          <cell r="N334">
            <v>5820</v>
          </cell>
        </row>
        <row r="335">
          <cell r="B335">
            <v>328</v>
          </cell>
          <cell r="C335" t="str">
            <v>P</v>
          </cell>
          <cell r="F335" t="str">
            <v>Kepala Tukang Kayu</v>
          </cell>
          <cell r="J335" t="str">
            <v>Kepala Tukang Kayu</v>
          </cell>
          <cell r="K335">
            <v>0.2</v>
          </cell>
          <cell r="L335" t="str">
            <v>Orang</v>
          </cell>
          <cell r="M335">
            <v>30000</v>
          </cell>
          <cell r="N335">
            <v>6000</v>
          </cell>
        </row>
        <row r="336">
          <cell r="B336">
            <v>329</v>
          </cell>
          <cell r="C336" t="str">
            <v>P</v>
          </cell>
          <cell r="F336" t="str">
            <v>Mandor Lapangan</v>
          </cell>
          <cell r="J336" t="str">
            <v>Mandor</v>
          </cell>
          <cell r="K336">
            <v>1.7000000000000001E-2</v>
          </cell>
          <cell r="L336" t="str">
            <v>Orang</v>
          </cell>
          <cell r="M336">
            <v>31800</v>
          </cell>
          <cell r="N336">
            <v>540.6</v>
          </cell>
        </row>
        <row r="337">
          <cell r="B337">
            <v>330</v>
          </cell>
          <cell r="M337" t="str">
            <v>Jumlah</v>
          </cell>
          <cell r="N337">
            <v>85444.6</v>
          </cell>
        </row>
        <row r="338">
          <cell r="B338">
            <v>331</v>
          </cell>
          <cell r="M338" t="str">
            <v>Dibulatkan</v>
          </cell>
          <cell r="N338">
            <v>85440</v>
          </cell>
        </row>
        <row r="339">
          <cell r="B339">
            <v>332</v>
          </cell>
        </row>
        <row r="340">
          <cell r="A340" t="str">
            <v>A036</v>
          </cell>
          <cell r="B340">
            <v>333</v>
          </cell>
          <cell r="H340" t="str">
            <v>A036</v>
          </cell>
          <cell r="I340" t="str">
            <v>M³</v>
          </cell>
          <cell r="J340" t="str">
            <v>PASANGAN ANSTAMPING BATU BELAH</v>
          </cell>
          <cell r="K340" t="str">
            <v>Harga per 1 M³ ……</v>
          </cell>
          <cell r="M340" t="str">
            <v>Rp.</v>
          </cell>
          <cell r="N340">
            <v>259820</v>
          </cell>
        </row>
        <row r="341">
          <cell r="B341">
            <v>334</v>
          </cell>
          <cell r="D341" t="str">
            <v>B</v>
          </cell>
          <cell r="F341" t="str">
            <v>Batu Belah 10 - 15 cm</v>
          </cell>
          <cell r="J341" t="str">
            <v>Batu Belah</v>
          </cell>
          <cell r="K341">
            <v>1.2</v>
          </cell>
          <cell r="L341" t="str">
            <v>M3</v>
          </cell>
          <cell r="M341">
            <v>141000</v>
          </cell>
          <cell r="N341">
            <v>169200</v>
          </cell>
        </row>
        <row r="342">
          <cell r="B342">
            <v>335</v>
          </cell>
          <cell r="D342" t="str">
            <v>B</v>
          </cell>
          <cell r="F342" t="str">
            <v>Pasir Urug</v>
          </cell>
          <cell r="J342" t="str">
            <v>Pasir Urug</v>
          </cell>
          <cell r="K342">
            <v>0.4</v>
          </cell>
          <cell r="L342" t="str">
            <v>M3</v>
          </cell>
          <cell r="M342">
            <v>120000</v>
          </cell>
          <cell r="N342">
            <v>48000</v>
          </cell>
        </row>
        <row r="343">
          <cell r="B343">
            <v>336</v>
          </cell>
          <cell r="C343" t="str">
            <v>P</v>
          </cell>
          <cell r="F343" t="str">
            <v>Buruh Lapangan Tak Terlatih / Pekerja</v>
          </cell>
          <cell r="J343" t="str">
            <v>Pekerja</v>
          </cell>
          <cell r="K343">
            <v>1.125</v>
          </cell>
          <cell r="L343" t="str">
            <v>Orang</v>
          </cell>
          <cell r="M343">
            <v>22700</v>
          </cell>
          <cell r="N343">
            <v>25537.5</v>
          </cell>
        </row>
        <row r="344">
          <cell r="B344">
            <v>337</v>
          </cell>
          <cell r="C344" t="str">
            <v>P</v>
          </cell>
          <cell r="F344" t="str">
            <v>Tukang Batu setengah terampil</v>
          </cell>
          <cell r="J344" t="str">
            <v>Tukang Batu Setengah Terampil</v>
          </cell>
          <cell r="K344">
            <v>0.5625</v>
          </cell>
          <cell r="L344" t="str">
            <v>Orang</v>
          </cell>
          <cell r="M344">
            <v>26800</v>
          </cell>
          <cell r="N344">
            <v>15075</v>
          </cell>
        </row>
        <row r="345">
          <cell r="B345">
            <v>338</v>
          </cell>
          <cell r="C345" t="str">
            <v>P</v>
          </cell>
          <cell r="F345" t="str">
            <v>Kepala Tukang Batu</v>
          </cell>
          <cell r="J345" t="str">
            <v>Kepala Tukang Batu</v>
          </cell>
          <cell r="K345">
            <v>7.4999999999999997E-3</v>
          </cell>
          <cell r="L345" t="str">
            <v>Orang</v>
          </cell>
          <cell r="M345">
            <v>29100</v>
          </cell>
          <cell r="N345">
            <v>218.25</v>
          </cell>
        </row>
        <row r="346">
          <cell r="B346">
            <v>339</v>
          </cell>
          <cell r="C346" t="str">
            <v>P</v>
          </cell>
          <cell r="F346" t="str">
            <v>Mandor Lapangan</v>
          </cell>
          <cell r="J346" t="str">
            <v>Mandor</v>
          </cell>
          <cell r="K346">
            <v>5.6300000000000003E-2</v>
          </cell>
          <cell r="L346" t="str">
            <v>Orang</v>
          </cell>
          <cell r="M346">
            <v>31800</v>
          </cell>
          <cell r="N346">
            <v>1790.3400000000001</v>
          </cell>
        </row>
        <row r="347">
          <cell r="B347">
            <v>340</v>
          </cell>
          <cell r="M347" t="str">
            <v>Jumlah</v>
          </cell>
          <cell r="N347">
            <v>259821.09</v>
          </cell>
        </row>
        <row r="348">
          <cell r="B348">
            <v>341</v>
          </cell>
          <cell r="M348" t="str">
            <v>Dibulatkan</v>
          </cell>
          <cell r="N348">
            <v>259820</v>
          </cell>
        </row>
        <row r="349">
          <cell r="B349">
            <v>342</v>
          </cell>
        </row>
        <row r="350">
          <cell r="A350" t="str">
            <v>A037</v>
          </cell>
          <cell r="B350">
            <v>343</v>
          </cell>
          <cell r="H350" t="str">
            <v>A037</v>
          </cell>
          <cell r="I350" t="str">
            <v>M³</v>
          </cell>
          <cell r="J350" t="str">
            <v>PASANGAN BATU BELAH 1pc : 5ps</v>
          </cell>
          <cell r="K350" t="str">
            <v>Harga per 1 M³ ……</v>
          </cell>
          <cell r="M350" t="str">
            <v>Rp.</v>
          </cell>
          <cell r="N350">
            <v>423340</v>
          </cell>
        </row>
        <row r="351">
          <cell r="B351">
            <v>344</v>
          </cell>
          <cell r="D351" t="str">
            <v>B</v>
          </cell>
          <cell r="F351" t="str">
            <v>Batu Belah 10 - 15 cm</v>
          </cell>
          <cell r="J351" t="str">
            <v>Batu Belah</v>
          </cell>
          <cell r="K351">
            <v>1.2</v>
          </cell>
          <cell r="L351" t="str">
            <v>M3</v>
          </cell>
          <cell r="M351">
            <v>141000</v>
          </cell>
          <cell r="N351">
            <v>169200</v>
          </cell>
        </row>
        <row r="352">
          <cell r="B352">
            <v>345</v>
          </cell>
          <cell r="D352" t="str">
            <v>B</v>
          </cell>
          <cell r="F352" t="str">
            <v>Semen portland</v>
          </cell>
          <cell r="J352" t="str">
            <v>PC (50 Kg)</v>
          </cell>
          <cell r="K352">
            <v>2.16</v>
          </cell>
          <cell r="L352" t="str">
            <v>Zak</v>
          </cell>
          <cell r="M352">
            <v>44200</v>
          </cell>
          <cell r="N352">
            <v>95472</v>
          </cell>
        </row>
        <row r="353">
          <cell r="B353">
            <v>346</v>
          </cell>
          <cell r="D353" t="str">
            <v>B</v>
          </cell>
          <cell r="F353" t="str">
            <v>Pasir Pasang</v>
          </cell>
          <cell r="J353" t="str">
            <v>Pasir Pasang</v>
          </cell>
          <cell r="K353">
            <v>0.43</v>
          </cell>
          <cell r="L353" t="str">
            <v>M3</v>
          </cell>
          <cell r="M353">
            <v>160000</v>
          </cell>
          <cell r="N353">
            <v>68800</v>
          </cell>
        </row>
        <row r="354">
          <cell r="B354">
            <v>347</v>
          </cell>
          <cell r="C354" t="str">
            <v>P</v>
          </cell>
          <cell r="F354" t="str">
            <v>Buruh Lapangan Tak Terlatih / Pekerja</v>
          </cell>
          <cell r="J354" t="str">
            <v>Pekerja</v>
          </cell>
          <cell r="K354">
            <v>2.25</v>
          </cell>
          <cell r="L354" t="str">
            <v>Orang</v>
          </cell>
          <cell r="M354">
            <v>22700</v>
          </cell>
          <cell r="N354">
            <v>51075</v>
          </cell>
        </row>
        <row r="355">
          <cell r="B355">
            <v>348</v>
          </cell>
          <cell r="C355" t="str">
            <v>P</v>
          </cell>
          <cell r="F355" t="str">
            <v>Tukang Batu setengah terampil</v>
          </cell>
          <cell r="J355" t="str">
            <v>Tukang Batu Setengah Terampil</v>
          </cell>
          <cell r="K355">
            <v>1.125</v>
          </cell>
          <cell r="L355" t="str">
            <v>Orang</v>
          </cell>
          <cell r="M355">
            <v>26800</v>
          </cell>
          <cell r="N355">
            <v>30150</v>
          </cell>
        </row>
        <row r="356">
          <cell r="B356">
            <v>349</v>
          </cell>
          <cell r="C356" t="str">
            <v>P</v>
          </cell>
          <cell r="F356" t="str">
            <v>Kepala Tukang Batu</v>
          </cell>
          <cell r="J356" t="str">
            <v>Kepala Tukang Batu</v>
          </cell>
          <cell r="K356">
            <v>0.1125</v>
          </cell>
          <cell r="L356" t="str">
            <v>Orang</v>
          </cell>
          <cell r="M356">
            <v>29100</v>
          </cell>
          <cell r="N356">
            <v>3273.75</v>
          </cell>
        </row>
        <row r="357">
          <cell r="B357">
            <v>350</v>
          </cell>
          <cell r="C357" t="str">
            <v>P</v>
          </cell>
          <cell r="F357" t="str">
            <v>Mandor Lapangan</v>
          </cell>
          <cell r="J357" t="str">
            <v>Mandor</v>
          </cell>
          <cell r="K357">
            <v>0.16880000000000001</v>
          </cell>
          <cell r="L357" t="str">
            <v>Orang</v>
          </cell>
          <cell r="M357">
            <v>31800</v>
          </cell>
          <cell r="N357">
            <v>5367.84</v>
          </cell>
        </row>
        <row r="358">
          <cell r="B358">
            <v>351</v>
          </cell>
          <cell r="M358" t="str">
            <v>Jumlah</v>
          </cell>
          <cell r="N358">
            <v>423338.59</v>
          </cell>
        </row>
        <row r="359">
          <cell r="B359">
            <v>352</v>
          </cell>
          <cell r="M359" t="str">
            <v>Dibulatkan</v>
          </cell>
          <cell r="N359">
            <v>423340</v>
          </cell>
        </row>
        <row r="360">
          <cell r="B360">
            <v>353</v>
          </cell>
        </row>
        <row r="361">
          <cell r="A361" t="str">
            <v>A038</v>
          </cell>
          <cell r="B361">
            <v>354</v>
          </cell>
          <cell r="H361" t="str">
            <v>A038</v>
          </cell>
          <cell r="I361" t="str">
            <v>M³</v>
          </cell>
          <cell r="J361" t="str">
            <v>PASANGAN BATU BELAH 1pc : 3ps</v>
          </cell>
          <cell r="K361" t="str">
            <v>Harga per 1 M³ ……</v>
          </cell>
          <cell r="M361" t="str">
            <v>Rp.</v>
          </cell>
          <cell r="N361">
            <v>487910</v>
          </cell>
        </row>
        <row r="362">
          <cell r="B362">
            <v>355</v>
          </cell>
          <cell r="D362" t="str">
            <v>B</v>
          </cell>
          <cell r="F362" t="str">
            <v>Batu Belah 10 - 15 cm</v>
          </cell>
          <cell r="J362" t="str">
            <v>Batu Belah</v>
          </cell>
          <cell r="K362">
            <v>1.2</v>
          </cell>
          <cell r="L362" t="str">
            <v>M3</v>
          </cell>
          <cell r="M362">
            <v>141000</v>
          </cell>
          <cell r="N362">
            <v>169200</v>
          </cell>
        </row>
        <row r="363">
          <cell r="B363">
            <v>356</v>
          </cell>
          <cell r="D363" t="str">
            <v>B</v>
          </cell>
          <cell r="F363" t="str">
            <v>Semen portland</v>
          </cell>
          <cell r="J363" t="str">
            <v>PC (50 Kg)</v>
          </cell>
          <cell r="K363">
            <v>3.24</v>
          </cell>
          <cell r="L363" t="str">
            <v>Zak</v>
          </cell>
          <cell r="M363">
            <v>44200</v>
          </cell>
          <cell r="N363">
            <v>143208</v>
          </cell>
        </row>
        <row r="364">
          <cell r="B364">
            <v>357</v>
          </cell>
          <cell r="D364" t="str">
            <v>B</v>
          </cell>
          <cell r="F364" t="str">
            <v>Pasir Pasang</v>
          </cell>
          <cell r="J364" t="str">
            <v>Pasir Pasang</v>
          </cell>
          <cell r="K364">
            <v>0.34799999999999998</v>
          </cell>
          <cell r="L364" t="str">
            <v>M3</v>
          </cell>
          <cell r="M364">
            <v>160000</v>
          </cell>
          <cell r="N364">
            <v>55679.999999999993</v>
          </cell>
        </row>
        <row r="365">
          <cell r="B365">
            <v>358</v>
          </cell>
          <cell r="C365" t="str">
            <v>P</v>
          </cell>
          <cell r="F365" t="str">
            <v>Buruh Lapangan Tak Terlatih / Pekerja</v>
          </cell>
          <cell r="J365" t="str">
            <v>Pekerja</v>
          </cell>
          <cell r="K365">
            <v>3</v>
          </cell>
          <cell r="L365" t="str">
            <v>Orang</v>
          </cell>
          <cell r="M365">
            <v>22700</v>
          </cell>
          <cell r="N365">
            <v>68100</v>
          </cell>
        </row>
        <row r="366">
          <cell r="B366">
            <v>359</v>
          </cell>
          <cell r="C366" t="str">
            <v>P</v>
          </cell>
          <cell r="F366" t="str">
            <v>Tukang Batu setengah terampil</v>
          </cell>
          <cell r="J366" t="str">
            <v>Tukang Batu Setengah Terampil</v>
          </cell>
          <cell r="K366">
            <v>1.5</v>
          </cell>
          <cell r="L366" t="str">
            <v>Orang</v>
          </cell>
          <cell r="M366">
            <v>26800</v>
          </cell>
          <cell r="N366">
            <v>40200</v>
          </cell>
        </row>
        <row r="367">
          <cell r="B367">
            <v>360</v>
          </cell>
          <cell r="C367" t="str">
            <v>P</v>
          </cell>
          <cell r="F367" t="str">
            <v>Kepala Tukang Batu</v>
          </cell>
          <cell r="J367" t="str">
            <v>Kepala Tukang Batu</v>
          </cell>
          <cell r="K367">
            <v>0.15</v>
          </cell>
          <cell r="L367" t="str">
            <v>Orang</v>
          </cell>
          <cell r="M367">
            <v>29100</v>
          </cell>
          <cell r="N367">
            <v>4365</v>
          </cell>
        </row>
        <row r="368">
          <cell r="B368">
            <v>361</v>
          </cell>
          <cell r="C368" t="str">
            <v>P</v>
          </cell>
          <cell r="F368" t="str">
            <v>Mandor Lapangan</v>
          </cell>
          <cell r="J368" t="str">
            <v>Mandor</v>
          </cell>
          <cell r="K368">
            <v>0.22500000000000001</v>
          </cell>
          <cell r="L368" t="str">
            <v>Orang</v>
          </cell>
          <cell r="M368">
            <v>31800</v>
          </cell>
          <cell r="N368">
            <v>7155</v>
          </cell>
        </row>
        <row r="369">
          <cell r="B369">
            <v>362</v>
          </cell>
          <cell r="M369" t="str">
            <v>Jumlah</v>
          </cell>
          <cell r="N369">
            <v>487908</v>
          </cell>
        </row>
        <row r="370">
          <cell r="B370">
            <v>363</v>
          </cell>
          <cell r="M370" t="str">
            <v>Dibulatkan</v>
          </cell>
          <cell r="N370">
            <v>487910</v>
          </cell>
        </row>
        <row r="371">
          <cell r="B371">
            <v>364</v>
          </cell>
        </row>
        <row r="372">
          <cell r="A372" t="str">
            <v>A039</v>
          </cell>
          <cell r="B372">
            <v>365</v>
          </cell>
          <cell r="H372" t="str">
            <v>A039</v>
          </cell>
          <cell r="I372" t="str">
            <v>M³</v>
          </cell>
          <cell r="J372" t="str">
            <v>PASANGAN BATU BELAH 1pc : 2ps</v>
          </cell>
          <cell r="K372" t="str">
            <v>Harga per 1 M³ ……</v>
          </cell>
          <cell r="M372" t="str">
            <v>Rp.</v>
          </cell>
          <cell r="N372">
            <v>514930</v>
          </cell>
        </row>
        <row r="373">
          <cell r="B373">
            <v>366</v>
          </cell>
          <cell r="D373" t="str">
            <v>B</v>
          </cell>
          <cell r="F373" t="str">
            <v>Batu Belah 10 - 15 cm</v>
          </cell>
          <cell r="J373" t="str">
            <v>Batu Belah</v>
          </cell>
          <cell r="K373">
            <v>1.2</v>
          </cell>
          <cell r="L373" t="str">
            <v>M3</v>
          </cell>
          <cell r="M373">
            <v>141000</v>
          </cell>
          <cell r="N373">
            <v>169200</v>
          </cell>
        </row>
        <row r="374">
          <cell r="B374">
            <v>367</v>
          </cell>
          <cell r="D374" t="str">
            <v>B</v>
          </cell>
          <cell r="F374" t="str">
            <v>Semen portland</v>
          </cell>
          <cell r="J374" t="str">
            <v>PC (50 Kg)</v>
          </cell>
          <cell r="K374">
            <v>3.7536</v>
          </cell>
          <cell r="L374" t="str">
            <v>Zak</v>
          </cell>
          <cell r="M374">
            <v>44200</v>
          </cell>
          <cell r="N374">
            <v>165909.12</v>
          </cell>
        </row>
        <row r="375">
          <cell r="B375">
            <v>368</v>
          </cell>
          <cell r="D375" t="str">
            <v>B</v>
          </cell>
          <cell r="F375" t="str">
            <v>Pasir Pasang</v>
          </cell>
          <cell r="J375" t="str">
            <v>Pasir Pasang</v>
          </cell>
          <cell r="K375">
            <v>0.375</v>
          </cell>
          <cell r="L375" t="str">
            <v>M3</v>
          </cell>
          <cell r="M375">
            <v>160000</v>
          </cell>
          <cell r="N375">
            <v>60000</v>
          </cell>
        </row>
        <row r="376">
          <cell r="B376">
            <v>369</v>
          </cell>
          <cell r="C376" t="str">
            <v>P</v>
          </cell>
          <cell r="F376" t="str">
            <v>Buruh Lapangan Tak Terlatih / Pekerja</v>
          </cell>
          <cell r="J376" t="str">
            <v>Pekerja</v>
          </cell>
          <cell r="K376">
            <v>3</v>
          </cell>
          <cell r="L376" t="str">
            <v>Orang</v>
          </cell>
          <cell r="M376">
            <v>22700</v>
          </cell>
          <cell r="N376">
            <v>68100</v>
          </cell>
        </row>
        <row r="377">
          <cell r="B377">
            <v>370</v>
          </cell>
          <cell r="C377" t="str">
            <v>P</v>
          </cell>
          <cell r="F377" t="str">
            <v>Tukang Batu setengah terampil</v>
          </cell>
          <cell r="J377" t="str">
            <v>Tukang Batu Setengah Terampil</v>
          </cell>
          <cell r="K377">
            <v>1.5</v>
          </cell>
          <cell r="L377" t="str">
            <v>Orang</v>
          </cell>
          <cell r="M377">
            <v>26800</v>
          </cell>
          <cell r="N377">
            <v>40200</v>
          </cell>
        </row>
        <row r="378">
          <cell r="B378">
            <v>371</v>
          </cell>
          <cell r="C378" t="str">
            <v>P</v>
          </cell>
          <cell r="F378" t="str">
            <v>Kepala Tukang Batu</v>
          </cell>
          <cell r="J378" t="str">
            <v>Kepala Tukang Batu</v>
          </cell>
          <cell r="K378">
            <v>0.15</v>
          </cell>
          <cell r="L378" t="str">
            <v>Orang</v>
          </cell>
          <cell r="M378">
            <v>29100</v>
          </cell>
          <cell r="N378">
            <v>4365</v>
          </cell>
        </row>
        <row r="379">
          <cell r="B379">
            <v>372</v>
          </cell>
          <cell r="C379" t="str">
            <v>P</v>
          </cell>
          <cell r="F379" t="str">
            <v>Mandor Lapangan</v>
          </cell>
          <cell r="J379" t="str">
            <v>Mandor</v>
          </cell>
          <cell r="K379">
            <v>0.22500000000000001</v>
          </cell>
          <cell r="L379" t="str">
            <v>Orang</v>
          </cell>
          <cell r="M379">
            <v>31800</v>
          </cell>
          <cell r="N379">
            <v>7155</v>
          </cell>
        </row>
        <row r="380">
          <cell r="B380">
            <v>373</v>
          </cell>
          <cell r="M380" t="str">
            <v>Jumlah</v>
          </cell>
          <cell r="N380">
            <v>514929.12</v>
          </cell>
        </row>
        <row r="381">
          <cell r="B381">
            <v>374</v>
          </cell>
          <cell r="M381" t="str">
            <v>Dibulatkan</v>
          </cell>
          <cell r="N381">
            <v>514930</v>
          </cell>
        </row>
        <row r="382">
          <cell r="B382">
            <v>375</v>
          </cell>
        </row>
        <row r="383">
          <cell r="A383" t="str">
            <v>A040</v>
          </cell>
          <cell r="B383">
            <v>376</v>
          </cell>
          <cell r="H383" t="str">
            <v>A040</v>
          </cell>
          <cell r="I383" t="str">
            <v>M¹</v>
          </cell>
          <cell r="J383" t="str">
            <v>PAS. KISTDAM DAN PENGERINGAN (TINGGI 1 M¹)</v>
          </cell>
          <cell r="K383" t="str">
            <v>Harga per 1 M¹ ……</v>
          </cell>
          <cell r="M383" t="str">
            <v>Rp.</v>
          </cell>
          <cell r="N383">
            <v>112230</v>
          </cell>
        </row>
        <row r="384">
          <cell r="B384">
            <v>377</v>
          </cell>
          <cell r="C384" t="str">
            <v>P</v>
          </cell>
          <cell r="F384" t="str">
            <v>Mandor Lapangan</v>
          </cell>
          <cell r="J384" t="str">
            <v>Mandor Lapangan</v>
          </cell>
          <cell r="K384">
            <v>0.08</v>
          </cell>
          <cell r="L384" t="str">
            <v>HO</v>
          </cell>
          <cell r="M384">
            <v>31800</v>
          </cell>
          <cell r="N384">
            <v>2544</v>
          </cell>
        </row>
        <row r="385">
          <cell r="B385">
            <v>378</v>
          </cell>
          <cell r="C385" t="str">
            <v>P</v>
          </cell>
          <cell r="F385" t="str">
            <v>Tukang Besi</v>
          </cell>
          <cell r="J385" t="str">
            <v>Tukang Besi</v>
          </cell>
          <cell r="K385">
            <v>0.08</v>
          </cell>
          <cell r="L385" t="str">
            <v>HO</v>
          </cell>
          <cell r="M385">
            <v>29100</v>
          </cell>
          <cell r="N385">
            <v>2328</v>
          </cell>
        </row>
        <row r="386">
          <cell r="B386">
            <v>379</v>
          </cell>
          <cell r="C386" t="str">
            <v>P</v>
          </cell>
          <cell r="F386" t="str">
            <v>Buruh Lapangan Terlatih / Pekerja Terampil</v>
          </cell>
          <cell r="J386" t="str">
            <v>Buruh Lapangan Terlatih</v>
          </cell>
          <cell r="K386">
            <v>0.16</v>
          </cell>
          <cell r="L386" t="str">
            <v>HO</v>
          </cell>
          <cell r="M386">
            <v>26400</v>
          </cell>
          <cell r="N386">
            <v>4224</v>
          </cell>
        </row>
        <row r="387">
          <cell r="B387">
            <v>380</v>
          </cell>
          <cell r="C387" t="str">
            <v>P</v>
          </cell>
          <cell r="F387" t="str">
            <v>Buruh Lapangan Tak Terlatih / Pekerja</v>
          </cell>
          <cell r="J387" t="str">
            <v>Buruh Lapangan Tak Terlatih</v>
          </cell>
          <cell r="K387">
            <v>3.2</v>
          </cell>
          <cell r="L387" t="str">
            <v>HO</v>
          </cell>
          <cell r="M387">
            <v>22700</v>
          </cell>
          <cell r="N387">
            <v>72640</v>
          </cell>
        </row>
        <row r="388">
          <cell r="B388">
            <v>381</v>
          </cell>
          <cell r="D388" t="str">
            <v>B</v>
          </cell>
          <cell r="F388" t="str">
            <v>Karung Plastik</v>
          </cell>
          <cell r="J388" t="str">
            <v>Karung Plastik</v>
          </cell>
          <cell r="K388">
            <v>10</v>
          </cell>
          <cell r="L388" t="str">
            <v>BH</v>
          </cell>
          <cell r="M388">
            <v>1100</v>
          </cell>
          <cell r="N388">
            <v>11000</v>
          </cell>
        </row>
        <row r="389">
          <cell r="B389">
            <v>382</v>
          </cell>
          <cell r="D389" t="str">
            <v>B</v>
          </cell>
          <cell r="F389" t="str">
            <v>Timbunan Tanah Pilihan</v>
          </cell>
          <cell r="J389" t="str">
            <v>Timbunan Tanah Pilihan</v>
          </cell>
          <cell r="K389">
            <v>0.3</v>
          </cell>
          <cell r="L389" t="str">
            <v>M3</v>
          </cell>
          <cell r="M389">
            <v>38500</v>
          </cell>
          <cell r="N389">
            <v>11550</v>
          </cell>
        </row>
        <row r="390">
          <cell r="B390">
            <v>383</v>
          </cell>
          <cell r="D390" t="str">
            <v>B</v>
          </cell>
          <cell r="F390" t="str">
            <v>Alat bantu</v>
          </cell>
          <cell r="J390" t="str">
            <v>Alat Bantu</v>
          </cell>
          <cell r="K390">
            <v>0.13</v>
          </cell>
          <cell r="L390" t="str">
            <v>Set</v>
          </cell>
          <cell r="M390">
            <v>52000</v>
          </cell>
          <cell r="N390">
            <v>6760</v>
          </cell>
        </row>
        <row r="391">
          <cell r="B391">
            <v>384</v>
          </cell>
          <cell r="E391" t="str">
            <v>A</v>
          </cell>
          <cell r="F391" t="str">
            <v>Pump Water (50 mm) 30 m3 /  Jam</v>
          </cell>
          <cell r="J391" t="str">
            <v>Pump Water  50 mm  -  30 m3/Jam</v>
          </cell>
          <cell r="K391">
            <v>0.12</v>
          </cell>
          <cell r="L391" t="str">
            <v>Jam</v>
          </cell>
          <cell r="M391">
            <v>9900</v>
          </cell>
          <cell r="N391">
            <v>1188</v>
          </cell>
        </row>
        <row r="392">
          <cell r="B392">
            <v>385</v>
          </cell>
          <cell r="M392" t="str">
            <v>Jumlah</v>
          </cell>
          <cell r="N392">
            <v>112234</v>
          </cell>
        </row>
        <row r="393">
          <cell r="B393">
            <v>386</v>
          </cell>
          <cell r="M393" t="str">
            <v>Dibulatkan</v>
          </cell>
          <cell r="N393">
            <v>112230</v>
          </cell>
        </row>
        <row r="394">
          <cell r="B394">
            <v>387</v>
          </cell>
        </row>
        <row r="395">
          <cell r="A395" t="str">
            <v>A041</v>
          </cell>
          <cell r="B395">
            <v>388</v>
          </cell>
          <cell r="H395" t="str">
            <v>A041</v>
          </cell>
          <cell r="I395" t="str">
            <v>M²</v>
          </cell>
          <cell r="J395" t="str">
            <v>PASANGAN BATU TEMPEL + SIARAN</v>
          </cell>
          <cell r="K395" t="str">
            <v>Harga per 1 M² ……</v>
          </cell>
          <cell r="M395" t="str">
            <v>Rp.</v>
          </cell>
          <cell r="N395">
            <v>87660</v>
          </cell>
        </row>
        <row r="396">
          <cell r="B396">
            <v>389</v>
          </cell>
          <cell r="D396" t="str">
            <v>B</v>
          </cell>
          <cell r="F396" t="str">
            <v>Batu Tempel Hitam</v>
          </cell>
          <cell r="J396" t="str">
            <v>Batu Tempel Hitam</v>
          </cell>
          <cell r="K396">
            <v>1.1000000000000001</v>
          </cell>
          <cell r="L396" t="str">
            <v>M2</v>
          </cell>
          <cell r="M396">
            <v>58000</v>
          </cell>
          <cell r="N396">
            <v>63800.000000000007</v>
          </cell>
        </row>
        <row r="397">
          <cell r="B397">
            <v>390</v>
          </cell>
          <cell r="D397" t="str">
            <v>B</v>
          </cell>
          <cell r="F397" t="str">
            <v>Semen portland</v>
          </cell>
          <cell r="J397" t="str">
            <v>PC (50 Kg)</v>
          </cell>
          <cell r="K397">
            <v>0.12</v>
          </cell>
          <cell r="L397" t="str">
            <v>Zak</v>
          </cell>
          <cell r="M397">
            <v>44200</v>
          </cell>
          <cell r="N397">
            <v>5304</v>
          </cell>
        </row>
        <row r="398">
          <cell r="B398">
            <v>391</v>
          </cell>
          <cell r="D398" t="str">
            <v>B</v>
          </cell>
          <cell r="F398" t="str">
            <v>Pasir Pasang</v>
          </cell>
          <cell r="J398" t="str">
            <v>Pasir Pasang</v>
          </cell>
          <cell r="K398">
            <v>3.1E-2</v>
          </cell>
          <cell r="L398" t="str">
            <v>M3</v>
          </cell>
          <cell r="M398">
            <v>160000</v>
          </cell>
          <cell r="N398">
            <v>4960</v>
          </cell>
        </row>
        <row r="399">
          <cell r="B399">
            <v>392</v>
          </cell>
          <cell r="C399" t="str">
            <v>P</v>
          </cell>
          <cell r="F399" t="str">
            <v>Buruh Lapangan Terlatih / Pekerja Terampil</v>
          </cell>
          <cell r="J399" t="str">
            <v>Pekerja Terampil</v>
          </cell>
          <cell r="K399">
            <v>0.1875</v>
          </cell>
          <cell r="L399" t="str">
            <v>Orang</v>
          </cell>
          <cell r="M399">
            <v>26400</v>
          </cell>
          <cell r="N399">
            <v>4950</v>
          </cell>
        </row>
        <row r="400">
          <cell r="B400">
            <v>393</v>
          </cell>
          <cell r="C400" t="str">
            <v>P</v>
          </cell>
          <cell r="F400" t="str">
            <v>Tukang Batu (Terampil)</v>
          </cell>
          <cell r="J400" t="str">
            <v>Tukang Batu Terampil</v>
          </cell>
          <cell r="K400">
            <v>0.22500000000000001</v>
          </cell>
          <cell r="L400" t="str">
            <v>Orang</v>
          </cell>
          <cell r="M400">
            <v>27300</v>
          </cell>
          <cell r="N400">
            <v>6142.5</v>
          </cell>
        </row>
        <row r="401">
          <cell r="B401">
            <v>394</v>
          </cell>
          <cell r="C401" t="str">
            <v>P</v>
          </cell>
          <cell r="F401" t="str">
            <v>Kepala Tukang Batu</v>
          </cell>
          <cell r="J401" t="str">
            <v>Kepala Tukang Batu</v>
          </cell>
          <cell r="K401">
            <v>3.7499999999999999E-2</v>
          </cell>
          <cell r="L401" t="str">
            <v>Orang</v>
          </cell>
          <cell r="M401">
            <v>29100</v>
          </cell>
          <cell r="N401">
            <v>1091.25</v>
          </cell>
        </row>
        <row r="402">
          <cell r="B402">
            <v>395</v>
          </cell>
          <cell r="C402" t="str">
            <v>P</v>
          </cell>
          <cell r="F402" t="str">
            <v>Mandor Lapangan</v>
          </cell>
          <cell r="J402" t="str">
            <v>Mandor</v>
          </cell>
          <cell r="K402">
            <v>3.3799999999999997E-2</v>
          </cell>
          <cell r="L402" t="str">
            <v>Orang</v>
          </cell>
          <cell r="M402">
            <v>31800</v>
          </cell>
          <cell r="N402">
            <v>1074.8399999999999</v>
          </cell>
        </row>
        <row r="403">
          <cell r="B403">
            <v>396</v>
          </cell>
          <cell r="J403" t="str">
            <v>Peralatan</v>
          </cell>
          <cell r="K403">
            <v>0.75</v>
          </cell>
          <cell r="L403" t="str">
            <v>Ls</v>
          </cell>
          <cell r="M403">
            <v>450</v>
          </cell>
          <cell r="N403">
            <v>337.5</v>
          </cell>
        </row>
        <row r="404">
          <cell r="B404">
            <v>397</v>
          </cell>
          <cell r="M404" t="str">
            <v>Jumlah</v>
          </cell>
          <cell r="N404">
            <v>87660.09</v>
          </cell>
        </row>
        <row r="405">
          <cell r="B405">
            <v>398</v>
          </cell>
          <cell r="M405" t="str">
            <v>Dibulatkan</v>
          </cell>
          <cell r="N405">
            <v>87660</v>
          </cell>
        </row>
        <row r="406">
          <cell r="B406">
            <v>399</v>
          </cell>
        </row>
        <row r="407">
          <cell r="A407" t="str">
            <v>A042</v>
          </cell>
          <cell r="B407">
            <v>400</v>
          </cell>
          <cell r="H407" t="str">
            <v>A042</v>
          </cell>
          <cell r="I407" t="str">
            <v>M³</v>
          </cell>
          <cell r="J407" t="str">
            <v>PASANGAN BRONJONG BATU BELAH</v>
          </cell>
          <cell r="K407" t="str">
            <v>Harga per 1 M³ ……</v>
          </cell>
          <cell r="M407" t="str">
            <v>Rp.</v>
          </cell>
          <cell r="N407">
            <v>423630</v>
          </cell>
        </row>
        <row r="408">
          <cell r="B408">
            <v>401</v>
          </cell>
          <cell r="D408" t="str">
            <v>B</v>
          </cell>
          <cell r="F408" t="str">
            <v>Batu Belah 10 - 15 cm</v>
          </cell>
          <cell r="J408" t="str">
            <v>Batu Belah</v>
          </cell>
          <cell r="K408">
            <v>1.2</v>
          </cell>
          <cell r="L408" t="str">
            <v>m³</v>
          </cell>
          <cell r="M408">
            <v>141000</v>
          </cell>
          <cell r="N408">
            <v>169200</v>
          </cell>
        </row>
        <row r="409">
          <cell r="B409">
            <v>402</v>
          </cell>
          <cell r="D409" t="str">
            <v>B</v>
          </cell>
          <cell r="F409" t="str">
            <v>Kawat Bronjong</v>
          </cell>
          <cell r="J409" t="str">
            <v>Kawat Bronjong 4 mm</v>
          </cell>
          <cell r="K409">
            <v>15</v>
          </cell>
          <cell r="L409" t="str">
            <v>kg</v>
          </cell>
          <cell r="M409">
            <v>11000</v>
          </cell>
          <cell r="N409">
            <v>165000</v>
          </cell>
        </row>
        <row r="410">
          <cell r="B410">
            <v>403</v>
          </cell>
          <cell r="C410" t="str">
            <v>P</v>
          </cell>
          <cell r="F410" t="str">
            <v>Buruh Lapangan Tak Terlatih / Pekerja</v>
          </cell>
          <cell r="J410" t="str">
            <v>Pekerja</v>
          </cell>
          <cell r="K410">
            <v>2.1</v>
          </cell>
          <cell r="L410" t="str">
            <v>Org</v>
          </cell>
          <cell r="M410">
            <v>22700</v>
          </cell>
          <cell r="N410">
            <v>47670</v>
          </cell>
        </row>
        <row r="411">
          <cell r="B411">
            <v>404</v>
          </cell>
          <cell r="C411" t="str">
            <v>P</v>
          </cell>
          <cell r="F411" t="str">
            <v>Tukang Batu setengah terampil</v>
          </cell>
          <cell r="J411" t="str">
            <v>Tukang Batu Setengah Terampil</v>
          </cell>
          <cell r="K411">
            <v>1.35</v>
          </cell>
          <cell r="L411" t="str">
            <v>Org</v>
          </cell>
          <cell r="M411">
            <v>26800</v>
          </cell>
          <cell r="N411">
            <v>36180</v>
          </cell>
        </row>
        <row r="412">
          <cell r="B412">
            <v>405</v>
          </cell>
          <cell r="C412" t="str">
            <v>P</v>
          </cell>
          <cell r="F412" t="str">
            <v>Kepala Tukang Batu</v>
          </cell>
          <cell r="J412" t="str">
            <v>Kepala Tukang Batu</v>
          </cell>
          <cell r="K412">
            <v>0.13500000000000001</v>
          </cell>
          <cell r="L412" t="str">
            <v>Org</v>
          </cell>
          <cell r="M412">
            <v>29100</v>
          </cell>
          <cell r="N412">
            <v>3928.5000000000005</v>
          </cell>
        </row>
        <row r="413">
          <cell r="B413">
            <v>406</v>
          </cell>
          <cell r="C413" t="str">
            <v>P</v>
          </cell>
          <cell r="F413" t="str">
            <v>Mandor Lapangan</v>
          </cell>
          <cell r="J413" t="str">
            <v>Mandor</v>
          </cell>
          <cell r="K413">
            <v>5.1999999999999998E-2</v>
          </cell>
          <cell r="L413" t="str">
            <v>Org</v>
          </cell>
          <cell r="M413">
            <v>31800</v>
          </cell>
          <cell r="N413">
            <v>1653.6</v>
          </cell>
        </row>
        <row r="414">
          <cell r="B414">
            <v>407</v>
          </cell>
          <cell r="M414" t="str">
            <v>Jumlah</v>
          </cell>
          <cell r="N414">
            <v>423632.1</v>
          </cell>
        </row>
        <row r="415">
          <cell r="B415">
            <v>408</v>
          </cell>
          <cell r="M415" t="str">
            <v>Dibulatkan</v>
          </cell>
          <cell r="N415">
            <v>423630</v>
          </cell>
        </row>
        <row r="416">
          <cell r="B416">
            <v>409</v>
          </cell>
        </row>
        <row r="417">
          <cell r="A417" t="str">
            <v>A043</v>
          </cell>
          <cell r="B417">
            <v>410</v>
          </cell>
          <cell r="H417" t="str">
            <v>A043</v>
          </cell>
          <cell r="I417" t="str">
            <v>M¹</v>
          </cell>
          <cell r="J417" t="str">
            <v>PAS. KISTDAM DAN PENGERINGAN DARI BRONJONG (TINNGI 1 M')</v>
          </cell>
          <cell r="K417" t="str">
            <v>Harga per 1 M¹ ……</v>
          </cell>
          <cell r="M417" t="str">
            <v>Rp.</v>
          </cell>
          <cell r="N417">
            <v>413430</v>
          </cell>
        </row>
        <row r="418">
          <cell r="B418">
            <v>411</v>
          </cell>
        </row>
        <row r="419">
          <cell r="B419">
            <v>412</v>
          </cell>
          <cell r="C419" t="str">
            <v>P</v>
          </cell>
          <cell r="F419" t="str">
            <v>Mandor Lapangan</v>
          </cell>
          <cell r="J419" t="str">
            <v>Mandor Lapangan</v>
          </cell>
          <cell r="K419">
            <v>0.08</v>
          </cell>
          <cell r="L419" t="str">
            <v>HO</v>
          </cell>
          <cell r="M419">
            <v>31800</v>
          </cell>
          <cell r="N419">
            <v>2544</v>
          </cell>
        </row>
        <row r="420">
          <cell r="B420">
            <v>413</v>
          </cell>
          <cell r="C420" t="str">
            <v>P</v>
          </cell>
          <cell r="F420" t="str">
            <v>Tukang Besi</v>
          </cell>
          <cell r="J420" t="str">
            <v>Tukang Besi</v>
          </cell>
          <cell r="K420">
            <v>0.08</v>
          </cell>
          <cell r="L420" t="str">
            <v>HO</v>
          </cell>
          <cell r="M420">
            <v>29100</v>
          </cell>
          <cell r="N420">
            <v>2328</v>
          </cell>
        </row>
        <row r="421">
          <cell r="B421">
            <v>414</v>
          </cell>
          <cell r="C421" t="str">
            <v>P</v>
          </cell>
          <cell r="F421" t="str">
            <v>Buruh Lapangan Terlatih / Pekerja Terampil</v>
          </cell>
          <cell r="J421" t="str">
            <v>Buruh Lapangan Terlatih</v>
          </cell>
          <cell r="K421">
            <v>0.16</v>
          </cell>
          <cell r="L421" t="str">
            <v>HO</v>
          </cell>
          <cell r="M421">
            <v>26400</v>
          </cell>
          <cell r="N421">
            <v>4224</v>
          </cell>
        </row>
        <row r="422">
          <cell r="B422">
            <v>415</v>
          </cell>
          <cell r="C422" t="str">
            <v>P</v>
          </cell>
          <cell r="F422" t="str">
            <v>Buruh Lapangan Tak Terlatih / Pekerja</v>
          </cell>
          <cell r="J422" t="str">
            <v>Buruh Lapangan Tak Terlatih</v>
          </cell>
          <cell r="K422">
            <v>3.2</v>
          </cell>
          <cell r="L422" t="str">
            <v>HO</v>
          </cell>
          <cell r="M422">
            <v>22700</v>
          </cell>
          <cell r="N422">
            <v>72640</v>
          </cell>
        </row>
        <row r="423">
          <cell r="B423">
            <v>416</v>
          </cell>
          <cell r="D423" t="str">
            <v>B</v>
          </cell>
          <cell r="F423" t="str">
            <v>Kawat Bronjong</v>
          </cell>
          <cell r="J423" t="str">
            <v>Kawat Bronjong</v>
          </cell>
          <cell r="K423">
            <v>12</v>
          </cell>
          <cell r="L423" t="str">
            <v>KG</v>
          </cell>
          <cell r="M423">
            <v>11000</v>
          </cell>
          <cell r="N423">
            <v>132000</v>
          </cell>
        </row>
        <row r="424">
          <cell r="B424">
            <v>417</v>
          </cell>
          <cell r="D424" t="str">
            <v>B</v>
          </cell>
          <cell r="F424" t="str">
            <v>Batu Belah 10 - 15 cm</v>
          </cell>
          <cell r="J424" t="str">
            <v>Batu Belah 10-15 cm</v>
          </cell>
          <cell r="K424">
            <v>1.2</v>
          </cell>
          <cell r="L424" t="str">
            <v>M3</v>
          </cell>
          <cell r="M424">
            <v>141000</v>
          </cell>
          <cell r="N424">
            <v>169200</v>
          </cell>
        </row>
        <row r="425">
          <cell r="B425">
            <v>418</v>
          </cell>
          <cell r="D425" t="str">
            <v>B</v>
          </cell>
          <cell r="F425" t="str">
            <v>Karung Plastik</v>
          </cell>
          <cell r="J425" t="str">
            <v>Karung Plastik</v>
          </cell>
          <cell r="K425">
            <v>10</v>
          </cell>
          <cell r="L425" t="str">
            <v>BH</v>
          </cell>
          <cell r="M425">
            <v>1100</v>
          </cell>
          <cell r="N425">
            <v>11000</v>
          </cell>
        </row>
        <row r="426">
          <cell r="B426">
            <v>419</v>
          </cell>
          <cell r="D426" t="str">
            <v>B</v>
          </cell>
          <cell r="F426" t="str">
            <v>Timbunan Tanah Pilihan</v>
          </cell>
          <cell r="J426" t="str">
            <v>Timbunan Tanah Pilihan</v>
          </cell>
          <cell r="K426">
            <v>0.3</v>
          </cell>
          <cell r="L426" t="str">
            <v>M3</v>
          </cell>
          <cell r="M426">
            <v>38500</v>
          </cell>
          <cell r="N426">
            <v>11550</v>
          </cell>
        </row>
        <row r="427">
          <cell r="B427">
            <v>420</v>
          </cell>
          <cell r="D427" t="str">
            <v>B</v>
          </cell>
          <cell r="F427" t="str">
            <v>Alat bantu</v>
          </cell>
          <cell r="J427" t="str">
            <v>Alat Bantu</v>
          </cell>
          <cell r="K427">
            <v>0.13</v>
          </cell>
          <cell r="L427" t="str">
            <v>Set</v>
          </cell>
          <cell r="M427">
            <v>52000</v>
          </cell>
          <cell r="N427">
            <v>6760</v>
          </cell>
        </row>
        <row r="428">
          <cell r="B428">
            <v>421</v>
          </cell>
          <cell r="E428" t="str">
            <v>A</v>
          </cell>
          <cell r="F428" t="str">
            <v>Pump Water (50 mm) 30 m3 /  Jam</v>
          </cell>
          <cell r="J428" t="str">
            <v>Pump Water  50 mm  -  30 m3/Jam</v>
          </cell>
          <cell r="K428">
            <v>0.12</v>
          </cell>
          <cell r="L428" t="str">
            <v>Jam</v>
          </cell>
          <cell r="M428">
            <v>9900</v>
          </cell>
          <cell r="N428">
            <v>1188</v>
          </cell>
        </row>
        <row r="429">
          <cell r="B429">
            <v>422</v>
          </cell>
          <cell r="M429" t="str">
            <v>Jumlah</v>
          </cell>
          <cell r="N429">
            <v>413434</v>
          </cell>
        </row>
        <row r="430">
          <cell r="B430">
            <v>423</v>
          </cell>
          <cell r="M430" t="str">
            <v>Dibulatkan</v>
          </cell>
          <cell r="N430">
            <v>413430</v>
          </cell>
        </row>
        <row r="431">
          <cell r="B431">
            <v>424</v>
          </cell>
        </row>
        <row r="432">
          <cell r="A432" t="str">
            <v>A044</v>
          </cell>
          <cell r="B432">
            <v>425</v>
          </cell>
          <cell r="H432" t="str">
            <v>A044</v>
          </cell>
          <cell r="I432" t="str">
            <v>M²</v>
          </cell>
          <cell r="J432" t="str">
            <v>SIARAN AD. 1 : 2</v>
          </cell>
          <cell r="K432" t="str">
            <v>Harga per 1 M² ……</v>
          </cell>
          <cell r="M432" t="str">
            <v>Rp.</v>
          </cell>
          <cell r="N432">
            <v>23860</v>
          </cell>
        </row>
        <row r="433">
          <cell r="B433">
            <v>426</v>
          </cell>
          <cell r="D433" t="str">
            <v>B</v>
          </cell>
          <cell r="F433" t="str">
            <v>Semen portland</v>
          </cell>
          <cell r="J433" t="str">
            <v>PC (50 kg )</v>
          </cell>
          <cell r="K433">
            <v>0.12</v>
          </cell>
          <cell r="L433" t="str">
            <v>Zak</v>
          </cell>
          <cell r="M433">
            <v>44200</v>
          </cell>
          <cell r="N433">
            <v>5304</v>
          </cell>
        </row>
        <row r="434">
          <cell r="B434">
            <v>427</v>
          </cell>
          <cell r="D434" t="str">
            <v>B</v>
          </cell>
          <cell r="F434" t="str">
            <v>Pasir Pasang</v>
          </cell>
          <cell r="J434" t="str">
            <v xml:space="preserve">Pasir pasang </v>
          </cell>
          <cell r="K434">
            <v>3.1E-2</v>
          </cell>
          <cell r="L434" t="str">
            <v>M3</v>
          </cell>
          <cell r="M434">
            <v>160000</v>
          </cell>
          <cell r="N434">
            <v>4960</v>
          </cell>
        </row>
        <row r="435">
          <cell r="B435">
            <v>428</v>
          </cell>
          <cell r="C435" t="str">
            <v>P</v>
          </cell>
          <cell r="F435" t="str">
            <v>Buruh Lapangan Terlatih / Pekerja Terampil</v>
          </cell>
          <cell r="J435" t="str">
            <v xml:space="preserve">Pekerja Terampil </v>
          </cell>
          <cell r="K435">
            <v>0.1875</v>
          </cell>
          <cell r="L435" t="str">
            <v>Orang</v>
          </cell>
          <cell r="M435">
            <v>26400</v>
          </cell>
          <cell r="N435">
            <v>4950</v>
          </cell>
        </row>
        <row r="436">
          <cell r="B436">
            <v>429</v>
          </cell>
          <cell r="C436" t="str">
            <v>P</v>
          </cell>
          <cell r="F436" t="str">
            <v>Tukang Batu (Terampil)</v>
          </cell>
          <cell r="J436" t="str">
            <v>Tukang Batu Terampil</v>
          </cell>
          <cell r="K436">
            <v>0.22500000000000001</v>
          </cell>
          <cell r="L436" t="str">
            <v>Orang</v>
          </cell>
          <cell r="M436">
            <v>27300</v>
          </cell>
          <cell r="N436">
            <v>6142.5</v>
          </cell>
        </row>
        <row r="437">
          <cell r="B437">
            <v>430</v>
          </cell>
          <cell r="C437" t="str">
            <v>P</v>
          </cell>
          <cell r="F437" t="str">
            <v>Kepala Tukang Batu</v>
          </cell>
          <cell r="J437" t="str">
            <v xml:space="preserve">Kepala Tukang Batu </v>
          </cell>
          <cell r="K437">
            <v>3.7499999999999999E-2</v>
          </cell>
          <cell r="L437" t="str">
            <v>Orang</v>
          </cell>
          <cell r="M437">
            <v>29100</v>
          </cell>
          <cell r="N437">
            <v>1091.25</v>
          </cell>
        </row>
        <row r="438">
          <cell r="B438">
            <v>431</v>
          </cell>
          <cell r="C438" t="str">
            <v>P</v>
          </cell>
          <cell r="F438" t="str">
            <v>Mandor Lapangan</v>
          </cell>
          <cell r="J438" t="str">
            <v xml:space="preserve">Mandor </v>
          </cell>
          <cell r="K438">
            <v>3.3799999999999997E-2</v>
          </cell>
          <cell r="L438" t="str">
            <v>Orang</v>
          </cell>
          <cell r="M438">
            <v>31800</v>
          </cell>
          <cell r="N438">
            <v>1074.8399999999999</v>
          </cell>
        </row>
        <row r="439">
          <cell r="B439">
            <v>432</v>
          </cell>
          <cell r="J439" t="str">
            <v>Peralatan</v>
          </cell>
          <cell r="K439">
            <v>0.75</v>
          </cell>
          <cell r="L439" t="str">
            <v>Ls</v>
          </cell>
          <cell r="M439">
            <v>450</v>
          </cell>
          <cell r="N439">
            <v>337.5</v>
          </cell>
        </row>
        <row r="440">
          <cell r="B440">
            <v>433</v>
          </cell>
          <cell r="M440" t="str">
            <v>Jumlah</v>
          </cell>
          <cell r="N440">
            <v>23860.09</v>
          </cell>
        </row>
        <row r="441">
          <cell r="B441">
            <v>434</v>
          </cell>
          <cell r="M441" t="str">
            <v>Dibulatkan</v>
          </cell>
          <cell r="N441">
            <v>23860</v>
          </cell>
        </row>
        <row r="442">
          <cell r="B442">
            <v>435</v>
          </cell>
        </row>
        <row r="443">
          <cell r="A443" t="str">
            <v>A045</v>
          </cell>
          <cell r="B443">
            <v>436</v>
          </cell>
          <cell r="H443" t="str">
            <v>A045</v>
          </cell>
          <cell r="I443" t="str">
            <v>M²</v>
          </cell>
          <cell r="J443" t="str">
            <v>DINDING KERAMIK 10/20 (20/20) DN PUTIH</v>
          </cell>
          <cell r="K443" t="str">
            <v>Harga per 1 M² ……</v>
          </cell>
          <cell r="M443" t="str">
            <v>Rp.</v>
          </cell>
          <cell r="N443">
            <v>74330</v>
          </cell>
        </row>
        <row r="444">
          <cell r="B444">
            <v>437</v>
          </cell>
          <cell r="D444" t="str">
            <v>B</v>
          </cell>
          <cell r="F444" t="str">
            <v>Keramik 10 x 20 dan 20 x 20 KW I DN putih / Polos</v>
          </cell>
          <cell r="J444" t="str">
            <v>Keramik 10 x 20 dan 20 x 20 KW I DN Putih / Polos</v>
          </cell>
          <cell r="K444">
            <v>1.01</v>
          </cell>
          <cell r="L444" t="str">
            <v>M2</v>
          </cell>
          <cell r="M444">
            <v>43900</v>
          </cell>
          <cell r="N444">
            <v>44339</v>
          </cell>
        </row>
        <row r="445">
          <cell r="B445">
            <v>438</v>
          </cell>
          <cell r="D445" t="str">
            <v>B</v>
          </cell>
          <cell r="F445" t="str">
            <v>Semen portland</v>
          </cell>
          <cell r="J445" t="str">
            <v>PC (50 Kg)</v>
          </cell>
          <cell r="K445">
            <v>0.16</v>
          </cell>
          <cell r="L445" t="str">
            <v>Zak</v>
          </cell>
          <cell r="M445">
            <v>44200</v>
          </cell>
          <cell r="N445">
            <v>7072</v>
          </cell>
        </row>
        <row r="446">
          <cell r="B446">
            <v>439</v>
          </cell>
          <cell r="D446" t="str">
            <v>B</v>
          </cell>
          <cell r="F446" t="str">
            <v>Pasir Pasang</v>
          </cell>
          <cell r="J446" t="str">
            <v>Pasir Pasang</v>
          </cell>
          <cell r="K446">
            <v>0.03</v>
          </cell>
          <cell r="L446" t="str">
            <v>M3</v>
          </cell>
          <cell r="M446">
            <v>160000</v>
          </cell>
          <cell r="N446">
            <v>4800</v>
          </cell>
        </row>
        <row r="447">
          <cell r="B447">
            <v>440</v>
          </cell>
          <cell r="D447" t="str">
            <v>B</v>
          </cell>
          <cell r="F447" t="str">
            <v>Semen Warna</v>
          </cell>
          <cell r="J447" t="str">
            <v>Semen Warna</v>
          </cell>
          <cell r="K447">
            <v>1.2999999999999999E-2</v>
          </cell>
          <cell r="L447" t="str">
            <v>Kg</v>
          </cell>
          <cell r="M447">
            <v>11500</v>
          </cell>
          <cell r="N447">
            <v>149.5</v>
          </cell>
        </row>
        <row r="448">
          <cell r="B448">
            <v>441</v>
          </cell>
          <cell r="C448" t="str">
            <v>P</v>
          </cell>
          <cell r="F448" t="str">
            <v>Buruh Lapangan Terlatih / Pekerja Terampil</v>
          </cell>
          <cell r="J448" t="str">
            <v>Pekerja Terampil</v>
          </cell>
          <cell r="K448">
            <v>0.1875</v>
          </cell>
          <cell r="L448" t="str">
            <v>Orang</v>
          </cell>
          <cell r="M448">
            <v>26400</v>
          </cell>
          <cell r="N448">
            <v>4950</v>
          </cell>
        </row>
        <row r="449">
          <cell r="B449">
            <v>442</v>
          </cell>
          <cell r="C449" t="str">
            <v>P</v>
          </cell>
          <cell r="F449" t="str">
            <v>Tukang Batu (Terampil)</v>
          </cell>
          <cell r="J449" t="str">
            <v>Tukang Batu Terampil</v>
          </cell>
          <cell r="K449">
            <v>0.375</v>
          </cell>
          <cell r="L449" t="str">
            <v>Orang</v>
          </cell>
          <cell r="M449">
            <v>27300</v>
          </cell>
          <cell r="N449">
            <v>10237.5</v>
          </cell>
        </row>
        <row r="450">
          <cell r="B450">
            <v>443</v>
          </cell>
          <cell r="C450" t="str">
            <v>P</v>
          </cell>
          <cell r="F450" t="str">
            <v>Kepala Tukang Batu</v>
          </cell>
          <cell r="J450" t="str">
            <v>Kepala Tukang Batu</v>
          </cell>
          <cell r="K450">
            <v>7.4999999999999997E-2</v>
          </cell>
          <cell r="L450" t="str">
            <v>Orang</v>
          </cell>
          <cell r="M450">
            <v>29100</v>
          </cell>
          <cell r="N450">
            <v>2182.5</v>
          </cell>
        </row>
        <row r="451">
          <cell r="B451">
            <v>444</v>
          </cell>
          <cell r="C451" t="str">
            <v>P</v>
          </cell>
          <cell r="F451" t="str">
            <v>Mandor Lapangan</v>
          </cell>
          <cell r="J451" t="str">
            <v>Mandor</v>
          </cell>
          <cell r="K451">
            <v>1.8800000000000001E-2</v>
          </cell>
          <cell r="L451" t="str">
            <v>Orang</v>
          </cell>
          <cell r="M451">
            <v>31800</v>
          </cell>
          <cell r="N451">
            <v>597.84</v>
          </cell>
        </row>
        <row r="452">
          <cell r="B452">
            <v>445</v>
          </cell>
          <cell r="M452" t="str">
            <v>Jumlah</v>
          </cell>
          <cell r="N452">
            <v>74328.34</v>
          </cell>
        </row>
        <row r="453">
          <cell r="B453">
            <v>446</v>
          </cell>
          <cell r="M453" t="str">
            <v>Dibulatkan</v>
          </cell>
          <cell r="N453">
            <v>74330</v>
          </cell>
        </row>
        <row r="454">
          <cell r="B454">
            <v>447</v>
          </cell>
        </row>
        <row r="455">
          <cell r="A455" t="str">
            <v>A045a</v>
          </cell>
          <cell r="B455">
            <v>448</v>
          </cell>
          <cell r="H455" t="str">
            <v>A045a</v>
          </cell>
          <cell r="I455" t="str">
            <v>M²</v>
          </cell>
          <cell r="J455" t="str">
            <v>DINDING KERAMIK DINDING KM KW 1  20/25 CORAK</v>
          </cell>
          <cell r="K455" t="str">
            <v>Harga per 1 M² ……</v>
          </cell>
          <cell r="M455" t="str">
            <v>Rp.</v>
          </cell>
          <cell r="N455">
            <v>78200</v>
          </cell>
        </row>
        <row r="456">
          <cell r="B456">
            <v>449</v>
          </cell>
          <cell r="D456" t="str">
            <v>B</v>
          </cell>
          <cell r="F456" t="str">
            <v>Keramik 20 x 25 Dinding KM KW I DN Corak</v>
          </cell>
          <cell r="J456" t="str">
            <v>Keramik Dinding KM KW 1  20/25 Corak</v>
          </cell>
          <cell r="K456">
            <v>1.01</v>
          </cell>
          <cell r="L456" t="str">
            <v>M2</v>
          </cell>
          <cell r="M456">
            <v>47730</v>
          </cell>
          <cell r="N456">
            <v>48207.3</v>
          </cell>
        </row>
        <row r="457">
          <cell r="B457">
            <v>450</v>
          </cell>
          <cell r="D457" t="str">
            <v>B</v>
          </cell>
          <cell r="F457" t="str">
            <v>Semen portland</v>
          </cell>
          <cell r="J457" t="str">
            <v>PC (50 Kg)</v>
          </cell>
          <cell r="K457">
            <v>0.16</v>
          </cell>
          <cell r="L457" t="str">
            <v>Zak</v>
          </cell>
          <cell r="M457">
            <v>44200</v>
          </cell>
          <cell r="N457">
            <v>7072</v>
          </cell>
        </row>
        <row r="458">
          <cell r="B458">
            <v>451</v>
          </cell>
          <cell r="D458" t="str">
            <v>B</v>
          </cell>
          <cell r="F458" t="str">
            <v>Pasir Pasang</v>
          </cell>
          <cell r="J458" t="str">
            <v>Pasir Pasang</v>
          </cell>
          <cell r="K458">
            <v>0.03</v>
          </cell>
          <cell r="L458" t="str">
            <v>M3</v>
          </cell>
          <cell r="M458">
            <v>160000</v>
          </cell>
          <cell r="N458">
            <v>4800</v>
          </cell>
        </row>
        <row r="459">
          <cell r="B459">
            <v>452</v>
          </cell>
          <cell r="D459" t="str">
            <v>B</v>
          </cell>
          <cell r="F459" t="str">
            <v>Semen Warna</v>
          </cell>
          <cell r="J459" t="str">
            <v>Semen Warna</v>
          </cell>
          <cell r="K459">
            <v>1.2999999999999999E-2</v>
          </cell>
          <cell r="L459" t="str">
            <v>Kg</v>
          </cell>
          <cell r="M459">
            <v>11500</v>
          </cell>
          <cell r="N459">
            <v>149.5</v>
          </cell>
        </row>
        <row r="460">
          <cell r="B460">
            <v>453</v>
          </cell>
          <cell r="C460" t="str">
            <v>P</v>
          </cell>
          <cell r="F460" t="str">
            <v>Buruh Lapangan Terlatih / Pekerja Terampil</v>
          </cell>
          <cell r="J460" t="str">
            <v>Pekerja Terampil</v>
          </cell>
          <cell r="K460">
            <v>0.1875</v>
          </cell>
          <cell r="L460" t="str">
            <v>Orang</v>
          </cell>
          <cell r="M460">
            <v>26400</v>
          </cell>
          <cell r="N460">
            <v>4950</v>
          </cell>
        </row>
        <row r="461">
          <cell r="B461">
            <v>454</v>
          </cell>
          <cell r="C461" t="str">
            <v>P</v>
          </cell>
          <cell r="F461" t="str">
            <v>Tukang Batu (Terampil)</v>
          </cell>
          <cell r="J461" t="str">
            <v>Tukang Batu Terampil</v>
          </cell>
          <cell r="K461">
            <v>0.375</v>
          </cell>
          <cell r="L461" t="str">
            <v>Orang</v>
          </cell>
          <cell r="M461">
            <v>27300</v>
          </cell>
          <cell r="N461">
            <v>10237.5</v>
          </cell>
        </row>
        <row r="462">
          <cell r="B462">
            <v>455</v>
          </cell>
          <cell r="C462" t="str">
            <v>P</v>
          </cell>
          <cell r="F462" t="str">
            <v>Kepala Tukang Batu</v>
          </cell>
          <cell r="J462" t="str">
            <v>Kepala Tukang Batu</v>
          </cell>
          <cell r="K462">
            <v>7.4999999999999997E-2</v>
          </cell>
          <cell r="L462" t="str">
            <v>Orang</v>
          </cell>
          <cell r="M462">
            <v>29100</v>
          </cell>
          <cell r="N462">
            <v>2182.5</v>
          </cell>
        </row>
        <row r="463">
          <cell r="B463">
            <v>456</v>
          </cell>
          <cell r="C463" t="str">
            <v>P</v>
          </cell>
          <cell r="F463" t="str">
            <v>Mandor Lapangan</v>
          </cell>
          <cell r="J463" t="str">
            <v>Mandor</v>
          </cell>
          <cell r="K463">
            <v>1.8800000000000001E-2</v>
          </cell>
          <cell r="L463" t="str">
            <v>Orang</v>
          </cell>
          <cell r="M463">
            <v>31800</v>
          </cell>
          <cell r="N463">
            <v>597.84</v>
          </cell>
        </row>
        <row r="464">
          <cell r="B464">
            <v>457</v>
          </cell>
          <cell r="M464" t="str">
            <v>Jumlah</v>
          </cell>
          <cell r="N464">
            <v>78196.639999999999</v>
          </cell>
        </row>
        <row r="465">
          <cell r="B465">
            <v>458</v>
          </cell>
          <cell r="M465" t="str">
            <v>Dibulatkan</v>
          </cell>
          <cell r="N465">
            <v>78200</v>
          </cell>
        </row>
        <row r="466">
          <cell r="B466">
            <v>459</v>
          </cell>
        </row>
        <row r="467">
          <cell r="A467" t="str">
            <v>A046</v>
          </cell>
          <cell r="B467">
            <v>460</v>
          </cell>
          <cell r="H467" t="str">
            <v>A046</v>
          </cell>
          <cell r="I467" t="str">
            <v>M²</v>
          </cell>
          <cell r="J467" t="str">
            <v>LANTAI KERAMIK (20/20) CORAK / WARNA KM/WC ANTI SLIP</v>
          </cell>
          <cell r="K467" t="str">
            <v>Harga per 1 M² ……</v>
          </cell>
          <cell r="M467" t="str">
            <v>Rp.</v>
          </cell>
          <cell r="N467">
            <v>72600</v>
          </cell>
        </row>
        <row r="468">
          <cell r="B468">
            <v>461</v>
          </cell>
          <cell r="D468" t="str">
            <v>B</v>
          </cell>
          <cell r="F468" t="str">
            <v>Keramik 20 x 20 (KM) KW I DN corak / Warna / Anti Slip</v>
          </cell>
          <cell r="J468" t="str">
            <v>Keramik 20 x 20 (KM) KW I DN Corak / Warna / Anti Slip</v>
          </cell>
          <cell r="K468">
            <v>1.01</v>
          </cell>
          <cell r="L468" t="str">
            <v>M2</v>
          </cell>
          <cell r="M468">
            <v>45300</v>
          </cell>
          <cell r="N468">
            <v>45753</v>
          </cell>
        </row>
        <row r="469">
          <cell r="B469">
            <v>462</v>
          </cell>
          <cell r="D469" t="str">
            <v>B</v>
          </cell>
          <cell r="F469" t="str">
            <v>Semen portland</v>
          </cell>
          <cell r="J469" t="str">
            <v>PC (50 Kg)</v>
          </cell>
          <cell r="K469">
            <v>0.16</v>
          </cell>
          <cell r="L469" t="str">
            <v>Zak</v>
          </cell>
          <cell r="M469">
            <v>44200</v>
          </cell>
          <cell r="N469">
            <v>7072</v>
          </cell>
        </row>
        <row r="470">
          <cell r="B470">
            <v>463</v>
          </cell>
          <cell r="D470" t="str">
            <v>B</v>
          </cell>
          <cell r="F470" t="str">
            <v>Pasir Pasang</v>
          </cell>
          <cell r="J470" t="str">
            <v>Pasir Pasang</v>
          </cell>
          <cell r="K470">
            <v>0.03</v>
          </cell>
          <cell r="L470" t="str">
            <v>M3</v>
          </cell>
          <cell r="M470">
            <v>160000</v>
          </cell>
          <cell r="N470">
            <v>4800</v>
          </cell>
        </row>
        <row r="471">
          <cell r="B471">
            <v>464</v>
          </cell>
          <cell r="D471" t="str">
            <v>B</v>
          </cell>
          <cell r="F471" t="str">
            <v>Semen Warna</v>
          </cell>
          <cell r="J471" t="str">
            <v>Semen Warna</v>
          </cell>
          <cell r="K471">
            <v>1.2999999999999999E-2</v>
          </cell>
          <cell r="L471" t="str">
            <v>Kg</v>
          </cell>
          <cell r="M471">
            <v>11500</v>
          </cell>
          <cell r="N471">
            <v>149.5</v>
          </cell>
        </row>
        <row r="472">
          <cell r="B472">
            <v>465</v>
          </cell>
          <cell r="C472" t="str">
            <v>P</v>
          </cell>
          <cell r="F472" t="str">
            <v>Buruh Lapangan Terlatih / Pekerja Terampil</v>
          </cell>
          <cell r="J472" t="str">
            <v>Pekerja Terampil</v>
          </cell>
          <cell r="K472">
            <v>0.1875</v>
          </cell>
          <cell r="L472" t="str">
            <v>Orang</v>
          </cell>
          <cell r="M472">
            <v>26400</v>
          </cell>
          <cell r="N472">
            <v>4950</v>
          </cell>
        </row>
        <row r="473">
          <cell r="B473">
            <v>466</v>
          </cell>
          <cell r="C473" t="str">
            <v>P</v>
          </cell>
          <cell r="F473" t="str">
            <v>Tukang Batu (Terampil)</v>
          </cell>
          <cell r="J473" t="str">
            <v>Tukang Batu Terampil</v>
          </cell>
          <cell r="K473">
            <v>0.3</v>
          </cell>
          <cell r="L473" t="str">
            <v>Orang</v>
          </cell>
          <cell r="M473">
            <v>27300</v>
          </cell>
          <cell r="N473">
            <v>8190</v>
          </cell>
        </row>
        <row r="474">
          <cell r="B474">
            <v>467</v>
          </cell>
          <cell r="C474" t="str">
            <v>P</v>
          </cell>
          <cell r="F474" t="str">
            <v>Kepala Tukang Batu</v>
          </cell>
          <cell r="J474" t="str">
            <v>Kepala Tukang Batu</v>
          </cell>
          <cell r="K474">
            <v>3.7499999999999999E-2</v>
          </cell>
          <cell r="L474" t="str">
            <v>Orang</v>
          </cell>
          <cell r="M474">
            <v>29100</v>
          </cell>
          <cell r="N474">
            <v>1091.25</v>
          </cell>
        </row>
        <row r="475">
          <cell r="B475">
            <v>468</v>
          </cell>
          <cell r="C475" t="str">
            <v>P</v>
          </cell>
          <cell r="F475" t="str">
            <v>Mandor Lapangan</v>
          </cell>
          <cell r="J475" t="str">
            <v>Mandor</v>
          </cell>
          <cell r="K475">
            <v>1.8800000000000001E-2</v>
          </cell>
          <cell r="L475" t="str">
            <v>Orang</v>
          </cell>
          <cell r="M475">
            <v>31800</v>
          </cell>
          <cell r="N475">
            <v>597.84</v>
          </cell>
        </row>
        <row r="476">
          <cell r="B476">
            <v>469</v>
          </cell>
          <cell r="M476" t="str">
            <v>Jumlah</v>
          </cell>
          <cell r="N476">
            <v>72603.59</v>
          </cell>
        </row>
        <row r="477">
          <cell r="B477">
            <v>470</v>
          </cell>
          <cell r="M477" t="str">
            <v>Dibulatkan</v>
          </cell>
          <cell r="N477">
            <v>72600</v>
          </cell>
        </row>
        <row r="478">
          <cell r="B478">
            <v>471</v>
          </cell>
        </row>
        <row r="479">
          <cell r="A479" t="str">
            <v>A047</v>
          </cell>
          <cell r="B479">
            <v>472</v>
          </cell>
          <cell r="H479" t="str">
            <v>A047</v>
          </cell>
          <cell r="I479" t="str">
            <v>M²</v>
          </cell>
          <cell r="J479" t="str">
            <v>LANTAI KERAMIK 30/30 DN PUTIH</v>
          </cell>
          <cell r="K479" t="str">
            <v>Harga per 1 M² ……</v>
          </cell>
          <cell r="M479" t="str">
            <v>Rp.</v>
          </cell>
          <cell r="N479">
            <v>62200</v>
          </cell>
        </row>
        <row r="480">
          <cell r="B480">
            <v>473</v>
          </cell>
          <cell r="D480" t="str">
            <v>B</v>
          </cell>
          <cell r="F480" t="str">
            <v>Keramik 30 x 30 KW I DN Putih (Setara Mulia)</v>
          </cell>
          <cell r="J480" t="str">
            <v>Keramik 30 x 30 KW I DN Putih</v>
          </cell>
          <cell r="K480">
            <v>1.01</v>
          </cell>
          <cell r="L480" t="str">
            <v>M2</v>
          </cell>
          <cell r="M480">
            <v>35000</v>
          </cell>
          <cell r="N480">
            <v>35350</v>
          </cell>
        </row>
        <row r="481">
          <cell r="B481">
            <v>474</v>
          </cell>
          <cell r="D481" t="str">
            <v>B</v>
          </cell>
          <cell r="F481" t="str">
            <v>Semen portland</v>
          </cell>
          <cell r="J481" t="str">
            <v>PC (50 Kg)</v>
          </cell>
          <cell r="K481">
            <v>0.16</v>
          </cell>
          <cell r="L481" t="str">
            <v>Zak</v>
          </cell>
          <cell r="M481">
            <v>44200</v>
          </cell>
          <cell r="N481">
            <v>7072</v>
          </cell>
        </row>
        <row r="482">
          <cell r="B482">
            <v>475</v>
          </cell>
          <cell r="D482" t="str">
            <v>B</v>
          </cell>
          <cell r="F482" t="str">
            <v>Pasir Pasang</v>
          </cell>
          <cell r="J482" t="str">
            <v>Pasir Pasang</v>
          </cell>
          <cell r="K482">
            <v>0.03</v>
          </cell>
          <cell r="L482" t="str">
            <v>M3</v>
          </cell>
          <cell r="M482">
            <v>160000</v>
          </cell>
          <cell r="N482">
            <v>4800</v>
          </cell>
        </row>
        <row r="483">
          <cell r="B483">
            <v>476</v>
          </cell>
          <cell r="D483" t="str">
            <v>B</v>
          </cell>
          <cell r="F483" t="str">
            <v>Semen Warna</v>
          </cell>
          <cell r="J483" t="str">
            <v>Semen Warna</v>
          </cell>
          <cell r="K483">
            <v>1.2999999999999999E-2</v>
          </cell>
          <cell r="L483" t="str">
            <v>Kg</v>
          </cell>
          <cell r="M483">
            <v>11500</v>
          </cell>
          <cell r="N483">
            <v>149.5</v>
          </cell>
        </row>
        <row r="484">
          <cell r="B484">
            <v>477</v>
          </cell>
          <cell r="C484" t="str">
            <v>P</v>
          </cell>
          <cell r="F484" t="str">
            <v>Buruh Lapangan Terlatih / Pekerja Terampil</v>
          </cell>
          <cell r="J484" t="str">
            <v>Pekerja Terampil</v>
          </cell>
          <cell r="K484">
            <v>0.1875</v>
          </cell>
          <cell r="L484" t="str">
            <v>Orang</v>
          </cell>
          <cell r="M484">
            <v>26400</v>
          </cell>
          <cell r="N484">
            <v>4950</v>
          </cell>
        </row>
        <row r="485">
          <cell r="B485">
            <v>478</v>
          </cell>
          <cell r="C485" t="str">
            <v>P</v>
          </cell>
          <cell r="F485" t="str">
            <v>Tukang Batu (Terampil)</v>
          </cell>
          <cell r="J485" t="str">
            <v>Tukang Batu Terampil</v>
          </cell>
          <cell r="K485">
            <v>0.3</v>
          </cell>
          <cell r="L485" t="str">
            <v>Orang</v>
          </cell>
          <cell r="M485">
            <v>27300</v>
          </cell>
          <cell r="N485">
            <v>8190</v>
          </cell>
        </row>
        <row r="486">
          <cell r="B486">
            <v>479</v>
          </cell>
          <cell r="C486" t="str">
            <v>P</v>
          </cell>
          <cell r="F486" t="str">
            <v>Kepala Tukang Batu</v>
          </cell>
          <cell r="J486" t="str">
            <v>Kepala Tukang Batu</v>
          </cell>
          <cell r="K486">
            <v>3.7499999999999999E-2</v>
          </cell>
          <cell r="L486" t="str">
            <v>Orang</v>
          </cell>
          <cell r="M486">
            <v>29100</v>
          </cell>
          <cell r="N486">
            <v>1091.25</v>
          </cell>
        </row>
        <row r="487">
          <cell r="B487">
            <v>480</v>
          </cell>
          <cell r="C487" t="str">
            <v>P</v>
          </cell>
          <cell r="F487" t="str">
            <v>Mandor Lapangan</v>
          </cell>
          <cell r="J487" t="str">
            <v>Mandor</v>
          </cell>
          <cell r="K487">
            <v>1.8800000000000001E-2</v>
          </cell>
          <cell r="L487" t="str">
            <v>Orang</v>
          </cell>
          <cell r="M487">
            <v>31800</v>
          </cell>
          <cell r="N487">
            <v>597.84</v>
          </cell>
        </row>
        <row r="488">
          <cell r="B488">
            <v>481</v>
          </cell>
          <cell r="M488" t="str">
            <v>Jumlah</v>
          </cell>
          <cell r="N488">
            <v>62200.59</v>
          </cell>
        </row>
        <row r="489">
          <cell r="B489">
            <v>482</v>
          </cell>
          <cell r="M489" t="str">
            <v>Dibulatkan</v>
          </cell>
          <cell r="N489">
            <v>62200</v>
          </cell>
        </row>
        <row r="490">
          <cell r="B490">
            <v>483</v>
          </cell>
        </row>
        <row r="491">
          <cell r="A491" t="str">
            <v>A047a</v>
          </cell>
          <cell r="B491">
            <v>484</v>
          </cell>
          <cell r="H491" t="str">
            <v>A047a</v>
          </cell>
          <cell r="I491" t="str">
            <v>M²</v>
          </cell>
          <cell r="J491" t="str">
            <v>LANTAI KERAMIK 40/40 DN PUTIH</v>
          </cell>
          <cell r="K491" t="str">
            <v>Harga per 1 M² ……</v>
          </cell>
          <cell r="M491" t="str">
            <v>Rp.</v>
          </cell>
          <cell r="N491">
            <v>76850</v>
          </cell>
        </row>
        <row r="492">
          <cell r="B492">
            <v>485</v>
          </cell>
          <cell r="D492" t="str">
            <v>B</v>
          </cell>
          <cell r="F492" t="str">
            <v>Keramik 40 x 40 KW I DN Putih (Setara Roman)</v>
          </cell>
          <cell r="J492" t="str">
            <v>Keramik 40 x 40 KW I DN Putih</v>
          </cell>
          <cell r="K492">
            <v>1.01</v>
          </cell>
          <cell r="L492" t="str">
            <v>M2</v>
          </cell>
          <cell r="M492">
            <v>49500</v>
          </cell>
          <cell r="N492">
            <v>49995</v>
          </cell>
        </row>
        <row r="493">
          <cell r="B493">
            <v>486</v>
          </cell>
          <cell r="D493" t="str">
            <v>B</v>
          </cell>
          <cell r="F493" t="str">
            <v>Semen portland</v>
          </cell>
          <cell r="J493" t="str">
            <v>PC (50 Kg)</v>
          </cell>
          <cell r="K493">
            <v>0.16</v>
          </cell>
          <cell r="L493" t="str">
            <v>Zak</v>
          </cell>
          <cell r="M493">
            <v>44200</v>
          </cell>
          <cell r="N493">
            <v>7072</v>
          </cell>
        </row>
        <row r="494">
          <cell r="B494">
            <v>487</v>
          </cell>
          <cell r="D494" t="str">
            <v>B</v>
          </cell>
          <cell r="F494" t="str">
            <v>Pasir Pasang</v>
          </cell>
          <cell r="J494" t="str">
            <v>Pasir Pasang</v>
          </cell>
          <cell r="K494">
            <v>0.03</v>
          </cell>
          <cell r="L494" t="str">
            <v>M3</v>
          </cell>
          <cell r="M494">
            <v>160000</v>
          </cell>
          <cell r="N494">
            <v>4800</v>
          </cell>
        </row>
        <row r="495">
          <cell r="B495">
            <v>488</v>
          </cell>
          <cell r="D495" t="str">
            <v>B</v>
          </cell>
          <cell r="F495" t="str">
            <v>Semen Warna</v>
          </cell>
          <cell r="J495" t="str">
            <v>Semen Warna</v>
          </cell>
          <cell r="K495">
            <v>1.2999999999999999E-2</v>
          </cell>
          <cell r="L495" t="str">
            <v>Kg</v>
          </cell>
          <cell r="M495">
            <v>11500</v>
          </cell>
          <cell r="N495">
            <v>149.5</v>
          </cell>
        </row>
        <row r="496">
          <cell r="B496">
            <v>489</v>
          </cell>
          <cell r="C496" t="str">
            <v>P</v>
          </cell>
          <cell r="F496" t="str">
            <v>Buruh Lapangan Terlatih / Pekerja Terampil</v>
          </cell>
          <cell r="J496" t="str">
            <v>Pekerja Terampil</v>
          </cell>
          <cell r="K496">
            <v>0.1875</v>
          </cell>
          <cell r="L496" t="str">
            <v>Orang</v>
          </cell>
          <cell r="M496">
            <v>26400</v>
          </cell>
          <cell r="N496">
            <v>4950</v>
          </cell>
        </row>
        <row r="497">
          <cell r="B497">
            <v>490</v>
          </cell>
          <cell r="C497" t="str">
            <v>P</v>
          </cell>
          <cell r="F497" t="str">
            <v>Tukang Batu (Terampil)</v>
          </cell>
          <cell r="J497" t="str">
            <v>Tukang Batu Terampil</v>
          </cell>
          <cell r="K497">
            <v>0.3</v>
          </cell>
          <cell r="L497" t="str">
            <v>Orang</v>
          </cell>
          <cell r="M497">
            <v>27300</v>
          </cell>
          <cell r="N497">
            <v>8190</v>
          </cell>
        </row>
        <row r="498">
          <cell r="B498">
            <v>491</v>
          </cell>
          <cell r="C498" t="str">
            <v>P</v>
          </cell>
          <cell r="F498" t="str">
            <v>Kepala Tukang Batu</v>
          </cell>
          <cell r="J498" t="str">
            <v>Kepala Tukang Batu</v>
          </cell>
          <cell r="K498">
            <v>3.7499999999999999E-2</v>
          </cell>
          <cell r="L498" t="str">
            <v>Orang</v>
          </cell>
          <cell r="M498">
            <v>29100</v>
          </cell>
          <cell r="N498">
            <v>1091.25</v>
          </cell>
        </row>
        <row r="499">
          <cell r="B499">
            <v>492</v>
          </cell>
          <cell r="C499" t="str">
            <v>P</v>
          </cell>
          <cell r="F499" t="str">
            <v>Mandor Lapangan</v>
          </cell>
          <cell r="J499" t="str">
            <v>Mandor</v>
          </cell>
          <cell r="K499">
            <v>1.8800000000000001E-2</v>
          </cell>
          <cell r="L499" t="str">
            <v>Orang</v>
          </cell>
          <cell r="M499">
            <v>31800</v>
          </cell>
          <cell r="N499">
            <v>597.84</v>
          </cell>
        </row>
        <row r="500">
          <cell r="B500">
            <v>493</v>
          </cell>
          <cell r="M500" t="str">
            <v>Jumlah</v>
          </cell>
          <cell r="N500">
            <v>76845.59</v>
          </cell>
        </row>
        <row r="501">
          <cell r="B501">
            <v>494</v>
          </cell>
          <cell r="M501" t="str">
            <v>Dibulatkan</v>
          </cell>
          <cell r="N501">
            <v>76850</v>
          </cell>
        </row>
        <row r="502">
          <cell r="B502">
            <v>495</v>
          </cell>
        </row>
        <row r="503">
          <cell r="A503" t="str">
            <v>A048</v>
          </cell>
          <cell r="B503">
            <v>496</v>
          </cell>
          <cell r="H503" t="str">
            <v>A048</v>
          </cell>
          <cell r="I503" t="str">
            <v>M²</v>
          </cell>
          <cell r="J503" t="str">
            <v>LANTAI UBIN ABU - ABU 30/30 CM</v>
          </cell>
          <cell r="K503" t="str">
            <v>Harga per 1 M² ……</v>
          </cell>
          <cell r="M503" t="str">
            <v>Rp.</v>
          </cell>
          <cell r="N503">
            <v>65860</v>
          </cell>
        </row>
        <row r="504">
          <cell r="B504">
            <v>497</v>
          </cell>
          <cell r="D504" t="str">
            <v>B</v>
          </cell>
          <cell r="F504" t="str">
            <v>Ubin Abu-abu 30 x 30</v>
          </cell>
          <cell r="J504" t="str">
            <v>Ubin abu - abu 30/30</v>
          </cell>
          <cell r="K504">
            <v>1</v>
          </cell>
          <cell r="L504" t="str">
            <v>M2</v>
          </cell>
          <cell r="M504">
            <v>40000</v>
          </cell>
          <cell r="N504">
            <v>40000</v>
          </cell>
        </row>
        <row r="505">
          <cell r="B505">
            <v>498</v>
          </cell>
          <cell r="D505" t="str">
            <v>B</v>
          </cell>
          <cell r="F505" t="str">
            <v>Semen portland</v>
          </cell>
          <cell r="J505" t="str">
            <v>PC (50 Kg)</v>
          </cell>
          <cell r="K505">
            <v>0.1638</v>
          </cell>
          <cell r="L505" t="str">
            <v>Zak</v>
          </cell>
          <cell r="M505">
            <v>44200</v>
          </cell>
          <cell r="N505">
            <v>7239.96</v>
          </cell>
        </row>
        <row r="506">
          <cell r="B506">
            <v>499</v>
          </cell>
          <cell r="D506" t="str">
            <v>B</v>
          </cell>
          <cell r="F506" t="str">
            <v>Pasir Pasang</v>
          </cell>
          <cell r="J506" t="str">
            <v>Pasir Pasang</v>
          </cell>
          <cell r="K506">
            <v>0.05</v>
          </cell>
          <cell r="L506" t="str">
            <v>M3</v>
          </cell>
          <cell r="M506">
            <v>160000</v>
          </cell>
          <cell r="N506">
            <v>8000</v>
          </cell>
        </row>
        <row r="507">
          <cell r="B507">
            <v>500</v>
          </cell>
          <cell r="C507" t="str">
            <v>P</v>
          </cell>
          <cell r="F507" t="str">
            <v>Buruh Lapangan Terlatih / Pekerja Terampil</v>
          </cell>
          <cell r="J507" t="str">
            <v>Pekerja Terampil</v>
          </cell>
          <cell r="K507">
            <v>0.25</v>
          </cell>
          <cell r="L507" t="str">
            <v>Orang</v>
          </cell>
          <cell r="M507">
            <v>26400</v>
          </cell>
          <cell r="N507">
            <v>6600</v>
          </cell>
        </row>
        <row r="508">
          <cell r="B508">
            <v>501</v>
          </cell>
          <cell r="C508" t="str">
            <v>P</v>
          </cell>
          <cell r="F508" t="str">
            <v>Tukang Batu (Terampil)</v>
          </cell>
          <cell r="J508" t="str">
            <v>Tukang Batu Terampil</v>
          </cell>
          <cell r="K508">
            <v>0.12</v>
          </cell>
          <cell r="L508" t="str">
            <v>Orang</v>
          </cell>
          <cell r="M508">
            <v>27300</v>
          </cell>
          <cell r="N508">
            <v>3276</v>
          </cell>
        </row>
        <row r="509">
          <cell r="B509">
            <v>502</v>
          </cell>
          <cell r="C509" t="str">
            <v>P</v>
          </cell>
          <cell r="F509" t="str">
            <v>Kepala Tukang Batu</v>
          </cell>
          <cell r="J509" t="str">
            <v>Kepala Tukang Batu</v>
          </cell>
          <cell r="K509">
            <v>1.2E-2</v>
          </cell>
          <cell r="L509" t="str">
            <v>Orang</v>
          </cell>
          <cell r="M509">
            <v>29100</v>
          </cell>
          <cell r="N509">
            <v>349.2</v>
          </cell>
        </row>
        <row r="510">
          <cell r="B510">
            <v>503</v>
          </cell>
          <cell r="C510" t="str">
            <v>P</v>
          </cell>
          <cell r="F510" t="str">
            <v>Mandor Lapangan</v>
          </cell>
          <cell r="J510" t="str">
            <v>Mandor</v>
          </cell>
          <cell r="K510">
            <v>1.2500000000000001E-2</v>
          </cell>
          <cell r="L510" t="str">
            <v>Orang</v>
          </cell>
          <cell r="M510">
            <v>31800</v>
          </cell>
          <cell r="N510">
            <v>397.5</v>
          </cell>
        </row>
        <row r="511">
          <cell r="B511">
            <v>504</v>
          </cell>
          <cell r="M511" t="str">
            <v>Jumlah</v>
          </cell>
          <cell r="N511">
            <v>65862.66</v>
          </cell>
        </row>
        <row r="512">
          <cell r="B512">
            <v>505</v>
          </cell>
          <cell r="M512" t="str">
            <v>Dibulatkan</v>
          </cell>
          <cell r="N512">
            <v>65860</v>
          </cell>
        </row>
        <row r="513">
          <cell r="B513">
            <v>506</v>
          </cell>
        </row>
        <row r="514">
          <cell r="A514" t="str">
            <v>A049</v>
          </cell>
          <cell r="B514">
            <v>507</v>
          </cell>
          <cell r="H514" t="str">
            <v>A049</v>
          </cell>
          <cell r="I514" t="str">
            <v>M²</v>
          </cell>
          <cell r="J514" t="str">
            <v>LANTAI UBIN ABU - ABU 20/20 CM</v>
          </cell>
          <cell r="K514" t="str">
            <v>Harga per 1 M² ……</v>
          </cell>
          <cell r="M514" t="str">
            <v>Rp.</v>
          </cell>
          <cell r="N514">
            <v>53920</v>
          </cell>
        </row>
        <row r="515">
          <cell r="B515">
            <v>508</v>
          </cell>
          <cell r="D515" t="str">
            <v>B</v>
          </cell>
          <cell r="F515" t="str">
            <v>Ubin Abu-abu 20 x 20</v>
          </cell>
          <cell r="J515" t="str">
            <v>Ubin abu - abu 20/20</v>
          </cell>
          <cell r="K515">
            <v>1</v>
          </cell>
          <cell r="L515" t="str">
            <v>M2</v>
          </cell>
          <cell r="M515">
            <v>28000</v>
          </cell>
          <cell r="N515">
            <v>28000</v>
          </cell>
        </row>
        <row r="516">
          <cell r="B516">
            <v>509</v>
          </cell>
          <cell r="D516" t="str">
            <v>B</v>
          </cell>
          <cell r="F516" t="str">
            <v>Semen portland</v>
          </cell>
          <cell r="J516" t="str">
            <v>PC (50 Kg)</v>
          </cell>
          <cell r="K516">
            <v>0.1638</v>
          </cell>
          <cell r="L516" t="str">
            <v>Zak</v>
          </cell>
          <cell r="M516">
            <v>44200</v>
          </cell>
          <cell r="N516">
            <v>7239.96</v>
          </cell>
        </row>
        <row r="517">
          <cell r="B517">
            <v>510</v>
          </cell>
          <cell r="D517" t="str">
            <v>B</v>
          </cell>
          <cell r="F517" t="str">
            <v>Pasir Pasang</v>
          </cell>
          <cell r="J517" t="str">
            <v>Pasir Pasang</v>
          </cell>
          <cell r="K517">
            <v>4.4999999999999998E-2</v>
          </cell>
          <cell r="L517" t="str">
            <v>M3</v>
          </cell>
          <cell r="M517">
            <v>160000</v>
          </cell>
          <cell r="N517">
            <v>7200</v>
          </cell>
        </row>
        <row r="518">
          <cell r="B518">
            <v>511</v>
          </cell>
          <cell r="C518" t="str">
            <v>P</v>
          </cell>
          <cell r="F518" t="str">
            <v>Buruh Lapangan Terlatih / Pekerja Terampil</v>
          </cell>
          <cell r="J518" t="str">
            <v>Pekerja Terampil</v>
          </cell>
          <cell r="K518">
            <v>0.27</v>
          </cell>
          <cell r="L518" t="str">
            <v>Orang</v>
          </cell>
          <cell r="M518">
            <v>26400</v>
          </cell>
          <cell r="N518">
            <v>7128.0000000000009</v>
          </cell>
        </row>
        <row r="519">
          <cell r="B519">
            <v>512</v>
          </cell>
          <cell r="C519" t="str">
            <v>P</v>
          </cell>
          <cell r="F519" t="str">
            <v>Tukang Batu (Terampil)</v>
          </cell>
          <cell r="J519" t="str">
            <v>Tukang Batu Terampil</v>
          </cell>
          <cell r="K519">
            <v>0.13</v>
          </cell>
          <cell r="L519" t="str">
            <v>Orang</v>
          </cell>
          <cell r="M519">
            <v>27300</v>
          </cell>
          <cell r="N519">
            <v>3549</v>
          </cell>
        </row>
        <row r="520">
          <cell r="B520">
            <v>513</v>
          </cell>
          <cell r="C520" t="str">
            <v>P</v>
          </cell>
          <cell r="F520" t="str">
            <v>Kepala Tukang Batu</v>
          </cell>
          <cell r="J520" t="str">
            <v>Kepala Tukang Batu</v>
          </cell>
          <cell r="K520">
            <v>1.2999999999999999E-2</v>
          </cell>
          <cell r="L520" t="str">
            <v>Orang</v>
          </cell>
          <cell r="M520">
            <v>29100</v>
          </cell>
          <cell r="N520">
            <v>378.29999999999995</v>
          </cell>
        </row>
        <row r="521">
          <cell r="B521">
            <v>514</v>
          </cell>
          <cell r="C521" t="str">
            <v>P</v>
          </cell>
          <cell r="F521" t="str">
            <v>Mandor Lapangan</v>
          </cell>
          <cell r="J521" t="str">
            <v>Mandor</v>
          </cell>
          <cell r="K521">
            <v>1.35E-2</v>
          </cell>
          <cell r="L521" t="str">
            <v>Orang</v>
          </cell>
          <cell r="M521">
            <v>31800</v>
          </cell>
          <cell r="N521">
            <v>429.3</v>
          </cell>
        </row>
        <row r="522">
          <cell r="B522">
            <v>515</v>
          </cell>
          <cell r="M522" t="str">
            <v>Jumlah</v>
          </cell>
          <cell r="N522">
            <v>53924.560000000005</v>
          </cell>
        </row>
        <row r="523">
          <cell r="B523">
            <v>516</v>
          </cell>
          <cell r="M523" t="str">
            <v>Dibulatkan</v>
          </cell>
          <cell r="N523">
            <v>53920</v>
          </cell>
        </row>
        <row r="524">
          <cell r="B524">
            <v>517</v>
          </cell>
        </row>
        <row r="525">
          <cell r="A525" t="str">
            <v>A050</v>
          </cell>
          <cell r="B525">
            <v>518</v>
          </cell>
          <cell r="H525" t="str">
            <v>A050</v>
          </cell>
          <cell r="I525" t="str">
            <v>M²</v>
          </cell>
          <cell r="J525" t="str">
            <v>PASANGAN BATA MERAH 1pc : 3ps</v>
          </cell>
          <cell r="K525" t="str">
            <v>Harga per 1 M² ……</v>
          </cell>
          <cell r="M525" t="str">
            <v>Rp.</v>
          </cell>
          <cell r="N525">
            <v>75630</v>
          </cell>
        </row>
        <row r="526">
          <cell r="B526">
            <v>519</v>
          </cell>
          <cell r="D526" t="str">
            <v>B</v>
          </cell>
          <cell r="F526" t="str">
            <v>Bata Merah Bakar Kelas I</v>
          </cell>
          <cell r="J526" t="str">
            <v>Bata Merah Bakar Kelas I</v>
          </cell>
          <cell r="K526">
            <v>70</v>
          </cell>
          <cell r="L526" t="str">
            <v>Bh</v>
          </cell>
          <cell r="M526">
            <v>440</v>
          </cell>
          <cell r="N526">
            <v>30800</v>
          </cell>
        </row>
        <row r="527">
          <cell r="B527">
            <v>520</v>
          </cell>
          <cell r="D527" t="str">
            <v>B</v>
          </cell>
          <cell r="F527" t="str">
            <v>Semen portland</v>
          </cell>
          <cell r="J527" t="str">
            <v>PC (50 Kg)</v>
          </cell>
          <cell r="K527">
            <v>0.52500000000000002</v>
          </cell>
          <cell r="L527" t="str">
            <v>Zak</v>
          </cell>
          <cell r="M527">
            <v>44200</v>
          </cell>
          <cell r="N527">
            <v>23205</v>
          </cell>
        </row>
        <row r="528">
          <cell r="B528">
            <v>521</v>
          </cell>
          <cell r="D528" t="str">
            <v>B</v>
          </cell>
          <cell r="F528" t="str">
            <v>Pasir Pasang</v>
          </cell>
          <cell r="J528" t="str">
            <v>Pasir Pasang</v>
          </cell>
          <cell r="K528">
            <v>5.3999999999999999E-2</v>
          </cell>
          <cell r="L528" t="str">
            <v>M3</v>
          </cell>
          <cell r="M528">
            <v>160000</v>
          </cell>
          <cell r="N528">
            <v>8640</v>
          </cell>
        </row>
        <row r="529">
          <cell r="B529">
            <v>522</v>
          </cell>
          <cell r="C529" t="str">
            <v>P</v>
          </cell>
          <cell r="F529" t="str">
            <v>Buruh Lapangan Agak Terlatih / Pekerja setengah Terampil</v>
          </cell>
          <cell r="J529" t="str">
            <v>Pekerja Setengah Terampil</v>
          </cell>
          <cell r="K529">
            <v>0.32179999999999997</v>
          </cell>
          <cell r="L529" t="str">
            <v>Orang</v>
          </cell>
          <cell r="M529">
            <v>24500</v>
          </cell>
          <cell r="N529">
            <v>7884.0999999999995</v>
          </cell>
        </row>
        <row r="530">
          <cell r="B530">
            <v>523</v>
          </cell>
          <cell r="C530" t="str">
            <v>P</v>
          </cell>
          <cell r="F530" t="str">
            <v>Tukang Batu (Terampil)</v>
          </cell>
          <cell r="J530" t="str">
            <v>Tukang Batu Terampil</v>
          </cell>
          <cell r="K530">
            <v>0.1605</v>
          </cell>
          <cell r="L530" t="str">
            <v>Orang</v>
          </cell>
          <cell r="M530">
            <v>27300</v>
          </cell>
          <cell r="N530">
            <v>4381.6500000000005</v>
          </cell>
        </row>
        <row r="531">
          <cell r="B531">
            <v>524</v>
          </cell>
          <cell r="C531" t="str">
            <v>P</v>
          </cell>
          <cell r="F531" t="str">
            <v>Kepala Tukang Batu</v>
          </cell>
          <cell r="J531" t="str">
            <v>Kepala Tukang Batu</v>
          </cell>
          <cell r="K531">
            <v>1.5800000000000002E-2</v>
          </cell>
          <cell r="L531" t="str">
            <v>Orang</v>
          </cell>
          <cell r="M531">
            <v>29100</v>
          </cell>
          <cell r="N531">
            <v>459.78000000000003</v>
          </cell>
        </row>
        <row r="532">
          <cell r="B532">
            <v>525</v>
          </cell>
          <cell r="C532" t="str">
            <v>P</v>
          </cell>
          <cell r="F532" t="str">
            <v>Mandor Lapangan</v>
          </cell>
          <cell r="J532" t="str">
            <v>Mandor</v>
          </cell>
          <cell r="K532">
            <v>8.3000000000000001E-3</v>
          </cell>
          <cell r="L532" t="str">
            <v>Orang</v>
          </cell>
          <cell r="M532">
            <v>31800</v>
          </cell>
          <cell r="N532">
            <v>263.94</v>
          </cell>
        </row>
        <row r="533">
          <cell r="B533">
            <v>526</v>
          </cell>
          <cell r="M533" t="str">
            <v>Jumlah</v>
          </cell>
          <cell r="N533">
            <v>75634.47</v>
          </cell>
        </row>
        <row r="534">
          <cell r="B534">
            <v>527</v>
          </cell>
          <cell r="M534" t="str">
            <v>Dibulatkan</v>
          </cell>
          <cell r="N534">
            <v>75630</v>
          </cell>
        </row>
        <row r="535">
          <cell r="B535">
            <v>528</v>
          </cell>
        </row>
        <row r="536">
          <cell r="A536" t="str">
            <v>A051</v>
          </cell>
          <cell r="B536">
            <v>529</v>
          </cell>
          <cell r="H536" t="str">
            <v>A051</v>
          </cell>
          <cell r="I536" t="str">
            <v>M²</v>
          </cell>
          <cell r="J536" t="str">
            <v>PASANGAN BATA MERAH 1pc : 5ps</v>
          </cell>
          <cell r="K536" t="str">
            <v>Harga per 1 M² ……</v>
          </cell>
          <cell r="M536" t="str">
            <v>Rp.</v>
          </cell>
          <cell r="N536">
            <v>64450</v>
          </cell>
        </row>
        <row r="537">
          <cell r="B537">
            <v>530</v>
          </cell>
          <cell r="D537" t="str">
            <v>B</v>
          </cell>
          <cell r="F537" t="str">
            <v>Bata Merah Bakar Kelas I</v>
          </cell>
          <cell r="J537" t="str">
            <v>Bata Merah Bakar Kelas I</v>
          </cell>
          <cell r="K537">
            <v>70</v>
          </cell>
          <cell r="L537" t="str">
            <v>Bh</v>
          </cell>
          <cell r="M537">
            <v>440</v>
          </cell>
          <cell r="N537">
            <v>30800</v>
          </cell>
        </row>
        <row r="538">
          <cell r="B538">
            <v>531</v>
          </cell>
          <cell r="D538" t="str">
            <v>B</v>
          </cell>
          <cell r="F538" t="str">
            <v>Semen portland</v>
          </cell>
          <cell r="J538" t="str">
            <v>PC (50 Kg)</v>
          </cell>
          <cell r="K538">
            <v>0.25919999999999999</v>
          </cell>
          <cell r="L538" t="str">
            <v>Zak</v>
          </cell>
          <cell r="M538">
            <v>44200</v>
          </cell>
          <cell r="N538">
            <v>11456.64</v>
          </cell>
        </row>
        <row r="539">
          <cell r="B539">
            <v>532</v>
          </cell>
          <cell r="D539" t="str">
            <v>B</v>
          </cell>
          <cell r="F539" t="str">
            <v>Pasir Pasang</v>
          </cell>
          <cell r="J539" t="str">
            <v>Pasir Pasang</v>
          </cell>
          <cell r="K539">
            <v>5.8000000000000003E-2</v>
          </cell>
          <cell r="L539" t="str">
            <v>M3</v>
          </cell>
          <cell r="M539">
            <v>160000</v>
          </cell>
          <cell r="N539">
            <v>9280</v>
          </cell>
        </row>
        <row r="540">
          <cell r="B540">
            <v>533</v>
          </cell>
          <cell r="C540" t="str">
            <v>P</v>
          </cell>
          <cell r="F540" t="str">
            <v>Buruh Lapangan Agak Terlatih / Pekerja setengah Terampil</v>
          </cell>
          <cell r="J540" t="str">
            <v>Pekerja Setengah Terampil</v>
          </cell>
          <cell r="K540">
            <v>0.32179999999999997</v>
          </cell>
          <cell r="L540" t="str">
            <v>Orang</v>
          </cell>
          <cell r="M540">
            <v>24500</v>
          </cell>
          <cell r="N540">
            <v>7884.0999999999995</v>
          </cell>
        </row>
        <row r="541">
          <cell r="B541">
            <v>534</v>
          </cell>
          <cell r="C541" t="str">
            <v>P</v>
          </cell>
          <cell r="F541" t="str">
            <v>Tukang Batu setengah terampil</v>
          </cell>
          <cell r="J541" t="str">
            <v>Tukang Batu Setengah Terampil</v>
          </cell>
          <cell r="K541">
            <v>0.1605</v>
          </cell>
          <cell r="L541" t="str">
            <v>Orang</v>
          </cell>
          <cell r="M541">
            <v>26800</v>
          </cell>
          <cell r="N541">
            <v>4301.4000000000005</v>
          </cell>
        </row>
        <row r="542">
          <cell r="B542">
            <v>535</v>
          </cell>
          <cell r="C542" t="str">
            <v>P</v>
          </cell>
          <cell r="F542" t="str">
            <v>Kepala Tukang Batu</v>
          </cell>
          <cell r="J542" t="str">
            <v>Kepala Tukang Batu</v>
          </cell>
          <cell r="K542">
            <v>1.5800000000000002E-2</v>
          </cell>
          <cell r="L542" t="str">
            <v>Orang</v>
          </cell>
          <cell r="M542">
            <v>29100</v>
          </cell>
          <cell r="N542">
            <v>459.78000000000003</v>
          </cell>
        </row>
        <row r="543">
          <cell r="B543">
            <v>536</v>
          </cell>
          <cell r="C543" t="str">
            <v>P</v>
          </cell>
          <cell r="F543" t="str">
            <v>Mandor Lapangan</v>
          </cell>
          <cell r="J543" t="str">
            <v>Mandor</v>
          </cell>
          <cell r="K543">
            <v>8.3000000000000001E-3</v>
          </cell>
          <cell r="L543" t="str">
            <v>Orang</v>
          </cell>
          <cell r="M543">
            <v>31800</v>
          </cell>
          <cell r="N543">
            <v>263.94</v>
          </cell>
        </row>
        <row r="544">
          <cell r="B544">
            <v>537</v>
          </cell>
          <cell r="M544" t="str">
            <v>Jumlah</v>
          </cell>
          <cell r="N544">
            <v>64445.86</v>
          </cell>
        </row>
        <row r="545">
          <cell r="B545">
            <v>538</v>
          </cell>
          <cell r="M545" t="str">
            <v>Dibulatkan</v>
          </cell>
          <cell r="N545">
            <v>64450</v>
          </cell>
        </row>
        <row r="546">
          <cell r="B546">
            <v>539</v>
          </cell>
        </row>
        <row r="547">
          <cell r="A547" t="str">
            <v>A052</v>
          </cell>
          <cell r="B547">
            <v>540</v>
          </cell>
          <cell r="H547" t="str">
            <v>A052</v>
          </cell>
          <cell r="I547" t="str">
            <v>M³</v>
          </cell>
          <cell r="J547" t="str">
            <v>PASANGAN BATAKO 1pc : 4ps</v>
          </cell>
          <cell r="K547" t="str">
            <v>Harga per 1 M³ ……</v>
          </cell>
          <cell r="M547" t="str">
            <v>Rp.</v>
          </cell>
          <cell r="N547">
            <v>584270</v>
          </cell>
        </row>
        <row r="548">
          <cell r="B548">
            <v>541</v>
          </cell>
          <cell r="D548" t="str">
            <v>B</v>
          </cell>
          <cell r="F548" t="str">
            <v>Batako PSPM</v>
          </cell>
          <cell r="J548" t="str">
            <v>Batako PSPM</v>
          </cell>
          <cell r="K548">
            <v>130</v>
          </cell>
          <cell r="L548" t="str">
            <v>bh</v>
          </cell>
          <cell r="M548">
            <v>2000</v>
          </cell>
          <cell r="N548">
            <v>260000</v>
          </cell>
        </row>
        <row r="549">
          <cell r="B549">
            <v>542</v>
          </cell>
          <cell r="D549" t="str">
            <v>B</v>
          </cell>
          <cell r="F549" t="str">
            <v>Semen portland</v>
          </cell>
          <cell r="J549" t="str">
            <v>PC (50 Kg)</v>
          </cell>
          <cell r="K549">
            <v>2.17</v>
          </cell>
          <cell r="L549" t="str">
            <v>Zak</v>
          </cell>
          <cell r="M549">
            <v>44200</v>
          </cell>
          <cell r="N549">
            <v>95914</v>
          </cell>
        </row>
        <row r="550">
          <cell r="B550">
            <v>543</v>
          </cell>
          <cell r="D550" t="str">
            <v>B</v>
          </cell>
          <cell r="F550" t="str">
            <v>Pasir Pasang</v>
          </cell>
          <cell r="J550" t="str">
            <v>Pasir Pasang</v>
          </cell>
          <cell r="K550">
            <v>0.27900000000000003</v>
          </cell>
          <cell r="L550" t="str">
            <v>M3</v>
          </cell>
          <cell r="M550">
            <v>160000</v>
          </cell>
          <cell r="N550">
            <v>44640.000000000007</v>
          </cell>
        </row>
        <row r="551">
          <cell r="B551">
            <v>544</v>
          </cell>
          <cell r="C551" t="str">
            <v>P</v>
          </cell>
          <cell r="F551" t="str">
            <v>Buruh Lapangan Tak Terlatih / Pekerja</v>
          </cell>
          <cell r="J551" t="str">
            <v>Pekerja</v>
          </cell>
          <cell r="K551">
            <v>4.5</v>
          </cell>
          <cell r="L551" t="str">
            <v>Orang</v>
          </cell>
          <cell r="M551">
            <v>22700</v>
          </cell>
          <cell r="N551">
            <v>102150</v>
          </cell>
        </row>
        <row r="552">
          <cell r="B552">
            <v>545</v>
          </cell>
          <cell r="C552" t="str">
            <v>P</v>
          </cell>
          <cell r="F552" t="str">
            <v>Tukang Batu (Terampil)</v>
          </cell>
          <cell r="J552" t="str">
            <v>Tukang Batu Terampil</v>
          </cell>
          <cell r="K552">
            <v>1.5</v>
          </cell>
          <cell r="L552" t="str">
            <v>Orang</v>
          </cell>
          <cell r="M552">
            <v>27300</v>
          </cell>
          <cell r="N552">
            <v>40950</v>
          </cell>
        </row>
        <row r="553">
          <cell r="B553">
            <v>546</v>
          </cell>
          <cell r="C553" t="str">
            <v>P</v>
          </cell>
          <cell r="F553" t="str">
            <v>Kepala Tukang Batu</v>
          </cell>
          <cell r="J553" t="str">
            <v>Kepala Tukang Batu</v>
          </cell>
          <cell r="K553">
            <v>1.1499999999999999</v>
          </cell>
          <cell r="L553" t="str">
            <v>Orang</v>
          </cell>
          <cell r="M553">
            <v>29100</v>
          </cell>
          <cell r="N553">
            <v>33465</v>
          </cell>
        </row>
        <row r="554">
          <cell r="B554">
            <v>547</v>
          </cell>
          <cell r="C554" t="str">
            <v>P</v>
          </cell>
          <cell r="F554" t="str">
            <v>Mandor Lapangan</v>
          </cell>
          <cell r="J554" t="str">
            <v>Mandor</v>
          </cell>
          <cell r="K554">
            <v>0.22500000000000001</v>
          </cell>
          <cell r="L554" t="str">
            <v>Orang</v>
          </cell>
          <cell r="M554">
            <v>31800</v>
          </cell>
          <cell r="N554">
            <v>7155</v>
          </cell>
        </row>
        <row r="555">
          <cell r="B555">
            <v>548</v>
          </cell>
          <cell r="M555" t="str">
            <v>Jumlah</v>
          </cell>
          <cell r="N555">
            <v>584274</v>
          </cell>
        </row>
        <row r="556">
          <cell r="B556">
            <v>549</v>
          </cell>
          <cell r="M556" t="str">
            <v>Dibulatkan</v>
          </cell>
          <cell r="N556">
            <v>584270</v>
          </cell>
        </row>
        <row r="557">
          <cell r="B557">
            <v>550</v>
          </cell>
        </row>
        <row r="558">
          <cell r="A558" t="str">
            <v>A053</v>
          </cell>
          <cell r="B558">
            <v>551</v>
          </cell>
          <cell r="H558" t="str">
            <v>A053</v>
          </cell>
          <cell r="I558" t="str">
            <v>M²</v>
          </cell>
          <cell r="J558" t="str">
            <v>PLESTERAN DINDING 1pc : 3ps + ACIAN</v>
          </cell>
          <cell r="K558" t="str">
            <v>Harga per 1 M² ……</v>
          </cell>
          <cell r="M558" t="str">
            <v>Rp.</v>
          </cell>
          <cell r="N558">
            <v>24130</v>
          </cell>
        </row>
        <row r="559">
          <cell r="B559">
            <v>552</v>
          </cell>
          <cell r="D559" t="str">
            <v>B</v>
          </cell>
          <cell r="F559" t="str">
            <v>Semen portland</v>
          </cell>
          <cell r="J559" t="str">
            <v>PC (50 Kg)</v>
          </cell>
          <cell r="K559">
            <v>0.16</v>
          </cell>
          <cell r="L559" t="str">
            <v>Zak</v>
          </cell>
          <cell r="M559">
            <v>44200</v>
          </cell>
          <cell r="N559">
            <v>7072</v>
          </cell>
        </row>
        <row r="560">
          <cell r="B560">
            <v>553</v>
          </cell>
          <cell r="D560" t="str">
            <v>B</v>
          </cell>
          <cell r="F560" t="str">
            <v>Pasir Pasang</v>
          </cell>
          <cell r="J560" t="str">
            <v>Pasir Pasang</v>
          </cell>
          <cell r="K560">
            <v>1.9E-2</v>
          </cell>
          <cell r="L560" t="str">
            <v>M3</v>
          </cell>
          <cell r="M560">
            <v>160000</v>
          </cell>
          <cell r="N560">
            <v>3040</v>
          </cell>
        </row>
        <row r="561">
          <cell r="B561">
            <v>554</v>
          </cell>
          <cell r="C561" t="str">
            <v>P</v>
          </cell>
          <cell r="F561" t="str">
            <v>Buruh Lapangan Agak Terlatih / Pekerja setengah Terampil</v>
          </cell>
          <cell r="J561" t="str">
            <v>Pekerja Setengah Terampil</v>
          </cell>
          <cell r="K561">
            <v>0.28599999999999998</v>
          </cell>
          <cell r="L561" t="str">
            <v>Orang</v>
          </cell>
          <cell r="M561">
            <v>24500</v>
          </cell>
          <cell r="N561">
            <v>7006.9999999999991</v>
          </cell>
        </row>
        <row r="562">
          <cell r="B562">
            <v>555</v>
          </cell>
          <cell r="C562" t="str">
            <v>P</v>
          </cell>
          <cell r="F562" t="str">
            <v>Tukang Batu setengah terampil</v>
          </cell>
          <cell r="J562" t="str">
            <v>Tukang Batu Setengah Terampil</v>
          </cell>
          <cell r="K562">
            <v>0.214</v>
          </cell>
          <cell r="L562" t="str">
            <v>Orang</v>
          </cell>
          <cell r="M562">
            <v>26800</v>
          </cell>
          <cell r="N562">
            <v>5735.2</v>
          </cell>
        </row>
        <row r="563">
          <cell r="B563">
            <v>556</v>
          </cell>
          <cell r="C563" t="str">
            <v>P</v>
          </cell>
          <cell r="F563" t="str">
            <v>Kepala Tukang Batu</v>
          </cell>
          <cell r="J563" t="str">
            <v>Kepala Tukang Batu</v>
          </cell>
          <cell r="K563">
            <v>2.1000000000000001E-2</v>
          </cell>
          <cell r="L563" t="str">
            <v>Orang</v>
          </cell>
          <cell r="M563">
            <v>29100</v>
          </cell>
          <cell r="N563">
            <v>611.1</v>
          </cell>
        </row>
        <row r="564">
          <cell r="B564">
            <v>557</v>
          </cell>
          <cell r="C564" t="str">
            <v>P</v>
          </cell>
          <cell r="F564" t="str">
            <v>Mandor Lapangan</v>
          </cell>
          <cell r="J564" t="str">
            <v>Mandor</v>
          </cell>
          <cell r="K564">
            <v>2.1000000000000001E-2</v>
          </cell>
          <cell r="L564" t="str">
            <v>Orang</v>
          </cell>
          <cell r="M564">
            <v>31800</v>
          </cell>
          <cell r="N564">
            <v>667.80000000000007</v>
          </cell>
        </row>
        <row r="565">
          <cell r="B565">
            <v>558</v>
          </cell>
          <cell r="M565" t="str">
            <v>Jumlah</v>
          </cell>
          <cell r="N565">
            <v>24133.1</v>
          </cell>
        </row>
        <row r="566">
          <cell r="B566">
            <v>559</v>
          </cell>
          <cell r="M566" t="str">
            <v>Dibulatkan</v>
          </cell>
          <cell r="N566">
            <v>24130</v>
          </cell>
        </row>
        <row r="567">
          <cell r="B567">
            <v>560</v>
          </cell>
        </row>
        <row r="568">
          <cell r="A568" t="str">
            <v>A054</v>
          </cell>
          <cell r="B568">
            <v>561</v>
          </cell>
          <cell r="H568" t="str">
            <v>A054</v>
          </cell>
          <cell r="I568" t="str">
            <v>M²</v>
          </cell>
          <cell r="J568" t="str">
            <v>PLESTERAN DINDING 1pc : 5ps + ACIAN</v>
          </cell>
          <cell r="K568" t="str">
            <v>Harga per 1 M² ……</v>
          </cell>
          <cell r="M568" t="str">
            <v>Rp.</v>
          </cell>
          <cell r="N568">
            <v>21830</v>
          </cell>
        </row>
        <row r="569">
          <cell r="B569">
            <v>562</v>
          </cell>
          <cell r="D569" t="str">
            <v>B</v>
          </cell>
          <cell r="F569" t="str">
            <v>Semen portland</v>
          </cell>
          <cell r="J569" t="str">
            <v>PC (50 Kg)</v>
          </cell>
          <cell r="K569">
            <v>0.108</v>
          </cell>
          <cell r="L569" t="str">
            <v>Zak</v>
          </cell>
          <cell r="M569">
            <v>44200</v>
          </cell>
          <cell r="N569">
            <v>4773.6000000000004</v>
          </cell>
        </row>
        <row r="570">
          <cell r="B570">
            <v>563</v>
          </cell>
          <cell r="D570" t="str">
            <v>B</v>
          </cell>
          <cell r="F570" t="str">
            <v>Pasir Pasang</v>
          </cell>
          <cell r="J570" t="str">
            <v>Pasir Pasang</v>
          </cell>
          <cell r="K570">
            <v>1.9E-2</v>
          </cell>
          <cell r="L570" t="str">
            <v>M3</v>
          </cell>
          <cell r="M570">
            <v>160000</v>
          </cell>
          <cell r="N570">
            <v>3040</v>
          </cell>
        </row>
        <row r="571">
          <cell r="B571">
            <v>564</v>
          </cell>
          <cell r="C571" t="str">
            <v>P</v>
          </cell>
          <cell r="F571" t="str">
            <v>Buruh Lapangan Agak Terlatih / Pekerja setengah Terampil</v>
          </cell>
          <cell r="J571" t="str">
            <v>Pekerja Setengah Terampil</v>
          </cell>
          <cell r="K571">
            <v>0.28599999999999998</v>
          </cell>
          <cell r="L571" t="str">
            <v>Orang</v>
          </cell>
          <cell r="M571">
            <v>24500</v>
          </cell>
          <cell r="N571">
            <v>7006.9999999999991</v>
          </cell>
        </row>
        <row r="572">
          <cell r="B572">
            <v>565</v>
          </cell>
          <cell r="C572" t="str">
            <v>P</v>
          </cell>
          <cell r="F572" t="str">
            <v>Tukang Batu setengah terampil</v>
          </cell>
          <cell r="J572" t="str">
            <v>Tukang Batu Setengah Terampil</v>
          </cell>
          <cell r="K572">
            <v>0.214</v>
          </cell>
          <cell r="L572" t="str">
            <v>Orang</v>
          </cell>
          <cell r="M572">
            <v>26800</v>
          </cell>
          <cell r="N572">
            <v>5735.2</v>
          </cell>
        </row>
        <row r="573">
          <cell r="B573">
            <v>566</v>
          </cell>
          <cell r="C573" t="str">
            <v>P</v>
          </cell>
          <cell r="F573" t="str">
            <v>Kepala Tukang Batu</v>
          </cell>
          <cell r="J573" t="str">
            <v>Kepala Tukang Batu</v>
          </cell>
          <cell r="K573">
            <v>2.1000000000000001E-2</v>
          </cell>
          <cell r="L573" t="str">
            <v>Orang</v>
          </cell>
          <cell r="M573">
            <v>29100</v>
          </cell>
          <cell r="N573">
            <v>611.1</v>
          </cell>
        </row>
        <row r="574">
          <cell r="B574">
            <v>567</v>
          </cell>
          <cell r="C574" t="str">
            <v>P</v>
          </cell>
          <cell r="F574" t="str">
            <v>Mandor Lapangan</v>
          </cell>
          <cell r="J574" t="str">
            <v>Mandor</v>
          </cell>
          <cell r="K574">
            <v>2.1000000000000001E-2</v>
          </cell>
          <cell r="L574" t="str">
            <v>Orang</v>
          </cell>
          <cell r="M574">
            <v>31800</v>
          </cell>
          <cell r="N574">
            <v>667.80000000000007</v>
          </cell>
        </row>
        <row r="575">
          <cell r="B575">
            <v>568</v>
          </cell>
          <cell r="M575" t="str">
            <v>Jumlah</v>
          </cell>
          <cell r="N575">
            <v>21834.699999999997</v>
          </cell>
        </row>
        <row r="576">
          <cell r="B576">
            <v>569</v>
          </cell>
          <cell r="M576" t="str">
            <v>Dibulatkan</v>
          </cell>
          <cell r="N576">
            <v>21830</v>
          </cell>
        </row>
        <row r="577">
          <cell r="B577">
            <v>570</v>
          </cell>
        </row>
        <row r="578">
          <cell r="A578" t="str">
            <v>A055</v>
          </cell>
          <cell r="B578">
            <v>571</v>
          </cell>
          <cell r="H578" t="str">
            <v>A055</v>
          </cell>
          <cell r="I578" t="str">
            <v>UNIT</v>
          </cell>
          <cell r="J578" t="str">
            <v>SEPTICTANK 2 x 1.5 x 1.5 M + REMBESANYA ( KANTOR TYPE KECIL )</v>
          </cell>
          <cell r="K578" t="str">
            <v>Harga per 1 Unit ……</v>
          </cell>
          <cell r="M578" t="str">
            <v>Rp.</v>
          </cell>
          <cell r="N578">
            <v>4092350</v>
          </cell>
        </row>
        <row r="579">
          <cell r="B579">
            <v>572</v>
          </cell>
          <cell r="J579" t="str">
            <v xml:space="preserve">Galian Tanah </v>
          </cell>
          <cell r="K579">
            <v>4.5</v>
          </cell>
          <cell r="L579" t="str">
            <v>M3</v>
          </cell>
          <cell r="M579">
            <v>19170</v>
          </cell>
          <cell r="N579">
            <v>86265</v>
          </cell>
        </row>
        <row r="580">
          <cell r="B580">
            <v>573</v>
          </cell>
          <cell r="J580" t="str">
            <v>Pasir urug</v>
          </cell>
          <cell r="K580">
            <v>0.2142</v>
          </cell>
          <cell r="L580" t="str">
            <v>M3</v>
          </cell>
          <cell r="M580">
            <v>120000</v>
          </cell>
          <cell r="N580">
            <v>25704</v>
          </cell>
        </row>
        <row r="581">
          <cell r="B581">
            <v>574</v>
          </cell>
          <cell r="J581" t="str">
            <v xml:space="preserve">Lantai kerja </v>
          </cell>
          <cell r="K581">
            <v>2.25</v>
          </cell>
          <cell r="L581" t="str">
            <v>M2</v>
          </cell>
          <cell r="M581">
            <v>451900</v>
          </cell>
          <cell r="N581">
            <v>1016775</v>
          </cell>
        </row>
        <row r="582">
          <cell r="B582">
            <v>575</v>
          </cell>
          <cell r="J582" t="str">
            <v>Pas. Bata 1pc : 3ps + plesteran (A.072 + A.076)</v>
          </cell>
          <cell r="K582">
            <v>15</v>
          </cell>
          <cell r="L582" t="str">
            <v>M2</v>
          </cell>
          <cell r="M582">
            <v>75630</v>
          </cell>
          <cell r="N582">
            <v>1134450</v>
          </cell>
        </row>
        <row r="583">
          <cell r="B583">
            <v>576</v>
          </cell>
          <cell r="J583" t="str">
            <v>Plat beton penutup &amp; balok (Analis : D.2r)</v>
          </cell>
          <cell r="K583">
            <v>0.3</v>
          </cell>
          <cell r="L583" t="str">
            <v>M3</v>
          </cell>
          <cell r="M583">
            <v>2965100</v>
          </cell>
          <cell r="N583">
            <v>889530</v>
          </cell>
        </row>
        <row r="584">
          <cell r="B584">
            <v>577</v>
          </cell>
          <cell r="D584" t="str">
            <v>B</v>
          </cell>
          <cell r="F584" t="str">
            <v>Pipa PVC WAVIN dia 4" (AW)</v>
          </cell>
          <cell r="J584" t="str">
            <v xml:space="preserve">Pipa PVC 4" jenis AW + sambungan </v>
          </cell>
          <cell r="K584">
            <v>5.4</v>
          </cell>
          <cell r="L584" t="str">
            <v>M'</v>
          </cell>
          <cell r="M584">
            <v>10650</v>
          </cell>
          <cell r="N584">
            <v>57510.000000000007</v>
          </cell>
        </row>
        <row r="585">
          <cell r="B585">
            <v>578</v>
          </cell>
          <cell r="D585" t="str">
            <v>B</v>
          </cell>
          <cell r="F585" t="str">
            <v>Pipa GIP Medium B dia. 1 1/2"</v>
          </cell>
          <cell r="J585" t="str">
            <v>Pipa GIP 1 1/2"</v>
          </cell>
          <cell r="K585">
            <v>1.2</v>
          </cell>
          <cell r="L585" t="str">
            <v>M'</v>
          </cell>
          <cell r="M585">
            <v>160000</v>
          </cell>
          <cell r="N585">
            <v>192000</v>
          </cell>
        </row>
        <row r="586">
          <cell r="B586">
            <v>579</v>
          </cell>
          <cell r="J586" t="str">
            <v xml:space="preserve">Galian tanah untuk rembesan </v>
          </cell>
          <cell r="K586">
            <v>3.375</v>
          </cell>
          <cell r="L586" t="str">
            <v>M3</v>
          </cell>
          <cell r="M586">
            <v>19170</v>
          </cell>
          <cell r="N586">
            <v>64698.75</v>
          </cell>
        </row>
        <row r="587">
          <cell r="B587">
            <v>580</v>
          </cell>
          <cell r="D587" t="str">
            <v>B</v>
          </cell>
          <cell r="F587" t="str">
            <v>Injuk</v>
          </cell>
          <cell r="J587" t="str">
            <v xml:space="preserve">Pas. Injuk </v>
          </cell>
          <cell r="K587">
            <v>5.4</v>
          </cell>
          <cell r="L587" t="str">
            <v>M2</v>
          </cell>
          <cell r="M587">
            <v>17500</v>
          </cell>
          <cell r="N587">
            <v>94500</v>
          </cell>
        </row>
        <row r="588">
          <cell r="B588">
            <v>581</v>
          </cell>
          <cell r="D588" t="str">
            <v>B</v>
          </cell>
          <cell r="F588" t="str">
            <v>Batu Pecah 3 - 5 cm</v>
          </cell>
          <cell r="J588" t="str">
            <v>Urugan Kerikil 3,5 cm</v>
          </cell>
          <cell r="K588">
            <v>1.05</v>
          </cell>
          <cell r="L588" t="str">
            <v>M3</v>
          </cell>
          <cell r="M588">
            <v>147000</v>
          </cell>
          <cell r="N588">
            <v>154350</v>
          </cell>
        </row>
        <row r="589">
          <cell r="B589">
            <v>582</v>
          </cell>
          <cell r="D589" t="str">
            <v>B</v>
          </cell>
          <cell r="F589" t="str">
            <v>Pipa PVC WAVIN dia 4" (AW)</v>
          </cell>
          <cell r="J589" t="str">
            <v>Pipa PVC 4" berlobang jenis AW</v>
          </cell>
          <cell r="K589">
            <v>9</v>
          </cell>
          <cell r="L589" t="str">
            <v>M'</v>
          </cell>
          <cell r="M589">
            <v>10650</v>
          </cell>
          <cell r="N589">
            <v>95850</v>
          </cell>
        </row>
        <row r="590">
          <cell r="B590">
            <v>583</v>
          </cell>
          <cell r="J590" t="str">
            <v>Urugan kembali perataan tanah (A.017)</v>
          </cell>
          <cell r="K590">
            <v>1.125</v>
          </cell>
          <cell r="L590" t="str">
            <v>M3</v>
          </cell>
          <cell r="M590">
            <v>5210</v>
          </cell>
          <cell r="N590">
            <v>5861.25</v>
          </cell>
        </row>
        <row r="591">
          <cell r="B591">
            <v>584</v>
          </cell>
          <cell r="J591" t="str">
            <v>Tambahan upah</v>
          </cell>
          <cell r="K591">
            <v>0.6</v>
          </cell>
          <cell r="L591" t="str">
            <v>Ls</v>
          </cell>
          <cell r="M591">
            <v>458100</v>
          </cell>
          <cell r="N591">
            <v>274860</v>
          </cell>
        </row>
        <row r="592">
          <cell r="B592">
            <v>585</v>
          </cell>
          <cell r="M592" t="str">
            <v>Jumlah</v>
          </cell>
          <cell r="N592">
            <v>4092354</v>
          </cell>
        </row>
        <row r="593">
          <cell r="B593">
            <v>586</v>
          </cell>
          <cell r="M593" t="str">
            <v>Dibulatkan</v>
          </cell>
          <cell r="N593">
            <v>4092350</v>
          </cell>
        </row>
        <row r="594">
          <cell r="B594">
            <v>587</v>
          </cell>
        </row>
        <row r="595">
          <cell r="A595" t="str">
            <v>A056</v>
          </cell>
          <cell r="B595">
            <v>588</v>
          </cell>
          <cell r="H595" t="str">
            <v>A056</v>
          </cell>
          <cell r="I595" t="str">
            <v>M²</v>
          </cell>
          <cell r="J595" t="str">
            <v>PENGECETAN DINDING VINILEX (3 x)</v>
          </cell>
          <cell r="K595" t="str">
            <v>Harga per 1 M² ……</v>
          </cell>
          <cell r="M595" t="str">
            <v>Rp.</v>
          </cell>
          <cell r="N595">
            <v>15380</v>
          </cell>
        </row>
        <row r="596">
          <cell r="B596">
            <v>589</v>
          </cell>
          <cell r="D596" t="str">
            <v>B</v>
          </cell>
          <cell r="F596" t="str">
            <v>Cat Tembok Vinilex</v>
          </cell>
          <cell r="J596" t="str">
            <v xml:space="preserve">Cat Tembok Vinilex </v>
          </cell>
          <cell r="K596">
            <v>0.17499999999999999</v>
          </cell>
          <cell r="L596" t="str">
            <v>Kg</v>
          </cell>
          <cell r="M596">
            <v>14700</v>
          </cell>
          <cell r="N596">
            <v>2572.5</v>
          </cell>
        </row>
        <row r="597">
          <cell r="B597">
            <v>590</v>
          </cell>
          <cell r="D597" t="str">
            <v>B</v>
          </cell>
          <cell r="F597" t="str">
            <v>Plamir Tembok</v>
          </cell>
          <cell r="J597" t="str">
            <v>Plamir Tembok</v>
          </cell>
          <cell r="K597">
            <v>0.16</v>
          </cell>
          <cell r="L597" t="str">
            <v>Kg</v>
          </cell>
          <cell r="M597">
            <v>10500</v>
          </cell>
          <cell r="N597">
            <v>1680</v>
          </cell>
        </row>
        <row r="598">
          <cell r="B598">
            <v>591</v>
          </cell>
          <cell r="D598" t="str">
            <v>B</v>
          </cell>
          <cell r="F598" t="str">
            <v>Rool Cat Tembok</v>
          </cell>
          <cell r="J598" t="str">
            <v>Rool Cat Tembok</v>
          </cell>
          <cell r="K598">
            <v>0.01</v>
          </cell>
          <cell r="L598" t="str">
            <v>bh</v>
          </cell>
          <cell r="M598">
            <v>25600</v>
          </cell>
          <cell r="N598">
            <v>256</v>
          </cell>
        </row>
        <row r="599">
          <cell r="B599">
            <v>592</v>
          </cell>
          <cell r="D599" t="str">
            <v>B</v>
          </cell>
          <cell r="F599" t="str">
            <v>Steger Werk</v>
          </cell>
          <cell r="J599" t="str">
            <v>Steger Werk</v>
          </cell>
          <cell r="K599">
            <v>0.5</v>
          </cell>
          <cell r="L599" t="str">
            <v>Ls</v>
          </cell>
          <cell r="M599">
            <v>1400</v>
          </cell>
          <cell r="N599">
            <v>700</v>
          </cell>
        </row>
        <row r="600">
          <cell r="B600">
            <v>593</v>
          </cell>
          <cell r="D600" t="str">
            <v>B</v>
          </cell>
          <cell r="F600" t="str">
            <v>Ampelas</v>
          </cell>
          <cell r="J600" t="str">
            <v>Ampelas</v>
          </cell>
          <cell r="K600">
            <v>0.5</v>
          </cell>
          <cell r="L600" t="str">
            <v>Lbr</v>
          </cell>
          <cell r="M600">
            <v>3360</v>
          </cell>
          <cell r="N600">
            <v>1680</v>
          </cell>
        </row>
        <row r="601">
          <cell r="B601">
            <v>594</v>
          </cell>
          <cell r="C601" t="str">
            <v>P</v>
          </cell>
          <cell r="F601" t="str">
            <v>Buruh Lapangan Agak Terlatih / Pekerja setengah Terampil</v>
          </cell>
          <cell r="J601" t="str">
            <v>Pekerja Setengah Terampil</v>
          </cell>
          <cell r="K601">
            <v>0.104</v>
          </cell>
          <cell r="L601" t="str">
            <v>Orang</v>
          </cell>
          <cell r="M601">
            <v>24500</v>
          </cell>
          <cell r="N601">
            <v>2548</v>
          </cell>
        </row>
        <row r="602">
          <cell r="B602">
            <v>595</v>
          </cell>
          <cell r="C602" t="str">
            <v>P</v>
          </cell>
          <cell r="F602" t="str">
            <v>Tukang Cat setengah terampil</v>
          </cell>
          <cell r="J602" t="str">
            <v>Tukang Cat Setengah Terampil</v>
          </cell>
          <cell r="K602">
            <v>0.182</v>
          </cell>
          <cell r="L602" t="str">
            <v>Orang</v>
          </cell>
          <cell r="M602">
            <v>28200</v>
          </cell>
          <cell r="N602">
            <v>5132.3999999999996</v>
          </cell>
        </row>
        <row r="603">
          <cell r="B603">
            <v>596</v>
          </cell>
          <cell r="C603" t="str">
            <v>P</v>
          </cell>
          <cell r="F603" t="str">
            <v>Kepala Tukang Cat</v>
          </cell>
          <cell r="J603" t="str">
            <v>Kepala Tukang Cat</v>
          </cell>
          <cell r="K603">
            <v>1.95E-2</v>
          </cell>
          <cell r="L603" t="str">
            <v>Orang</v>
          </cell>
          <cell r="M603">
            <v>30900</v>
          </cell>
          <cell r="N603">
            <v>602.54999999999995</v>
          </cell>
        </row>
        <row r="604">
          <cell r="B604">
            <v>597</v>
          </cell>
          <cell r="C604" t="str">
            <v>P</v>
          </cell>
          <cell r="F604" t="str">
            <v>Mandor Lapangan</v>
          </cell>
          <cell r="J604" t="str">
            <v>Mandor</v>
          </cell>
          <cell r="K604">
            <v>6.4999999999999997E-3</v>
          </cell>
          <cell r="L604" t="str">
            <v>Orang</v>
          </cell>
          <cell r="M604">
            <v>31800</v>
          </cell>
          <cell r="N604">
            <v>206.7</v>
          </cell>
        </row>
        <row r="605">
          <cell r="B605">
            <v>598</v>
          </cell>
          <cell r="M605" t="str">
            <v>Jumlah</v>
          </cell>
          <cell r="N605">
            <v>15378.15</v>
          </cell>
        </row>
        <row r="606">
          <cell r="B606">
            <v>599</v>
          </cell>
          <cell r="M606" t="str">
            <v>Dibulatkan</v>
          </cell>
          <cell r="N606">
            <v>15380</v>
          </cell>
        </row>
        <row r="607">
          <cell r="B607">
            <v>600</v>
          </cell>
        </row>
        <row r="608">
          <cell r="A608" t="str">
            <v>A057</v>
          </cell>
          <cell r="B608">
            <v>601</v>
          </cell>
          <cell r="H608" t="str">
            <v>A057</v>
          </cell>
          <cell r="I608" t="str">
            <v>M²</v>
          </cell>
          <cell r="J608" t="str">
            <v>PENGECETAN PLAFOND VINILEX (3 x)</v>
          </cell>
          <cell r="K608" t="str">
            <v>Harga per 1 M² ……</v>
          </cell>
          <cell r="M608" t="str">
            <v>Rp.</v>
          </cell>
          <cell r="N608">
            <v>17450</v>
          </cell>
        </row>
        <row r="609">
          <cell r="B609">
            <v>602</v>
          </cell>
          <cell r="D609" t="str">
            <v>B</v>
          </cell>
          <cell r="F609" t="str">
            <v>Cat Tembok Vinilex</v>
          </cell>
          <cell r="J609" t="str">
            <v xml:space="preserve">Cat Tembok Vinilex </v>
          </cell>
          <cell r="K609">
            <v>0.2</v>
          </cell>
          <cell r="L609" t="str">
            <v>Kg</v>
          </cell>
          <cell r="M609">
            <v>14700</v>
          </cell>
          <cell r="N609">
            <v>2940</v>
          </cell>
        </row>
        <row r="610">
          <cell r="B610">
            <v>603</v>
          </cell>
          <cell r="D610" t="str">
            <v>B</v>
          </cell>
          <cell r="F610" t="str">
            <v>Plamir Tembok</v>
          </cell>
          <cell r="J610" t="str">
            <v>Plamir Tembok</v>
          </cell>
          <cell r="K610">
            <v>0.16</v>
          </cell>
          <cell r="L610" t="str">
            <v>Kg</v>
          </cell>
          <cell r="M610">
            <v>10500</v>
          </cell>
          <cell r="N610">
            <v>1680</v>
          </cell>
        </row>
        <row r="611">
          <cell r="B611">
            <v>604</v>
          </cell>
          <cell r="D611" t="str">
            <v>B</v>
          </cell>
          <cell r="F611" t="str">
            <v>Rool Cat Tembok</v>
          </cell>
          <cell r="J611" t="str">
            <v>Rool Cat Tembok</v>
          </cell>
          <cell r="K611">
            <v>0.01</v>
          </cell>
          <cell r="L611" t="str">
            <v>bh</v>
          </cell>
          <cell r="M611">
            <v>25600</v>
          </cell>
          <cell r="N611">
            <v>256</v>
          </cell>
        </row>
        <row r="612">
          <cell r="B612">
            <v>605</v>
          </cell>
          <cell r="D612" t="str">
            <v>B</v>
          </cell>
          <cell r="F612" t="str">
            <v>Steger Werk</v>
          </cell>
          <cell r="J612" t="str">
            <v>Steger Werk</v>
          </cell>
          <cell r="K612">
            <v>1</v>
          </cell>
          <cell r="L612" t="str">
            <v>Ls</v>
          </cell>
          <cell r="M612">
            <v>1400</v>
          </cell>
          <cell r="N612">
            <v>1400</v>
          </cell>
        </row>
        <row r="613">
          <cell r="B613">
            <v>606</v>
          </cell>
          <cell r="D613" t="str">
            <v>B</v>
          </cell>
          <cell r="F613" t="str">
            <v>Ampelas</v>
          </cell>
          <cell r="J613" t="str">
            <v>Ampelas</v>
          </cell>
          <cell r="K613">
            <v>0.5</v>
          </cell>
          <cell r="L613" t="str">
            <v>Lbr</v>
          </cell>
          <cell r="M613">
            <v>3360</v>
          </cell>
          <cell r="N613">
            <v>1680</v>
          </cell>
        </row>
        <row r="614">
          <cell r="B614">
            <v>607</v>
          </cell>
          <cell r="C614" t="str">
            <v>P</v>
          </cell>
          <cell r="F614" t="str">
            <v>Buruh Lapangan Agak Terlatih / Pekerja setengah Terampil</v>
          </cell>
          <cell r="J614" t="str">
            <v>Pekerja Setengah Terampil</v>
          </cell>
          <cell r="K614">
            <v>0.13</v>
          </cell>
          <cell r="L614" t="str">
            <v xml:space="preserve">Orang </v>
          </cell>
          <cell r="M614">
            <v>24500</v>
          </cell>
          <cell r="N614">
            <v>3185</v>
          </cell>
        </row>
        <row r="615">
          <cell r="B615">
            <v>608</v>
          </cell>
          <cell r="C615" t="str">
            <v>P</v>
          </cell>
          <cell r="F615" t="str">
            <v>Tukang Cat setengah terampil</v>
          </cell>
          <cell r="J615" t="str">
            <v>Tukang Cat Setengah Terampil</v>
          </cell>
          <cell r="K615">
            <v>0.19500000000000001</v>
          </cell>
          <cell r="L615" t="str">
            <v xml:space="preserve">Orang </v>
          </cell>
          <cell r="M615">
            <v>28200</v>
          </cell>
          <cell r="N615">
            <v>5499</v>
          </cell>
        </row>
        <row r="616">
          <cell r="B616">
            <v>609</v>
          </cell>
          <cell r="C616" t="str">
            <v>P</v>
          </cell>
          <cell r="F616" t="str">
            <v>Kepala Tukang Cat</v>
          </cell>
          <cell r="J616" t="str">
            <v>Kepala Tukang Cat</v>
          </cell>
          <cell r="K616">
            <v>1.95E-2</v>
          </cell>
          <cell r="L616" t="str">
            <v xml:space="preserve">Orang </v>
          </cell>
          <cell r="M616">
            <v>30900</v>
          </cell>
          <cell r="N616">
            <v>602.54999999999995</v>
          </cell>
        </row>
        <row r="617">
          <cell r="B617">
            <v>610</v>
          </cell>
          <cell r="C617" t="str">
            <v>P</v>
          </cell>
          <cell r="F617" t="str">
            <v>Mandor Lapangan</v>
          </cell>
          <cell r="J617" t="str">
            <v>Mandor</v>
          </cell>
          <cell r="K617">
            <v>6.4999999999999997E-3</v>
          </cell>
          <cell r="L617" t="str">
            <v xml:space="preserve">Orang </v>
          </cell>
          <cell r="M617">
            <v>31800</v>
          </cell>
          <cell r="N617">
            <v>206.7</v>
          </cell>
        </row>
        <row r="618">
          <cell r="B618">
            <v>611</v>
          </cell>
          <cell r="M618" t="str">
            <v>Jumlah</v>
          </cell>
          <cell r="N618">
            <v>17449.25</v>
          </cell>
        </row>
        <row r="619">
          <cell r="B619">
            <v>612</v>
          </cell>
          <cell r="M619" t="str">
            <v>Dibulatkan</v>
          </cell>
          <cell r="N619">
            <v>17450</v>
          </cell>
        </row>
        <row r="620">
          <cell r="B620">
            <v>613</v>
          </cell>
        </row>
        <row r="621">
          <cell r="A621" t="str">
            <v>A058</v>
          </cell>
          <cell r="B621">
            <v>614</v>
          </cell>
          <cell r="H621" t="str">
            <v>A058</v>
          </cell>
          <cell r="I621" t="str">
            <v>M²</v>
          </cell>
          <cell r="J621" t="str">
            <v>PENGECETAN KAYU (3 x) BERIKUT MENI</v>
          </cell>
          <cell r="K621" t="str">
            <v>Harga per 1 M² ……</v>
          </cell>
          <cell r="M621" t="str">
            <v>Rp.</v>
          </cell>
          <cell r="N621">
            <v>30020</v>
          </cell>
        </row>
        <row r="622">
          <cell r="B622">
            <v>615</v>
          </cell>
          <cell r="D622" t="str">
            <v>B</v>
          </cell>
          <cell r="F622" t="str">
            <v>Menie Kayu / Besi</v>
          </cell>
          <cell r="J622" t="str">
            <v>Meni Kayu / Besi</v>
          </cell>
          <cell r="K622">
            <v>0.16700000000000001</v>
          </cell>
          <cell r="L622" t="str">
            <v>Kg</v>
          </cell>
          <cell r="M622">
            <v>22000</v>
          </cell>
          <cell r="N622">
            <v>3674</v>
          </cell>
        </row>
        <row r="623">
          <cell r="B623">
            <v>616</v>
          </cell>
          <cell r="D623" t="str">
            <v>B</v>
          </cell>
          <cell r="F623" t="str">
            <v>Dempul Kayu Cap Kucing</v>
          </cell>
          <cell r="J623" t="str">
            <v>Dempul Kayu Cap Kucing</v>
          </cell>
          <cell r="K623">
            <v>8.3000000000000004E-2</v>
          </cell>
          <cell r="L623" t="str">
            <v>Kg</v>
          </cell>
          <cell r="M623">
            <v>21000</v>
          </cell>
          <cell r="N623">
            <v>1743</v>
          </cell>
        </row>
        <row r="624">
          <cell r="B624">
            <v>617</v>
          </cell>
          <cell r="D624" t="str">
            <v>B</v>
          </cell>
          <cell r="F624" t="str">
            <v>Cat Kayu Glotex</v>
          </cell>
          <cell r="J624" t="str">
            <v>Cat Kayu Glotex</v>
          </cell>
          <cell r="K624">
            <v>0.2</v>
          </cell>
          <cell r="L624" t="str">
            <v>Kg</v>
          </cell>
          <cell r="M624">
            <v>30300</v>
          </cell>
          <cell r="N624">
            <v>6060</v>
          </cell>
        </row>
        <row r="625">
          <cell r="B625">
            <v>618</v>
          </cell>
          <cell r="D625" t="str">
            <v>B</v>
          </cell>
          <cell r="F625" t="str">
            <v>Ampelas</v>
          </cell>
          <cell r="J625" t="str">
            <v>Ampelas</v>
          </cell>
          <cell r="K625">
            <v>0.4</v>
          </cell>
          <cell r="L625" t="str">
            <v>Lbr</v>
          </cell>
          <cell r="M625">
            <v>3360</v>
          </cell>
          <cell r="N625">
            <v>1344</v>
          </cell>
        </row>
        <row r="626">
          <cell r="B626">
            <v>619</v>
          </cell>
          <cell r="D626" t="str">
            <v>B</v>
          </cell>
          <cell r="F626" t="str">
            <v>Terpentin</v>
          </cell>
          <cell r="J626" t="str">
            <v>Terpentin</v>
          </cell>
          <cell r="K626">
            <v>0.15</v>
          </cell>
          <cell r="L626" t="str">
            <v>Ltr</v>
          </cell>
          <cell r="M626">
            <v>13400</v>
          </cell>
          <cell r="N626">
            <v>2010</v>
          </cell>
        </row>
        <row r="627">
          <cell r="B627">
            <v>620</v>
          </cell>
          <cell r="D627" t="str">
            <v>B</v>
          </cell>
          <cell r="F627" t="str">
            <v>Kuas 3 "</v>
          </cell>
          <cell r="J627" t="str">
            <v>Kuas 3"</v>
          </cell>
          <cell r="K627">
            <v>0.05</v>
          </cell>
          <cell r="L627" t="str">
            <v>bh</v>
          </cell>
          <cell r="M627">
            <v>11700</v>
          </cell>
          <cell r="N627">
            <v>585</v>
          </cell>
        </row>
        <row r="628">
          <cell r="B628">
            <v>621</v>
          </cell>
          <cell r="C628" t="str">
            <v>P</v>
          </cell>
          <cell r="F628" t="str">
            <v>Buruh Lapangan Agak Terlatih / Pekerja setengah Terampil</v>
          </cell>
          <cell r="J628" t="str">
            <v>Pekerja Setengah Terampil</v>
          </cell>
          <cell r="K628">
            <v>0.2</v>
          </cell>
          <cell r="L628" t="str">
            <v>Orang</v>
          </cell>
          <cell r="M628">
            <v>24500</v>
          </cell>
          <cell r="N628">
            <v>4900</v>
          </cell>
        </row>
        <row r="629">
          <cell r="B629">
            <v>622</v>
          </cell>
          <cell r="C629" t="str">
            <v>P</v>
          </cell>
          <cell r="F629" t="str">
            <v>Tukang Cat setengah terampil</v>
          </cell>
          <cell r="J629" t="str">
            <v>Tukang Cat Setengah Terampil</v>
          </cell>
          <cell r="K629">
            <v>0.3</v>
          </cell>
          <cell r="L629" t="str">
            <v>Orang</v>
          </cell>
          <cell r="M629">
            <v>28200</v>
          </cell>
          <cell r="N629">
            <v>8460</v>
          </cell>
        </row>
        <row r="630">
          <cell r="B630">
            <v>623</v>
          </cell>
          <cell r="C630" t="str">
            <v>P</v>
          </cell>
          <cell r="F630" t="str">
            <v>Kepala Tukang Cat</v>
          </cell>
          <cell r="J630" t="str">
            <v>Kepala Tukang Cat</v>
          </cell>
          <cell r="K630">
            <v>0.03</v>
          </cell>
          <cell r="L630" t="str">
            <v>Orang</v>
          </cell>
          <cell r="M630">
            <v>30900</v>
          </cell>
          <cell r="N630">
            <v>927</v>
          </cell>
        </row>
        <row r="631">
          <cell r="B631">
            <v>624</v>
          </cell>
          <cell r="C631" t="str">
            <v>P</v>
          </cell>
          <cell r="F631" t="str">
            <v>Mandor Lapangan</v>
          </cell>
          <cell r="J631" t="str">
            <v>Mandor</v>
          </cell>
          <cell r="K631">
            <v>0.01</v>
          </cell>
          <cell r="L631" t="str">
            <v>Orang</v>
          </cell>
          <cell r="M631">
            <v>31800</v>
          </cell>
          <cell r="N631">
            <v>318</v>
          </cell>
        </row>
        <row r="632">
          <cell r="B632">
            <v>625</v>
          </cell>
          <cell r="M632" t="str">
            <v>Jumlah</v>
          </cell>
          <cell r="N632">
            <v>30021</v>
          </cell>
        </row>
        <row r="633">
          <cell r="B633">
            <v>626</v>
          </cell>
          <cell r="M633" t="str">
            <v>Dibulatkan</v>
          </cell>
          <cell r="N633">
            <v>30020</v>
          </cell>
        </row>
        <row r="634">
          <cell r="B634">
            <v>627</v>
          </cell>
        </row>
        <row r="635">
          <cell r="A635" t="str">
            <v>A059</v>
          </cell>
          <cell r="B635">
            <v>628</v>
          </cell>
          <cell r="H635" t="str">
            <v>A059</v>
          </cell>
          <cell r="I635" t="str">
            <v>M²</v>
          </cell>
          <cell r="J635" t="str">
            <v>PLITUR</v>
          </cell>
          <cell r="K635" t="str">
            <v>Harga per 1 M² ……</v>
          </cell>
          <cell r="M635" t="str">
            <v>Rp.</v>
          </cell>
          <cell r="N635">
            <v>29440</v>
          </cell>
        </row>
        <row r="636">
          <cell r="B636">
            <v>629</v>
          </cell>
          <cell r="D636" t="str">
            <v>B</v>
          </cell>
          <cell r="F636" t="str">
            <v>Plitur jadi</v>
          </cell>
          <cell r="J636" t="str">
            <v>Plitu Jadi</v>
          </cell>
          <cell r="K636">
            <v>0.2</v>
          </cell>
          <cell r="L636" t="str">
            <v>kg</v>
          </cell>
          <cell r="M636">
            <v>54500</v>
          </cell>
          <cell r="N636">
            <v>10900</v>
          </cell>
        </row>
        <row r="637">
          <cell r="B637">
            <v>630</v>
          </cell>
          <cell r="D637" t="str">
            <v>B</v>
          </cell>
          <cell r="F637" t="str">
            <v>Ampelas</v>
          </cell>
          <cell r="J637" t="str">
            <v>Ampelas</v>
          </cell>
          <cell r="K637">
            <v>0.4</v>
          </cell>
          <cell r="L637" t="str">
            <v>lbr</v>
          </cell>
          <cell r="M637">
            <v>3360</v>
          </cell>
          <cell r="N637">
            <v>1344</v>
          </cell>
        </row>
        <row r="638">
          <cell r="B638">
            <v>631</v>
          </cell>
          <cell r="D638" t="str">
            <v>B</v>
          </cell>
          <cell r="F638" t="str">
            <v>Terpentin</v>
          </cell>
          <cell r="J638" t="str">
            <v>Terpentin</v>
          </cell>
          <cell r="K638">
            <v>0.15</v>
          </cell>
          <cell r="L638" t="str">
            <v>ltr</v>
          </cell>
          <cell r="M638">
            <v>13400</v>
          </cell>
          <cell r="N638">
            <v>2010</v>
          </cell>
        </row>
        <row r="639">
          <cell r="B639">
            <v>632</v>
          </cell>
          <cell r="D639" t="str">
            <v>B</v>
          </cell>
          <cell r="F639" t="str">
            <v>Kuas 3 "</v>
          </cell>
          <cell r="J639" t="str">
            <v>Kuas 3"</v>
          </cell>
          <cell r="K639">
            <v>0.05</v>
          </cell>
          <cell r="L639" t="str">
            <v>bh</v>
          </cell>
          <cell r="M639">
            <v>11700</v>
          </cell>
          <cell r="N639">
            <v>585</v>
          </cell>
        </row>
        <row r="640">
          <cell r="B640">
            <v>633</v>
          </cell>
          <cell r="C640" t="str">
            <v>P</v>
          </cell>
          <cell r="F640" t="str">
            <v>Buruh Lapangan Agak Terlatih / Pekerja setengah Terampil</v>
          </cell>
          <cell r="J640" t="str">
            <v>Pekerja Setangah Terampil</v>
          </cell>
          <cell r="K640">
            <v>0.2</v>
          </cell>
          <cell r="L640" t="str">
            <v>Org</v>
          </cell>
          <cell r="M640">
            <v>24500</v>
          </cell>
          <cell r="N640">
            <v>4900</v>
          </cell>
        </row>
        <row r="641">
          <cell r="B641">
            <v>634</v>
          </cell>
          <cell r="C641" t="str">
            <v>P</v>
          </cell>
          <cell r="F641" t="str">
            <v>Tukang Cat setengah terampil</v>
          </cell>
          <cell r="J641" t="str">
            <v>Tukang Cat Setangah Terampil</v>
          </cell>
          <cell r="K641">
            <v>0.3</v>
          </cell>
          <cell r="L641" t="str">
            <v>Org</v>
          </cell>
          <cell r="M641">
            <v>28200</v>
          </cell>
          <cell r="N641">
            <v>8460</v>
          </cell>
        </row>
        <row r="642">
          <cell r="B642">
            <v>635</v>
          </cell>
          <cell r="C642" t="str">
            <v>P</v>
          </cell>
          <cell r="F642" t="str">
            <v>Kepala Tukang Cat</v>
          </cell>
          <cell r="J642" t="str">
            <v>Kepala Tukang Cat</v>
          </cell>
          <cell r="K642">
            <v>0.03</v>
          </cell>
          <cell r="L642" t="str">
            <v>Org</v>
          </cell>
          <cell r="M642">
            <v>30900</v>
          </cell>
          <cell r="N642">
            <v>927</v>
          </cell>
        </row>
        <row r="643">
          <cell r="B643">
            <v>636</v>
          </cell>
          <cell r="C643" t="str">
            <v>P</v>
          </cell>
          <cell r="F643" t="str">
            <v>Mandor Lapangan</v>
          </cell>
          <cell r="J643" t="str">
            <v>Mandor</v>
          </cell>
          <cell r="K643">
            <v>0.01</v>
          </cell>
          <cell r="L643" t="str">
            <v>Org</v>
          </cell>
          <cell r="M643">
            <v>31800</v>
          </cell>
          <cell r="N643">
            <v>318</v>
          </cell>
        </row>
        <row r="644">
          <cell r="B644">
            <v>637</v>
          </cell>
          <cell r="M644" t="str">
            <v>Jumlah</v>
          </cell>
          <cell r="N644">
            <v>29444</v>
          </cell>
        </row>
        <row r="645">
          <cell r="B645">
            <v>638</v>
          </cell>
          <cell r="M645" t="str">
            <v>Dibulatkan</v>
          </cell>
          <cell r="N645">
            <v>29440</v>
          </cell>
        </row>
        <row r="646">
          <cell r="B646">
            <v>639</v>
          </cell>
        </row>
        <row r="647">
          <cell r="A647" t="str">
            <v>A060</v>
          </cell>
          <cell r="B647">
            <v>640</v>
          </cell>
          <cell r="H647" t="str">
            <v>A060</v>
          </cell>
          <cell r="I647" t="str">
            <v>M²</v>
          </cell>
          <cell r="J647" t="str">
            <v>PENGECATAN  BESI (2 X CAT)</v>
          </cell>
          <cell r="K647" t="str">
            <v>Harga per 1 M² ……</v>
          </cell>
          <cell r="M647" t="str">
            <v>Rp.</v>
          </cell>
          <cell r="N647">
            <v>22990</v>
          </cell>
        </row>
        <row r="648">
          <cell r="B648">
            <v>641</v>
          </cell>
          <cell r="C648" t="str">
            <v>P</v>
          </cell>
          <cell r="F648" t="str">
            <v>Tukang Kepala</v>
          </cell>
          <cell r="J648" t="str">
            <v>Tukang Kepala</v>
          </cell>
          <cell r="K648">
            <v>0.02</v>
          </cell>
          <cell r="L648" t="str">
            <v>HO</v>
          </cell>
          <cell r="M648">
            <v>29100</v>
          </cell>
          <cell r="N648">
            <v>582</v>
          </cell>
        </row>
        <row r="649">
          <cell r="B649">
            <v>642</v>
          </cell>
          <cell r="C649" t="str">
            <v>P</v>
          </cell>
          <cell r="F649" t="str">
            <v>Tukang Cat (/ pelitur - terampil)</v>
          </cell>
          <cell r="J649" t="str">
            <v>Tukang Cat</v>
          </cell>
          <cell r="K649">
            <v>0.2</v>
          </cell>
          <cell r="L649" t="str">
            <v>HO</v>
          </cell>
          <cell r="M649">
            <v>30500</v>
          </cell>
          <cell r="N649">
            <v>6100</v>
          </cell>
        </row>
        <row r="650">
          <cell r="B650">
            <v>643</v>
          </cell>
          <cell r="C650" t="str">
            <v>P</v>
          </cell>
          <cell r="F650" t="str">
            <v>Mandor Lapangan</v>
          </cell>
          <cell r="J650" t="str">
            <v>Mandor Lapangan</v>
          </cell>
          <cell r="K650">
            <v>0.01</v>
          </cell>
          <cell r="L650" t="str">
            <v>HO</v>
          </cell>
          <cell r="M650">
            <v>31800</v>
          </cell>
          <cell r="N650">
            <v>318</v>
          </cell>
        </row>
        <row r="651">
          <cell r="B651">
            <v>644</v>
          </cell>
          <cell r="D651" t="str">
            <v>B</v>
          </cell>
          <cell r="F651" t="str">
            <v>Cat</v>
          </cell>
          <cell r="J651" t="str">
            <v>Cat</v>
          </cell>
          <cell r="K651">
            <v>0.13</v>
          </cell>
          <cell r="L651" t="str">
            <v>Kg</v>
          </cell>
          <cell r="M651">
            <v>35000</v>
          </cell>
          <cell r="N651">
            <v>4550</v>
          </cell>
        </row>
        <row r="652">
          <cell r="B652">
            <v>645</v>
          </cell>
          <cell r="D652" t="str">
            <v>B</v>
          </cell>
          <cell r="F652" t="str">
            <v>Cat</v>
          </cell>
          <cell r="J652" t="str">
            <v>Cat</v>
          </cell>
          <cell r="K652">
            <v>0.22</v>
          </cell>
          <cell r="L652" t="str">
            <v>Kg</v>
          </cell>
          <cell r="M652">
            <v>35000</v>
          </cell>
          <cell r="N652">
            <v>7700</v>
          </cell>
        </row>
        <row r="653">
          <cell r="B653">
            <v>646</v>
          </cell>
          <cell r="D653" t="str">
            <v>B</v>
          </cell>
          <cell r="F653" t="str">
            <v>Menie Kayu / Besi</v>
          </cell>
          <cell r="J653" t="str">
            <v>Menie</v>
          </cell>
          <cell r="K653">
            <v>0.17</v>
          </cell>
          <cell r="L653" t="str">
            <v>Kg</v>
          </cell>
          <cell r="M653">
            <v>22000</v>
          </cell>
          <cell r="N653">
            <v>3740.0000000000005</v>
          </cell>
        </row>
        <row r="654">
          <cell r="B654">
            <v>647</v>
          </cell>
          <cell r="M654" t="str">
            <v>Jumlah</v>
          </cell>
          <cell r="N654">
            <v>22990</v>
          </cell>
        </row>
        <row r="655">
          <cell r="B655">
            <v>648</v>
          </cell>
          <cell r="M655" t="str">
            <v>Dibulatkan</v>
          </cell>
          <cell r="N655">
            <v>22990</v>
          </cell>
        </row>
        <row r="656">
          <cell r="B656">
            <v>649</v>
          </cell>
        </row>
        <row r="657">
          <cell r="A657" t="str">
            <v>A061</v>
          </cell>
          <cell r="B657">
            <v>650</v>
          </cell>
          <cell r="H657" t="str">
            <v>A061</v>
          </cell>
          <cell r="I657" t="str">
            <v>M²</v>
          </cell>
          <cell r="J657" t="str">
            <v>PENGECATAN (UNTUK JEMBATAN 2 X CAT)</v>
          </cell>
          <cell r="K657" t="str">
            <v>Harga per 1 M² ……</v>
          </cell>
          <cell r="M657" t="str">
            <v>Rp.</v>
          </cell>
          <cell r="N657">
            <v>25580</v>
          </cell>
        </row>
        <row r="658">
          <cell r="B658">
            <v>651</v>
          </cell>
          <cell r="C658" t="str">
            <v>P</v>
          </cell>
          <cell r="F658" t="str">
            <v>Tukang Kepala</v>
          </cell>
          <cell r="J658" t="str">
            <v>Tukang Kepala</v>
          </cell>
          <cell r="K658">
            <v>0.02</v>
          </cell>
          <cell r="L658" t="str">
            <v>HO</v>
          </cell>
          <cell r="M658">
            <v>29100</v>
          </cell>
          <cell r="N658">
            <v>582</v>
          </cell>
        </row>
        <row r="659">
          <cell r="B659">
            <v>652</v>
          </cell>
          <cell r="C659" t="str">
            <v>P</v>
          </cell>
          <cell r="F659" t="str">
            <v>Tukang Cat (/ pelitur - terampil)</v>
          </cell>
          <cell r="J659" t="str">
            <v>Tukang Cat</v>
          </cell>
          <cell r="K659">
            <v>0.2</v>
          </cell>
          <cell r="L659" t="str">
            <v>HO</v>
          </cell>
          <cell r="M659">
            <v>30500</v>
          </cell>
          <cell r="N659">
            <v>6100</v>
          </cell>
        </row>
        <row r="660">
          <cell r="B660">
            <v>653</v>
          </cell>
          <cell r="C660" t="str">
            <v>P</v>
          </cell>
          <cell r="F660" t="str">
            <v>Mandor Lapangan</v>
          </cell>
          <cell r="J660" t="str">
            <v>Mandor Lapangan</v>
          </cell>
          <cell r="K660">
            <v>0.01</v>
          </cell>
          <cell r="L660" t="str">
            <v>HO</v>
          </cell>
          <cell r="M660">
            <v>31800</v>
          </cell>
          <cell r="N660">
            <v>318</v>
          </cell>
        </row>
        <row r="661">
          <cell r="B661">
            <v>654</v>
          </cell>
          <cell r="D661" t="str">
            <v>B</v>
          </cell>
          <cell r="F661" t="str">
            <v>Cat (untuk besi profil)</v>
          </cell>
          <cell r="J661" t="str">
            <v>Cat (untuk Besi Profil)</v>
          </cell>
          <cell r="K661">
            <v>0.13</v>
          </cell>
          <cell r="L661" t="str">
            <v>Kg</v>
          </cell>
          <cell r="M661">
            <v>40910</v>
          </cell>
          <cell r="N661">
            <v>5318.3</v>
          </cell>
        </row>
        <row r="662">
          <cell r="B662">
            <v>655</v>
          </cell>
          <cell r="D662" t="str">
            <v>B</v>
          </cell>
          <cell r="F662" t="str">
            <v>Cat (untuk besi profil)</v>
          </cell>
          <cell r="J662" t="str">
            <v>Cat (untuk Besi Profil)</v>
          </cell>
          <cell r="K662">
            <v>0.22</v>
          </cell>
          <cell r="L662" t="str">
            <v>Kg</v>
          </cell>
          <cell r="M662">
            <v>40910</v>
          </cell>
          <cell r="N662">
            <v>9000.2000000000007</v>
          </cell>
        </row>
        <row r="663">
          <cell r="B663">
            <v>656</v>
          </cell>
          <cell r="D663" t="str">
            <v>B</v>
          </cell>
          <cell r="F663" t="str">
            <v>Menie Kayu / Besi</v>
          </cell>
          <cell r="J663" t="str">
            <v>Menie</v>
          </cell>
          <cell r="K663">
            <v>0.17</v>
          </cell>
          <cell r="L663" t="str">
            <v>Kg</v>
          </cell>
          <cell r="M663">
            <v>22000</v>
          </cell>
          <cell r="N663">
            <v>3740.0000000000005</v>
          </cell>
        </row>
        <row r="664">
          <cell r="B664">
            <v>657</v>
          </cell>
          <cell r="D664" t="str">
            <v>B</v>
          </cell>
          <cell r="F664" t="str">
            <v>Alat bantu</v>
          </cell>
          <cell r="J664" t="str">
            <v>Alat Bantu</v>
          </cell>
          <cell r="K664">
            <v>0.01</v>
          </cell>
          <cell r="L664" t="str">
            <v>set</v>
          </cell>
          <cell r="M664">
            <v>52000</v>
          </cell>
          <cell r="N664">
            <v>520</v>
          </cell>
        </row>
        <row r="665">
          <cell r="B665">
            <v>658</v>
          </cell>
          <cell r="M665" t="str">
            <v>Jumlah</v>
          </cell>
          <cell r="N665">
            <v>25578.5</v>
          </cell>
        </row>
        <row r="666">
          <cell r="B666">
            <v>659</v>
          </cell>
          <cell r="M666" t="str">
            <v>Dibulatkan</v>
          </cell>
          <cell r="N666">
            <v>25580</v>
          </cell>
        </row>
        <row r="667">
          <cell r="B667">
            <v>660</v>
          </cell>
        </row>
        <row r="668">
          <cell r="A668" t="str">
            <v>A062</v>
          </cell>
          <cell r="B668">
            <v>661</v>
          </cell>
          <cell r="H668" t="str">
            <v>A062</v>
          </cell>
          <cell r="I668" t="str">
            <v>M²</v>
          </cell>
          <cell r="J668" t="str">
            <v>PAS RANGKA PLAFOND KAYU BORNEO SUPER (HANYA RANGKA)</v>
          </cell>
          <cell r="K668" t="str">
            <v>Harga per 1 M² ……</v>
          </cell>
          <cell r="M668" t="str">
            <v>Rp.</v>
          </cell>
          <cell r="N668">
            <v>69960</v>
          </cell>
        </row>
        <row r="669">
          <cell r="B669">
            <v>662</v>
          </cell>
          <cell r="D669" t="str">
            <v>B</v>
          </cell>
          <cell r="F669" t="str">
            <v>Kayu Balok Borneo Super</v>
          </cell>
          <cell r="J669" t="str">
            <v>Kaso - kaso 5/7 Borneo Super</v>
          </cell>
          <cell r="K669">
            <v>1.4E-2</v>
          </cell>
          <cell r="L669" t="str">
            <v>M3</v>
          </cell>
          <cell r="M669">
            <v>2621000</v>
          </cell>
          <cell r="N669">
            <v>36694</v>
          </cell>
        </row>
        <row r="670">
          <cell r="B670">
            <v>663</v>
          </cell>
          <cell r="D670" t="str">
            <v>B</v>
          </cell>
          <cell r="F670" t="str">
            <v>Kayu Balok Borneo Super</v>
          </cell>
          <cell r="J670" t="str">
            <v>Kayu 5/10 Borneo Super</v>
          </cell>
          <cell r="K670">
            <v>7.0000000000000001E-3</v>
          </cell>
          <cell r="L670" t="str">
            <v>M3</v>
          </cell>
          <cell r="M670">
            <v>2621000</v>
          </cell>
          <cell r="N670">
            <v>18347</v>
          </cell>
        </row>
        <row r="671">
          <cell r="B671">
            <v>664</v>
          </cell>
          <cell r="D671" t="str">
            <v>B</v>
          </cell>
          <cell r="F671" t="str">
            <v>Paku 5 - 7 cm</v>
          </cell>
          <cell r="J671" t="str">
            <v>Paku 5 - 7</v>
          </cell>
          <cell r="K671">
            <v>0.22</v>
          </cell>
          <cell r="L671" t="str">
            <v>Kg</v>
          </cell>
          <cell r="M671">
            <v>10550</v>
          </cell>
          <cell r="N671">
            <v>2321</v>
          </cell>
        </row>
        <row r="672">
          <cell r="B672">
            <v>665</v>
          </cell>
          <cell r="C672" t="str">
            <v>P</v>
          </cell>
          <cell r="F672" t="str">
            <v>Buruh Lapangan Agak Terlatih / Pekerja setengah Terampil</v>
          </cell>
          <cell r="J672" t="str">
            <v>Pekerja Setengah Terampil</v>
          </cell>
          <cell r="K672">
            <v>0.1875</v>
          </cell>
          <cell r="L672" t="str">
            <v xml:space="preserve">Orang </v>
          </cell>
          <cell r="M672">
            <v>24500</v>
          </cell>
          <cell r="N672">
            <v>4593.75</v>
          </cell>
        </row>
        <row r="673">
          <cell r="B673">
            <v>666</v>
          </cell>
          <cell r="C673" t="str">
            <v>P</v>
          </cell>
          <cell r="F673" t="str">
            <v>Tukang Kayu (terampil)</v>
          </cell>
          <cell r="J673" t="str">
            <v>Tukang Kayu Terampil</v>
          </cell>
          <cell r="K673">
            <v>0.22500000000000001</v>
          </cell>
          <cell r="L673" t="str">
            <v xml:space="preserve">Orang </v>
          </cell>
          <cell r="M673">
            <v>29100</v>
          </cell>
          <cell r="N673">
            <v>6547.5</v>
          </cell>
        </row>
        <row r="674">
          <cell r="B674">
            <v>667</v>
          </cell>
          <cell r="C674" t="str">
            <v>P</v>
          </cell>
          <cell r="F674" t="str">
            <v>Kepala Tukang Kayu</v>
          </cell>
          <cell r="J674" t="str">
            <v>Kepala Tukang Kayu</v>
          </cell>
          <cell r="K674">
            <v>3.7499999999999999E-2</v>
          </cell>
          <cell r="L674" t="str">
            <v xml:space="preserve">Orang </v>
          </cell>
          <cell r="M674">
            <v>30000</v>
          </cell>
          <cell r="N674">
            <v>1125</v>
          </cell>
        </row>
        <row r="675">
          <cell r="B675">
            <v>668</v>
          </cell>
          <cell r="C675" t="str">
            <v>P</v>
          </cell>
          <cell r="F675" t="str">
            <v>Mandor Lapangan</v>
          </cell>
          <cell r="J675" t="str">
            <v>Mandor</v>
          </cell>
          <cell r="K675">
            <v>1.0500000000000001E-2</v>
          </cell>
          <cell r="L675" t="str">
            <v xml:space="preserve">Orang </v>
          </cell>
          <cell r="M675">
            <v>31800</v>
          </cell>
          <cell r="N675">
            <v>333.90000000000003</v>
          </cell>
        </row>
        <row r="676">
          <cell r="B676">
            <v>669</v>
          </cell>
          <cell r="M676" t="str">
            <v>Jumlah</v>
          </cell>
          <cell r="N676">
            <v>69962.149999999994</v>
          </cell>
        </row>
        <row r="677">
          <cell r="B677">
            <v>670</v>
          </cell>
          <cell r="M677" t="str">
            <v>Dibulatkan</v>
          </cell>
          <cell r="N677">
            <v>69960</v>
          </cell>
        </row>
        <row r="678">
          <cell r="B678">
            <v>671</v>
          </cell>
        </row>
        <row r="679">
          <cell r="A679" t="str">
            <v>A063</v>
          </cell>
          <cell r="B679">
            <v>672</v>
          </cell>
          <cell r="H679" t="str">
            <v>A063</v>
          </cell>
          <cell r="I679" t="str">
            <v>M²</v>
          </cell>
          <cell r="J679" t="str">
            <v>PAS. RANGKA PLAFOND KAYU KAMPER MEDAN HANYA RANGKA</v>
          </cell>
          <cell r="K679" t="str">
            <v>Harga per 1 M² ……</v>
          </cell>
          <cell r="M679" t="str">
            <v>Rp.</v>
          </cell>
          <cell r="N679">
            <v>100560</v>
          </cell>
        </row>
        <row r="680">
          <cell r="B680">
            <v>673</v>
          </cell>
          <cell r="D680" t="str">
            <v>B</v>
          </cell>
          <cell r="F680" t="str">
            <v>Kayu Balok Kamper Medan (Kruing)</v>
          </cell>
          <cell r="J680" t="str">
            <v xml:space="preserve">Kaso - kaso 5/7 Kamper Medan </v>
          </cell>
          <cell r="K680">
            <v>1.4E-2</v>
          </cell>
          <cell r="L680" t="str">
            <v>M3</v>
          </cell>
          <cell r="M680">
            <v>4078000</v>
          </cell>
          <cell r="N680">
            <v>57092</v>
          </cell>
        </row>
        <row r="681">
          <cell r="B681">
            <v>674</v>
          </cell>
          <cell r="D681" t="str">
            <v>B</v>
          </cell>
          <cell r="F681" t="str">
            <v>Kayu Balok Kamper Medan (Kruing)</v>
          </cell>
          <cell r="J681" t="str">
            <v xml:space="preserve">Kayu 5/10 Kamper Medan </v>
          </cell>
          <cell r="K681">
            <v>7.0000000000000001E-3</v>
          </cell>
          <cell r="L681" t="str">
            <v>M3</v>
          </cell>
          <cell r="M681">
            <v>4078000</v>
          </cell>
          <cell r="N681">
            <v>28546</v>
          </cell>
        </row>
        <row r="682">
          <cell r="B682">
            <v>675</v>
          </cell>
          <cell r="D682" t="str">
            <v>B</v>
          </cell>
          <cell r="F682" t="str">
            <v>Paku 5 - 7 cm</v>
          </cell>
          <cell r="J682" t="str">
            <v>Paku 5 - 7</v>
          </cell>
          <cell r="K682">
            <v>0.22</v>
          </cell>
          <cell r="L682" t="str">
            <v>Kg</v>
          </cell>
          <cell r="M682">
            <v>10550</v>
          </cell>
          <cell r="N682">
            <v>2321</v>
          </cell>
        </row>
        <row r="683">
          <cell r="B683">
            <v>676</v>
          </cell>
          <cell r="C683" t="str">
            <v>P</v>
          </cell>
          <cell r="F683" t="str">
            <v>Buruh Lapangan Agak Terlatih / Pekerja setengah Terampil</v>
          </cell>
          <cell r="J683" t="str">
            <v>Pekerja Setengah Terampil</v>
          </cell>
          <cell r="K683">
            <v>0.1875</v>
          </cell>
          <cell r="L683" t="str">
            <v>Orang</v>
          </cell>
          <cell r="M683">
            <v>24500</v>
          </cell>
          <cell r="N683">
            <v>4593.75</v>
          </cell>
        </row>
        <row r="684">
          <cell r="B684">
            <v>677</v>
          </cell>
          <cell r="C684" t="str">
            <v>P</v>
          </cell>
          <cell r="F684" t="str">
            <v>Tukang Kayu (terampil)</v>
          </cell>
          <cell r="J684" t="str">
            <v>Tukang Kayu Terampil</v>
          </cell>
          <cell r="K684">
            <v>0.22500000000000001</v>
          </cell>
          <cell r="L684" t="str">
            <v>Orang</v>
          </cell>
          <cell r="M684">
            <v>29100</v>
          </cell>
          <cell r="N684">
            <v>6547.5</v>
          </cell>
        </row>
        <row r="685">
          <cell r="B685">
            <v>678</v>
          </cell>
          <cell r="C685" t="str">
            <v>P</v>
          </cell>
          <cell r="F685" t="str">
            <v>Kepala Tukang Kayu</v>
          </cell>
          <cell r="J685" t="str">
            <v xml:space="preserve">Kepala Tukang Kayu </v>
          </cell>
          <cell r="K685">
            <v>3.7499999999999999E-2</v>
          </cell>
          <cell r="L685" t="str">
            <v>Orang</v>
          </cell>
          <cell r="M685">
            <v>30000</v>
          </cell>
          <cell r="N685">
            <v>1125</v>
          </cell>
        </row>
        <row r="686">
          <cell r="B686">
            <v>679</v>
          </cell>
          <cell r="C686" t="str">
            <v>P</v>
          </cell>
          <cell r="F686" t="str">
            <v>Mandor Lapangan</v>
          </cell>
          <cell r="J686" t="str">
            <v>Mandor</v>
          </cell>
          <cell r="K686">
            <v>1.0500000000000001E-2</v>
          </cell>
          <cell r="L686" t="str">
            <v>Orang</v>
          </cell>
          <cell r="M686">
            <v>31800</v>
          </cell>
          <cell r="N686">
            <v>333.90000000000003</v>
          </cell>
        </row>
        <row r="687">
          <cell r="B687">
            <v>680</v>
          </cell>
          <cell r="M687" t="str">
            <v>Jumlah</v>
          </cell>
          <cell r="N687">
            <v>100559.15</v>
          </cell>
        </row>
        <row r="688">
          <cell r="B688">
            <v>681</v>
          </cell>
          <cell r="M688" t="str">
            <v>Dibulatkan</v>
          </cell>
          <cell r="N688">
            <v>100560</v>
          </cell>
        </row>
        <row r="689">
          <cell r="B689">
            <v>682</v>
          </cell>
        </row>
        <row r="690">
          <cell r="A690" t="str">
            <v>A064</v>
          </cell>
          <cell r="B690">
            <v>683</v>
          </cell>
          <cell r="H690" t="str">
            <v>A064</v>
          </cell>
          <cell r="I690" t="str">
            <v>M²</v>
          </cell>
          <cell r="J690" t="str">
            <v>PAS. BAHAN PLAFOND ASBES 4 mm (1 x 1) PADA RANGKANYA</v>
          </cell>
          <cell r="K690" t="str">
            <v>Harga per 1 M² ……</v>
          </cell>
          <cell r="M690" t="str">
            <v>Rp.</v>
          </cell>
          <cell r="N690">
            <v>19450</v>
          </cell>
        </row>
        <row r="691">
          <cell r="B691">
            <v>684</v>
          </cell>
          <cell r="D691" t="str">
            <v>B</v>
          </cell>
          <cell r="F691" t="str">
            <v>Bahan Plafond Asbes Semen 4 mm</v>
          </cell>
          <cell r="J691" t="str">
            <v>Bahan Plafond Asbes Semen 4 mm</v>
          </cell>
          <cell r="K691">
            <v>1.1000000000000001</v>
          </cell>
          <cell r="L691" t="str">
            <v>M2</v>
          </cell>
          <cell r="M691">
            <v>12700</v>
          </cell>
          <cell r="N691">
            <v>13970.000000000002</v>
          </cell>
        </row>
        <row r="692">
          <cell r="B692">
            <v>685</v>
          </cell>
          <cell r="D692" t="str">
            <v>B</v>
          </cell>
          <cell r="F692" t="str">
            <v>Paku 1 cm s.d 3 cm</v>
          </cell>
          <cell r="J692" t="str">
            <v>Paku 1 cm s.d 3 cm</v>
          </cell>
          <cell r="K692">
            <v>0.02</v>
          </cell>
          <cell r="L692" t="str">
            <v>Kg</v>
          </cell>
          <cell r="M692">
            <v>14200</v>
          </cell>
          <cell r="N692">
            <v>284</v>
          </cell>
        </row>
        <row r="693">
          <cell r="B693">
            <v>686</v>
          </cell>
          <cell r="C693" t="str">
            <v>P</v>
          </cell>
          <cell r="F693" t="str">
            <v>Buruh Lapangan Agak Terlatih / Pekerja setengah Terampil</v>
          </cell>
          <cell r="J693" t="str">
            <v>Pekerja Setengah Terampil</v>
          </cell>
          <cell r="K693">
            <v>4.7300000000000002E-2</v>
          </cell>
          <cell r="L693" t="str">
            <v>Orang</v>
          </cell>
          <cell r="M693">
            <v>24500</v>
          </cell>
          <cell r="N693">
            <v>1158.8500000000001</v>
          </cell>
        </row>
        <row r="694">
          <cell r="B694">
            <v>687</v>
          </cell>
          <cell r="C694" t="str">
            <v>P</v>
          </cell>
          <cell r="F694" t="str">
            <v>Tukang Kayu (terampil)</v>
          </cell>
          <cell r="J694" t="str">
            <v>Tukang Kayu Terampil</v>
          </cell>
          <cell r="K694">
            <v>0.1125</v>
          </cell>
          <cell r="L694" t="str">
            <v>Orang</v>
          </cell>
          <cell r="M694">
            <v>29100</v>
          </cell>
          <cell r="N694">
            <v>3273.75</v>
          </cell>
        </row>
        <row r="695">
          <cell r="B695">
            <v>688</v>
          </cell>
          <cell r="C695" t="str">
            <v>P</v>
          </cell>
          <cell r="F695" t="str">
            <v>Kepala Tukang Kayu</v>
          </cell>
          <cell r="J695" t="str">
            <v>Kepala Tukang Kayu</v>
          </cell>
          <cell r="K695">
            <v>9.7999999999999997E-3</v>
          </cell>
          <cell r="L695" t="str">
            <v>Orang</v>
          </cell>
          <cell r="M695">
            <v>30000</v>
          </cell>
          <cell r="N695">
            <v>294</v>
          </cell>
        </row>
        <row r="696">
          <cell r="B696">
            <v>689</v>
          </cell>
          <cell r="C696" t="str">
            <v>P</v>
          </cell>
          <cell r="F696" t="str">
            <v>Mandor Lapangan</v>
          </cell>
          <cell r="J696" t="str">
            <v>Mandor</v>
          </cell>
          <cell r="K696">
            <v>3.0000000000000001E-3</v>
          </cell>
          <cell r="L696" t="str">
            <v>Orang</v>
          </cell>
          <cell r="M696">
            <v>31800</v>
          </cell>
          <cell r="N696">
            <v>95.4</v>
          </cell>
        </row>
        <row r="697">
          <cell r="B697">
            <v>690</v>
          </cell>
          <cell r="J697" t="str">
            <v>Paralatan</v>
          </cell>
          <cell r="K697">
            <v>0.75</v>
          </cell>
          <cell r="L697" t="str">
            <v>Ls</v>
          </cell>
          <cell r="M697">
            <v>500</v>
          </cell>
          <cell r="N697">
            <v>375</v>
          </cell>
        </row>
        <row r="698">
          <cell r="B698">
            <v>691</v>
          </cell>
          <cell r="M698" t="str">
            <v>Jumlah</v>
          </cell>
          <cell r="N698">
            <v>19451.000000000004</v>
          </cell>
        </row>
        <row r="699">
          <cell r="B699">
            <v>692</v>
          </cell>
          <cell r="M699" t="str">
            <v>Dibulatkan</v>
          </cell>
          <cell r="N699">
            <v>19450</v>
          </cell>
        </row>
        <row r="700">
          <cell r="B700">
            <v>693</v>
          </cell>
        </row>
        <row r="701">
          <cell r="A701" t="str">
            <v>A064a</v>
          </cell>
          <cell r="B701">
            <v>694</v>
          </cell>
          <cell r="H701" t="str">
            <v>A064a</v>
          </cell>
          <cell r="I701" t="str">
            <v>M²</v>
          </cell>
          <cell r="J701" t="str">
            <v>PAS. BAHAN PLAFOND GYPSUM 9 mm (1 x 1) PADA RANGKANYA</v>
          </cell>
          <cell r="K701" t="str">
            <v>Harga per 1 M² ……</v>
          </cell>
          <cell r="M701" t="str">
            <v>Rp.</v>
          </cell>
          <cell r="N701">
            <v>26410</v>
          </cell>
        </row>
        <row r="702">
          <cell r="B702">
            <v>695</v>
          </cell>
          <cell r="D702" t="str">
            <v>B</v>
          </cell>
          <cell r="F702" t="str">
            <v>GYPSUM uk. 1200 x 2400 x 9 mm</v>
          </cell>
          <cell r="J702" t="str">
            <v>Bahan Plafond Gypsum 9 mm</v>
          </cell>
          <cell r="K702">
            <v>0.38</v>
          </cell>
          <cell r="L702" t="str">
            <v>Lbr</v>
          </cell>
          <cell r="M702">
            <v>52000</v>
          </cell>
          <cell r="N702">
            <v>19760</v>
          </cell>
        </row>
        <row r="703">
          <cell r="B703">
            <v>696</v>
          </cell>
          <cell r="D703" t="str">
            <v>B</v>
          </cell>
          <cell r="F703" t="str">
            <v>Compound</v>
          </cell>
          <cell r="J703" t="str">
            <v>Compound</v>
          </cell>
          <cell r="K703">
            <v>0.05</v>
          </cell>
          <cell r="L703" t="str">
            <v>zak</v>
          </cell>
          <cell r="M703">
            <v>23300</v>
          </cell>
          <cell r="N703">
            <v>1165</v>
          </cell>
        </row>
        <row r="704">
          <cell r="B704">
            <v>697</v>
          </cell>
          <cell r="D704" t="str">
            <v>B</v>
          </cell>
          <cell r="F704" t="str">
            <v>Paku 1 cm s.d 3 cm</v>
          </cell>
          <cell r="J704" t="str">
            <v>Paku 1 cm s.d 3 cm</v>
          </cell>
          <cell r="K704">
            <v>0.02</v>
          </cell>
          <cell r="L704" t="str">
            <v>Kg</v>
          </cell>
          <cell r="M704">
            <v>14200</v>
          </cell>
          <cell r="N704">
            <v>284</v>
          </cell>
        </row>
        <row r="705">
          <cell r="B705">
            <v>698</v>
          </cell>
          <cell r="C705" t="str">
            <v>P</v>
          </cell>
          <cell r="F705" t="str">
            <v>Buruh Lapangan Agak Terlatih / Pekerja setengah Terampil</v>
          </cell>
          <cell r="J705" t="str">
            <v>Pekerja Setengah Terampil</v>
          </cell>
          <cell r="K705">
            <v>4.7300000000000002E-2</v>
          </cell>
          <cell r="L705" t="str">
            <v>Orang</v>
          </cell>
          <cell r="M705">
            <v>24500</v>
          </cell>
          <cell r="N705">
            <v>1158.8500000000001</v>
          </cell>
        </row>
        <row r="706">
          <cell r="B706">
            <v>699</v>
          </cell>
          <cell r="C706" t="str">
            <v>P</v>
          </cell>
          <cell r="F706" t="str">
            <v>Tukang Kayu (terampil)</v>
          </cell>
          <cell r="J706" t="str">
            <v>Tukang Kayu Terampil</v>
          </cell>
          <cell r="K706">
            <v>0.1125</v>
          </cell>
          <cell r="L706" t="str">
            <v>Orang</v>
          </cell>
          <cell r="M706">
            <v>29100</v>
          </cell>
          <cell r="N706">
            <v>3273.75</v>
          </cell>
        </row>
        <row r="707">
          <cell r="B707">
            <v>700</v>
          </cell>
          <cell r="C707" t="str">
            <v>P</v>
          </cell>
          <cell r="F707" t="str">
            <v>Kepala Tukang Kayu</v>
          </cell>
          <cell r="J707" t="str">
            <v>Kepala Tukang Kayu</v>
          </cell>
          <cell r="K707">
            <v>9.7999999999999997E-3</v>
          </cell>
          <cell r="L707" t="str">
            <v>Orang</v>
          </cell>
          <cell r="M707">
            <v>30000</v>
          </cell>
          <cell r="N707">
            <v>294</v>
          </cell>
        </row>
        <row r="708">
          <cell r="B708">
            <v>701</v>
          </cell>
          <cell r="C708" t="str">
            <v>P</v>
          </cell>
          <cell r="F708" t="str">
            <v>Mandor Lapangan</v>
          </cell>
          <cell r="J708" t="str">
            <v>Mandor</v>
          </cell>
          <cell r="K708">
            <v>3.0000000000000001E-3</v>
          </cell>
          <cell r="L708" t="str">
            <v>Orang</v>
          </cell>
          <cell r="M708">
            <v>31800</v>
          </cell>
          <cell r="N708">
            <v>95.4</v>
          </cell>
        </row>
        <row r="709">
          <cell r="B709">
            <v>702</v>
          </cell>
          <cell r="J709" t="str">
            <v>Paralatan</v>
          </cell>
          <cell r="K709">
            <v>0.75</v>
          </cell>
          <cell r="L709" t="str">
            <v>Ls</v>
          </cell>
          <cell r="M709">
            <v>500</v>
          </cell>
          <cell r="N709">
            <v>375</v>
          </cell>
        </row>
        <row r="710">
          <cell r="B710">
            <v>703</v>
          </cell>
          <cell r="M710" t="str">
            <v>Jumlah</v>
          </cell>
          <cell r="N710">
            <v>26406</v>
          </cell>
        </row>
        <row r="711">
          <cell r="B711">
            <v>704</v>
          </cell>
          <cell r="M711" t="str">
            <v>Dibulatkan</v>
          </cell>
          <cell r="N711">
            <v>26410</v>
          </cell>
        </row>
        <row r="712">
          <cell r="B712">
            <v>705</v>
          </cell>
        </row>
        <row r="713">
          <cell r="A713" t="str">
            <v>A065</v>
          </cell>
          <cell r="B713">
            <v>706</v>
          </cell>
          <cell r="H713" t="str">
            <v>A065</v>
          </cell>
          <cell r="I713" t="str">
            <v>M²</v>
          </cell>
          <cell r="J713" t="str">
            <v>PAS. BAHAN PLAFOND TRIPLEK 4 mm (1 x 1) PADA RANGKANYA</v>
          </cell>
          <cell r="K713" t="str">
            <v>Harga per 1 M² ……</v>
          </cell>
          <cell r="M713" t="str">
            <v>Rp.</v>
          </cell>
          <cell r="N713">
            <v>25890</v>
          </cell>
        </row>
        <row r="714">
          <cell r="B714">
            <v>707</v>
          </cell>
          <cell r="D714" t="str">
            <v>B</v>
          </cell>
          <cell r="F714" t="str">
            <v>Tripleks tebal 4 mm uk. 120 x 240</v>
          </cell>
          <cell r="J714" t="str">
            <v>Bahan Plafond Triplek  4 mm</v>
          </cell>
          <cell r="K714">
            <v>0.38</v>
          </cell>
          <cell r="L714" t="str">
            <v>Lbr</v>
          </cell>
          <cell r="M714">
            <v>53700</v>
          </cell>
          <cell r="N714">
            <v>20406</v>
          </cell>
        </row>
        <row r="715">
          <cell r="B715">
            <v>708</v>
          </cell>
          <cell r="D715" t="str">
            <v>B</v>
          </cell>
          <cell r="F715" t="str">
            <v>Paku 1 cm s.d 3 cm</v>
          </cell>
          <cell r="J715" t="str">
            <v>Paku 1 cm s.d 3 cm</v>
          </cell>
          <cell r="K715">
            <v>0.02</v>
          </cell>
          <cell r="L715" t="str">
            <v>Kg</v>
          </cell>
          <cell r="M715">
            <v>14200</v>
          </cell>
          <cell r="N715">
            <v>284</v>
          </cell>
        </row>
        <row r="716">
          <cell r="B716">
            <v>709</v>
          </cell>
          <cell r="C716" t="str">
            <v>P</v>
          </cell>
          <cell r="F716" t="str">
            <v>Buruh Lapangan Agak Terlatih / Pekerja setengah Terampil</v>
          </cell>
          <cell r="J716" t="str">
            <v>Pekerja Setengah Terampil</v>
          </cell>
          <cell r="K716">
            <v>4.7300000000000002E-2</v>
          </cell>
          <cell r="L716" t="str">
            <v>Orang</v>
          </cell>
          <cell r="M716">
            <v>24500</v>
          </cell>
          <cell r="N716">
            <v>1158.8500000000001</v>
          </cell>
        </row>
        <row r="717">
          <cell r="B717">
            <v>710</v>
          </cell>
          <cell r="C717" t="str">
            <v>P</v>
          </cell>
          <cell r="F717" t="str">
            <v>Tukang Kayu (terampil)</v>
          </cell>
          <cell r="J717" t="str">
            <v>Tukang Kayu Terampil</v>
          </cell>
          <cell r="K717">
            <v>0.1125</v>
          </cell>
          <cell r="L717" t="str">
            <v>Orang</v>
          </cell>
          <cell r="M717">
            <v>29100</v>
          </cell>
          <cell r="N717">
            <v>3273.75</v>
          </cell>
        </row>
        <row r="718">
          <cell r="B718">
            <v>711</v>
          </cell>
          <cell r="C718" t="str">
            <v>P</v>
          </cell>
          <cell r="F718" t="str">
            <v>Kepala Tukang Kayu</v>
          </cell>
          <cell r="J718" t="str">
            <v>Kepala Tukang Kayu</v>
          </cell>
          <cell r="K718">
            <v>9.7999999999999997E-3</v>
          </cell>
          <cell r="L718" t="str">
            <v>Orang</v>
          </cell>
          <cell r="M718">
            <v>30000</v>
          </cell>
          <cell r="N718">
            <v>294</v>
          </cell>
        </row>
        <row r="719">
          <cell r="B719">
            <v>712</v>
          </cell>
          <cell r="C719" t="str">
            <v>P</v>
          </cell>
          <cell r="F719" t="str">
            <v>Mandor Lapangan</v>
          </cell>
          <cell r="J719" t="str">
            <v>Mandor</v>
          </cell>
          <cell r="K719">
            <v>3.0000000000000001E-3</v>
          </cell>
          <cell r="L719" t="str">
            <v>Orang</v>
          </cell>
          <cell r="M719">
            <v>31800</v>
          </cell>
          <cell r="N719">
            <v>95.4</v>
          </cell>
        </row>
        <row r="720">
          <cell r="B720">
            <v>713</v>
          </cell>
          <cell r="J720" t="str">
            <v>Paralatan</v>
          </cell>
          <cell r="K720">
            <v>0.75</v>
          </cell>
          <cell r="L720" t="str">
            <v>Ls</v>
          </cell>
          <cell r="M720">
            <v>500</v>
          </cell>
          <cell r="N720">
            <v>375</v>
          </cell>
        </row>
        <row r="721">
          <cell r="B721">
            <v>714</v>
          </cell>
          <cell r="M721" t="str">
            <v>Jumlah</v>
          </cell>
          <cell r="N721">
            <v>25887</v>
          </cell>
        </row>
        <row r="722">
          <cell r="B722">
            <v>715</v>
          </cell>
          <cell r="M722" t="str">
            <v>Dibulatkan</v>
          </cell>
          <cell r="N722">
            <v>25890</v>
          </cell>
        </row>
        <row r="723">
          <cell r="B723">
            <v>716</v>
          </cell>
        </row>
        <row r="724">
          <cell r="A724" t="str">
            <v>A066</v>
          </cell>
          <cell r="B724">
            <v>717</v>
          </cell>
          <cell r="H724" t="str">
            <v>A066</v>
          </cell>
          <cell r="I724" t="str">
            <v>M²</v>
          </cell>
          <cell r="J724" t="str">
            <v>PAS. BAHAN PLAFOND GRC 4 mm (1 x 1) PADA RANGKANYA</v>
          </cell>
          <cell r="K724" t="str">
            <v>Harga per 1 M² ……</v>
          </cell>
          <cell r="M724" t="str">
            <v>Rp.</v>
          </cell>
          <cell r="N724">
            <v>25890</v>
          </cell>
        </row>
        <row r="725">
          <cell r="B725">
            <v>718</v>
          </cell>
          <cell r="D725" t="str">
            <v>B</v>
          </cell>
          <cell r="F725" t="str">
            <v>Tripleks tebal 4 mm uk. 120 x 240</v>
          </cell>
          <cell r="J725" t="str">
            <v>Bahan Plafond GRC 4 mm</v>
          </cell>
          <cell r="K725">
            <v>0.38</v>
          </cell>
          <cell r="L725" t="str">
            <v>Lbr</v>
          </cell>
          <cell r="M725">
            <v>53700</v>
          </cell>
          <cell r="N725">
            <v>20406</v>
          </cell>
        </row>
        <row r="726">
          <cell r="B726">
            <v>719</v>
          </cell>
          <cell r="D726" t="str">
            <v>B</v>
          </cell>
          <cell r="F726" t="str">
            <v>Paku 1 cm s.d 3 cm</v>
          </cell>
          <cell r="J726" t="str">
            <v>Paku 1 cm s.d 3 cm</v>
          </cell>
          <cell r="K726">
            <v>0.02</v>
          </cell>
          <cell r="L726" t="str">
            <v>Kg</v>
          </cell>
          <cell r="M726">
            <v>14200</v>
          </cell>
          <cell r="N726">
            <v>284</v>
          </cell>
        </row>
        <row r="727">
          <cell r="B727">
            <v>720</v>
          </cell>
          <cell r="C727" t="str">
            <v>P</v>
          </cell>
          <cell r="F727" t="str">
            <v>Buruh Lapangan Agak Terlatih / Pekerja setengah Terampil</v>
          </cell>
          <cell r="J727" t="str">
            <v>Pekerja Setengah Terampil</v>
          </cell>
          <cell r="K727">
            <v>4.7300000000000002E-2</v>
          </cell>
          <cell r="L727" t="str">
            <v>Orang</v>
          </cell>
          <cell r="M727">
            <v>24500</v>
          </cell>
          <cell r="N727">
            <v>1158.8500000000001</v>
          </cell>
        </row>
        <row r="728">
          <cell r="B728">
            <v>721</v>
          </cell>
          <cell r="C728" t="str">
            <v>P</v>
          </cell>
          <cell r="F728" t="str">
            <v>Tukang Kayu (terampil)</v>
          </cell>
          <cell r="J728" t="str">
            <v>Tukang Kayu Terampil</v>
          </cell>
          <cell r="K728">
            <v>0.1125</v>
          </cell>
          <cell r="L728" t="str">
            <v>Orang</v>
          </cell>
          <cell r="M728">
            <v>29100</v>
          </cell>
          <cell r="N728">
            <v>3273.75</v>
          </cell>
        </row>
        <row r="729">
          <cell r="B729">
            <v>722</v>
          </cell>
          <cell r="C729" t="str">
            <v>P</v>
          </cell>
          <cell r="F729" t="str">
            <v>Kepala Tukang Kayu</v>
          </cell>
          <cell r="J729" t="str">
            <v>Kepala Tukang Kayu</v>
          </cell>
          <cell r="K729">
            <v>9.7999999999999997E-3</v>
          </cell>
          <cell r="L729" t="str">
            <v>Orang</v>
          </cell>
          <cell r="M729">
            <v>30000</v>
          </cell>
          <cell r="N729">
            <v>294</v>
          </cell>
        </row>
        <row r="730">
          <cell r="B730">
            <v>723</v>
          </cell>
          <cell r="C730" t="str">
            <v>P</v>
          </cell>
          <cell r="F730" t="str">
            <v>Mandor Lapangan</v>
          </cell>
          <cell r="J730" t="str">
            <v>Mandor</v>
          </cell>
          <cell r="K730">
            <v>3.0000000000000001E-3</v>
          </cell>
          <cell r="L730" t="str">
            <v>Orang</v>
          </cell>
          <cell r="M730">
            <v>31800</v>
          </cell>
          <cell r="N730">
            <v>95.4</v>
          </cell>
        </row>
        <row r="731">
          <cell r="B731">
            <v>724</v>
          </cell>
          <cell r="J731" t="str">
            <v>Paralatan</v>
          </cell>
          <cell r="K731">
            <v>0.75</v>
          </cell>
          <cell r="L731" t="str">
            <v>Ls</v>
          </cell>
          <cell r="M731">
            <v>500</v>
          </cell>
          <cell r="N731">
            <v>375</v>
          </cell>
        </row>
        <row r="732">
          <cell r="B732">
            <v>725</v>
          </cell>
          <cell r="M732" t="str">
            <v>Jumlah</v>
          </cell>
          <cell r="N732">
            <v>25887</v>
          </cell>
        </row>
        <row r="733">
          <cell r="B733">
            <v>726</v>
          </cell>
          <cell r="M733" t="str">
            <v>Dibulatkan</v>
          </cell>
          <cell r="N733">
            <v>25890</v>
          </cell>
        </row>
        <row r="734">
          <cell r="B734">
            <v>727</v>
          </cell>
        </row>
        <row r="735">
          <cell r="A735" t="str">
            <v>A067</v>
          </cell>
          <cell r="B735">
            <v>728</v>
          </cell>
          <cell r="H735" t="str">
            <v>A067</v>
          </cell>
          <cell r="I735" t="str">
            <v>M¹</v>
          </cell>
          <cell r="J735" t="str">
            <v>PEK. LISTPLANK KAYU KAMPER SINGKIL 3/30 CM</v>
          </cell>
          <cell r="K735" t="str">
            <v>Harga per 1M' …..</v>
          </cell>
          <cell r="M735" t="str">
            <v>Rp.</v>
          </cell>
          <cell r="N735">
            <v>51250</v>
          </cell>
        </row>
        <row r="736">
          <cell r="B736">
            <v>729</v>
          </cell>
          <cell r="D736" t="str">
            <v>B</v>
          </cell>
          <cell r="F736" t="str">
            <v>Kayu Papan Kamper Singkil</v>
          </cell>
          <cell r="J736" t="str">
            <v>Kayu Papan Kamper Singkil</v>
          </cell>
          <cell r="K736">
            <v>0.01</v>
          </cell>
          <cell r="L736" t="str">
            <v>M3</v>
          </cell>
          <cell r="M736">
            <v>4311000</v>
          </cell>
          <cell r="N736">
            <v>43110</v>
          </cell>
        </row>
        <row r="737">
          <cell r="B737">
            <v>730</v>
          </cell>
          <cell r="D737" t="str">
            <v>B</v>
          </cell>
          <cell r="F737" t="str">
            <v>Paku 5 - 7 cm</v>
          </cell>
          <cell r="J737" t="str">
            <v>Paku 5 - 7</v>
          </cell>
          <cell r="K737">
            <v>0.01</v>
          </cell>
          <cell r="L737" t="str">
            <v>Kg</v>
          </cell>
          <cell r="M737">
            <v>10550</v>
          </cell>
          <cell r="N737">
            <v>105.5</v>
          </cell>
        </row>
        <row r="738">
          <cell r="B738">
            <v>731</v>
          </cell>
          <cell r="C738" t="str">
            <v>P</v>
          </cell>
          <cell r="F738" t="str">
            <v>Buruh Lapangan Terlatih / Pekerja Terampil</v>
          </cell>
          <cell r="J738" t="str">
            <v>Pekerja Terampil</v>
          </cell>
          <cell r="K738">
            <v>7.0000000000000007E-2</v>
          </cell>
          <cell r="L738" t="str">
            <v>Orang</v>
          </cell>
          <cell r="M738">
            <v>26400</v>
          </cell>
          <cell r="N738">
            <v>1848.0000000000002</v>
          </cell>
        </row>
        <row r="739">
          <cell r="B739">
            <v>732</v>
          </cell>
          <cell r="C739" t="str">
            <v>P</v>
          </cell>
          <cell r="F739" t="str">
            <v>Tukang Kayu setengah terampil</v>
          </cell>
          <cell r="J739" t="str">
            <v>Tukang Kayu Setengah Terampil</v>
          </cell>
          <cell r="K739">
            <v>0.2</v>
          </cell>
          <cell r="L739" t="str">
            <v>Orang</v>
          </cell>
          <cell r="M739">
            <v>27300</v>
          </cell>
          <cell r="N739">
            <v>5460</v>
          </cell>
        </row>
        <row r="740">
          <cell r="B740">
            <v>733</v>
          </cell>
          <cell r="C740" t="str">
            <v>P</v>
          </cell>
          <cell r="F740" t="str">
            <v>Kepala Tukang Kayu</v>
          </cell>
          <cell r="J740" t="str">
            <v>Kepala Tukang  Kayu</v>
          </cell>
          <cell r="K740">
            <v>0.02</v>
          </cell>
          <cell r="L740" t="str">
            <v>Orang</v>
          </cell>
          <cell r="M740">
            <v>30000</v>
          </cell>
          <cell r="N740">
            <v>600</v>
          </cell>
        </row>
        <row r="741">
          <cell r="B741">
            <v>734</v>
          </cell>
          <cell r="C741" t="str">
            <v>P</v>
          </cell>
          <cell r="F741" t="str">
            <v>Mandor Lapangan</v>
          </cell>
          <cell r="J741" t="str">
            <v>Mandor</v>
          </cell>
          <cell r="K741">
            <v>4.0000000000000001E-3</v>
          </cell>
          <cell r="L741" t="str">
            <v>Orang</v>
          </cell>
          <cell r="M741">
            <v>31800</v>
          </cell>
          <cell r="N741">
            <v>127.2</v>
          </cell>
        </row>
        <row r="742">
          <cell r="B742">
            <v>735</v>
          </cell>
          <cell r="M742" t="str">
            <v>Jumlah</v>
          </cell>
          <cell r="N742">
            <v>51250.7</v>
          </cell>
        </row>
        <row r="743">
          <cell r="B743">
            <v>736</v>
          </cell>
          <cell r="M743" t="str">
            <v>Dibulatkan</v>
          </cell>
          <cell r="N743">
            <v>51250</v>
          </cell>
        </row>
        <row r="744">
          <cell r="B744">
            <v>737</v>
          </cell>
        </row>
        <row r="745">
          <cell r="A745" t="str">
            <v>A068</v>
          </cell>
          <cell r="B745">
            <v>738</v>
          </cell>
          <cell r="H745" t="str">
            <v>A068</v>
          </cell>
          <cell r="I745" t="str">
            <v>M¹</v>
          </cell>
          <cell r="J745" t="str">
            <v>PEK. LISTPLANK KAYU KAMPER SINGKIL 3/20 CM</v>
          </cell>
          <cell r="K745" t="str">
            <v>Harga per 1M' …..</v>
          </cell>
          <cell r="M745" t="str">
            <v>Rp.</v>
          </cell>
          <cell r="N745">
            <v>39270</v>
          </cell>
        </row>
        <row r="746">
          <cell r="B746">
            <v>739</v>
          </cell>
          <cell r="D746" t="str">
            <v>B</v>
          </cell>
          <cell r="F746" t="str">
            <v>Kayu Papan Kamper Singkil</v>
          </cell>
          <cell r="J746" t="str">
            <v>Kayu Papan Kamper Singkil</v>
          </cell>
          <cell r="K746">
            <v>7.0000000000000001E-3</v>
          </cell>
          <cell r="L746" t="str">
            <v>M3</v>
          </cell>
          <cell r="M746">
            <v>4311000</v>
          </cell>
          <cell r="N746">
            <v>30177</v>
          </cell>
        </row>
        <row r="747">
          <cell r="B747">
            <v>740</v>
          </cell>
          <cell r="D747" t="str">
            <v>B</v>
          </cell>
          <cell r="F747" t="str">
            <v>Paku 5 - 7 cm</v>
          </cell>
          <cell r="J747" t="str">
            <v>Paku 5 - 7</v>
          </cell>
          <cell r="K747">
            <v>0.1</v>
          </cell>
          <cell r="L747" t="str">
            <v>Kg</v>
          </cell>
          <cell r="M747">
            <v>10550</v>
          </cell>
          <cell r="N747">
            <v>1055</v>
          </cell>
        </row>
        <row r="748">
          <cell r="B748">
            <v>741</v>
          </cell>
          <cell r="C748" t="str">
            <v>P</v>
          </cell>
          <cell r="F748" t="str">
            <v>Buruh Lapangan Terlatih / Pekerja Terampil</v>
          </cell>
          <cell r="J748" t="str">
            <v>Pekerja Terampil</v>
          </cell>
          <cell r="K748">
            <v>7.0000000000000007E-2</v>
          </cell>
          <cell r="L748" t="str">
            <v>Orang</v>
          </cell>
          <cell r="M748">
            <v>26400</v>
          </cell>
          <cell r="N748">
            <v>1848.0000000000002</v>
          </cell>
        </row>
        <row r="749">
          <cell r="B749">
            <v>742</v>
          </cell>
          <cell r="C749" t="str">
            <v>P</v>
          </cell>
          <cell r="F749" t="str">
            <v>Tukang Kayu setengah terampil</v>
          </cell>
          <cell r="J749" t="str">
            <v>Tukang Kayu Setengah Terampil</v>
          </cell>
          <cell r="K749">
            <v>0.2</v>
          </cell>
          <cell r="L749" t="str">
            <v>Orang</v>
          </cell>
          <cell r="M749">
            <v>27300</v>
          </cell>
          <cell r="N749">
            <v>5460</v>
          </cell>
        </row>
        <row r="750">
          <cell r="B750">
            <v>743</v>
          </cell>
          <cell r="C750" t="str">
            <v>P</v>
          </cell>
          <cell r="F750" t="str">
            <v>Kepala Tukang Kayu</v>
          </cell>
          <cell r="J750" t="str">
            <v>Kepala Tukang Kayu</v>
          </cell>
          <cell r="K750">
            <v>0.02</v>
          </cell>
          <cell r="L750" t="str">
            <v>Orang</v>
          </cell>
          <cell r="M750">
            <v>30000</v>
          </cell>
          <cell r="N750">
            <v>600</v>
          </cell>
        </row>
        <row r="751">
          <cell r="B751">
            <v>744</v>
          </cell>
          <cell r="C751" t="str">
            <v>P</v>
          </cell>
          <cell r="F751" t="str">
            <v>Mandor Lapangan</v>
          </cell>
          <cell r="J751" t="str">
            <v>Mandor</v>
          </cell>
          <cell r="K751">
            <v>4.0000000000000001E-3</v>
          </cell>
          <cell r="L751" t="str">
            <v>Orang</v>
          </cell>
          <cell r="M751">
            <v>31800</v>
          </cell>
          <cell r="N751">
            <v>127.2</v>
          </cell>
        </row>
        <row r="752">
          <cell r="B752">
            <v>745</v>
          </cell>
          <cell r="M752" t="str">
            <v>Jumlah</v>
          </cell>
          <cell r="N752">
            <v>39267.199999999997</v>
          </cell>
        </row>
        <row r="753">
          <cell r="B753">
            <v>746</v>
          </cell>
          <cell r="M753" t="str">
            <v>Dibulatkan</v>
          </cell>
          <cell r="N753">
            <v>39270</v>
          </cell>
        </row>
        <row r="754">
          <cell r="B754">
            <v>747</v>
          </cell>
        </row>
        <row r="755">
          <cell r="A755" t="str">
            <v>A069</v>
          </cell>
          <cell r="B755">
            <v>748</v>
          </cell>
          <cell r="H755" t="str">
            <v>A069</v>
          </cell>
          <cell r="I755" t="str">
            <v>M³</v>
          </cell>
          <cell r="J755" t="str">
            <v>KUSEN KAYU KAMPER SINGKIL</v>
          </cell>
          <cell r="K755" t="str">
            <v>Harga per 1 M³ ……</v>
          </cell>
          <cell r="M755" t="str">
            <v>Rp.</v>
          </cell>
          <cell r="N755">
            <v>5464630</v>
          </cell>
        </row>
        <row r="756">
          <cell r="B756">
            <v>749</v>
          </cell>
          <cell r="D756" t="str">
            <v>B</v>
          </cell>
          <cell r="F756" t="str">
            <v>Kayu Balok Kamper Singkil</v>
          </cell>
          <cell r="J756" t="str">
            <v>Kayu Balok Kamper Singkil</v>
          </cell>
          <cell r="K756">
            <v>1.1000000000000001</v>
          </cell>
          <cell r="L756" t="str">
            <v>M3</v>
          </cell>
          <cell r="M756">
            <v>4311000</v>
          </cell>
          <cell r="N756">
            <v>4742100</v>
          </cell>
        </row>
        <row r="757">
          <cell r="B757">
            <v>750</v>
          </cell>
          <cell r="D757" t="str">
            <v>B</v>
          </cell>
          <cell r="F757" t="str">
            <v>Paku 8 - 12 cm</v>
          </cell>
          <cell r="J757" t="str">
            <v>Paku 8 cm s.d 12 cm</v>
          </cell>
          <cell r="K757">
            <v>2.5</v>
          </cell>
          <cell r="L757" t="str">
            <v>Kg</v>
          </cell>
          <cell r="M757">
            <v>10550</v>
          </cell>
          <cell r="N757">
            <v>26375</v>
          </cell>
        </row>
        <row r="758">
          <cell r="B758">
            <v>751</v>
          </cell>
          <cell r="D758" t="str">
            <v>B</v>
          </cell>
          <cell r="F758" t="str">
            <v>Lem Putih (Fox)</v>
          </cell>
          <cell r="J758" t="str">
            <v>Lem Putih (FOX)</v>
          </cell>
          <cell r="K758">
            <v>1</v>
          </cell>
          <cell r="L758" t="str">
            <v>Kg</v>
          </cell>
          <cell r="M758">
            <v>42600</v>
          </cell>
          <cell r="N758">
            <v>42600</v>
          </cell>
        </row>
        <row r="759">
          <cell r="B759">
            <v>752</v>
          </cell>
          <cell r="C759" t="str">
            <v>P</v>
          </cell>
          <cell r="F759" t="str">
            <v>Buruh Lapangan Terlatih / Pekerja Terampil</v>
          </cell>
          <cell r="J759" t="str">
            <v>Pekerja Terampil</v>
          </cell>
          <cell r="K759">
            <v>4</v>
          </cell>
          <cell r="L759" t="str">
            <v>Orang</v>
          </cell>
          <cell r="M759">
            <v>26400</v>
          </cell>
          <cell r="N759">
            <v>105600</v>
          </cell>
        </row>
        <row r="760">
          <cell r="B760">
            <v>753</v>
          </cell>
          <cell r="C760" t="str">
            <v>P</v>
          </cell>
          <cell r="F760" t="str">
            <v>Tukang Kayu (terampil)</v>
          </cell>
          <cell r="J760" t="str">
            <v>Tukang Kayu Terampil</v>
          </cell>
          <cell r="K760">
            <v>15.5</v>
          </cell>
          <cell r="L760" t="str">
            <v>Orang</v>
          </cell>
          <cell r="M760">
            <v>29100</v>
          </cell>
          <cell r="N760">
            <v>451050</v>
          </cell>
        </row>
        <row r="761">
          <cell r="B761">
            <v>754</v>
          </cell>
          <cell r="C761" t="str">
            <v>P</v>
          </cell>
          <cell r="F761" t="str">
            <v>Kepala Tukang Kayu</v>
          </cell>
          <cell r="J761" t="str">
            <v>Kepala Tukang Kayu</v>
          </cell>
          <cell r="K761">
            <v>2.7</v>
          </cell>
          <cell r="L761" t="str">
            <v>Orang</v>
          </cell>
          <cell r="M761">
            <v>30000</v>
          </cell>
          <cell r="N761">
            <v>81000</v>
          </cell>
        </row>
        <row r="762">
          <cell r="B762">
            <v>755</v>
          </cell>
          <cell r="C762" t="str">
            <v>P</v>
          </cell>
          <cell r="F762" t="str">
            <v>Mandor Lapangan</v>
          </cell>
          <cell r="J762" t="str">
            <v>Mandor</v>
          </cell>
          <cell r="K762">
            <v>0.5</v>
          </cell>
          <cell r="L762" t="str">
            <v>Orang</v>
          </cell>
          <cell r="M762">
            <v>31800</v>
          </cell>
          <cell r="N762">
            <v>15900</v>
          </cell>
        </row>
        <row r="763">
          <cell r="B763">
            <v>756</v>
          </cell>
          <cell r="M763" t="str">
            <v>Jumlah</v>
          </cell>
          <cell r="N763">
            <v>5464625</v>
          </cell>
        </row>
        <row r="764">
          <cell r="B764">
            <v>757</v>
          </cell>
          <cell r="M764" t="str">
            <v>Dibulatkan</v>
          </cell>
          <cell r="N764">
            <v>5464630</v>
          </cell>
        </row>
        <row r="765">
          <cell r="B765">
            <v>758</v>
          </cell>
        </row>
        <row r="766">
          <cell r="A766" t="str">
            <v>A069a</v>
          </cell>
          <cell r="B766">
            <v>759</v>
          </cell>
          <cell r="H766" t="str">
            <v>A069a</v>
          </cell>
          <cell r="I766" t="str">
            <v>M²</v>
          </cell>
          <cell r="J766" t="str">
            <v>KUSEN JENDELA ALUMUNIUM 3" (COKLAT)</v>
          </cell>
          <cell r="K766" t="str">
            <v>Harga per 1 M² ……</v>
          </cell>
          <cell r="M766" t="str">
            <v>Rp.</v>
          </cell>
          <cell r="N766">
            <v>316690</v>
          </cell>
        </row>
        <row r="767">
          <cell r="B767">
            <v>760</v>
          </cell>
          <cell r="D767" t="str">
            <v>B</v>
          </cell>
          <cell r="F767" t="str">
            <v>Kusen Alumunium 3"</v>
          </cell>
          <cell r="J767" t="str">
            <v>Kusen Alumunium 3" (coklat)</v>
          </cell>
          <cell r="K767">
            <v>4</v>
          </cell>
          <cell r="L767" t="str">
            <v>M¹</v>
          </cell>
          <cell r="M767">
            <v>59100</v>
          </cell>
          <cell r="N767">
            <v>236400</v>
          </cell>
        </row>
        <row r="768">
          <cell r="B768">
            <v>761</v>
          </cell>
          <cell r="D768" t="str">
            <v>B</v>
          </cell>
          <cell r="F768" t="str">
            <v>Sealant</v>
          </cell>
          <cell r="J768" t="str">
            <v>Sealant</v>
          </cell>
          <cell r="K768">
            <v>0.03</v>
          </cell>
          <cell r="L768" t="str">
            <v>tube</v>
          </cell>
          <cell r="M768">
            <v>32700</v>
          </cell>
          <cell r="N768">
            <v>981</v>
          </cell>
        </row>
        <row r="769">
          <cell r="B769">
            <v>762</v>
          </cell>
          <cell r="D769" t="str">
            <v>B</v>
          </cell>
          <cell r="F769" t="str">
            <v>Karet/Rubber</v>
          </cell>
          <cell r="J769" t="str">
            <v>Karet/Rubber</v>
          </cell>
          <cell r="K769">
            <v>4</v>
          </cell>
          <cell r="L769" t="str">
            <v>m¹</v>
          </cell>
          <cell r="M769">
            <v>8200</v>
          </cell>
          <cell r="N769">
            <v>32800</v>
          </cell>
        </row>
        <row r="770">
          <cell r="B770">
            <v>763</v>
          </cell>
          <cell r="C770" t="str">
            <v>P</v>
          </cell>
          <cell r="F770" t="str">
            <v>Buruh Lapangan Agak Terlatih / Pekerja setengah Terampil</v>
          </cell>
          <cell r="J770" t="str">
            <v>Pekerja Setengah Terampil</v>
          </cell>
          <cell r="K770">
            <v>0.3</v>
          </cell>
          <cell r="L770" t="str">
            <v>Orang</v>
          </cell>
          <cell r="M770">
            <v>24500</v>
          </cell>
          <cell r="N770">
            <v>7350</v>
          </cell>
        </row>
        <row r="771">
          <cell r="B771">
            <v>764</v>
          </cell>
          <cell r="C771" t="str">
            <v>P</v>
          </cell>
          <cell r="F771" t="str">
            <v>Tukang Besi</v>
          </cell>
          <cell r="J771" t="str">
            <v>Tukang Besi</v>
          </cell>
          <cell r="K771">
            <v>1.2</v>
          </cell>
          <cell r="L771" t="str">
            <v>Orang</v>
          </cell>
          <cell r="M771">
            <v>29100</v>
          </cell>
          <cell r="N771">
            <v>34920</v>
          </cell>
        </row>
        <row r="772">
          <cell r="B772">
            <v>765</v>
          </cell>
          <cell r="C772" t="str">
            <v>P</v>
          </cell>
          <cell r="F772" t="str">
            <v>Kepala Tukang Besi Beton</v>
          </cell>
          <cell r="J772" t="str">
            <v>Kepala Tukang Besi</v>
          </cell>
          <cell r="K772">
            <v>0.12</v>
          </cell>
          <cell r="L772" t="str">
            <v>Orang</v>
          </cell>
          <cell r="M772">
            <v>30000</v>
          </cell>
          <cell r="N772">
            <v>3600</v>
          </cell>
        </row>
        <row r="773">
          <cell r="B773">
            <v>766</v>
          </cell>
          <cell r="C773" t="str">
            <v>P</v>
          </cell>
          <cell r="F773" t="str">
            <v>Mandor Lapangan</v>
          </cell>
          <cell r="J773" t="str">
            <v>Mandor</v>
          </cell>
          <cell r="K773">
            <v>0.02</v>
          </cell>
          <cell r="L773" t="str">
            <v>Orang</v>
          </cell>
          <cell r="M773">
            <v>31800</v>
          </cell>
          <cell r="N773">
            <v>636</v>
          </cell>
        </row>
        <row r="774">
          <cell r="B774">
            <v>767</v>
          </cell>
          <cell r="M774" t="str">
            <v>Jumlah</v>
          </cell>
          <cell r="N774">
            <v>316687</v>
          </cell>
        </row>
        <row r="775">
          <cell r="B775">
            <v>768</v>
          </cell>
          <cell r="M775" t="str">
            <v>Dibulatkan</v>
          </cell>
          <cell r="N775">
            <v>316690</v>
          </cell>
        </row>
        <row r="776">
          <cell r="B776">
            <v>769</v>
          </cell>
        </row>
        <row r="777">
          <cell r="A777" t="str">
            <v>A069b</v>
          </cell>
          <cell r="B777">
            <v>770</v>
          </cell>
          <cell r="H777" t="str">
            <v>A069b</v>
          </cell>
          <cell r="I777" t="str">
            <v>M²</v>
          </cell>
          <cell r="J777" t="str">
            <v>KUSEN JENDELA ALUMUNIUM 4" (COKLAT)</v>
          </cell>
          <cell r="K777" t="str">
            <v>Harga per 1 M² ……</v>
          </cell>
          <cell r="M777" t="str">
            <v>Rp.</v>
          </cell>
          <cell r="N777">
            <v>320290</v>
          </cell>
        </row>
        <row r="778">
          <cell r="B778">
            <v>771</v>
          </cell>
          <cell r="D778" t="str">
            <v>B</v>
          </cell>
          <cell r="F778" t="str">
            <v>Kusen Alumunium 4" (coklat)</v>
          </cell>
          <cell r="J778" t="str">
            <v>Kusen Alumunium 4" (coklat)</v>
          </cell>
          <cell r="K778">
            <v>4</v>
          </cell>
          <cell r="L778" t="str">
            <v>M¹</v>
          </cell>
          <cell r="M778">
            <v>60000</v>
          </cell>
          <cell r="N778">
            <v>240000</v>
          </cell>
        </row>
        <row r="779">
          <cell r="B779">
            <v>772</v>
          </cell>
          <cell r="D779" t="str">
            <v>B</v>
          </cell>
          <cell r="F779" t="str">
            <v>Sealant</v>
          </cell>
          <cell r="J779" t="str">
            <v>Sealant</v>
          </cell>
          <cell r="K779">
            <v>0.03</v>
          </cell>
          <cell r="L779" t="str">
            <v>tube</v>
          </cell>
          <cell r="M779">
            <v>32700</v>
          </cell>
          <cell r="N779">
            <v>981</v>
          </cell>
        </row>
        <row r="780">
          <cell r="B780">
            <v>773</v>
          </cell>
          <cell r="D780" t="str">
            <v>B</v>
          </cell>
          <cell r="F780" t="str">
            <v>Karet/Rubber</v>
          </cell>
          <cell r="J780" t="str">
            <v>Karet/Rubber</v>
          </cell>
          <cell r="K780">
            <v>4</v>
          </cell>
          <cell r="L780" t="str">
            <v>m¹</v>
          </cell>
          <cell r="M780">
            <v>8200</v>
          </cell>
          <cell r="N780">
            <v>32800</v>
          </cell>
        </row>
        <row r="781">
          <cell r="B781">
            <v>774</v>
          </cell>
          <cell r="C781" t="str">
            <v>P</v>
          </cell>
          <cell r="F781" t="str">
            <v>Buruh Lapangan Agak Terlatih / Pekerja setengah Terampil</v>
          </cell>
          <cell r="J781" t="str">
            <v>Pekerja Setengah Terampil</v>
          </cell>
          <cell r="K781">
            <v>0.3</v>
          </cell>
          <cell r="L781" t="str">
            <v>Orang</v>
          </cell>
          <cell r="M781">
            <v>24500</v>
          </cell>
          <cell r="N781">
            <v>7350</v>
          </cell>
        </row>
        <row r="782">
          <cell r="B782">
            <v>775</v>
          </cell>
          <cell r="C782" t="str">
            <v>P</v>
          </cell>
          <cell r="F782" t="str">
            <v>Tukang Besi</v>
          </cell>
          <cell r="J782" t="str">
            <v>Tukang Besi</v>
          </cell>
          <cell r="K782">
            <v>1.2</v>
          </cell>
          <cell r="L782" t="str">
            <v>Orang</v>
          </cell>
          <cell r="M782">
            <v>29100</v>
          </cell>
          <cell r="N782">
            <v>34920</v>
          </cell>
        </row>
        <row r="783">
          <cell r="B783">
            <v>776</v>
          </cell>
          <cell r="C783" t="str">
            <v>P</v>
          </cell>
          <cell r="F783" t="str">
            <v>Kepala Tukang Besi Beton</v>
          </cell>
          <cell r="J783" t="str">
            <v>Kepala Tukang Besi</v>
          </cell>
          <cell r="K783">
            <v>0.12</v>
          </cell>
          <cell r="L783" t="str">
            <v>Orang</v>
          </cell>
          <cell r="M783">
            <v>30000</v>
          </cell>
          <cell r="N783">
            <v>3600</v>
          </cell>
        </row>
        <row r="784">
          <cell r="B784">
            <v>777</v>
          </cell>
          <cell r="C784" t="str">
            <v>P</v>
          </cell>
          <cell r="F784" t="str">
            <v>Mandor Lapangan</v>
          </cell>
          <cell r="J784" t="str">
            <v>Mandor</v>
          </cell>
          <cell r="K784">
            <v>0.02</v>
          </cell>
          <cell r="L784" t="str">
            <v>Orang</v>
          </cell>
          <cell r="M784">
            <v>31800</v>
          </cell>
          <cell r="N784">
            <v>636</v>
          </cell>
        </row>
        <row r="785">
          <cell r="B785">
            <v>778</v>
          </cell>
          <cell r="M785" t="str">
            <v>Jumlah</v>
          </cell>
          <cell r="N785">
            <v>320287</v>
          </cell>
        </row>
        <row r="786">
          <cell r="B786">
            <v>779</v>
          </cell>
          <cell r="M786" t="str">
            <v>Dibulatkan</v>
          </cell>
          <cell r="N786">
            <v>320290</v>
          </cell>
        </row>
        <row r="787">
          <cell r="B787">
            <v>780</v>
          </cell>
        </row>
        <row r="788">
          <cell r="A788" t="str">
            <v>A070</v>
          </cell>
          <cell r="B788">
            <v>781</v>
          </cell>
          <cell r="H788" t="str">
            <v>A070</v>
          </cell>
          <cell r="I788" t="str">
            <v>M²</v>
          </cell>
          <cell r="J788" t="str">
            <v>KUSEN PARTISI ( Analis Untuk Partisi ( 330 x 220 ) cm</v>
          </cell>
          <cell r="K788" t="str">
            <v>Harga per 1 M² ……</v>
          </cell>
          <cell r="M788" t="str">
            <v>Rp.</v>
          </cell>
          <cell r="N788">
            <v>120920</v>
          </cell>
        </row>
        <row r="789">
          <cell r="B789">
            <v>782</v>
          </cell>
          <cell r="D789" t="str">
            <v>B</v>
          </cell>
          <cell r="F789" t="str">
            <v>Kayu Balok Borneo Super</v>
          </cell>
          <cell r="J789" t="str">
            <v>Kayu Balok Borneo Super</v>
          </cell>
          <cell r="K789">
            <v>0.105</v>
          </cell>
          <cell r="L789" t="str">
            <v>M3</v>
          </cell>
          <cell r="M789">
            <v>2621000</v>
          </cell>
          <cell r="N789">
            <v>275205</v>
          </cell>
        </row>
        <row r="790">
          <cell r="B790">
            <v>783</v>
          </cell>
          <cell r="D790" t="str">
            <v>B</v>
          </cell>
          <cell r="F790" t="str">
            <v>Tripleks tebal 6 mm uk. 120 x 240</v>
          </cell>
          <cell r="J790" t="str">
            <v>Triplek 6 mm 120  x 240</v>
          </cell>
          <cell r="K790">
            <v>5</v>
          </cell>
          <cell r="L790" t="str">
            <v>Lbr</v>
          </cell>
          <cell r="M790">
            <v>75000</v>
          </cell>
          <cell r="N790">
            <v>375000</v>
          </cell>
        </row>
        <row r="791">
          <cell r="B791">
            <v>784</v>
          </cell>
          <cell r="D791" t="str">
            <v>B</v>
          </cell>
          <cell r="F791" t="str">
            <v>Paku 1 cm s.d 3 cm</v>
          </cell>
          <cell r="J791" t="str">
            <v>Paku 1 cm s.d 3 cm</v>
          </cell>
          <cell r="K791">
            <v>2</v>
          </cell>
          <cell r="L791" t="str">
            <v>Kg</v>
          </cell>
          <cell r="M791">
            <v>14200</v>
          </cell>
          <cell r="N791">
            <v>28400</v>
          </cell>
        </row>
        <row r="792">
          <cell r="B792">
            <v>785</v>
          </cell>
          <cell r="D792" t="str">
            <v>B</v>
          </cell>
          <cell r="F792" t="str">
            <v>Ampelas</v>
          </cell>
          <cell r="J792" t="str">
            <v xml:space="preserve">Ampelas </v>
          </cell>
          <cell r="K792">
            <v>2</v>
          </cell>
          <cell r="L792" t="str">
            <v>Lbr</v>
          </cell>
          <cell r="M792">
            <v>3360</v>
          </cell>
          <cell r="N792">
            <v>6720</v>
          </cell>
        </row>
        <row r="793">
          <cell r="B793">
            <v>786</v>
          </cell>
          <cell r="D793" t="str">
            <v>B</v>
          </cell>
          <cell r="F793" t="str">
            <v>Engsel pintu unilon standar</v>
          </cell>
          <cell r="J793" t="str">
            <v>Engsel pintu unilon standar</v>
          </cell>
          <cell r="K793">
            <v>4</v>
          </cell>
          <cell r="L793" t="str">
            <v>bh</v>
          </cell>
          <cell r="M793">
            <v>26000</v>
          </cell>
          <cell r="N793">
            <v>104000</v>
          </cell>
        </row>
        <row r="794">
          <cell r="B794">
            <v>787</v>
          </cell>
          <cell r="D794" t="str">
            <v>B</v>
          </cell>
          <cell r="F794" t="str">
            <v>Grendel 5 cm</v>
          </cell>
          <cell r="J794" t="str">
            <v>Grendel 5 cm/Sloot</v>
          </cell>
          <cell r="K794">
            <v>4</v>
          </cell>
          <cell r="L794" t="str">
            <v>bh</v>
          </cell>
          <cell r="M794">
            <v>9900</v>
          </cell>
          <cell r="N794">
            <v>39600</v>
          </cell>
        </row>
        <row r="795">
          <cell r="B795">
            <v>788</v>
          </cell>
          <cell r="C795" t="str">
            <v>P</v>
          </cell>
          <cell r="F795" t="str">
            <v>Buruh Lapangan Tak Terlatih / Pekerja</v>
          </cell>
          <cell r="J795" t="str">
            <v>Pekerja Setengah Terampil</v>
          </cell>
          <cell r="K795">
            <v>0.3</v>
          </cell>
          <cell r="L795" t="str">
            <v>Orang</v>
          </cell>
          <cell r="M795">
            <v>22700</v>
          </cell>
          <cell r="N795">
            <v>6810</v>
          </cell>
        </row>
        <row r="796">
          <cell r="B796">
            <v>789</v>
          </cell>
          <cell r="C796" t="str">
            <v>P</v>
          </cell>
          <cell r="F796" t="str">
            <v>Tukang Kayu (terampil)</v>
          </cell>
          <cell r="J796" t="str">
            <v>Tukang Kayu Terampil</v>
          </cell>
          <cell r="K796">
            <v>1.3</v>
          </cell>
          <cell r="L796" t="str">
            <v>Orang</v>
          </cell>
          <cell r="M796">
            <v>29100</v>
          </cell>
          <cell r="N796">
            <v>37830</v>
          </cell>
        </row>
        <row r="797">
          <cell r="B797">
            <v>790</v>
          </cell>
          <cell r="C797" t="str">
            <v>P</v>
          </cell>
          <cell r="F797" t="str">
            <v>Kepala Tukang Kayu</v>
          </cell>
          <cell r="J797" t="str">
            <v xml:space="preserve">Kepala Tukang Kayu </v>
          </cell>
          <cell r="K797">
            <v>0.13</v>
          </cell>
          <cell r="L797" t="str">
            <v>Orang</v>
          </cell>
          <cell r="M797">
            <v>30000</v>
          </cell>
          <cell r="N797">
            <v>3900</v>
          </cell>
        </row>
        <row r="798">
          <cell r="B798">
            <v>791</v>
          </cell>
          <cell r="C798" t="str">
            <v>P</v>
          </cell>
          <cell r="F798" t="str">
            <v>Mandor Lapangan</v>
          </cell>
          <cell r="J798" t="str">
            <v>Mandor</v>
          </cell>
          <cell r="K798">
            <v>1.2999999999999999E-2</v>
          </cell>
          <cell r="L798" t="str">
            <v>Orang</v>
          </cell>
          <cell r="M798">
            <v>31800</v>
          </cell>
          <cell r="N798">
            <v>413.4</v>
          </cell>
        </row>
        <row r="799">
          <cell r="B799">
            <v>792</v>
          </cell>
          <cell r="M799" t="str">
            <v>Jumlah untuk 7,26 M2</v>
          </cell>
          <cell r="N799">
            <v>877878.4</v>
          </cell>
        </row>
        <row r="800">
          <cell r="B800">
            <v>793</v>
          </cell>
          <cell r="M800" t="str">
            <v>Dibulatkan</v>
          </cell>
          <cell r="N800">
            <v>877880</v>
          </cell>
        </row>
        <row r="801">
          <cell r="B801">
            <v>794</v>
          </cell>
          <cell r="M801" t="str">
            <v>Jumlah untuk 1,0 M2</v>
          </cell>
          <cell r="N801">
            <v>120920.11019283747</v>
          </cell>
        </row>
        <row r="802">
          <cell r="B802">
            <v>795</v>
          </cell>
          <cell r="M802" t="str">
            <v>Dibulatkan</v>
          </cell>
          <cell r="N802">
            <v>120920</v>
          </cell>
        </row>
        <row r="803">
          <cell r="B803">
            <v>796</v>
          </cell>
        </row>
        <row r="804">
          <cell r="A804" t="str">
            <v>A070a</v>
          </cell>
          <cell r="B804">
            <v>797</v>
          </cell>
          <cell r="H804" t="str">
            <v>A070a</v>
          </cell>
          <cell r="I804" t="str">
            <v>M²</v>
          </cell>
          <cell r="J804" t="str">
            <v>PARTISI GYPSUM RANGKA HOLLOW</v>
          </cell>
          <cell r="K804" t="str">
            <v>Harga per 1 M² ……</v>
          </cell>
          <cell r="M804" t="str">
            <v>Rp.</v>
          </cell>
          <cell r="N804">
            <v>96060</v>
          </cell>
        </row>
        <row r="805">
          <cell r="B805">
            <v>798</v>
          </cell>
          <cell r="D805" t="str">
            <v>B</v>
          </cell>
          <cell r="F805" t="str">
            <v>Hollow 40/40</v>
          </cell>
          <cell r="J805" t="str">
            <v>Hollow 40 x 40</v>
          </cell>
          <cell r="K805">
            <v>4</v>
          </cell>
          <cell r="L805" t="str">
            <v>m¹</v>
          </cell>
          <cell r="M805">
            <v>5700</v>
          </cell>
          <cell r="N805">
            <v>22800</v>
          </cell>
        </row>
        <row r="806">
          <cell r="B806">
            <v>799</v>
          </cell>
          <cell r="D806" t="str">
            <v>B</v>
          </cell>
          <cell r="F806" t="str">
            <v>Hollow 20/40</v>
          </cell>
          <cell r="J806" t="str">
            <v>Hollow 20 x 40</v>
          </cell>
          <cell r="K806">
            <v>2</v>
          </cell>
          <cell r="L806" t="str">
            <v>m¹</v>
          </cell>
          <cell r="M806">
            <v>4800</v>
          </cell>
          <cell r="N806">
            <v>9600</v>
          </cell>
        </row>
        <row r="807">
          <cell r="B807">
            <v>800</v>
          </cell>
          <cell r="D807" t="str">
            <v>B</v>
          </cell>
          <cell r="F807" t="str">
            <v>Paku Sekrup</v>
          </cell>
          <cell r="J807" t="str">
            <v>Skrup</v>
          </cell>
          <cell r="K807">
            <v>0.1</v>
          </cell>
          <cell r="L807" t="str">
            <v>kg</v>
          </cell>
          <cell r="M807">
            <v>9550</v>
          </cell>
          <cell r="N807">
            <v>955</v>
          </cell>
        </row>
        <row r="808">
          <cell r="B808">
            <v>801</v>
          </cell>
          <cell r="D808" t="str">
            <v>B</v>
          </cell>
          <cell r="F808" t="str">
            <v>Ampelas</v>
          </cell>
          <cell r="J808" t="str">
            <v>Ampelas</v>
          </cell>
          <cell r="K808">
            <v>0.5</v>
          </cell>
          <cell r="L808" t="str">
            <v>lbr</v>
          </cell>
          <cell r="M808">
            <v>3360</v>
          </cell>
          <cell r="N808">
            <v>1680</v>
          </cell>
        </row>
        <row r="809">
          <cell r="B809">
            <v>802</v>
          </cell>
          <cell r="D809" t="str">
            <v>B</v>
          </cell>
          <cell r="F809" t="str">
            <v>Compound</v>
          </cell>
          <cell r="J809" t="str">
            <v>Compound</v>
          </cell>
          <cell r="K809">
            <v>0.2</v>
          </cell>
          <cell r="L809" t="str">
            <v>zak</v>
          </cell>
          <cell r="M809">
            <v>23300</v>
          </cell>
          <cell r="N809">
            <v>4660</v>
          </cell>
        </row>
        <row r="810">
          <cell r="B810">
            <v>803</v>
          </cell>
          <cell r="D810" t="str">
            <v>B</v>
          </cell>
          <cell r="F810" t="str">
            <v>GYPSUM uk. 1200 x 2400 x 9 mm</v>
          </cell>
          <cell r="J810" t="str">
            <v>Gypsum 9 mm</v>
          </cell>
          <cell r="K810">
            <v>0.76400000000000001</v>
          </cell>
          <cell r="L810" t="str">
            <v>lbr</v>
          </cell>
          <cell r="M810">
            <v>52000</v>
          </cell>
          <cell r="N810">
            <v>39728</v>
          </cell>
        </row>
        <row r="811">
          <cell r="B811">
            <v>804</v>
          </cell>
          <cell r="C811" t="str">
            <v>P</v>
          </cell>
          <cell r="F811" t="str">
            <v>Buruh Lapangan Agak Terlatih / Pekerja setengah Terampil</v>
          </cell>
          <cell r="J811" t="str">
            <v>Pekerja setengah terampil</v>
          </cell>
          <cell r="K811">
            <v>0.4</v>
          </cell>
          <cell r="L811" t="str">
            <v>Orang</v>
          </cell>
          <cell r="M811">
            <v>24500</v>
          </cell>
          <cell r="N811">
            <v>9800</v>
          </cell>
        </row>
        <row r="812">
          <cell r="B812">
            <v>805</v>
          </cell>
          <cell r="C812" t="str">
            <v>P</v>
          </cell>
          <cell r="F812" t="str">
            <v>Tukang Kayu (terampil)</v>
          </cell>
          <cell r="J812" t="str">
            <v>Tukang Gypsum/Tukang Kayu Terampil</v>
          </cell>
          <cell r="K812">
            <v>0.2</v>
          </cell>
          <cell r="L812" t="str">
            <v>Orang</v>
          </cell>
          <cell r="M812">
            <v>29100</v>
          </cell>
          <cell r="N812">
            <v>5820</v>
          </cell>
        </row>
        <row r="813">
          <cell r="B813">
            <v>806</v>
          </cell>
          <cell r="C813" t="str">
            <v>P</v>
          </cell>
          <cell r="F813" t="str">
            <v>Kepala Tukang Kayu</v>
          </cell>
          <cell r="J813" t="str">
            <v>Kepala Tukang Kayu</v>
          </cell>
          <cell r="K813">
            <v>0.02</v>
          </cell>
          <cell r="L813" t="str">
            <v>Orang</v>
          </cell>
          <cell r="M813">
            <v>30000</v>
          </cell>
          <cell r="N813">
            <v>600</v>
          </cell>
        </row>
        <row r="814">
          <cell r="B814">
            <v>807</v>
          </cell>
          <cell r="C814" t="str">
            <v>P</v>
          </cell>
          <cell r="F814" t="str">
            <v>Mandor Lapangan</v>
          </cell>
          <cell r="J814" t="str">
            <v>Mandor</v>
          </cell>
          <cell r="K814">
            <v>1.2999999999999999E-2</v>
          </cell>
          <cell r="L814" t="str">
            <v>Orang</v>
          </cell>
          <cell r="M814">
            <v>31800</v>
          </cell>
          <cell r="N814">
            <v>413.4</v>
          </cell>
        </row>
        <row r="815">
          <cell r="B815">
            <v>808</v>
          </cell>
          <cell r="M815" t="str">
            <v>Jumlah</v>
          </cell>
          <cell r="N815">
            <v>96056.4</v>
          </cell>
        </row>
        <row r="816">
          <cell r="B816">
            <v>809</v>
          </cell>
          <cell r="M816" t="str">
            <v>Dibulatkan</v>
          </cell>
          <cell r="N816">
            <v>96060</v>
          </cell>
        </row>
        <row r="817">
          <cell r="B817">
            <v>810</v>
          </cell>
        </row>
        <row r="818">
          <cell r="A818" t="str">
            <v>A070b</v>
          </cell>
          <cell r="B818">
            <v>811</v>
          </cell>
          <cell r="H818" t="str">
            <v>A070b</v>
          </cell>
          <cell r="I818" t="str">
            <v>M²</v>
          </cell>
          <cell r="J818" t="str">
            <v>PARTISI GYPSUM RANGKA ALUMUNIUM C</v>
          </cell>
          <cell r="K818" t="str">
            <v>Harga per 1 M² ……</v>
          </cell>
          <cell r="M818" t="str">
            <v>Rp.</v>
          </cell>
          <cell r="N818">
            <v>95660</v>
          </cell>
        </row>
        <row r="819">
          <cell r="B819">
            <v>812</v>
          </cell>
          <cell r="D819" t="str">
            <v>B</v>
          </cell>
          <cell r="F819" t="str">
            <v>Metal Curing (C)</v>
          </cell>
          <cell r="J819" t="str">
            <v>Metal Curing (C)</v>
          </cell>
          <cell r="K819">
            <v>4</v>
          </cell>
          <cell r="L819" t="str">
            <v>m¹</v>
          </cell>
          <cell r="M819">
            <v>8000</v>
          </cell>
          <cell r="N819">
            <v>32000</v>
          </cell>
        </row>
        <row r="820">
          <cell r="B820">
            <v>813</v>
          </cell>
          <cell r="D820" t="str">
            <v>B</v>
          </cell>
          <cell r="F820" t="str">
            <v>Paku Sekrup</v>
          </cell>
          <cell r="J820" t="str">
            <v>Skrup</v>
          </cell>
          <cell r="K820">
            <v>0.1</v>
          </cell>
          <cell r="L820" t="str">
            <v>kg</v>
          </cell>
          <cell r="M820">
            <v>9550</v>
          </cell>
          <cell r="N820">
            <v>955</v>
          </cell>
        </row>
        <row r="821">
          <cell r="B821">
            <v>814</v>
          </cell>
          <cell r="D821" t="str">
            <v>B</v>
          </cell>
          <cell r="F821" t="str">
            <v>Ampelas</v>
          </cell>
          <cell r="J821" t="str">
            <v>Ampelas</v>
          </cell>
          <cell r="K821">
            <v>0.5</v>
          </cell>
          <cell r="L821" t="str">
            <v>lbr</v>
          </cell>
          <cell r="M821">
            <v>3360</v>
          </cell>
          <cell r="N821">
            <v>1680</v>
          </cell>
        </row>
        <row r="822">
          <cell r="B822">
            <v>815</v>
          </cell>
          <cell r="D822" t="str">
            <v>B</v>
          </cell>
          <cell r="F822" t="str">
            <v>Compound</v>
          </cell>
          <cell r="J822" t="str">
            <v>Compound</v>
          </cell>
          <cell r="K822">
            <v>0.2</v>
          </cell>
          <cell r="L822" t="str">
            <v>zak</v>
          </cell>
          <cell r="M822">
            <v>23300</v>
          </cell>
          <cell r="N822">
            <v>4660</v>
          </cell>
        </row>
        <row r="823">
          <cell r="B823">
            <v>816</v>
          </cell>
          <cell r="D823" t="str">
            <v>B</v>
          </cell>
          <cell r="F823" t="str">
            <v>GYPSUM uk. 1200 x 2400 x 9 mm</v>
          </cell>
          <cell r="J823" t="str">
            <v>Gypsum 9 mm</v>
          </cell>
          <cell r="K823">
            <v>0.76400000000000001</v>
          </cell>
          <cell r="L823" t="str">
            <v>lbr</v>
          </cell>
          <cell r="M823">
            <v>52000</v>
          </cell>
          <cell r="N823">
            <v>39728</v>
          </cell>
        </row>
        <row r="824">
          <cell r="B824">
            <v>817</v>
          </cell>
          <cell r="C824" t="str">
            <v>P</v>
          </cell>
          <cell r="F824" t="str">
            <v>Buruh Lapangan Agak Terlatih / Pekerja setengah Terampil</v>
          </cell>
          <cell r="J824" t="str">
            <v>Pekerja setengah terampil</v>
          </cell>
          <cell r="K824">
            <v>0.4</v>
          </cell>
          <cell r="L824" t="str">
            <v>Orang</v>
          </cell>
          <cell r="M824">
            <v>24500</v>
          </cell>
          <cell r="N824">
            <v>9800</v>
          </cell>
        </row>
        <row r="825">
          <cell r="B825">
            <v>818</v>
          </cell>
          <cell r="C825" t="str">
            <v>P</v>
          </cell>
          <cell r="F825" t="str">
            <v>Tukang Kayu (terampil)</v>
          </cell>
          <cell r="J825" t="str">
            <v>Tukang Gypsum/Tukang Kayu Terampil</v>
          </cell>
          <cell r="K825">
            <v>0.2</v>
          </cell>
          <cell r="L825" t="str">
            <v>Orang</v>
          </cell>
          <cell r="M825">
            <v>29100</v>
          </cell>
          <cell r="N825">
            <v>5820</v>
          </cell>
        </row>
        <row r="826">
          <cell r="B826">
            <v>819</v>
          </cell>
          <cell r="C826" t="str">
            <v>P</v>
          </cell>
          <cell r="F826" t="str">
            <v>Kepala Tukang Kayu</v>
          </cell>
          <cell r="J826" t="str">
            <v>Kepala Tukang Kayu</v>
          </cell>
          <cell r="K826">
            <v>0.02</v>
          </cell>
          <cell r="L826" t="str">
            <v>Orang</v>
          </cell>
          <cell r="M826">
            <v>30000</v>
          </cell>
          <cell r="N826">
            <v>600</v>
          </cell>
        </row>
        <row r="827">
          <cell r="B827">
            <v>820</v>
          </cell>
          <cell r="C827" t="str">
            <v>P</v>
          </cell>
          <cell r="F827" t="str">
            <v>Mandor Lapangan</v>
          </cell>
          <cell r="J827" t="str">
            <v>Mandor</v>
          </cell>
          <cell r="K827">
            <v>1.2999999999999999E-2</v>
          </cell>
          <cell r="L827" t="str">
            <v>Orang</v>
          </cell>
          <cell r="M827">
            <v>31800</v>
          </cell>
          <cell r="N827">
            <v>413.4</v>
          </cell>
        </row>
        <row r="828">
          <cell r="B828">
            <v>821</v>
          </cell>
          <cell r="M828" t="str">
            <v>Jumlah</v>
          </cell>
          <cell r="N828">
            <v>95656.4</v>
          </cell>
        </row>
        <row r="829">
          <cell r="B829">
            <v>822</v>
          </cell>
          <cell r="M829" t="str">
            <v>Dibulatkan</v>
          </cell>
          <cell r="N829">
            <v>95660</v>
          </cell>
        </row>
        <row r="830">
          <cell r="B830">
            <v>823</v>
          </cell>
        </row>
        <row r="831">
          <cell r="A831" t="str">
            <v>A071</v>
          </cell>
          <cell r="B831">
            <v>824</v>
          </cell>
          <cell r="H831" t="str">
            <v>A071</v>
          </cell>
          <cell r="I831" t="str">
            <v>M²</v>
          </cell>
          <cell r="J831" t="str">
            <v>DAUN PINTU MULTIPLEX RANGKA KAYU KAMPER SINGKIL</v>
          </cell>
          <cell r="K831" t="str">
            <v>Harga per 1 M² ……</v>
          </cell>
          <cell r="M831" t="str">
            <v>Rp.</v>
          </cell>
          <cell r="N831">
            <v>294300</v>
          </cell>
        </row>
        <row r="832">
          <cell r="B832">
            <v>825</v>
          </cell>
          <cell r="D832" t="str">
            <v>B</v>
          </cell>
          <cell r="F832" t="str">
            <v>Kayu Papan Kamper Singkil</v>
          </cell>
          <cell r="J832" t="str">
            <v>Papan Kayu Kamper Singkil</v>
          </cell>
          <cell r="K832">
            <v>1.7999999999999999E-2</v>
          </cell>
          <cell r="L832" t="str">
            <v>M2</v>
          </cell>
          <cell r="M832">
            <v>4311000</v>
          </cell>
          <cell r="N832">
            <v>77598</v>
          </cell>
        </row>
        <row r="833">
          <cell r="B833">
            <v>826</v>
          </cell>
          <cell r="D833" t="str">
            <v>B</v>
          </cell>
          <cell r="F833" t="str">
            <v>Multiplek 12 mm 120 x 240</v>
          </cell>
          <cell r="J833" t="str">
            <v>Multiplex 12 mm</v>
          </cell>
          <cell r="K833">
            <v>0.65700000000000003</v>
          </cell>
          <cell r="L833" t="str">
            <v>M2</v>
          </cell>
          <cell r="M833">
            <v>146000</v>
          </cell>
          <cell r="N833">
            <v>95922</v>
          </cell>
        </row>
        <row r="834">
          <cell r="B834">
            <v>827</v>
          </cell>
          <cell r="D834" t="str">
            <v>B</v>
          </cell>
          <cell r="F834" t="str">
            <v>Lem Putih (Fox)</v>
          </cell>
          <cell r="J834" t="str">
            <v>Lem Putih (FOX)</v>
          </cell>
          <cell r="K834">
            <v>0.05</v>
          </cell>
          <cell r="L834" t="str">
            <v>Kg</v>
          </cell>
          <cell r="M834">
            <v>42600</v>
          </cell>
          <cell r="N834">
            <v>2130</v>
          </cell>
        </row>
        <row r="835">
          <cell r="B835">
            <v>828</v>
          </cell>
          <cell r="D835" t="str">
            <v>B</v>
          </cell>
          <cell r="F835" t="str">
            <v>List Kayu Kamper</v>
          </cell>
          <cell r="J835" t="str">
            <v>List Kayu Profil</v>
          </cell>
          <cell r="K835">
            <v>4</v>
          </cell>
          <cell r="L835" t="str">
            <v>M'</v>
          </cell>
          <cell r="M835">
            <v>5800</v>
          </cell>
          <cell r="N835">
            <v>23200</v>
          </cell>
        </row>
        <row r="836">
          <cell r="B836">
            <v>829</v>
          </cell>
          <cell r="C836" t="str">
            <v>P</v>
          </cell>
          <cell r="F836" t="str">
            <v>Buruh Lapangan Terlatih / Pekerja Terampil</v>
          </cell>
          <cell r="J836" t="str">
            <v>Pekerja Terampil</v>
          </cell>
          <cell r="K836">
            <v>0.6</v>
          </cell>
          <cell r="L836" t="str">
            <v xml:space="preserve">Orang </v>
          </cell>
          <cell r="M836">
            <v>26400</v>
          </cell>
          <cell r="N836">
            <v>15840</v>
          </cell>
        </row>
        <row r="837">
          <cell r="B837">
            <v>830</v>
          </cell>
          <cell r="C837" t="str">
            <v>P</v>
          </cell>
          <cell r="F837" t="str">
            <v>Tukang Kayu setengah terampil</v>
          </cell>
          <cell r="J837" t="str">
            <v>Tukang Kayu Setengah Terampil</v>
          </cell>
          <cell r="K837">
            <v>2.6</v>
          </cell>
          <cell r="L837" t="str">
            <v xml:space="preserve">Orang </v>
          </cell>
          <cell r="M837">
            <v>27300</v>
          </cell>
          <cell r="N837">
            <v>70980</v>
          </cell>
        </row>
        <row r="838">
          <cell r="B838">
            <v>831</v>
          </cell>
          <cell r="C838" t="str">
            <v>P</v>
          </cell>
          <cell r="F838" t="str">
            <v>Kepala Tukang Kayu</v>
          </cell>
          <cell r="J838" t="str">
            <v>Kepala Tukang Kayu</v>
          </cell>
          <cell r="K838">
            <v>0.26</v>
          </cell>
          <cell r="L838" t="str">
            <v xml:space="preserve">Orang </v>
          </cell>
          <cell r="M838">
            <v>30000</v>
          </cell>
          <cell r="N838">
            <v>7800</v>
          </cell>
        </row>
        <row r="839">
          <cell r="B839">
            <v>832</v>
          </cell>
          <cell r="C839" t="str">
            <v>P</v>
          </cell>
          <cell r="F839" t="str">
            <v>Mandor Lapangan</v>
          </cell>
          <cell r="J839" t="str">
            <v>Mandor</v>
          </cell>
          <cell r="K839">
            <v>2.5999999999999999E-2</v>
          </cell>
          <cell r="L839" t="str">
            <v xml:space="preserve">Orang </v>
          </cell>
          <cell r="M839">
            <v>31800</v>
          </cell>
          <cell r="N839">
            <v>826.8</v>
          </cell>
        </row>
        <row r="840">
          <cell r="B840">
            <v>833</v>
          </cell>
          <cell r="M840" t="str">
            <v>Jumlah</v>
          </cell>
          <cell r="N840">
            <v>294296.8</v>
          </cell>
        </row>
        <row r="841">
          <cell r="B841">
            <v>834</v>
          </cell>
          <cell r="M841" t="str">
            <v>Dibulatkan</v>
          </cell>
          <cell r="N841">
            <v>294300</v>
          </cell>
        </row>
        <row r="842">
          <cell r="B842">
            <v>835</v>
          </cell>
        </row>
        <row r="843">
          <cell r="A843" t="str">
            <v>A072</v>
          </cell>
          <cell r="B843">
            <v>836</v>
          </cell>
          <cell r="H843" t="str">
            <v>A072</v>
          </cell>
          <cell r="I843" t="str">
            <v>M²</v>
          </cell>
          <cell r="J843" t="str">
            <v>DAUN PINTU TRIPLEK RANGKA BORNEO</v>
          </cell>
          <cell r="K843" t="str">
            <v>Harga per 1 M² ……</v>
          </cell>
          <cell r="M843" t="str">
            <v>Rp.</v>
          </cell>
          <cell r="N843">
            <v>146180</v>
          </cell>
        </row>
        <row r="844">
          <cell r="B844">
            <v>837</v>
          </cell>
          <cell r="D844" t="str">
            <v>B</v>
          </cell>
          <cell r="F844" t="str">
            <v>Kayu Papan Borneo Super</v>
          </cell>
          <cell r="J844" t="str">
            <v>Kayu Papan Borneo Super</v>
          </cell>
          <cell r="K844">
            <v>1.4999999999999999E-2</v>
          </cell>
          <cell r="L844" t="str">
            <v>M3</v>
          </cell>
          <cell r="M844">
            <v>2563000</v>
          </cell>
          <cell r="N844">
            <v>38445</v>
          </cell>
        </row>
        <row r="845">
          <cell r="B845">
            <v>838</v>
          </cell>
          <cell r="D845" t="str">
            <v>B</v>
          </cell>
          <cell r="F845" t="str">
            <v>Tripleks 4 mm ukuran Pintu</v>
          </cell>
          <cell r="J845" t="str">
            <v>Triplek 4 mm ukuran pintu</v>
          </cell>
          <cell r="K845">
            <v>1</v>
          </cell>
          <cell r="L845" t="str">
            <v>Lbr</v>
          </cell>
          <cell r="M845">
            <v>32700</v>
          </cell>
          <cell r="N845">
            <v>32700</v>
          </cell>
        </row>
        <row r="846">
          <cell r="B846">
            <v>839</v>
          </cell>
          <cell r="D846" t="str">
            <v>B</v>
          </cell>
          <cell r="F846" t="str">
            <v>Paku 1 cm s.d 3 cm</v>
          </cell>
          <cell r="J846" t="str">
            <v>Paku 1 cm s.d 3 cm</v>
          </cell>
          <cell r="K846">
            <v>0.2</v>
          </cell>
          <cell r="L846" t="str">
            <v>Kg</v>
          </cell>
          <cell r="M846">
            <v>14200</v>
          </cell>
          <cell r="N846">
            <v>2840</v>
          </cell>
        </row>
        <row r="847">
          <cell r="B847">
            <v>840</v>
          </cell>
          <cell r="D847" t="str">
            <v>B</v>
          </cell>
          <cell r="F847" t="str">
            <v>Lem Putih (Fox)</v>
          </cell>
          <cell r="J847" t="str">
            <v>Lem Putih (FOX)</v>
          </cell>
          <cell r="K847">
            <v>0.5</v>
          </cell>
          <cell r="L847" t="str">
            <v>Kg</v>
          </cell>
          <cell r="M847">
            <v>42600</v>
          </cell>
          <cell r="N847">
            <v>21300</v>
          </cell>
        </row>
        <row r="848">
          <cell r="B848">
            <v>841</v>
          </cell>
          <cell r="D848" t="str">
            <v>B</v>
          </cell>
          <cell r="F848" t="str">
            <v>Lem Kuning Aibon</v>
          </cell>
          <cell r="J848" t="str">
            <v>Lem Kuning (Ica Aibon)</v>
          </cell>
          <cell r="K848">
            <v>0.05</v>
          </cell>
          <cell r="L848" t="str">
            <v>Kg</v>
          </cell>
          <cell r="M848">
            <v>28000</v>
          </cell>
          <cell r="N848">
            <v>1400</v>
          </cell>
        </row>
        <row r="849">
          <cell r="B849">
            <v>842</v>
          </cell>
          <cell r="C849" t="str">
            <v>P</v>
          </cell>
          <cell r="F849" t="str">
            <v>Buruh Lapangan Agak Terlatih / Pekerja setengah Terampil</v>
          </cell>
          <cell r="J849" t="str">
            <v>Pekerja Setengah Terampil</v>
          </cell>
          <cell r="K849">
            <v>0.3</v>
          </cell>
          <cell r="L849" t="str">
            <v>Orang</v>
          </cell>
          <cell r="M849">
            <v>24500</v>
          </cell>
          <cell r="N849">
            <v>7350</v>
          </cell>
        </row>
        <row r="850">
          <cell r="B850">
            <v>843</v>
          </cell>
          <cell r="C850" t="str">
            <v>P</v>
          </cell>
          <cell r="F850" t="str">
            <v>Tukang Kayu (terampil)</v>
          </cell>
          <cell r="J850" t="str">
            <v>Tukang Kayu Terampil</v>
          </cell>
          <cell r="K850">
            <v>1.3</v>
          </cell>
          <cell r="L850" t="str">
            <v>Orang</v>
          </cell>
          <cell r="M850">
            <v>29100</v>
          </cell>
          <cell r="N850">
            <v>37830</v>
          </cell>
        </row>
        <row r="851">
          <cell r="B851">
            <v>844</v>
          </cell>
          <cell r="C851" t="str">
            <v>P</v>
          </cell>
          <cell r="F851" t="str">
            <v>Kepala Tukang Kayu</v>
          </cell>
          <cell r="J851" t="str">
            <v>Kepala Tukang Kayu</v>
          </cell>
          <cell r="K851">
            <v>0.13</v>
          </cell>
          <cell r="L851" t="str">
            <v>Orang</v>
          </cell>
          <cell r="M851">
            <v>30000</v>
          </cell>
          <cell r="N851">
            <v>3900</v>
          </cell>
        </row>
        <row r="852">
          <cell r="B852">
            <v>845</v>
          </cell>
          <cell r="C852" t="str">
            <v>P</v>
          </cell>
          <cell r="F852" t="str">
            <v>Mandor Lapangan</v>
          </cell>
          <cell r="J852" t="str">
            <v>Mandor</v>
          </cell>
          <cell r="K852">
            <v>1.2999999999999999E-2</v>
          </cell>
          <cell r="L852" t="str">
            <v>Orang</v>
          </cell>
          <cell r="M852">
            <v>31800</v>
          </cell>
          <cell r="N852">
            <v>413.4</v>
          </cell>
        </row>
        <row r="853">
          <cell r="B853">
            <v>846</v>
          </cell>
          <cell r="M853" t="str">
            <v>Jumlah</v>
          </cell>
          <cell r="N853">
            <v>146178.4</v>
          </cell>
        </row>
        <row r="854">
          <cell r="B854">
            <v>847</v>
          </cell>
          <cell r="M854" t="str">
            <v>Dibulatkan</v>
          </cell>
          <cell r="N854">
            <v>146180</v>
          </cell>
        </row>
        <row r="855">
          <cell r="B855">
            <v>848</v>
          </cell>
        </row>
        <row r="856">
          <cell r="A856" t="str">
            <v>A073</v>
          </cell>
          <cell r="B856">
            <v>849</v>
          </cell>
          <cell r="H856" t="str">
            <v>A073</v>
          </cell>
          <cell r="I856" t="str">
            <v>M²</v>
          </cell>
          <cell r="J856" t="str">
            <v>DAUN PINTU TEAKWOOD RANGKA BORNEO</v>
          </cell>
          <cell r="K856" t="str">
            <v>Harga per 1 M² ……</v>
          </cell>
          <cell r="M856" t="str">
            <v>Rp.</v>
          </cell>
          <cell r="N856">
            <v>179480</v>
          </cell>
        </row>
        <row r="857">
          <cell r="B857">
            <v>850</v>
          </cell>
          <cell r="D857" t="str">
            <v>B</v>
          </cell>
          <cell r="F857" t="str">
            <v>Kayu Papan Borneo Super</v>
          </cell>
          <cell r="J857" t="str">
            <v>Kayu Papan Borneo Super</v>
          </cell>
          <cell r="K857">
            <v>1.4999999999999999E-2</v>
          </cell>
          <cell r="L857" t="str">
            <v>M3</v>
          </cell>
          <cell r="M857">
            <v>2563000</v>
          </cell>
          <cell r="N857">
            <v>38445</v>
          </cell>
        </row>
        <row r="858">
          <cell r="B858">
            <v>851</v>
          </cell>
          <cell r="D858" t="str">
            <v>B</v>
          </cell>
          <cell r="F858" t="str">
            <v>Teakwood 3 mm ukuran Pintu</v>
          </cell>
          <cell r="J858" t="str">
            <v>Teakwood 3 mm ukuran pintu</v>
          </cell>
          <cell r="K858">
            <v>1</v>
          </cell>
          <cell r="L858" t="str">
            <v>Lbr</v>
          </cell>
          <cell r="M858">
            <v>66000</v>
          </cell>
          <cell r="N858">
            <v>66000</v>
          </cell>
        </row>
        <row r="859">
          <cell r="B859">
            <v>852</v>
          </cell>
          <cell r="D859" t="str">
            <v>B</v>
          </cell>
          <cell r="F859" t="str">
            <v>Paku 1 cm s.d 3 cm</v>
          </cell>
          <cell r="J859" t="str">
            <v>Paku 1 cm s.d 3 cm</v>
          </cell>
          <cell r="K859">
            <v>0.2</v>
          </cell>
          <cell r="L859" t="str">
            <v>Kg</v>
          </cell>
          <cell r="M859">
            <v>14200</v>
          </cell>
          <cell r="N859">
            <v>2840</v>
          </cell>
        </row>
        <row r="860">
          <cell r="B860">
            <v>853</v>
          </cell>
          <cell r="D860" t="str">
            <v>B</v>
          </cell>
          <cell r="F860" t="str">
            <v>Lem Putih (Fox)</v>
          </cell>
          <cell r="J860" t="str">
            <v>Lem Putih (FOX)</v>
          </cell>
          <cell r="K860">
            <v>0.5</v>
          </cell>
          <cell r="L860" t="str">
            <v>Kg</v>
          </cell>
          <cell r="M860">
            <v>42600</v>
          </cell>
          <cell r="N860">
            <v>21300</v>
          </cell>
        </row>
        <row r="861">
          <cell r="B861">
            <v>854</v>
          </cell>
          <cell r="D861" t="str">
            <v>B</v>
          </cell>
          <cell r="F861" t="str">
            <v>Lem Kuning Aibon</v>
          </cell>
          <cell r="J861" t="str">
            <v>Lem Kuning (Ica Aibon)</v>
          </cell>
          <cell r="K861">
            <v>0.05</v>
          </cell>
          <cell r="L861" t="str">
            <v>Kg</v>
          </cell>
          <cell r="M861">
            <v>28000</v>
          </cell>
          <cell r="N861">
            <v>1400</v>
          </cell>
        </row>
        <row r="862">
          <cell r="B862">
            <v>855</v>
          </cell>
          <cell r="C862" t="str">
            <v>P</v>
          </cell>
          <cell r="F862" t="str">
            <v>Buruh Lapangan Agak Terlatih / Pekerja setengah Terampil</v>
          </cell>
          <cell r="J862" t="str">
            <v>Pekerja Setengah Terampil</v>
          </cell>
          <cell r="K862">
            <v>0.3</v>
          </cell>
          <cell r="L862" t="str">
            <v>Orang</v>
          </cell>
          <cell r="M862">
            <v>24500</v>
          </cell>
          <cell r="N862">
            <v>7350</v>
          </cell>
        </row>
        <row r="863">
          <cell r="B863">
            <v>856</v>
          </cell>
          <cell r="C863" t="str">
            <v>P</v>
          </cell>
          <cell r="F863" t="str">
            <v>Tukang Kayu (terampil)</v>
          </cell>
          <cell r="J863" t="str">
            <v>Tukang Kayu Terampil</v>
          </cell>
          <cell r="K863">
            <v>1.3</v>
          </cell>
          <cell r="L863" t="str">
            <v>Orang</v>
          </cell>
          <cell r="M863">
            <v>29100</v>
          </cell>
          <cell r="N863">
            <v>37830</v>
          </cell>
        </row>
        <row r="864">
          <cell r="B864">
            <v>857</v>
          </cell>
          <cell r="C864" t="str">
            <v>P</v>
          </cell>
          <cell r="F864" t="str">
            <v>Kepala Tukang Kayu</v>
          </cell>
          <cell r="J864" t="str">
            <v>Kepala Tukang Kayu</v>
          </cell>
          <cell r="K864">
            <v>0.13</v>
          </cell>
          <cell r="L864" t="str">
            <v>Orang</v>
          </cell>
          <cell r="M864">
            <v>30000</v>
          </cell>
          <cell r="N864">
            <v>3900</v>
          </cell>
        </row>
        <row r="865">
          <cell r="B865">
            <v>858</v>
          </cell>
          <cell r="C865" t="str">
            <v>P</v>
          </cell>
          <cell r="F865" t="str">
            <v>Mandor Lapangan</v>
          </cell>
          <cell r="J865" t="str">
            <v>Mandor</v>
          </cell>
          <cell r="K865">
            <v>1.2999999999999999E-2</v>
          </cell>
          <cell r="L865" t="str">
            <v>Orang</v>
          </cell>
          <cell r="M865">
            <v>31800</v>
          </cell>
          <cell r="N865">
            <v>413.4</v>
          </cell>
        </row>
        <row r="866">
          <cell r="B866">
            <v>859</v>
          </cell>
          <cell r="M866" t="str">
            <v>Jumlah</v>
          </cell>
          <cell r="N866">
            <v>179478.39999999999</v>
          </cell>
        </row>
        <row r="867">
          <cell r="B867">
            <v>860</v>
          </cell>
          <cell r="M867" t="str">
            <v>Dibulatkan</v>
          </cell>
          <cell r="N867">
            <v>179480</v>
          </cell>
        </row>
        <row r="868">
          <cell r="B868">
            <v>861</v>
          </cell>
        </row>
        <row r="869">
          <cell r="A869" t="str">
            <v>A074</v>
          </cell>
          <cell r="B869">
            <v>862</v>
          </cell>
          <cell r="H869" t="str">
            <v>A074</v>
          </cell>
          <cell r="I869" t="str">
            <v>M²</v>
          </cell>
          <cell r="J869" t="str">
            <v>1 M² DAUN PINTU PANIL KAYU KAMPER</v>
          </cell>
          <cell r="K869" t="str">
            <v>Harga per 1 M² ……</v>
          </cell>
          <cell r="M869" t="str">
            <v>Rp.</v>
          </cell>
          <cell r="N869">
            <v>336330</v>
          </cell>
        </row>
        <row r="870">
          <cell r="B870">
            <v>863</v>
          </cell>
          <cell r="D870" t="str">
            <v>B</v>
          </cell>
          <cell r="F870" t="str">
            <v>Kayu Papan Kamper Singkil</v>
          </cell>
          <cell r="J870" t="str">
            <v>Rangka + Panil Kayu Kamper Singkil + Multiplek 12 mm</v>
          </cell>
          <cell r="K870">
            <v>0.05</v>
          </cell>
          <cell r="L870" t="str">
            <v>m³</v>
          </cell>
          <cell r="M870">
            <v>4311000</v>
          </cell>
          <cell r="N870">
            <v>215550</v>
          </cell>
        </row>
        <row r="871">
          <cell r="B871">
            <v>864</v>
          </cell>
          <cell r="D871" t="str">
            <v>B</v>
          </cell>
          <cell r="F871" t="str">
            <v>Lem Putih (Fox)</v>
          </cell>
          <cell r="J871" t="str">
            <v>Lem Putih (FOX)</v>
          </cell>
          <cell r="K871">
            <v>0.05</v>
          </cell>
          <cell r="L871" t="str">
            <v>kg</v>
          </cell>
          <cell r="M871">
            <v>42600</v>
          </cell>
          <cell r="N871">
            <v>2130</v>
          </cell>
        </row>
        <row r="872">
          <cell r="B872">
            <v>865</v>
          </cell>
          <cell r="D872" t="str">
            <v>B</v>
          </cell>
          <cell r="F872" t="str">
            <v>List Kayu Kamper</v>
          </cell>
          <cell r="J872" t="str">
            <v>List Kayu Profil</v>
          </cell>
          <cell r="K872">
            <v>4</v>
          </cell>
          <cell r="L872" t="str">
            <v>m'</v>
          </cell>
          <cell r="M872">
            <v>5800</v>
          </cell>
          <cell r="N872">
            <v>23200</v>
          </cell>
        </row>
        <row r="873">
          <cell r="B873">
            <v>866</v>
          </cell>
          <cell r="C873" t="str">
            <v>P</v>
          </cell>
          <cell r="F873" t="str">
            <v>Buruh Lapangan Terlatih / Pekerja Terampil</v>
          </cell>
          <cell r="J873" t="str">
            <v>Pekerja Terampil</v>
          </cell>
          <cell r="K873">
            <v>0.6</v>
          </cell>
          <cell r="L873" t="str">
            <v>Org</v>
          </cell>
          <cell r="M873">
            <v>26400</v>
          </cell>
          <cell r="N873">
            <v>15840</v>
          </cell>
        </row>
        <row r="874">
          <cell r="B874">
            <v>867</v>
          </cell>
          <cell r="C874" t="str">
            <v>P</v>
          </cell>
          <cell r="F874" t="str">
            <v>Tukang Kayu setengah terampil</v>
          </cell>
          <cell r="J874" t="str">
            <v>Tukang Kayu Setengah Terampil</v>
          </cell>
          <cell r="K874">
            <v>2.6</v>
          </cell>
          <cell r="L874" t="str">
            <v>Org</v>
          </cell>
          <cell r="M874">
            <v>27300</v>
          </cell>
          <cell r="N874">
            <v>70980</v>
          </cell>
        </row>
        <row r="875">
          <cell r="B875">
            <v>868</v>
          </cell>
          <cell r="C875" t="str">
            <v>P</v>
          </cell>
          <cell r="F875" t="str">
            <v>Kepala Tukang Kayu</v>
          </cell>
          <cell r="J875" t="str">
            <v>Kepala Tukang Kayu</v>
          </cell>
          <cell r="K875">
            <v>0.26</v>
          </cell>
          <cell r="L875" t="str">
            <v>Org</v>
          </cell>
          <cell r="M875">
            <v>30000</v>
          </cell>
          <cell r="N875">
            <v>7800</v>
          </cell>
        </row>
        <row r="876">
          <cell r="B876">
            <v>869</v>
          </cell>
          <cell r="C876" t="str">
            <v>P</v>
          </cell>
          <cell r="F876" t="str">
            <v>Mandor Lapangan</v>
          </cell>
          <cell r="J876" t="str">
            <v>Mandor</v>
          </cell>
          <cell r="K876">
            <v>2.5999999999999999E-2</v>
          </cell>
          <cell r="L876" t="str">
            <v>Org</v>
          </cell>
          <cell r="M876">
            <v>31800</v>
          </cell>
          <cell r="N876">
            <v>826.8</v>
          </cell>
        </row>
        <row r="877">
          <cell r="B877">
            <v>870</v>
          </cell>
          <cell r="M877" t="str">
            <v>Jumlah</v>
          </cell>
          <cell r="N877">
            <v>336326.8</v>
          </cell>
        </row>
        <row r="878">
          <cell r="B878">
            <v>871</v>
          </cell>
          <cell r="M878" t="str">
            <v>Dibulatkan</v>
          </cell>
          <cell r="N878">
            <v>336330</v>
          </cell>
        </row>
        <row r="879">
          <cell r="B879">
            <v>872</v>
          </cell>
        </row>
        <row r="880">
          <cell r="A880" t="str">
            <v>A075</v>
          </cell>
          <cell r="B880">
            <v>873</v>
          </cell>
          <cell r="H880" t="str">
            <v>A075</v>
          </cell>
          <cell r="I880" t="str">
            <v>M²</v>
          </cell>
          <cell r="J880" t="str">
            <v>DAUN PINTU TRIPLEK LAPIS FORMIKA (KM/WC)</v>
          </cell>
          <cell r="K880" t="str">
            <v>Harga per 1 M² ……</v>
          </cell>
          <cell r="M880" t="str">
            <v>Rp.</v>
          </cell>
          <cell r="N880">
            <v>289180</v>
          </cell>
        </row>
        <row r="881">
          <cell r="B881">
            <v>874</v>
          </cell>
          <cell r="D881" t="str">
            <v>B</v>
          </cell>
          <cell r="F881" t="str">
            <v>Kayu Papan Borneo Super</v>
          </cell>
          <cell r="J881" t="str">
            <v>Kayu Papan Borneo Super</v>
          </cell>
          <cell r="K881">
            <v>1.4999999999999999E-2</v>
          </cell>
          <cell r="L881" t="str">
            <v>M3</v>
          </cell>
          <cell r="M881">
            <v>2563000</v>
          </cell>
          <cell r="N881">
            <v>38445</v>
          </cell>
        </row>
        <row r="882">
          <cell r="B882">
            <v>875</v>
          </cell>
          <cell r="D882" t="str">
            <v>B</v>
          </cell>
          <cell r="F882" t="str">
            <v>Tripleks tebal 4 mm uk. 120 x 240</v>
          </cell>
          <cell r="J882" t="str">
            <v>Triplek 4 mm 120 x 240</v>
          </cell>
          <cell r="K882">
            <v>1</v>
          </cell>
          <cell r="L882" t="str">
            <v>Lbr</v>
          </cell>
          <cell r="M882">
            <v>53700</v>
          </cell>
          <cell r="N882">
            <v>53700</v>
          </cell>
        </row>
        <row r="883">
          <cell r="B883">
            <v>876</v>
          </cell>
          <cell r="D883" t="str">
            <v>B</v>
          </cell>
          <cell r="F883" t="str">
            <v>Formika ukuran Pintu</v>
          </cell>
          <cell r="J883" t="str">
            <v>Formika Ukuran Pintu</v>
          </cell>
          <cell r="K883">
            <v>1</v>
          </cell>
          <cell r="L883" t="str">
            <v>Lbr</v>
          </cell>
          <cell r="M883">
            <v>122000</v>
          </cell>
          <cell r="N883">
            <v>122000</v>
          </cell>
        </row>
        <row r="884">
          <cell r="B884">
            <v>877</v>
          </cell>
          <cell r="D884" t="str">
            <v>B</v>
          </cell>
          <cell r="F884" t="str">
            <v>Paku 1 cm s.d 3 cm</v>
          </cell>
          <cell r="J884" t="str">
            <v>Paku 1 cm s.d 3 cm</v>
          </cell>
          <cell r="K884">
            <v>0.2</v>
          </cell>
          <cell r="L884" t="str">
            <v>Kg</v>
          </cell>
          <cell r="M884">
            <v>14200</v>
          </cell>
          <cell r="N884">
            <v>2840</v>
          </cell>
        </row>
        <row r="885">
          <cell r="B885">
            <v>878</v>
          </cell>
          <cell r="D885" t="str">
            <v>B</v>
          </cell>
          <cell r="F885" t="str">
            <v>Lem Putih (Fox)</v>
          </cell>
          <cell r="J885" t="str">
            <v>Lem Putih (FOX)</v>
          </cell>
          <cell r="K885">
            <v>0.5</v>
          </cell>
          <cell r="L885" t="str">
            <v>Kg</v>
          </cell>
          <cell r="M885">
            <v>42600</v>
          </cell>
          <cell r="N885">
            <v>21300</v>
          </cell>
        </row>
        <row r="886">
          <cell r="B886">
            <v>879</v>
          </cell>
          <cell r="D886" t="str">
            <v>B</v>
          </cell>
          <cell r="F886" t="str">
            <v>Lem Kuning Aibon</v>
          </cell>
          <cell r="J886" t="str">
            <v>Lem Kuning (Ica Aibon)</v>
          </cell>
          <cell r="K886">
            <v>0.05</v>
          </cell>
          <cell r="L886" t="str">
            <v>Kg</v>
          </cell>
          <cell r="M886">
            <v>28000</v>
          </cell>
          <cell r="N886">
            <v>1400</v>
          </cell>
        </row>
        <row r="887">
          <cell r="B887">
            <v>880</v>
          </cell>
          <cell r="C887" t="str">
            <v>P</v>
          </cell>
          <cell r="F887" t="str">
            <v>Buruh Lapangan Agak Terlatih / Pekerja setengah Terampil</v>
          </cell>
          <cell r="J887" t="str">
            <v>Pekerja Setengah Terampil</v>
          </cell>
          <cell r="K887">
            <v>0.3</v>
          </cell>
          <cell r="L887" t="str">
            <v>Orang</v>
          </cell>
          <cell r="M887">
            <v>24500</v>
          </cell>
          <cell r="N887">
            <v>7350</v>
          </cell>
        </row>
        <row r="888">
          <cell r="B888">
            <v>881</v>
          </cell>
          <cell r="C888" t="str">
            <v>P</v>
          </cell>
          <cell r="F888" t="str">
            <v>Tukang Kayu (terampil)</v>
          </cell>
          <cell r="J888" t="str">
            <v>Tukang Kayu Terampil</v>
          </cell>
          <cell r="K888">
            <v>1.3</v>
          </cell>
          <cell r="L888" t="str">
            <v>Orang</v>
          </cell>
          <cell r="M888">
            <v>29100</v>
          </cell>
          <cell r="N888">
            <v>37830</v>
          </cell>
        </row>
        <row r="889">
          <cell r="B889">
            <v>882</v>
          </cell>
          <cell r="C889" t="str">
            <v>P</v>
          </cell>
          <cell r="F889" t="str">
            <v>Kepala Tukang Kayu</v>
          </cell>
          <cell r="J889" t="str">
            <v>Kepala Tukang Kayu</v>
          </cell>
          <cell r="K889">
            <v>0.13</v>
          </cell>
          <cell r="L889" t="str">
            <v>Orang</v>
          </cell>
          <cell r="M889">
            <v>30000</v>
          </cell>
          <cell r="N889">
            <v>3900</v>
          </cell>
        </row>
        <row r="890">
          <cell r="B890">
            <v>883</v>
          </cell>
          <cell r="C890" t="str">
            <v>P</v>
          </cell>
          <cell r="F890" t="str">
            <v>Mandor Lapangan</v>
          </cell>
          <cell r="J890" t="str">
            <v>Mandor</v>
          </cell>
          <cell r="K890">
            <v>1.2999999999999999E-2</v>
          </cell>
          <cell r="L890" t="str">
            <v>Orang</v>
          </cell>
          <cell r="M890">
            <v>31800</v>
          </cell>
          <cell r="N890">
            <v>413.4</v>
          </cell>
        </row>
        <row r="891">
          <cell r="B891">
            <v>884</v>
          </cell>
          <cell r="M891" t="str">
            <v>Jumlah</v>
          </cell>
          <cell r="N891">
            <v>289178.40000000002</v>
          </cell>
        </row>
        <row r="892">
          <cell r="B892">
            <v>885</v>
          </cell>
          <cell r="M892" t="str">
            <v>Dibulatkan</v>
          </cell>
          <cell r="N892">
            <v>289180</v>
          </cell>
        </row>
        <row r="893">
          <cell r="B893">
            <v>886</v>
          </cell>
        </row>
        <row r="894">
          <cell r="A894" t="str">
            <v>A076</v>
          </cell>
          <cell r="B894">
            <v>887</v>
          </cell>
          <cell r="H894" t="str">
            <v>A076</v>
          </cell>
          <cell r="I894" t="str">
            <v>M²</v>
          </cell>
          <cell r="J894" t="str">
            <v>DAUN JENDELA KACA (TANPA KACA)</v>
          </cell>
          <cell r="K894" t="str">
            <v>Harga per 1 M² ……</v>
          </cell>
          <cell r="M894" t="str">
            <v>Rp.</v>
          </cell>
          <cell r="N894">
            <v>144270</v>
          </cell>
        </row>
        <row r="895">
          <cell r="B895">
            <v>888</v>
          </cell>
          <cell r="D895" t="str">
            <v>B</v>
          </cell>
          <cell r="F895" t="str">
            <v>Kayu Papan Kamper Singkil</v>
          </cell>
          <cell r="J895" t="str">
            <v>Kayu Papan Kamper Singkil</v>
          </cell>
          <cell r="K895">
            <v>1.7000000000000001E-2</v>
          </cell>
          <cell r="L895" t="str">
            <v>M3</v>
          </cell>
          <cell r="M895">
            <v>4311000</v>
          </cell>
          <cell r="N895">
            <v>73287</v>
          </cell>
        </row>
        <row r="896">
          <cell r="B896">
            <v>889</v>
          </cell>
          <cell r="D896" t="str">
            <v>B</v>
          </cell>
          <cell r="F896" t="str">
            <v>Lem Putih (Fox)</v>
          </cell>
          <cell r="J896" t="str">
            <v>Lem Putih (FOX)</v>
          </cell>
          <cell r="K896">
            <v>0.03</v>
          </cell>
          <cell r="L896" t="str">
            <v>Lbr</v>
          </cell>
          <cell r="M896">
            <v>42600</v>
          </cell>
          <cell r="N896">
            <v>1278</v>
          </cell>
        </row>
        <row r="897">
          <cell r="B897">
            <v>890</v>
          </cell>
          <cell r="D897" t="str">
            <v>B</v>
          </cell>
          <cell r="F897" t="str">
            <v>List Kayu Kamper</v>
          </cell>
          <cell r="J897" t="str">
            <v>List Kayu</v>
          </cell>
          <cell r="K897">
            <v>4</v>
          </cell>
          <cell r="L897" t="str">
            <v>M'</v>
          </cell>
          <cell r="M897">
            <v>5800</v>
          </cell>
          <cell r="N897">
            <v>23200</v>
          </cell>
        </row>
        <row r="898">
          <cell r="B898">
            <v>891</v>
          </cell>
          <cell r="C898" t="str">
            <v>P</v>
          </cell>
          <cell r="F898" t="str">
            <v>Buruh Lapangan Agak Terlatih / Pekerja setengah Terampil</v>
          </cell>
          <cell r="J898" t="str">
            <v>Pekerja Setengah Terampil</v>
          </cell>
          <cell r="K898">
            <v>0.3</v>
          </cell>
          <cell r="L898" t="str">
            <v>Orang</v>
          </cell>
          <cell r="M898">
            <v>24500</v>
          </cell>
          <cell r="N898">
            <v>7350</v>
          </cell>
        </row>
        <row r="899">
          <cell r="B899">
            <v>892</v>
          </cell>
          <cell r="C899" t="str">
            <v>P</v>
          </cell>
          <cell r="F899" t="str">
            <v>Tukang Kayu (terampil)</v>
          </cell>
          <cell r="J899" t="str">
            <v>Tukang Kayu Terampil</v>
          </cell>
          <cell r="K899">
            <v>1.2</v>
          </cell>
          <cell r="L899" t="str">
            <v>Orang</v>
          </cell>
          <cell r="M899">
            <v>29100</v>
          </cell>
          <cell r="N899">
            <v>34920</v>
          </cell>
        </row>
        <row r="900">
          <cell r="B900">
            <v>893</v>
          </cell>
          <cell r="C900" t="str">
            <v>P</v>
          </cell>
          <cell r="F900" t="str">
            <v>Kepala Tukang Kayu</v>
          </cell>
          <cell r="J900" t="str">
            <v>Kepala Tukang Kayu</v>
          </cell>
          <cell r="K900">
            <v>0.12</v>
          </cell>
          <cell r="L900" t="str">
            <v>Orang</v>
          </cell>
          <cell r="M900">
            <v>30000</v>
          </cell>
          <cell r="N900">
            <v>3600</v>
          </cell>
        </row>
        <row r="901">
          <cell r="B901">
            <v>894</v>
          </cell>
          <cell r="C901" t="str">
            <v>P</v>
          </cell>
          <cell r="F901" t="str">
            <v>Mandor Lapangan</v>
          </cell>
          <cell r="J901" t="str">
            <v>Mandor</v>
          </cell>
          <cell r="K901">
            <v>0.02</v>
          </cell>
          <cell r="L901" t="str">
            <v>Orang</v>
          </cell>
          <cell r="M901">
            <v>31800</v>
          </cell>
          <cell r="N901">
            <v>636</v>
          </cell>
        </row>
        <row r="902">
          <cell r="B902">
            <v>895</v>
          </cell>
          <cell r="M902" t="str">
            <v>Jumlah</v>
          </cell>
          <cell r="N902">
            <v>144271</v>
          </cell>
        </row>
        <row r="903">
          <cell r="B903">
            <v>896</v>
          </cell>
          <cell r="M903" t="str">
            <v>Dibulatkan</v>
          </cell>
          <cell r="N903">
            <v>144270</v>
          </cell>
        </row>
        <row r="904">
          <cell r="B904">
            <v>897</v>
          </cell>
        </row>
        <row r="905">
          <cell r="A905" t="str">
            <v>A077</v>
          </cell>
          <cell r="B905">
            <v>898</v>
          </cell>
          <cell r="H905" t="str">
            <v>A077</v>
          </cell>
          <cell r="I905" t="str">
            <v>M²</v>
          </cell>
          <cell r="J905" t="str">
            <v>DAUN PINTU KACA (TANPA KACA)</v>
          </cell>
          <cell r="K905" t="str">
            <v>Harga per 1 M² ……</v>
          </cell>
          <cell r="M905" t="str">
            <v>Rp.</v>
          </cell>
          <cell r="N905">
            <v>165880</v>
          </cell>
        </row>
        <row r="906">
          <cell r="B906">
            <v>899</v>
          </cell>
          <cell r="D906" t="str">
            <v>B</v>
          </cell>
          <cell r="F906" t="str">
            <v>Kayu Papan Kamper Singkil</v>
          </cell>
          <cell r="J906" t="str">
            <v>Kayu Papan Kamper Singkil</v>
          </cell>
          <cell r="K906">
            <v>0.02</v>
          </cell>
          <cell r="L906" t="str">
            <v>M3</v>
          </cell>
          <cell r="M906">
            <v>4311000</v>
          </cell>
          <cell r="N906">
            <v>86220</v>
          </cell>
        </row>
        <row r="907">
          <cell r="B907">
            <v>900</v>
          </cell>
          <cell r="D907" t="str">
            <v>B</v>
          </cell>
          <cell r="F907" t="str">
            <v>Lem Putih (Fox)</v>
          </cell>
          <cell r="J907" t="str">
            <v>Lem Putih (FOX)</v>
          </cell>
          <cell r="K907">
            <v>0.03</v>
          </cell>
          <cell r="L907" t="str">
            <v>Kg</v>
          </cell>
          <cell r="M907">
            <v>42600</v>
          </cell>
          <cell r="N907">
            <v>1278</v>
          </cell>
        </row>
        <row r="908">
          <cell r="B908">
            <v>901</v>
          </cell>
          <cell r="D908" t="str">
            <v>B</v>
          </cell>
          <cell r="F908" t="str">
            <v>List Kayu Kamper</v>
          </cell>
          <cell r="J908" t="str">
            <v>List Kayu</v>
          </cell>
          <cell r="K908">
            <v>4</v>
          </cell>
          <cell r="L908" t="str">
            <v>M'</v>
          </cell>
          <cell r="M908">
            <v>5800</v>
          </cell>
          <cell r="N908">
            <v>23200</v>
          </cell>
        </row>
        <row r="909">
          <cell r="B909">
            <v>902</v>
          </cell>
          <cell r="C909" t="str">
            <v>P</v>
          </cell>
          <cell r="F909" t="str">
            <v>Buruh Lapangan Agak Terlatih / Pekerja setengah Terampil</v>
          </cell>
          <cell r="J909" t="str">
            <v>Pekerja Setengah Terampil</v>
          </cell>
          <cell r="K909">
            <v>0.4</v>
          </cell>
          <cell r="L909" t="str">
            <v>Orang</v>
          </cell>
          <cell r="M909">
            <v>24500</v>
          </cell>
          <cell r="N909">
            <v>9800</v>
          </cell>
        </row>
        <row r="910">
          <cell r="B910">
            <v>903</v>
          </cell>
          <cell r="C910" t="str">
            <v>P</v>
          </cell>
          <cell r="F910" t="str">
            <v>Tukang Kayu (terampil)</v>
          </cell>
          <cell r="J910" t="str">
            <v>Tukang Kayu Terampil</v>
          </cell>
          <cell r="K910">
            <v>1.4</v>
          </cell>
          <cell r="L910" t="str">
            <v>Orang</v>
          </cell>
          <cell r="M910">
            <v>29100</v>
          </cell>
          <cell r="N910">
            <v>40740</v>
          </cell>
        </row>
        <row r="911">
          <cell r="B911">
            <v>904</v>
          </cell>
          <cell r="C911" t="str">
            <v>P</v>
          </cell>
          <cell r="F911" t="str">
            <v>Kepala Tukang Kayu</v>
          </cell>
          <cell r="J911" t="str">
            <v>Kepala Tukang Kayu</v>
          </cell>
          <cell r="K911">
            <v>0.14000000000000001</v>
          </cell>
          <cell r="L911" t="str">
            <v>Orang</v>
          </cell>
          <cell r="M911">
            <v>30000</v>
          </cell>
          <cell r="N911">
            <v>4200</v>
          </cell>
        </row>
        <row r="912">
          <cell r="B912">
            <v>905</v>
          </cell>
          <cell r="C912" t="str">
            <v>P</v>
          </cell>
          <cell r="F912" t="str">
            <v>Mandor Lapangan</v>
          </cell>
          <cell r="J912" t="str">
            <v>Mandor</v>
          </cell>
          <cell r="K912">
            <v>1.4E-2</v>
          </cell>
          <cell r="L912" t="str">
            <v>Orang</v>
          </cell>
          <cell r="M912">
            <v>31800</v>
          </cell>
          <cell r="N912">
            <v>445.2</v>
          </cell>
        </row>
        <row r="913">
          <cell r="B913">
            <v>906</v>
          </cell>
          <cell r="M913" t="str">
            <v>Jumlah</v>
          </cell>
          <cell r="N913">
            <v>165883.20000000001</v>
          </cell>
        </row>
        <row r="914">
          <cell r="B914">
            <v>907</v>
          </cell>
          <cell r="M914" t="str">
            <v>Dibulatkan</v>
          </cell>
          <cell r="N914">
            <v>165880</v>
          </cell>
        </row>
        <row r="915">
          <cell r="B915">
            <v>908</v>
          </cell>
        </row>
        <row r="916">
          <cell r="A916" t="str">
            <v>A078</v>
          </cell>
          <cell r="B916">
            <v>909</v>
          </cell>
          <cell r="H916" t="str">
            <v>A078</v>
          </cell>
          <cell r="I916" t="str">
            <v>M²</v>
          </cell>
          <cell r="J916" t="str">
            <v>DAUN PASANGAN JALUSI</v>
          </cell>
          <cell r="K916" t="str">
            <v>Harga per 1 M² ……</v>
          </cell>
          <cell r="M916" t="str">
            <v>Rp.</v>
          </cell>
          <cell r="N916">
            <v>150140</v>
          </cell>
        </row>
        <row r="917">
          <cell r="B917">
            <v>910</v>
          </cell>
          <cell r="D917" t="str">
            <v>B</v>
          </cell>
          <cell r="F917" t="str">
            <v>Kayu Papan Kamper Singkil</v>
          </cell>
          <cell r="J917" t="str">
            <v>Kayu Papan Kamper Singkil</v>
          </cell>
          <cell r="K917">
            <v>3.2000000000000001E-2</v>
          </cell>
          <cell r="L917" t="str">
            <v>M3</v>
          </cell>
          <cell r="M917">
            <v>4311000</v>
          </cell>
          <cell r="N917">
            <v>137952</v>
          </cell>
        </row>
        <row r="918">
          <cell r="B918">
            <v>911</v>
          </cell>
          <cell r="C918" t="str">
            <v>P</v>
          </cell>
          <cell r="F918" t="str">
            <v>Buruh Lapangan Agak Terlatih / Pekerja setengah Terampil</v>
          </cell>
          <cell r="J918" t="str">
            <v>Pekerja Setengah Terampil</v>
          </cell>
          <cell r="K918">
            <v>0.126</v>
          </cell>
          <cell r="L918" t="str">
            <v>Orang</v>
          </cell>
          <cell r="M918">
            <v>24500</v>
          </cell>
          <cell r="N918">
            <v>3087</v>
          </cell>
        </row>
        <row r="919">
          <cell r="B919">
            <v>912</v>
          </cell>
          <cell r="C919" t="str">
            <v>P</v>
          </cell>
          <cell r="F919" t="str">
            <v>Tukang Kayu (terampil)</v>
          </cell>
          <cell r="J919" t="str">
            <v>Tukang Kayu Terampil</v>
          </cell>
          <cell r="K919">
            <v>0.27</v>
          </cell>
          <cell r="L919" t="str">
            <v>Orang</v>
          </cell>
          <cell r="M919">
            <v>29100</v>
          </cell>
          <cell r="N919">
            <v>7857.0000000000009</v>
          </cell>
        </row>
        <row r="920">
          <cell r="B920">
            <v>913</v>
          </cell>
          <cell r="C920" t="str">
            <v>P</v>
          </cell>
          <cell r="F920" t="str">
            <v>Kepala Tukang Kayu</v>
          </cell>
          <cell r="J920" t="str">
            <v>Kepala Tukang Kayu</v>
          </cell>
          <cell r="K920">
            <v>3.9E-2</v>
          </cell>
          <cell r="L920" t="str">
            <v>Orang</v>
          </cell>
          <cell r="M920">
            <v>30000</v>
          </cell>
          <cell r="N920">
            <v>1170</v>
          </cell>
        </row>
        <row r="921">
          <cell r="B921">
            <v>914</v>
          </cell>
          <cell r="C921" t="str">
            <v>P</v>
          </cell>
          <cell r="F921" t="str">
            <v>Mandor Lapangan</v>
          </cell>
          <cell r="J921" t="str">
            <v>Mandor</v>
          </cell>
          <cell r="K921">
            <v>2.3E-3</v>
          </cell>
          <cell r="L921" t="str">
            <v>Orang</v>
          </cell>
          <cell r="M921">
            <v>31800</v>
          </cell>
          <cell r="N921">
            <v>73.14</v>
          </cell>
        </row>
        <row r="922">
          <cell r="B922">
            <v>915</v>
          </cell>
          <cell r="M922" t="str">
            <v>Jumlah</v>
          </cell>
          <cell r="N922">
            <v>150139.14000000001</v>
          </cell>
        </row>
        <row r="923">
          <cell r="B923">
            <v>916</v>
          </cell>
          <cell r="M923" t="str">
            <v>Dibulatkan</v>
          </cell>
          <cell r="N923">
            <v>150140</v>
          </cell>
        </row>
        <row r="924">
          <cell r="B924">
            <v>917</v>
          </cell>
        </row>
        <row r="925">
          <cell r="A925" t="str">
            <v>A079</v>
          </cell>
          <cell r="B925">
            <v>918</v>
          </cell>
          <cell r="H925" t="str">
            <v>A079</v>
          </cell>
          <cell r="I925" t="str">
            <v>M²</v>
          </cell>
          <cell r="J925" t="str">
            <v>PASANG KACA POLOS TEBAL 3 MM</v>
          </cell>
          <cell r="K925" t="str">
            <v>Harga per 1 M² ……</v>
          </cell>
          <cell r="M925" t="str">
            <v>Rp.</v>
          </cell>
          <cell r="N925">
            <v>72670</v>
          </cell>
        </row>
        <row r="926">
          <cell r="B926">
            <v>919</v>
          </cell>
          <cell r="D926" t="str">
            <v>B</v>
          </cell>
          <cell r="F926" t="str">
            <v>Kaca polos 3 mm (ASAHI)</v>
          </cell>
          <cell r="J926" t="str">
            <v>Kaca Polos 3 mm (ASAHI)</v>
          </cell>
          <cell r="K926">
            <v>1.1000000000000001</v>
          </cell>
          <cell r="L926" t="str">
            <v>M2</v>
          </cell>
          <cell r="M926">
            <v>59000</v>
          </cell>
          <cell r="N926">
            <v>64900.000000000007</v>
          </cell>
        </row>
        <row r="927">
          <cell r="B927">
            <v>920</v>
          </cell>
          <cell r="C927" t="str">
            <v>P</v>
          </cell>
          <cell r="F927" t="str">
            <v>Buruh Lapangan Tak Terlatih / Pekerja</v>
          </cell>
          <cell r="J927" t="str">
            <v>Pekerja</v>
          </cell>
          <cell r="K927">
            <v>0.15</v>
          </cell>
          <cell r="L927" t="str">
            <v>Orang</v>
          </cell>
          <cell r="M927">
            <v>22700</v>
          </cell>
          <cell r="N927">
            <v>3405</v>
          </cell>
        </row>
        <row r="928">
          <cell r="B928">
            <v>921</v>
          </cell>
          <cell r="C928" t="str">
            <v>P</v>
          </cell>
          <cell r="F928" t="str">
            <v>Tukang Kayu (terampil)</v>
          </cell>
          <cell r="J928" t="str">
            <v>Tukang Kayu Terampil</v>
          </cell>
          <cell r="K928">
            <v>0.15</v>
          </cell>
          <cell r="L928" t="str">
            <v>Orang</v>
          </cell>
          <cell r="M928">
            <v>29100</v>
          </cell>
          <cell r="N928">
            <v>4365</v>
          </cell>
        </row>
        <row r="929">
          <cell r="B929">
            <v>922</v>
          </cell>
          <cell r="M929" t="str">
            <v>Jumlah</v>
          </cell>
          <cell r="N929">
            <v>72670</v>
          </cell>
        </row>
        <row r="930">
          <cell r="B930">
            <v>923</v>
          </cell>
          <cell r="M930" t="str">
            <v>Dibulatkan</v>
          </cell>
          <cell r="N930">
            <v>72670</v>
          </cell>
        </row>
        <row r="931">
          <cell r="B931">
            <v>924</v>
          </cell>
        </row>
        <row r="932">
          <cell r="A932" t="str">
            <v>A080</v>
          </cell>
          <cell r="B932">
            <v>925</v>
          </cell>
          <cell r="H932" t="str">
            <v>A080</v>
          </cell>
          <cell r="I932" t="str">
            <v>M²</v>
          </cell>
          <cell r="J932" t="str">
            <v>PASANG KACA POLOS TEBAL 5 MM</v>
          </cell>
          <cell r="K932" t="str">
            <v>Harga per 1 M² ……</v>
          </cell>
          <cell r="M932" t="str">
            <v>Rp.</v>
          </cell>
          <cell r="N932">
            <v>95770</v>
          </cell>
        </row>
        <row r="933">
          <cell r="B933">
            <v>926</v>
          </cell>
          <cell r="D933" t="str">
            <v>B</v>
          </cell>
          <cell r="F933" t="str">
            <v>Kaca polos 5 mm (ASAHI)</v>
          </cell>
          <cell r="J933" t="str">
            <v>Kaca Polos 5 mm (ASAHI)</v>
          </cell>
          <cell r="K933">
            <v>1.1000000000000001</v>
          </cell>
          <cell r="L933" t="str">
            <v>M2</v>
          </cell>
          <cell r="M933">
            <v>80000</v>
          </cell>
          <cell r="N933">
            <v>88000</v>
          </cell>
        </row>
        <row r="934">
          <cell r="B934">
            <v>927</v>
          </cell>
          <cell r="C934" t="str">
            <v>P</v>
          </cell>
          <cell r="F934" t="str">
            <v>Buruh Lapangan Tak Terlatih / Pekerja</v>
          </cell>
          <cell r="J934" t="str">
            <v>Pekerja</v>
          </cell>
          <cell r="K934">
            <v>0.15</v>
          </cell>
          <cell r="L934" t="str">
            <v>Orang</v>
          </cell>
          <cell r="M934">
            <v>22700</v>
          </cell>
          <cell r="N934">
            <v>3405</v>
          </cell>
        </row>
        <row r="935">
          <cell r="B935">
            <v>928</v>
          </cell>
          <cell r="C935" t="str">
            <v>P</v>
          </cell>
          <cell r="F935" t="str">
            <v>Tukang Kayu (terampil)</v>
          </cell>
          <cell r="J935" t="str">
            <v>Tukang kayu Terampil</v>
          </cell>
          <cell r="K935">
            <v>0.15</v>
          </cell>
          <cell r="L935" t="str">
            <v>Orang</v>
          </cell>
          <cell r="M935">
            <v>29100</v>
          </cell>
          <cell r="N935">
            <v>4365</v>
          </cell>
        </row>
        <row r="936">
          <cell r="B936">
            <v>929</v>
          </cell>
          <cell r="M936" t="str">
            <v>Jumlah</v>
          </cell>
          <cell r="N936">
            <v>95770</v>
          </cell>
        </row>
        <row r="937">
          <cell r="B937">
            <v>930</v>
          </cell>
          <cell r="M937" t="str">
            <v>Dibulatkan</v>
          </cell>
          <cell r="N937">
            <v>95770</v>
          </cell>
        </row>
        <row r="938">
          <cell r="B938">
            <v>931</v>
          </cell>
        </row>
        <row r="939">
          <cell r="A939" t="str">
            <v>A081</v>
          </cell>
          <cell r="B939">
            <v>932</v>
          </cell>
          <cell r="H939" t="str">
            <v>A081</v>
          </cell>
          <cell r="I939" t="str">
            <v>BH</v>
          </cell>
          <cell r="J939" t="str">
            <v>PASANG KUNCI TANAM</v>
          </cell>
          <cell r="K939" t="str">
            <v>Harga per 1BH …..</v>
          </cell>
          <cell r="M939" t="str">
            <v>Rp.</v>
          </cell>
          <cell r="N939">
            <v>99750</v>
          </cell>
        </row>
        <row r="940">
          <cell r="B940">
            <v>933</v>
          </cell>
          <cell r="D940" t="str">
            <v>B</v>
          </cell>
          <cell r="F940" t="str">
            <v>Kunci 2 Slaag Anchor Asli</v>
          </cell>
          <cell r="J940" t="str">
            <v>Kunci 2 Slaag Anchor asli</v>
          </cell>
          <cell r="K940">
            <v>1</v>
          </cell>
          <cell r="L940" t="str">
            <v>Bh</v>
          </cell>
          <cell r="M940">
            <v>85200</v>
          </cell>
          <cell r="N940">
            <v>85200</v>
          </cell>
        </row>
        <row r="941">
          <cell r="B941">
            <v>934</v>
          </cell>
          <cell r="C941" t="str">
            <v>P</v>
          </cell>
          <cell r="F941" t="str">
            <v>Tukang Kayu (terampil)</v>
          </cell>
          <cell r="J941" t="str">
            <v>Tukang kayu Terampil</v>
          </cell>
          <cell r="K941">
            <v>0.5</v>
          </cell>
          <cell r="L941" t="str">
            <v>Orang</v>
          </cell>
          <cell r="M941">
            <v>29100</v>
          </cell>
          <cell r="N941">
            <v>14550</v>
          </cell>
        </row>
        <row r="942">
          <cell r="B942">
            <v>935</v>
          </cell>
          <cell r="M942" t="str">
            <v>Jumlah</v>
          </cell>
          <cell r="N942">
            <v>99750</v>
          </cell>
        </row>
        <row r="943">
          <cell r="B943">
            <v>936</v>
          </cell>
          <cell r="M943" t="str">
            <v>Dibulatkan</v>
          </cell>
          <cell r="N943">
            <v>99750</v>
          </cell>
        </row>
        <row r="944">
          <cell r="B944">
            <v>937</v>
          </cell>
        </row>
        <row r="945">
          <cell r="A945" t="str">
            <v>A082</v>
          </cell>
          <cell r="B945">
            <v>938</v>
          </cell>
          <cell r="H945" t="str">
            <v>A082</v>
          </cell>
          <cell r="I945" t="str">
            <v>BH</v>
          </cell>
          <cell r="J945" t="str">
            <v>PASANG ENGSEL PINTU</v>
          </cell>
          <cell r="K945" t="str">
            <v>Harga per 1BH …..</v>
          </cell>
          <cell r="M945" t="str">
            <v>Rp.</v>
          </cell>
          <cell r="N945">
            <v>30370</v>
          </cell>
        </row>
        <row r="946">
          <cell r="B946">
            <v>939</v>
          </cell>
          <cell r="D946" t="str">
            <v>B</v>
          </cell>
          <cell r="F946" t="str">
            <v>Engsel pintu unilon standar</v>
          </cell>
          <cell r="J946" t="str">
            <v>Engsel Pintu Unilon Standard</v>
          </cell>
          <cell r="K946">
            <v>1</v>
          </cell>
          <cell r="L946" t="str">
            <v>Bh</v>
          </cell>
          <cell r="M946">
            <v>26000</v>
          </cell>
          <cell r="N946">
            <v>26000</v>
          </cell>
        </row>
        <row r="947">
          <cell r="B947">
            <v>940</v>
          </cell>
          <cell r="C947" t="str">
            <v>P</v>
          </cell>
          <cell r="F947" t="str">
            <v>Tukang Kayu (terampil)</v>
          </cell>
          <cell r="J947" t="str">
            <v>Tukang Kayu Terampil</v>
          </cell>
          <cell r="K947">
            <v>0.15</v>
          </cell>
          <cell r="L947" t="str">
            <v>Orang</v>
          </cell>
          <cell r="M947">
            <v>29100</v>
          </cell>
          <cell r="N947">
            <v>4365</v>
          </cell>
        </row>
        <row r="948">
          <cell r="B948">
            <v>941</v>
          </cell>
          <cell r="M948" t="str">
            <v>Jumlah</v>
          </cell>
          <cell r="N948">
            <v>30365</v>
          </cell>
        </row>
        <row r="949">
          <cell r="B949">
            <v>942</v>
          </cell>
          <cell r="M949" t="str">
            <v>Dibulatkan</v>
          </cell>
          <cell r="N949">
            <v>30370</v>
          </cell>
        </row>
        <row r="950">
          <cell r="B950">
            <v>943</v>
          </cell>
        </row>
        <row r="951">
          <cell r="A951" t="str">
            <v>A083</v>
          </cell>
          <cell r="B951">
            <v>944</v>
          </cell>
          <cell r="H951" t="str">
            <v>A083</v>
          </cell>
          <cell r="I951" t="str">
            <v>BH</v>
          </cell>
          <cell r="J951" t="str">
            <v>PASANG ENGSEL JENDELA</v>
          </cell>
          <cell r="K951" t="str">
            <v>Harga per 1BH …..</v>
          </cell>
          <cell r="M951" t="str">
            <v>Rp.</v>
          </cell>
          <cell r="N951">
            <v>31910</v>
          </cell>
        </row>
        <row r="952">
          <cell r="B952">
            <v>945</v>
          </cell>
          <cell r="D952" t="str">
            <v>B</v>
          </cell>
          <cell r="F952" t="str">
            <v>Engsel jendela unilon</v>
          </cell>
          <cell r="J952" t="str">
            <v>Engsel Jendela Unilon</v>
          </cell>
          <cell r="K952">
            <v>1</v>
          </cell>
          <cell r="L952" t="str">
            <v>Bh</v>
          </cell>
          <cell r="M952">
            <v>29000</v>
          </cell>
          <cell r="N952">
            <v>29000</v>
          </cell>
        </row>
        <row r="953">
          <cell r="B953">
            <v>946</v>
          </cell>
          <cell r="C953" t="str">
            <v>P</v>
          </cell>
          <cell r="F953" t="str">
            <v>Tukang Kayu (terampil)</v>
          </cell>
          <cell r="J953" t="str">
            <v>Tukang Kayu Terampil</v>
          </cell>
          <cell r="K953">
            <v>0.1</v>
          </cell>
          <cell r="L953" t="str">
            <v>Orang</v>
          </cell>
          <cell r="M953">
            <v>29100</v>
          </cell>
          <cell r="N953">
            <v>2910</v>
          </cell>
        </row>
        <row r="954">
          <cell r="B954">
            <v>947</v>
          </cell>
          <cell r="M954" t="str">
            <v>Jumlah</v>
          </cell>
          <cell r="N954">
            <v>31910</v>
          </cell>
        </row>
        <row r="955">
          <cell r="B955">
            <v>948</v>
          </cell>
          <cell r="M955" t="str">
            <v>Dibulatkan</v>
          </cell>
          <cell r="N955">
            <v>31910</v>
          </cell>
        </row>
        <row r="956">
          <cell r="B956">
            <v>949</v>
          </cell>
        </row>
        <row r="957">
          <cell r="A957" t="str">
            <v>A084</v>
          </cell>
          <cell r="B957">
            <v>950</v>
          </cell>
          <cell r="H957" t="str">
            <v>A084</v>
          </cell>
          <cell r="I957" t="str">
            <v>BH</v>
          </cell>
          <cell r="J957" t="str">
            <v>PASANG KAIT ANGIN</v>
          </cell>
          <cell r="K957" t="str">
            <v>Harga per 1BH …..</v>
          </cell>
          <cell r="M957" t="str">
            <v>Rp.</v>
          </cell>
          <cell r="N957">
            <v>17520</v>
          </cell>
        </row>
        <row r="958">
          <cell r="B958">
            <v>951</v>
          </cell>
          <cell r="D958" t="str">
            <v>B</v>
          </cell>
          <cell r="F958" t="str">
            <v>Hak Kait Angin jendela biasa</v>
          </cell>
          <cell r="J958" t="str">
            <v>Hak kait angin jendela biasa</v>
          </cell>
          <cell r="K958">
            <v>1</v>
          </cell>
          <cell r="L958" t="str">
            <v>bh</v>
          </cell>
          <cell r="M958">
            <v>11700</v>
          </cell>
          <cell r="N958">
            <v>11700</v>
          </cell>
        </row>
        <row r="959">
          <cell r="B959">
            <v>952</v>
          </cell>
          <cell r="C959" t="str">
            <v>P</v>
          </cell>
          <cell r="F959" t="str">
            <v>Tukang Kayu (terampil)</v>
          </cell>
          <cell r="J959" t="str">
            <v>Tukang Kayu Terampil</v>
          </cell>
          <cell r="K959">
            <v>0.2</v>
          </cell>
          <cell r="L959" t="str">
            <v>Orang</v>
          </cell>
          <cell r="M959">
            <v>29100</v>
          </cell>
          <cell r="N959">
            <v>5820</v>
          </cell>
        </row>
        <row r="960">
          <cell r="B960">
            <v>953</v>
          </cell>
          <cell r="M960" t="str">
            <v>Jumlah</v>
          </cell>
          <cell r="N960">
            <v>17520</v>
          </cell>
        </row>
        <row r="961">
          <cell r="B961">
            <v>954</v>
          </cell>
          <cell r="M961" t="str">
            <v>Dibulatkan</v>
          </cell>
          <cell r="N961">
            <v>17520</v>
          </cell>
        </row>
        <row r="962">
          <cell r="B962">
            <v>955</v>
          </cell>
        </row>
        <row r="963">
          <cell r="A963" t="str">
            <v>A085</v>
          </cell>
          <cell r="B963">
            <v>956</v>
          </cell>
          <cell r="H963" t="str">
            <v>A085</v>
          </cell>
          <cell r="I963" t="str">
            <v>BH</v>
          </cell>
          <cell r="J963" t="str">
            <v>MEMASANG 1 BH CLOSET JONGKOK</v>
          </cell>
          <cell r="K963" t="str">
            <v>Harga per 1 BH ……</v>
          </cell>
          <cell r="M963" t="str">
            <v>Rp.</v>
          </cell>
          <cell r="N963">
            <v>247300</v>
          </cell>
        </row>
        <row r="964">
          <cell r="B964">
            <v>957</v>
          </cell>
          <cell r="C964" t="str">
            <v>P</v>
          </cell>
          <cell r="F964" t="str">
            <v>Tukang Batu (Terampil)</v>
          </cell>
          <cell r="J964" t="str">
            <v>Tukang Batu Terampil</v>
          </cell>
          <cell r="K964">
            <v>1.5</v>
          </cell>
          <cell r="L964" t="str">
            <v>org</v>
          </cell>
          <cell r="M964">
            <v>27300</v>
          </cell>
          <cell r="N964">
            <v>40950</v>
          </cell>
        </row>
        <row r="965">
          <cell r="B965">
            <v>958</v>
          </cell>
          <cell r="C965" t="str">
            <v>P</v>
          </cell>
          <cell r="F965" t="str">
            <v>Kepala Tukang Batu</v>
          </cell>
          <cell r="J965" t="str">
            <v>Kepala Tukang Batu</v>
          </cell>
          <cell r="K965">
            <v>0.15</v>
          </cell>
          <cell r="L965" t="str">
            <v>org</v>
          </cell>
          <cell r="M965">
            <v>29100</v>
          </cell>
          <cell r="N965">
            <v>4365</v>
          </cell>
        </row>
        <row r="966">
          <cell r="B966">
            <v>959</v>
          </cell>
          <cell r="C966" t="str">
            <v>P</v>
          </cell>
          <cell r="F966" t="str">
            <v>Buruh Lapangan Terlatih / Pekerja Terampil</v>
          </cell>
          <cell r="J966" t="str">
            <v>Pekerja Terampil</v>
          </cell>
          <cell r="K966">
            <v>1</v>
          </cell>
          <cell r="L966" t="str">
            <v>org</v>
          </cell>
          <cell r="M966">
            <v>26400</v>
          </cell>
          <cell r="N966">
            <v>26400</v>
          </cell>
        </row>
        <row r="967">
          <cell r="B967">
            <v>960</v>
          </cell>
          <cell r="C967" t="str">
            <v>P</v>
          </cell>
          <cell r="F967" t="str">
            <v>Mandor Lapangan</v>
          </cell>
          <cell r="J967" t="str">
            <v>Mandor</v>
          </cell>
          <cell r="K967">
            <v>0.16</v>
          </cell>
          <cell r="L967" t="str">
            <v>org</v>
          </cell>
          <cell r="M967">
            <v>31800</v>
          </cell>
          <cell r="N967">
            <v>5088</v>
          </cell>
        </row>
        <row r="968">
          <cell r="B968">
            <v>961</v>
          </cell>
          <cell r="D968" t="str">
            <v>B</v>
          </cell>
          <cell r="F968" t="str">
            <v>Closet Jongkok Standar putih Porselin Toto</v>
          </cell>
          <cell r="J968" t="str">
            <v>Closet jongkok porselen standar TOTO</v>
          </cell>
          <cell r="K968">
            <v>1</v>
          </cell>
          <cell r="L968" t="str">
            <v>bh</v>
          </cell>
          <cell r="M968">
            <v>170500</v>
          </cell>
          <cell r="N968">
            <v>170500</v>
          </cell>
        </row>
        <row r="969">
          <cell r="B969">
            <v>962</v>
          </cell>
          <cell r="M969" t="str">
            <v>Jumlah</v>
          </cell>
          <cell r="N969">
            <v>247303</v>
          </cell>
        </row>
        <row r="970">
          <cell r="B970">
            <v>963</v>
          </cell>
          <cell r="M970" t="str">
            <v>Dibulatkan</v>
          </cell>
          <cell r="N970">
            <v>247300</v>
          </cell>
        </row>
        <row r="971">
          <cell r="B971">
            <v>964</v>
          </cell>
        </row>
        <row r="972">
          <cell r="A972" t="str">
            <v>A086</v>
          </cell>
          <cell r="B972">
            <v>965</v>
          </cell>
          <cell r="H972" t="str">
            <v>A086</v>
          </cell>
          <cell r="I972" t="str">
            <v>BH</v>
          </cell>
          <cell r="J972" t="str">
            <v>MEMASANG BAK MANDI FIBERGLASS 60 x 60 CM</v>
          </cell>
          <cell r="K972" t="str">
            <v>Harga per 1 BH ……</v>
          </cell>
          <cell r="M972" t="str">
            <v>Rp.</v>
          </cell>
          <cell r="N972">
            <v>294450</v>
          </cell>
        </row>
        <row r="973">
          <cell r="B973">
            <v>966</v>
          </cell>
          <cell r="C973" t="str">
            <v>P</v>
          </cell>
          <cell r="F973" t="str">
            <v>Tukang Batu (Terampil)</v>
          </cell>
          <cell r="J973" t="str">
            <v>Tukang Batu Terampil</v>
          </cell>
          <cell r="K973">
            <v>0.75</v>
          </cell>
          <cell r="L973" t="str">
            <v>org</v>
          </cell>
          <cell r="M973">
            <v>27300</v>
          </cell>
          <cell r="N973">
            <v>20475</v>
          </cell>
        </row>
        <row r="974">
          <cell r="B974">
            <v>967</v>
          </cell>
          <cell r="C974" t="str">
            <v>P</v>
          </cell>
          <cell r="F974" t="str">
            <v>Kepala Tukang Batu</v>
          </cell>
          <cell r="J974" t="str">
            <v>Kepala Tukang Batu</v>
          </cell>
          <cell r="K974">
            <v>7.0000000000000007E-2</v>
          </cell>
          <cell r="L974" t="str">
            <v>org</v>
          </cell>
          <cell r="M974">
            <v>29100</v>
          </cell>
          <cell r="N974">
            <v>2037.0000000000002</v>
          </cell>
        </row>
        <row r="975">
          <cell r="B975">
            <v>968</v>
          </cell>
          <cell r="C975" t="str">
            <v>P</v>
          </cell>
          <cell r="F975" t="str">
            <v>Buruh Lapangan Terlatih / Pekerja Terampil</v>
          </cell>
          <cell r="J975" t="str">
            <v>Pekerja Terampil</v>
          </cell>
          <cell r="K975">
            <v>2.1</v>
          </cell>
          <cell r="L975" t="str">
            <v>org</v>
          </cell>
          <cell r="M975">
            <v>26400</v>
          </cell>
          <cell r="N975">
            <v>55440</v>
          </cell>
        </row>
        <row r="976">
          <cell r="B976">
            <v>969</v>
          </cell>
          <cell r="C976" t="str">
            <v>P</v>
          </cell>
          <cell r="F976" t="str">
            <v>Mandor Lapangan</v>
          </cell>
          <cell r="J976" t="str">
            <v>Mandor</v>
          </cell>
          <cell r="K976">
            <v>0.11</v>
          </cell>
          <cell r="L976" t="str">
            <v>org</v>
          </cell>
          <cell r="M976">
            <v>31800</v>
          </cell>
          <cell r="N976">
            <v>3498</v>
          </cell>
        </row>
        <row r="977">
          <cell r="B977">
            <v>970</v>
          </cell>
          <cell r="D977" t="str">
            <v>B</v>
          </cell>
          <cell r="F977" t="str">
            <v>Bak KM Fiber  60 x 60 cm</v>
          </cell>
          <cell r="J977" t="str">
            <v>Bak mandi fiberglass</v>
          </cell>
          <cell r="K977">
            <v>1</v>
          </cell>
          <cell r="L977" t="str">
            <v>bh</v>
          </cell>
          <cell r="M977">
            <v>213000</v>
          </cell>
          <cell r="N977">
            <v>213000</v>
          </cell>
        </row>
        <row r="978">
          <cell r="B978">
            <v>971</v>
          </cell>
          <cell r="M978" t="str">
            <v>Jumlah</v>
          </cell>
          <cell r="N978">
            <v>294450</v>
          </cell>
        </row>
        <row r="979">
          <cell r="B979">
            <v>972</v>
          </cell>
          <cell r="M979" t="str">
            <v>Dibulatkan</v>
          </cell>
          <cell r="N979">
            <v>294450</v>
          </cell>
        </row>
        <row r="980">
          <cell r="B980">
            <v>973</v>
          </cell>
        </row>
        <row r="981">
          <cell r="A981" t="str">
            <v>A087</v>
          </cell>
          <cell r="B981">
            <v>974</v>
          </cell>
          <cell r="H981" t="str">
            <v>A087</v>
          </cell>
          <cell r="I981" t="str">
            <v>BH</v>
          </cell>
          <cell r="J981" t="str">
            <v>MEMASANG WASTAFEL</v>
          </cell>
          <cell r="K981" t="str">
            <v>Harga per 1 BH ……</v>
          </cell>
          <cell r="M981" t="str">
            <v>Rp.</v>
          </cell>
          <cell r="N981">
            <v>672490</v>
          </cell>
        </row>
        <row r="982">
          <cell r="B982">
            <v>975</v>
          </cell>
          <cell r="D982" t="str">
            <v>B</v>
          </cell>
          <cell r="F982" t="str">
            <v>Wastafel Lengkap INA Kran Bebek FTAP dia. 1/2"</v>
          </cell>
          <cell r="J982" t="str">
            <v>Wastafel Lengkap INA Kran Bebek FTAP dia. 1/2"</v>
          </cell>
          <cell r="K982">
            <v>1</v>
          </cell>
          <cell r="L982" t="str">
            <v>bh</v>
          </cell>
          <cell r="M982">
            <v>591000</v>
          </cell>
          <cell r="N982">
            <v>591000</v>
          </cell>
        </row>
        <row r="983">
          <cell r="B983">
            <v>976</v>
          </cell>
          <cell r="D983" t="str">
            <v>B</v>
          </cell>
          <cell r="F983" t="str">
            <v>Semen portland</v>
          </cell>
          <cell r="J983" t="str">
            <v>Semen PC 50 kg</v>
          </cell>
          <cell r="K983">
            <v>0.12</v>
          </cell>
          <cell r="L983" t="str">
            <v>Zak</v>
          </cell>
          <cell r="M983">
            <v>44200</v>
          </cell>
          <cell r="N983">
            <v>5304</v>
          </cell>
        </row>
        <row r="984">
          <cell r="B984">
            <v>977</v>
          </cell>
          <cell r="C984" t="str">
            <v>P</v>
          </cell>
          <cell r="F984" t="str">
            <v>Pasir Pasang</v>
          </cell>
          <cell r="J984" t="str">
            <v xml:space="preserve">Pasir Pasang </v>
          </cell>
          <cell r="K984">
            <v>0.01</v>
          </cell>
          <cell r="L984" t="str">
            <v>M3</v>
          </cell>
          <cell r="M984">
            <v>38200</v>
          </cell>
          <cell r="N984">
            <v>382</v>
          </cell>
        </row>
        <row r="985">
          <cell r="B985">
            <v>978</v>
          </cell>
          <cell r="C985" t="str">
            <v>P</v>
          </cell>
          <cell r="F985" t="str">
            <v>Buruh Lapangan Agak Terlatih / Pekerja setengah Terampil</v>
          </cell>
          <cell r="J985" t="str">
            <v>Pekerja setengah terampil</v>
          </cell>
          <cell r="K985">
            <v>1.2</v>
          </cell>
          <cell r="L985" t="str">
            <v>org</v>
          </cell>
          <cell r="M985">
            <v>24500</v>
          </cell>
          <cell r="N985">
            <v>29400</v>
          </cell>
        </row>
        <row r="986">
          <cell r="B986">
            <v>979</v>
          </cell>
          <cell r="C986" t="str">
            <v>P</v>
          </cell>
          <cell r="F986" t="str">
            <v>Tukang Batu setengah terampil</v>
          </cell>
          <cell r="J986" t="str">
            <v>Tukang batu setengah terampil</v>
          </cell>
          <cell r="K986">
            <v>1.45</v>
          </cell>
          <cell r="L986" t="str">
            <v>org</v>
          </cell>
          <cell r="M986">
            <v>26800</v>
          </cell>
          <cell r="N986">
            <v>38860</v>
          </cell>
        </row>
        <row r="987">
          <cell r="B987">
            <v>980</v>
          </cell>
          <cell r="C987" t="str">
            <v>P</v>
          </cell>
          <cell r="F987" t="str">
            <v>Kepala Tukang Batu</v>
          </cell>
          <cell r="J987" t="str">
            <v>Kepala tukang batu</v>
          </cell>
          <cell r="K987">
            <v>0.15</v>
          </cell>
          <cell r="L987" t="str">
            <v>org</v>
          </cell>
          <cell r="M987">
            <v>29100</v>
          </cell>
          <cell r="N987">
            <v>4365</v>
          </cell>
        </row>
        <row r="988">
          <cell r="B988">
            <v>981</v>
          </cell>
          <cell r="C988" t="str">
            <v>P</v>
          </cell>
          <cell r="F988" t="str">
            <v>Mandor Lapangan</v>
          </cell>
          <cell r="J988" t="str">
            <v>Mandor</v>
          </cell>
          <cell r="K988">
            <v>0.1</v>
          </cell>
          <cell r="L988" t="str">
            <v>org</v>
          </cell>
          <cell r="M988">
            <v>31800</v>
          </cell>
          <cell r="N988">
            <v>3180</v>
          </cell>
        </row>
        <row r="989">
          <cell r="B989">
            <v>982</v>
          </cell>
          <cell r="M989" t="str">
            <v>Jumlah</v>
          </cell>
          <cell r="N989">
            <v>672491</v>
          </cell>
        </row>
        <row r="990">
          <cell r="B990">
            <v>983</v>
          </cell>
          <cell r="M990" t="str">
            <v>Dibulatkan</v>
          </cell>
          <cell r="N990">
            <v>672490</v>
          </cell>
        </row>
        <row r="991">
          <cell r="B991">
            <v>984</v>
          </cell>
        </row>
        <row r="992">
          <cell r="A992" t="str">
            <v>A088</v>
          </cell>
          <cell r="B992">
            <v>985</v>
          </cell>
          <cell r="H992" t="str">
            <v>A088</v>
          </cell>
          <cell r="I992" t="str">
            <v>BH</v>
          </cell>
          <cell r="J992" t="str">
            <v>MEMASANG URINOIR</v>
          </cell>
          <cell r="K992" t="str">
            <v>Harga per 1 BH ……</v>
          </cell>
          <cell r="M992" t="str">
            <v>Rp.</v>
          </cell>
          <cell r="N992">
            <v>1518390</v>
          </cell>
        </row>
        <row r="993">
          <cell r="B993">
            <v>986</v>
          </cell>
          <cell r="D993" t="str">
            <v>B</v>
          </cell>
          <cell r="F993" t="str">
            <v>Urinoir Lengkap Toto Warna Standar</v>
          </cell>
          <cell r="J993" t="str">
            <v>Urinoir TOTO</v>
          </cell>
          <cell r="K993">
            <v>1</v>
          </cell>
          <cell r="L993" t="str">
            <v>bh</v>
          </cell>
          <cell r="M993">
            <v>1455000</v>
          </cell>
          <cell r="N993">
            <v>1455000</v>
          </cell>
        </row>
        <row r="994">
          <cell r="B994">
            <v>987</v>
          </cell>
          <cell r="D994" t="str">
            <v>B</v>
          </cell>
          <cell r="F994" t="str">
            <v>Semen portland</v>
          </cell>
          <cell r="J994" t="str">
            <v>Semen Portland</v>
          </cell>
          <cell r="K994">
            <v>0.12</v>
          </cell>
          <cell r="L994" t="str">
            <v>Zak</v>
          </cell>
          <cell r="M994">
            <v>44200</v>
          </cell>
          <cell r="N994">
            <v>5304</v>
          </cell>
        </row>
        <row r="995">
          <cell r="B995">
            <v>988</v>
          </cell>
          <cell r="C995" t="str">
            <v>P</v>
          </cell>
          <cell r="F995" t="str">
            <v>Pasir Pasang</v>
          </cell>
          <cell r="J995" t="str">
            <v>Pasir Pasang</v>
          </cell>
          <cell r="K995">
            <v>0.01</v>
          </cell>
          <cell r="L995" t="str">
            <v>M3</v>
          </cell>
          <cell r="M995">
            <v>38200</v>
          </cell>
          <cell r="N995">
            <v>382</v>
          </cell>
        </row>
        <row r="996">
          <cell r="B996">
            <v>989</v>
          </cell>
          <cell r="C996" t="str">
            <v>P</v>
          </cell>
          <cell r="F996" t="str">
            <v>Buruh Lapangan Agak Terlatih / Pekerja setengah Terampil</v>
          </cell>
          <cell r="J996" t="str">
            <v>Pekerja Setengah Terampil</v>
          </cell>
          <cell r="K996">
            <v>1</v>
          </cell>
          <cell r="L996" t="str">
            <v>org</v>
          </cell>
          <cell r="M996">
            <v>24500</v>
          </cell>
          <cell r="N996">
            <v>24500</v>
          </cell>
        </row>
        <row r="997">
          <cell r="B997">
            <v>990</v>
          </cell>
          <cell r="C997" t="str">
            <v>P</v>
          </cell>
          <cell r="F997" t="str">
            <v>Tukang Batu setengah terampil</v>
          </cell>
          <cell r="J997" t="str">
            <v>Tukang Batu Setengah Terampil</v>
          </cell>
          <cell r="K997">
            <v>1</v>
          </cell>
          <cell r="L997" t="str">
            <v>org</v>
          </cell>
          <cell r="M997">
            <v>26800</v>
          </cell>
          <cell r="N997">
            <v>26800</v>
          </cell>
        </row>
        <row r="998">
          <cell r="B998">
            <v>991</v>
          </cell>
          <cell r="C998" t="str">
            <v>P</v>
          </cell>
          <cell r="F998" t="str">
            <v>Kepala Tukang Batu</v>
          </cell>
          <cell r="J998" t="str">
            <v xml:space="preserve">Kepala Tukang Batu </v>
          </cell>
          <cell r="K998">
            <v>0.1</v>
          </cell>
          <cell r="L998" t="str">
            <v>org</v>
          </cell>
          <cell r="M998">
            <v>29100</v>
          </cell>
          <cell r="N998">
            <v>2910</v>
          </cell>
        </row>
        <row r="999">
          <cell r="B999">
            <v>992</v>
          </cell>
          <cell r="C999" t="str">
            <v>P</v>
          </cell>
          <cell r="F999" t="str">
            <v>Mandor Lapangan</v>
          </cell>
          <cell r="J999" t="str">
            <v>Mandor</v>
          </cell>
          <cell r="K999">
            <v>0.11</v>
          </cell>
          <cell r="L999" t="str">
            <v>org</v>
          </cell>
          <cell r="M999">
            <v>31800</v>
          </cell>
          <cell r="N999">
            <v>3498</v>
          </cell>
        </row>
        <row r="1000">
          <cell r="B1000">
            <v>993</v>
          </cell>
          <cell r="M1000" t="str">
            <v>Jumlah</v>
          </cell>
          <cell r="N1000">
            <v>1518394</v>
          </cell>
        </row>
        <row r="1001">
          <cell r="B1001">
            <v>994</v>
          </cell>
          <cell r="M1001" t="str">
            <v>Dibulatkan</v>
          </cell>
          <cell r="N1001">
            <v>1518390</v>
          </cell>
        </row>
        <row r="1002">
          <cell r="B1002">
            <v>995</v>
          </cell>
        </row>
        <row r="1003">
          <cell r="A1003" t="str">
            <v>A089</v>
          </cell>
          <cell r="B1003">
            <v>996</v>
          </cell>
          <cell r="H1003" t="str">
            <v>A089</v>
          </cell>
          <cell r="I1003" t="str">
            <v>M²</v>
          </cell>
          <cell r="J1003" t="str">
            <v>PASANG KAWAT HARMONIKA</v>
          </cell>
          <cell r="K1003" t="str">
            <v>Harga per 1 M² ……</v>
          </cell>
          <cell r="M1003" t="str">
            <v>Rp.</v>
          </cell>
          <cell r="N1003">
            <v>28520</v>
          </cell>
        </row>
        <row r="1004">
          <cell r="B1004">
            <v>997</v>
          </cell>
          <cell r="D1004" t="str">
            <v>B</v>
          </cell>
          <cell r="F1004" t="str">
            <v>Kawat Harmonika</v>
          </cell>
          <cell r="J1004" t="str">
            <v>Kawat harmonika</v>
          </cell>
          <cell r="K1004">
            <v>1.1000000000000001</v>
          </cell>
          <cell r="L1004" t="str">
            <v>M2</v>
          </cell>
          <cell r="M1004">
            <v>16400</v>
          </cell>
          <cell r="N1004">
            <v>18040</v>
          </cell>
        </row>
        <row r="1005">
          <cell r="B1005">
            <v>998</v>
          </cell>
          <cell r="D1005" t="str">
            <v>B</v>
          </cell>
          <cell r="F1005" t="str">
            <v>Paku 1 cm s.d 3 cm</v>
          </cell>
          <cell r="J1005" t="str">
            <v>Paku 1 cm s.d 3 cm</v>
          </cell>
          <cell r="K1005">
            <v>0.02</v>
          </cell>
          <cell r="L1005" t="str">
            <v>Kg</v>
          </cell>
          <cell r="M1005">
            <v>14200</v>
          </cell>
          <cell r="N1005">
            <v>284</v>
          </cell>
        </row>
        <row r="1006">
          <cell r="B1006">
            <v>999</v>
          </cell>
          <cell r="D1006" t="str">
            <v>B</v>
          </cell>
          <cell r="F1006" t="str">
            <v>Kayu Balok Borneo Super</v>
          </cell>
          <cell r="J1006" t="str">
            <v>Kayu Balok Borneo Super</v>
          </cell>
          <cell r="K1006">
            <v>1.8E-3</v>
          </cell>
          <cell r="L1006" t="str">
            <v>M3</v>
          </cell>
          <cell r="M1006">
            <v>2621000</v>
          </cell>
          <cell r="N1006">
            <v>4717.8</v>
          </cell>
        </row>
        <row r="1007">
          <cell r="B1007">
            <v>1000</v>
          </cell>
          <cell r="C1007" t="str">
            <v>P</v>
          </cell>
          <cell r="F1007" t="str">
            <v>Buruh Lapangan Tak Terlatih / Pekerja</v>
          </cell>
          <cell r="J1007" t="str">
            <v>Pekerja</v>
          </cell>
          <cell r="K1007">
            <v>0.1</v>
          </cell>
          <cell r="L1007" t="str">
            <v>Orang</v>
          </cell>
          <cell r="M1007">
            <v>22700</v>
          </cell>
          <cell r="N1007">
            <v>2270</v>
          </cell>
        </row>
        <row r="1008">
          <cell r="B1008">
            <v>1001</v>
          </cell>
          <cell r="C1008" t="str">
            <v>P</v>
          </cell>
          <cell r="F1008" t="str">
            <v>Tukang Kayu (terampil)</v>
          </cell>
          <cell r="J1008" t="str">
            <v>Tukang Kayu Terampil</v>
          </cell>
          <cell r="K1008">
            <v>0.1</v>
          </cell>
          <cell r="L1008" t="str">
            <v>Orang</v>
          </cell>
          <cell r="M1008">
            <v>29100</v>
          </cell>
          <cell r="N1008">
            <v>2910</v>
          </cell>
        </row>
        <row r="1009">
          <cell r="B1009">
            <v>1002</v>
          </cell>
          <cell r="C1009" t="str">
            <v>P</v>
          </cell>
          <cell r="F1009" t="str">
            <v>Kepala Tukang Kayu</v>
          </cell>
          <cell r="J1009" t="str">
            <v>Kepala Tukang Kayu</v>
          </cell>
          <cell r="K1009">
            <v>0.01</v>
          </cell>
          <cell r="L1009" t="str">
            <v>Orang</v>
          </cell>
          <cell r="M1009">
            <v>30000</v>
          </cell>
          <cell r="N1009">
            <v>300</v>
          </cell>
        </row>
        <row r="1010">
          <cell r="B1010">
            <v>1003</v>
          </cell>
          <cell r="M1010" t="str">
            <v>Jumlah</v>
          </cell>
          <cell r="N1010">
            <v>28521.8</v>
          </cell>
        </row>
        <row r="1011">
          <cell r="B1011">
            <v>1004</v>
          </cell>
          <cell r="M1011" t="str">
            <v>Dibulatkan</v>
          </cell>
          <cell r="N1011">
            <v>28520</v>
          </cell>
        </row>
        <row r="1012">
          <cell r="B1012">
            <v>1005</v>
          </cell>
        </row>
        <row r="1013">
          <cell r="A1013" t="str">
            <v>A090</v>
          </cell>
          <cell r="B1013">
            <v>1006</v>
          </cell>
          <cell r="H1013" t="str">
            <v>A090</v>
          </cell>
          <cell r="I1013" t="str">
            <v>M³</v>
          </cell>
          <cell r="J1013" t="str">
            <v>KUDA - KUDA KAMPER MEDAN / KRUING</v>
          </cell>
          <cell r="K1013" t="str">
            <v>Harga per 1 M³ ……</v>
          </cell>
          <cell r="M1013" t="str">
            <v>Rp.</v>
          </cell>
          <cell r="N1013">
            <v>4829710</v>
          </cell>
        </row>
        <row r="1014">
          <cell r="B1014">
            <v>1007</v>
          </cell>
          <cell r="D1014" t="str">
            <v>B</v>
          </cell>
          <cell r="F1014" t="str">
            <v>Kayu Balok Kamper Medan (Kruing)</v>
          </cell>
          <cell r="J1014" t="str">
            <v>Kayu Balok Kamper Medan (kruing)</v>
          </cell>
          <cell r="K1014">
            <v>1.1000000000000001</v>
          </cell>
          <cell r="L1014" t="str">
            <v>M3</v>
          </cell>
          <cell r="M1014">
            <v>4078000</v>
          </cell>
          <cell r="N1014">
            <v>4485800</v>
          </cell>
        </row>
        <row r="1015">
          <cell r="B1015">
            <v>1008</v>
          </cell>
          <cell r="D1015" t="str">
            <v>B</v>
          </cell>
          <cell r="F1015" t="str">
            <v>Paku 8 - 12 cm</v>
          </cell>
          <cell r="J1015" t="str">
            <v>Paku 8 cm s.d 12 cm</v>
          </cell>
          <cell r="K1015">
            <v>5.8</v>
          </cell>
          <cell r="L1015" t="str">
            <v>Kg</v>
          </cell>
          <cell r="M1015">
            <v>10550</v>
          </cell>
          <cell r="N1015">
            <v>61190</v>
          </cell>
        </row>
        <row r="1016">
          <cell r="B1016">
            <v>1009</v>
          </cell>
          <cell r="C1016" t="str">
            <v>P</v>
          </cell>
          <cell r="F1016" t="str">
            <v>Buruh Lapangan Agak Terlatih / Pekerja setengah Terampil</v>
          </cell>
          <cell r="J1016" t="str">
            <v>Pekerja Setengah Terampil</v>
          </cell>
          <cell r="K1016">
            <v>3</v>
          </cell>
          <cell r="L1016" t="str">
            <v xml:space="preserve">Orang </v>
          </cell>
          <cell r="M1016">
            <v>24500</v>
          </cell>
          <cell r="N1016">
            <v>73500</v>
          </cell>
        </row>
        <row r="1017">
          <cell r="B1017">
            <v>1010</v>
          </cell>
          <cell r="C1017" t="str">
            <v>P</v>
          </cell>
          <cell r="F1017" t="str">
            <v>Tukang Kayu setengah terampil</v>
          </cell>
          <cell r="J1017" t="str">
            <v>Tukang Kayu Setengah Terampil</v>
          </cell>
          <cell r="K1017">
            <v>5</v>
          </cell>
          <cell r="L1017" t="str">
            <v xml:space="preserve">Orang </v>
          </cell>
          <cell r="M1017">
            <v>27300</v>
          </cell>
          <cell r="N1017">
            <v>136500</v>
          </cell>
        </row>
        <row r="1018">
          <cell r="B1018">
            <v>1011</v>
          </cell>
          <cell r="C1018" t="str">
            <v>P</v>
          </cell>
          <cell r="F1018" t="str">
            <v>Kepala Tukang Kayu</v>
          </cell>
          <cell r="J1018" t="str">
            <v>Kepala Tukang Kayu</v>
          </cell>
          <cell r="K1018">
            <v>2</v>
          </cell>
          <cell r="L1018" t="str">
            <v xml:space="preserve">Orang </v>
          </cell>
          <cell r="M1018">
            <v>30000</v>
          </cell>
          <cell r="N1018">
            <v>60000</v>
          </cell>
        </row>
        <row r="1019">
          <cell r="B1019">
            <v>1012</v>
          </cell>
          <cell r="C1019" t="str">
            <v>P</v>
          </cell>
          <cell r="F1019" t="str">
            <v>Mandor Lapangan</v>
          </cell>
          <cell r="J1019" t="str">
            <v>Mandor</v>
          </cell>
          <cell r="K1019">
            <v>0.4</v>
          </cell>
          <cell r="L1019" t="str">
            <v xml:space="preserve">Orang </v>
          </cell>
          <cell r="M1019">
            <v>31800</v>
          </cell>
          <cell r="N1019">
            <v>12720</v>
          </cell>
        </row>
        <row r="1020">
          <cell r="B1020">
            <v>1013</v>
          </cell>
          <cell r="M1020" t="str">
            <v>Jumlah</v>
          </cell>
          <cell r="N1020">
            <v>4829710</v>
          </cell>
        </row>
        <row r="1021">
          <cell r="B1021">
            <v>1014</v>
          </cell>
          <cell r="M1021" t="str">
            <v>Dibulatkan</v>
          </cell>
          <cell r="N1021">
            <v>4829710</v>
          </cell>
        </row>
        <row r="1022">
          <cell r="B1022">
            <v>1015</v>
          </cell>
        </row>
        <row r="1023">
          <cell r="A1023" t="str">
            <v>A091</v>
          </cell>
          <cell r="B1023">
            <v>1016</v>
          </cell>
          <cell r="H1023" t="str">
            <v>A091</v>
          </cell>
          <cell r="I1023" t="str">
            <v>M³</v>
          </cell>
          <cell r="J1023" t="str">
            <v xml:space="preserve">KUDA - KUDA BORNEO SUPER </v>
          </cell>
          <cell r="K1023" t="str">
            <v>Harga per 1 M³ ……</v>
          </cell>
          <cell r="M1023" t="str">
            <v>Rp.</v>
          </cell>
          <cell r="N1023">
            <v>3225210</v>
          </cell>
        </row>
        <row r="1024">
          <cell r="B1024">
            <v>1017</v>
          </cell>
          <cell r="D1024" t="str">
            <v>B</v>
          </cell>
          <cell r="F1024" t="str">
            <v>Kayu Balok Borneo Super</v>
          </cell>
          <cell r="J1024" t="str">
            <v>Kayu Balok Borneo Super</v>
          </cell>
          <cell r="K1024">
            <v>1.1000000000000001</v>
          </cell>
          <cell r="L1024" t="str">
            <v>M3</v>
          </cell>
          <cell r="M1024">
            <v>2621000</v>
          </cell>
          <cell r="N1024">
            <v>2883100</v>
          </cell>
        </row>
        <row r="1025">
          <cell r="B1025">
            <v>1018</v>
          </cell>
          <cell r="D1025" t="str">
            <v>B</v>
          </cell>
          <cell r="F1025" t="str">
            <v>Paku 8 - 12 cm</v>
          </cell>
          <cell r="J1025" t="str">
            <v xml:space="preserve">Paku 8 cm s.d 12 cm </v>
          </cell>
          <cell r="K1025">
            <v>5.8</v>
          </cell>
          <cell r="L1025" t="str">
            <v>Kg</v>
          </cell>
          <cell r="M1025">
            <v>10550</v>
          </cell>
          <cell r="N1025">
            <v>61190</v>
          </cell>
        </row>
        <row r="1026">
          <cell r="B1026">
            <v>1019</v>
          </cell>
          <cell r="C1026" t="str">
            <v>P</v>
          </cell>
          <cell r="F1026" t="str">
            <v>Buruh Lapangan Agak Terlatih / Pekerja setengah Terampil</v>
          </cell>
          <cell r="J1026" t="str">
            <v>Pekerja Setengah Terampil</v>
          </cell>
          <cell r="K1026">
            <v>3</v>
          </cell>
          <cell r="L1026" t="str">
            <v>Orang</v>
          </cell>
          <cell r="M1026">
            <v>24500</v>
          </cell>
          <cell r="N1026">
            <v>73500</v>
          </cell>
        </row>
        <row r="1027">
          <cell r="B1027">
            <v>1020</v>
          </cell>
          <cell r="C1027" t="str">
            <v>P</v>
          </cell>
          <cell r="F1027" t="str">
            <v>Tukang Kayu setengah terampil</v>
          </cell>
          <cell r="J1027" t="str">
            <v>Tukang Kayu Setengah Terampil</v>
          </cell>
          <cell r="K1027">
            <v>5</v>
          </cell>
          <cell r="L1027" t="str">
            <v>Orang</v>
          </cell>
          <cell r="M1027">
            <v>27300</v>
          </cell>
          <cell r="N1027">
            <v>136500</v>
          </cell>
        </row>
        <row r="1028">
          <cell r="B1028">
            <v>1021</v>
          </cell>
          <cell r="C1028" t="str">
            <v>P</v>
          </cell>
          <cell r="F1028" t="str">
            <v>Tukang Kayu (terampil)</v>
          </cell>
          <cell r="J1028" t="str">
            <v>Tukang Kayu Terampil</v>
          </cell>
          <cell r="K1028">
            <v>2</v>
          </cell>
          <cell r="L1028" t="str">
            <v>Orang</v>
          </cell>
          <cell r="M1028">
            <v>29100</v>
          </cell>
          <cell r="N1028">
            <v>58200</v>
          </cell>
        </row>
        <row r="1029">
          <cell r="B1029">
            <v>1022</v>
          </cell>
          <cell r="C1029" t="str">
            <v>P</v>
          </cell>
          <cell r="F1029" t="str">
            <v>Mandor Lapangan</v>
          </cell>
          <cell r="J1029" t="str">
            <v>Mandor</v>
          </cell>
          <cell r="K1029">
            <v>0.4</v>
          </cell>
          <cell r="L1029" t="str">
            <v>Orang</v>
          </cell>
          <cell r="M1029">
            <v>31800</v>
          </cell>
          <cell r="N1029">
            <v>12720</v>
          </cell>
        </row>
        <row r="1030">
          <cell r="B1030">
            <v>1023</v>
          </cell>
          <cell r="M1030" t="str">
            <v>Jumlah</v>
          </cell>
          <cell r="N1030">
            <v>3225210</v>
          </cell>
        </row>
        <row r="1031">
          <cell r="B1031">
            <v>1024</v>
          </cell>
          <cell r="M1031" t="str">
            <v>Dibulatkan</v>
          </cell>
          <cell r="N1031">
            <v>3225210</v>
          </cell>
        </row>
        <row r="1032">
          <cell r="B1032">
            <v>1025</v>
          </cell>
        </row>
        <row r="1033">
          <cell r="A1033" t="str">
            <v>A092</v>
          </cell>
          <cell r="B1033">
            <v>1026</v>
          </cell>
          <cell r="H1033" t="str">
            <v>A092</v>
          </cell>
          <cell r="I1033" t="str">
            <v>M³</v>
          </cell>
          <cell r="J1033" t="str">
            <v xml:space="preserve">KUDA - KUDA OVERSTEK / KONSOL KAMPER MEDAN / KRUING </v>
          </cell>
          <cell r="K1033" t="str">
            <v>Harga per 1 M³ ……</v>
          </cell>
          <cell r="M1033" t="str">
            <v>Rp.</v>
          </cell>
          <cell r="N1033">
            <v>5379890</v>
          </cell>
        </row>
        <row r="1034">
          <cell r="B1034">
            <v>1027</v>
          </cell>
          <cell r="D1034" t="str">
            <v>B</v>
          </cell>
          <cell r="F1034" t="str">
            <v>Kayu Balok Kamper Medan (Kruing)</v>
          </cell>
          <cell r="J1034" t="str">
            <v>Kayu Balok Kamper Medan (kruing)</v>
          </cell>
          <cell r="K1034">
            <v>1.2</v>
          </cell>
          <cell r="L1034" t="str">
            <v>M3</v>
          </cell>
          <cell r="M1034">
            <v>4078000</v>
          </cell>
          <cell r="N1034">
            <v>4893600</v>
          </cell>
        </row>
        <row r="1035">
          <cell r="B1035">
            <v>1028</v>
          </cell>
          <cell r="D1035" t="str">
            <v>B</v>
          </cell>
          <cell r="F1035" t="str">
            <v>Paku 8 - 12 cm</v>
          </cell>
          <cell r="J1035" t="str">
            <v xml:space="preserve">Paku 8 cm s.d 12 cm </v>
          </cell>
          <cell r="K1035">
            <v>5.8</v>
          </cell>
          <cell r="L1035" t="str">
            <v>Kg</v>
          </cell>
          <cell r="M1035">
            <v>10550</v>
          </cell>
          <cell r="N1035">
            <v>61190</v>
          </cell>
        </row>
        <row r="1036">
          <cell r="B1036">
            <v>1029</v>
          </cell>
          <cell r="C1036" t="str">
            <v>P</v>
          </cell>
          <cell r="F1036" t="str">
            <v>Buruh Lapangan Agak Terlatih / Pekerja setengah Terampil</v>
          </cell>
          <cell r="J1036" t="str">
            <v>Pekerja setengah terampil</v>
          </cell>
          <cell r="K1036">
            <v>3</v>
          </cell>
          <cell r="L1036" t="str">
            <v>Orang</v>
          </cell>
          <cell r="M1036">
            <v>24500</v>
          </cell>
          <cell r="N1036">
            <v>73500</v>
          </cell>
        </row>
        <row r="1037">
          <cell r="B1037">
            <v>1030</v>
          </cell>
          <cell r="C1037" t="str">
            <v>P</v>
          </cell>
          <cell r="F1037" t="str">
            <v>Tukang Kayu setengah terampil</v>
          </cell>
          <cell r="J1037" t="str">
            <v>Tukang kayu setengah terampil</v>
          </cell>
          <cell r="K1037">
            <v>9</v>
          </cell>
          <cell r="L1037" t="str">
            <v>Orang</v>
          </cell>
          <cell r="M1037">
            <v>27300</v>
          </cell>
          <cell r="N1037">
            <v>245700</v>
          </cell>
        </row>
        <row r="1038">
          <cell r="B1038">
            <v>1031</v>
          </cell>
          <cell r="C1038" t="str">
            <v>P</v>
          </cell>
          <cell r="F1038" t="str">
            <v>Kepala Tukang Kayu</v>
          </cell>
          <cell r="J1038" t="str">
            <v>Kepala tukang kayu</v>
          </cell>
          <cell r="K1038">
            <v>3</v>
          </cell>
          <cell r="L1038" t="str">
            <v>Orang</v>
          </cell>
          <cell r="M1038">
            <v>30000</v>
          </cell>
          <cell r="N1038">
            <v>90000</v>
          </cell>
        </row>
        <row r="1039">
          <cell r="B1039">
            <v>1032</v>
          </cell>
          <cell r="C1039" t="str">
            <v>P</v>
          </cell>
          <cell r="F1039" t="str">
            <v>Mandor Lapangan</v>
          </cell>
          <cell r="J1039" t="str">
            <v>Mandor</v>
          </cell>
          <cell r="K1039">
            <v>0.5</v>
          </cell>
          <cell r="L1039" t="str">
            <v>Orang</v>
          </cell>
          <cell r="M1039">
            <v>31800</v>
          </cell>
          <cell r="N1039">
            <v>15900</v>
          </cell>
        </row>
        <row r="1040">
          <cell r="B1040">
            <v>1033</v>
          </cell>
          <cell r="M1040" t="str">
            <v>Jumlah</v>
          </cell>
          <cell r="N1040">
            <v>5379890</v>
          </cell>
        </row>
        <row r="1041">
          <cell r="B1041">
            <v>1034</v>
          </cell>
          <cell r="M1041" t="str">
            <v>Dibulatkan</v>
          </cell>
          <cell r="N1041">
            <v>5379890</v>
          </cell>
        </row>
        <row r="1042">
          <cell r="B1042">
            <v>1035</v>
          </cell>
        </row>
        <row r="1043">
          <cell r="A1043" t="str">
            <v>A093</v>
          </cell>
          <cell r="B1043">
            <v>1036</v>
          </cell>
          <cell r="H1043" t="str">
            <v>A093</v>
          </cell>
          <cell r="I1043" t="str">
            <v>M³</v>
          </cell>
          <cell r="J1043" t="str">
            <v xml:space="preserve">KUDA - KUDA OVERSTEK / KONSOL KAYU BORNEO SUPER </v>
          </cell>
          <cell r="K1043" t="str">
            <v>Harga per 1 M³ ……</v>
          </cell>
          <cell r="M1043" t="str">
            <v>Rp.</v>
          </cell>
          <cell r="N1043">
            <v>3631490</v>
          </cell>
        </row>
        <row r="1044">
          <cell r="B1044">
            <v>1037</v>
          </cell>
          <cell r="D1044" t="str">
            <v>B</v>
          </cell>
          <cell r="F1044" t="str">
            <v>Kayu Balok Borneo Super</v>
          </cell>
          <cell r="J1044" t="str">
            <v>Kayu Borneo Super</v>
          </cell>
          <cell r="K1044">
            <v>1.2</v>
          </cell>
          <cell r="L1044" t="str">
            <v>M3</v>
          </cell>
          <cell r="M1044">
            <v>2621000</v>
          </cell>
          <cell r="N1044">
            <v>3145200</v>
          </cell>
        </row>
        <row r="1045">
          <cell r="B1045">
            <v>1038</v>
          </cell>
          <cell r="D1045" t="str">
            <v>B</v>
          </cell>
          <cell r="F1045" t="str">
            <v>Paku 8 - 12 cm</v>
          </cell>
          <cell r="J1045" t="str">
            <v xml:space="preserve">Paku 8 cm s.d 12 cm </v>
          </cell>
          <cell r="K1045">
            <v>5.8</v>
          </cell>
          <cell r="L1045" t="str">
            <v>Kg</v>
          </cell>
          <cell r="M1045">
            <v>10550</v>
          </cell>
          <cell r="N1045">
            <v>61190</v>
          </cell>
        </row>
        <row r="1046">
          <cell r="B1046">
            <v>1039</v>
          </cell>
          <cell r="C1046" t="str">
            <v>P</v>
          </cell>
          <cell r="F1046" t="str">
            <v>Buruh Lapangan Agak Terlatih / Pekerja setengah Terampil</v>
          </cell>
          <cell r="J1046" t="str">
            <v>Pekerja setengah terampil</v>
          </cell>
          <cell r="K1046">
            <v>3</v>
          </cell>
          <cell r="L1046" t="str">
            <v>Orang</v>
          </cell>
          <cell r="M1046">
            <v>24500</v>
          </cell>
          <cell r="N1046">
            <v>73500</v>
          </cell>
        </row>
        <row r="1047">
          <cell r="B1047">
            <v>1040</v>
          </cell>
          <cell r="C1047" t="str">
            <v>P</v>
          </cell>
          <cell r="F1047" t="str">
            <v>Tukang Kayu setengah terampil</v>
          </cell>
          <cell r="J1047" t="str">
            <v>Tukang kayu setengah terampil</v>
          </cell>
          <cell r="K1047">
            <v>9</v>
          </cell>
          <cell r="L1047" t="str">
            <v>Orang</v>
          </cell>
          <cell r="M1047">
            <v>27300</v>
          </cell>
          <cell r="N1047">
            <v>245700</v>
          </cell>
        </row>
        <row r="1048">
          <cell r="B1048">
            <v>1041</v>
          </cell>
          <cell r="C1048" t="str">
            <v>P</v>
          </cell>
          <cell r="F1048" t="str">
            <v>Kepala Tukang Kayu</v>
          </cell>
          <cell r="J1048" t="str">
            <v>Kepala tukang kayu</v>
          </cell>
          <cell r="K1048">
            <v>3</v>
          </cell>
          <cell r="L1048" t="str">
            <v>Orang</v>
          </cell>
          <cell r="M1048">
            <v>30000</v>
          </cell>
          <cell r="N1048">
            <v>90000</v>
          </cell>
        </row>
        <row r="1049">
          <cell r="B1049">
            <v>1042</v>
          </cell>
          <cell r="C1049" t="str">
            <v>P</v>
          </cell>
          <cell r="F1049" t="str">
            <v>Mandor Lapangan</v>
          </cell>
          <cell r="J1049" t="str">
            <v>Mandor</v>
          </cell>
          <cell r="K1049">
            <v>0.5</v>
          </cell>
          <cell r="L1049" t="str">
            <v>Orang</v>
          </cell>
          <cell r="M1049">
            <v>31800</v>
          </cell>
          <cell r="N1049">
            <v>15900</v>
          </cell>
        </row>
        <row r="1050">
          <cell r="B1050">
            <v>1043</v>
          </cell>
          <cell r="M1050" t="str">
            <v>Jumlah</v>
          </cell>
          <cell r="N1050">
            <v>3631490</v>
          </cell>
        </row>
        <row r="1051">
          <cell r="B1051">
            <v>1044</v>
          </cell>
          <cell r="M1051" t="str">
            <v>Dibulatkan</v>
          </cell>
          <cell r="N1051">
            <v>3631490</v>
          </cell>
        </row>
        <row r="1052">
          <cell r="B1052">
            <v>1045</v>
          </cell>
        </row>
        <row r="1053">
          <cell r="A1053" t="str">
            <v>A094</v>
          </cell>
          <cell r="B1053">
            <v>1046</v>
          </cell>
          <cell r="H1053" t="str">
            <v>A094</v>
          </cell>
          <cell r="I1053" t="str">
            <v>M²</v>
          </cell>
          <cell r="J1053" t="str">
            <v>RANGKA ATAP GENTENG PLENTONG KAYU KAMPER MEDAN</v>
          </cell>
          <cell r="K1053" t="str">
            <v>Harga per 1 M² ……</v>
          </cell>
          <cell r="M1053" t="str">
            <v>Rp.</v>
          </cell>
          <cell r="N1053">
            <v>89250</v>
          </cell>
        </row>
        <row r="1054">
          <cell r="B1054">
            <v>1047</v>
          </cell>
          <cell r="D1054" t="str">
            <v>B</v>
          </cell>
          <cell r="F1054" t="str">
            <v>Kayu Balok Kamper Medan (Kruing)</v>
          </cell>
          <cell r="J1054" t="str">
            <v>Kayu Balok Kamper Medan (Kruing)</v>
          </cell>
          <cell r="K1054">
            <v>1.6799999999999999E-2</v>
          </cell>
          <cell r="L1054" t="str">
            <v>M3</v>
          </cell>
          <cell r="M1054">
            <v>4078000</v>
          </cell>
          <cell r="N1054">
            <v>68510.399999999994</v>
          </cell>
        </row>
        <row r="1055">
          <cell r="B1055">
            <v>1048</v>
          </cell>
          <cell r="D1055" t="str">
            <v>B</v>
          </cell>
          <cell r="F1055" t="str">
            <v>Kayu Reng 2/3 Kamper Medan</v>
          </cell>
          <cell r="J1055" t="str">
            <v>Kayu Reng 2/3 Kamper Medan</v>
          </cell>
          <cell r="K1055">
            <v>4</v>
          </cell>
          <cell r="L1055" t="str">
            <v>M'</v>
          </cell>
          <cell r="M1055">
            <v>2400</v>
          </cell>
          <cell r="N1055">
            <v>9600</v>
          </cell>
        </row>
        <row r="1056">
          <cell r="B1056">
            <v>1049</v>
          </cell>
          <cell r="D1056" t="str">
            <v>B</v>
          </cell>
          <cell r="F1056" t="str">
            <v>Paku 5 - 7 cm</v>
          </cell>
          <cell r="J1056" t="str">
            <v>Paku 5 - 7</v>
          </cell>
          <cell r="K1056">
            <v>0.25</v>
          </cell>
          <cell r="L1056" t="str">
            <v>Kg</v>
          </cell>
          <cell r="M1056">
            <v>10550</v>
          </cell>
          <cell r="N1056">
            <v>2637.5</v>
          </cell>
        </row>
        <row r="1057">
          <cell r="B1057">
            <v>1050</v>
          </cell>
          <cell r="C1057" t="str">
            <v>P</v>
          </cell>
          <cell r="F1057" t="str">
            <v>Buruh Lapangan Agak Terlatih / Pekerja setengah Terampil</v>
          </cell>
          <cell r="J1057" t="str">
            <v>Pekerja Setengah Terampil</v>
          </cell>
          <cell r="K1057">
            <v>0.15</v>
          </cell>
          <cell r="L1057" t="str">
            <v>Orang</v>
          </cell>
          <cell r="M1057">
            <v>24500</v>
          </cell>
          <cell r="N1057">
            <v>3675</v>
          </cell>
        </row>
        <row r="1058">
          <cell r="B1058">
            <v>1051</v>
          </cell>
          <cell r="C1058" t="str">
            <v>P</v>
          </cell>
          <cell r="F1058" t="str">
            <v>Tukang Kayu (terampil)</v>
          </cell>
          <cell r="J1058" t="str">
            <v>Tukang Kayu Terampil</v>
          </cell>
          <cell r="K1058">
            <v>0.15</v>
          </cell>
          <cell r="L1058" t="str">
            <v>Orang</v>
          </cell>
          <cell r="M1058">
            <v>29100</v>
          </cell>
          <cell r="N1058">
            <v>4365</v>
          </cell>
        </row>
        <row r="1059">
          <cell r="B1059">
            <v>1052</v>
          </cell>
          <cell r="C1059" t="str">
            <v>P</v>
          </cell>
          <cell r="F1059" t="str">
            <v>Kepala Tukang Kayu</v>
          </cell>
          <cell r="J1059" t="str">
            <v>Kepala Tukang Kayu</v>
          </cell>
          <cell r="K1059">
            <v>0.01</v>
          </cell>
          <cell r="L1059" t="str">
            <v>Orang</v>
          </cell>
          <cell r="M1059">
            <v>30000</v>
          </cell>
          <cell r="N1059">
            <v>300</v>
          </cell>
        </row>
        <row r="1060">
          <cell r="B1060">
            <v>1053</v>
          </cell>
          <cell r="C1060" t="str">
            <v>P</v>
          </cell>
          <cell r="F1060" t="str">
            <v>Mandor Lapangan</v>
          </cell>
          <cell r="J1060" t="str">
            <v>Mandor</v>
          </cell>
          <cell r="K1060">
            <v>5.0000000000000001E-3</v>
          </cell>
          <cell r="L1060" t="str">
            <v>Orang</v>
          </cell>
          <cell r="M1060">
            <v>31800</v>
          </cell>
          <cell r="N1060">
            <v>159</v>
          </cell>
        </row>
        <row r="1061">
          <cell r="B1061">
            <v>1054</v>
          </cell>
          <cell r="M1061" t="str">
            <v>Jumlah</v>
          </cell>
          <cell r="N1061">
            <v>89246.9</v>
          </cell>
        </row>
        <row r="1062">
          <cell r="B1062">
            <v>1055</v>
          </cell>
          <cell r="M1062" t="str">
            <v>Dibulatkan</v>
          </cell>
          <cell r="N1062">
            <v>89250</v>
          </cell>
        </row>
        <row r="1063">
          <cell r="B1063">
            <v>1056</v>
          </cell>
        </row>
        <row r="1064">
          <cell r="A1064" t="str">
            <v>A095</v>
          </cell>
          <cell r="B1064">
            <v>1057</v>
          </cell>
          <cell r="H1064" t="str">
            <v>A095</v>
          </cell>
          <cell r="I1064" t="str">
            <v>M²</v>
          </cell>
          <cell r="J1064" t="str">
            <v>RANGKA ATAP GENTENG PLENTONG KAYU BORNEO SUPER</v>
          </cell>
          <cell r="K1064" t="str">
            <v>Harga per 1 M² ……</v>
          </cell>
          <cell r="M1064" t="str">
            <v>Rp.</v>
          </cell>
          <cell r="N1064">
            <v>61170</v>
          </cell>
        </row>
        <row r="1065">
          <cell r="B1065">
            <v>1058</v>
          </cell>
          <cell r="D1065" t="str">
            <v>B</v>
          </cell>
          <cell r="F1065" t="str">
            <v>Kayu Balok Borneo Super</v>
          </cell>
          <cell r="J1065" t="str">
            <v>Kayu Balok Borneo Super</v>
          </cell>
          <cell r="K1065">
            <v>1.6799999999999999E-2</v>
          </cell>
          <cell r="L1065" t="str">
            <v>M3</v>
          </cell>
          <cell r="M1065">
            <v>2621000</v>
          </cell>
          <cell r="N1065">
            <v>44032.799999999996</v>
          </cell>
        </row>
        <row r="1066">
          <cell r="B1066">
            <v>1059</v>
          </cell>
          <cell r="D1066" t="str">
            <v>B</v>
          </cell>
          <cell r="F1066" t="str">
            <v>Kayu Reng 2/3 Borneo Super</v>
          </cell>
          <cell r="J1066" t="str">
            <v xml:space="preserve">Kayu Reng 2/3 Borneo Super </v>
          </cell>
          <cell r="K1066">
            <v>4</v>
          </cell>
          <cell r="L1066" t="str">
            <v>M'</v>
          </cell>
          <cell r="M1066">
            <v>1500</v>
          </cell>
          <cell r="N1066">
            <v>6000</v>
          </cell>
        </row>
        <row r="1067">
          <cell r="B1067">
            <v>1060</v>
          </cell>
          <cell r="D1067" t="str">
            <v>B</v>
          </cell>
          <cell r="F1067" t="str">
            <v>Paku 5 - 7 cm</v>
          </cell>
          <cell r="J1067" t="str">
            <v xml:space="preserve">Paku 5 - 7 </v>
          </cell>
          <cell r="K1067">
            <v>0.25</v>
          </cell>
          <cell r="L1067" t="str">
            <v>Kg</v>
          </cell>
          <cell r="M1067">
            <v>10550</v>
          </cell>
          <cell r="N1067">
            <v>2637.5</v>
          </cell>
        </row>
        <row r="1068">
          <cell r="B1068">
            <v>1061</v>
          </cell>
          <cell r="C1068" t="str">
            <v>P</v>
          </cell>
          <cell r="F1068" t="str">
            <v>Buruh Lapangan Agak Terlatih / Pekerja setengah Terampil</v>
          </cell>
          <cell r="J1068" t="str">
            <v>Pekerja setengah Terampil</v>
          </cell>
          <cell r="K1068">
            <v>0.15</v>
          </cell>
          <cell r="L1068" t="str">
            <v>Orang</v>
          </cell>
          <cell r="M1068">
            <v>24500</v>
          </cell>
          <cell r="N1068">
            <v>3675</v>
          </cell>
        </row>
        <row r="1069">
          <cell r="B1069">
            <v>1062</v>
          </cell>
          <cell r="C1069" t="str">
            <v>P</v>
          </cell>
          <cell r="F1069" t="str">
            <v>Tukang Kayu (terampil)</v>
          </cell>
          <cell r="J1069" t="str">
            <v>Tukang Kayu Terampil</v>
          </cell>
          <cell r="K1069">
            <v>0.15</v>
          </cell>
          <cell r="L1069" t="str">
            <v>Orang</v>
          </cell>
          <cell r="M1069">
            <v>29100</v>
          </cell>
          <cell r="N1069">
            <v>4365</v>
          </cell>
        </row>
        <row r="1070">
          <cell r="B1070">
            <v>1063</v>
          </cell>
          <cell r="C1070" t="str">
            <v>P</v>
          </cell>
          <cell r="F1070" t="str">
            <v>Kepala Tukang Kayu</v>
          </cell>
          <cell r="J1070" t="str">
            <v xml:space="preserve">Kepala Tukang Kayu </v>
          </cell>
          <cell r="K1070">
            <v>0.01</v>
          </cell>
          <cell r="L1070" t="str">
            <v>Orang</v>
          </cell>
          <cell r="M1070">
            <v>30000</v>
          </cell>
          <cell r="N1070">
            <v>300</v>
          </cell>
        </row>
        <row r="1071">
          <cell r="B1071">
            <v>1064</v>
          </cell>
          <cell r="C1071" t="str">
            <v>P</v>
          </cell>
          <cell r="F1071" t="str">
            <v>Mandor Lapangan</v>
          </cell>
          <cell r="J1071" t="str">
            <v>Mandor</v>
          </cell>
          <cell r="K1071">
            <v>5.0000000000000001E-3</v>
          </cell>
          <cell r="L1071" t="str">
            <v>Orang</v>
          </cell>
          <cell r="M1071">
            <v>31800</v>
          </cell>
          <cell r="N1071">
            <v>159</v>
          </cell>
        </row>
        <row r="1072">
          <cell r="B1072">
            <v>1065</v>
          </cell>
          <cell r="M1072" t="str">
            <v>Jumlah</v>
          </cell>
          <cell r="N1072">
            <v>61169.299999999996</v>
          </cell>
        </row>
        <row r="1073">
          <cell r="B1073">
            <v>1066</v>
          </cell>
          <cell r="M1073" t="str">
            <v>Dibulatkan</v>
          </cell>
          <cell r="N1073">
            <v>61170</v>
          </cell>
        </row>
        <row r="1074">
          <cell r="B1074">
            <v>1067</v>
          </cell>
        </row>
        <row r="1075">
          <cell r="A1075" t="str">
            <v>A096</v>
          </cell>
          <cell r="B1075">
            <v>1068</v>
          </cell>
          <cell r="H1075" t="str">
            <v>A096</v>
          </cell>
          <cell r="I1075" t="str">
            <v>M²</v>
          </cell>
          <cell r="J1075" t="str">
            <v>RANGKA ATAP GENTENG MORANDO KAYU BORNEO SUPER</v>
          </cell>
          <cell r="K1075" t="str">
            <v>Harga per 1 M² ……</v>
          </cell>
          <cell r="M1075" t="str">
            <v>Rp.</v>
          </cell>
          <cell r="N1075">
            <v>66090</v>
          </cell>
        </row>
        <row r="1076">
          <cell r="B1076">
            <v>1069</v>
          </cell>
          <cell r="D1076" t="str">
            <v>B</v>
          </cell>
          <cell r="F1076" t="str">
            <v>Kayu Balok Borneo Super</v>
          </cell>
          <cell r="J1076" t="str">
            <v>Kayu Balok Borneo Super</v>
          </cell>
          <cell r="K1076">
            <v>1.6800000000000002E-2</v>
          </cell>
          <cell r="L1076" t="str">
            <v>M3</v>
          </cell>
          <cell r="M1076">
            <v>2621000</v>
          </cell>
          <cell r="N1076">
            <v>44032.800000000003</v>
          </cell>
        </row>
        <row r="1077">
          <cell r="B1077">
            <v>1070</v>
          </cell>
          <cell r="D1077" t="str">
            <v>B</v>
          </cell>
          <cell r="F1077" t="str">
            <v>Kayu Reng 3/4 Borneo Super</v>
          </cell>
          <cell r="J1077" t="str">
            <v xml:space="preserve">Kayu Reng 3/4 Borneo Super </v>
          </cell>
          <cell r="K1077">
            <v>4</v>
          </cell>
          <cell r="L1077" t="str">
            <v>M'</v>
          </cell>
          <cell r="M1077">
            <v>2730</v>
          </cell>
          <cell r="N1077">
            <v>10920</v>
          </cell>
        </row>
        <row r="1078">
          <cell r="B1078">
            <v>1071</v>
          </cell>
          <cell r="D1078" t="str">
            <v>B</v>
          </cell>
          <cell r="F1078" t="str">
            <v>Paku 5 - 7 cm</v>
          </cell>
          <cell r="J1078" t="str">
            <v xml:space="preserve">Paku 5 - 7 </v>
          </cell>
          <cell r="K1078">
            <v>0.25</v>
          </cell>
          <cell r="L1078" t="str">
            <v>Kg</v>
          </cell>
          <cell r="M1078">
            <v>10550</v>
          </cell>
          <cell r="N1078">
            <v>2637.5</v>
          </cell>
        </row>
        <row r="1079">
          <cell r="B1079">
            <v>1072</v>
          </cell>
          <cell r="C1079" t="str">
            <v>P</v>
          </cell>
          <cell r="F1079" t="str">
            <v>Buruh Lapangan Agak Terlatih / Pekerja setengah Terampil</v>
          </cell>
          <cell r="J1079" t="str">
            <v>Pekerja setengah Terampil</v>
          </cell>
          <cell r="K1079">
            <v>0.15</v>
          </cell>
          <cell r="L1079" t="str">
            <v>Orang</v>
          </cell>
          <cell r="M1079">
            <v>24500</v>
          </cell>
          <cell r="N1079">
            <v>3675</v>
          </cell>
        </row>
        <row r="1080">
          <cell r="B1080">
            <v>1073</v>
          </cell>
          <cell r="C1080" t="str">
            <v>P</v>
          </cell>
          <cell r="F1080" t="str">
            <v>Tukang Kayu (terampil)</v>
          </cell>
          <cell r="J1080" t="str">
            <v>Tukang Kayu Terampil</v>
          </cell>
          <cell r="K1080">
            <v>0.15</v>
          </cell>
          <cell r="L1080" t="str">
            <v>Orang</v>
          </cell>
          <cell r="M1080">
            <v>29100</v>
          </cell>
          <cell r="N1080">
            <v>4365</v>
          </cell>
        </row>
        <row r="1081">
          <cell r="B1081">
            <v>1074</v>
          </cell>
          <cell r="C1081" t="str">
            <v>P</v>
          </cell>
          <cell r="F1081" t="str">
            <v>Kepala Tukang Kayu</v>
          </cell>
          <cell r="J1081" t="str">
            <v xml:space="preserve">Kepala Tukang Kayu </v>
          </cell>
          <cell r="K1081">
            <v>0.01</v>
          </cell>
          <cell r="L1081" t="str">
            <v>Orang</v>
          </cell>
          <cell r="M1081">
            <v>30000</v>
          </cell>
          <cell r="N1081">
            <v>300</v>
          </cell>
        </row>
        <row r="1082">
          <cell r="B1082">
            <v>1075</v>
          </cell>
          <cell r="C1082" t="str">
            <v>P</v>
          </cell>
          <cell r="F1082" t="str">
            <v>Mandor Lapangan</v>
          </cell>
          <cell r="J1082" t="str">
            <v>Mandor</v>
          </cell>
          <cell r="K1082">
            <v>5.0000000000000001E-3</v>
          </cell>
          <cell r="L1082" t="str">
            <v>Orang</v>
          </cell>
          <cell r="M1082">
            <v>31800</v>
          </cell>
          <cell r="N1082">
            <v>159</v>
          </cell>
        </row>
        <row r="1083">
          <cell r="B1083">
            <v>1076</v>
          </cell>
          <cell r="M1083" t="str">
            <v>Jumlah</v>
          </cell>
          <cell r="N1083">
            <v>66089.3</v>
          </cell>
        </row>
        <row r="1084">
          <cell r="B1084">
            <v>1077</v>
          </cell>
          <cell r="M1084" t="str">
            <v>Dibulatkan</v>
          </cell>
          <cell r="N1084">
            <v>66090</v>
          </cell>
        </row>
        <row r="1085">
          <cell r="B1085">
            <v>1078</v>
          </cell>
        </row>
        <row r="1086">
          <cell r="A1086" t="str">
            <v>A097</v>
          </cell>
          <cell r="B1086">
            <v>1079</v>
          </cell>
          <cell r="H1086" t="str">
            <v>A097</v>
          </cell>
          <cell r="I1086" t="str">
            <v>M²</v>
          </cell>
          <cell r="J1086" t="str">
            <v>RANGKA ATAP GENTENG BETON/KERAMIK KAYU KAMPER MEDAN</v>
          </cell>
          <cell r="K1086" t="str">
            <v>Harga per 1 M² ……</v>
          </cell>
          <cell r="M1086" t="str">
            <v>Rp.</v>
          </cell>
          <cell r="N1086">
            <v>99250</v>
          </cell>
        </row>
        <row r="1087">
          <cell r="B1087">
            <v>1080</v>
          </cell>
          <cell r="D1087" t="str">
            <v>B</v>
          </cell>
          <cell r="F1087" t="str">
            <v>Kayu Balok Kamper Medan (Kruing)</v>
          </cell>
          <cell r="J1087" t="str">
            <v>Kayu Balok Kamper Medan (Kruing)</v>
          </cell>
          <cell r="K1087">
            <v>1.6800000000000002E-2</v>
          </cell>
          <cell r="L1087" t="str">
            <v>M3</v>
          </cell>
          <cell r="M1087">
            <v>4078000</v>
          </cell>
          <cell r="N1087">
            <v>68510.400000000009</v>
          </cell>
        </row>
        <row r="1088">
          <cell r="B1088">
            <v>1081</v>
          </cell>
          <cell r="D1088" t="str">
            <v>B</v>
          </cell>
          <cell r="F1088" t="str">
            <v>Kayu Reng 3/4 Kamper Medan</v>
          </cell>
          <cell r="J1088" t="str">
            <v xml:space="preserve">Kayu Reng 3/4 Borneo Super </v>
          </cell>
          <cell r="K1088">
            <v>4</v>
          </cell>
          <cell r="L1088" t="str">
            <v>M'</v>
          </cell>
          <cell r="M1088">
            <v>4900</v>
          </cell>
          <cell r="N1088">
            <v>19600</v>
          </cell>
        </row>
        <row r="1089">
          <cell r="B1089">
            <v>1082</v>
          </cell>
          <cell r="D1089" t="str">
            <v>B</v>
          </cell>
          <cell r="F1089" t="str">
            <v>Paku 5 - 7 cm</v>
          </cell>
          <cell r="J1089" t="str">
            <v xml:space="preserve">Paku 5 - 7 </v>
          </cell>
          <cell r="K1089">
            <v>0.25</v>
          </cell>
          <cell r="L1089" t="str">
            <v>Kg</v>
          </cell>
          <cell r="M1089">
            <v>10550</v>
          </cell>
          <cell r="N1089">
            <v>2637.5</v>
          </cell>
        </row>
        <row r="1090">
          <cell r="B1090">
            <v>1083</v>
          </cell>
          <cell r="C1090" t="str">
            <v>P</v>
          </cell>
          <cell r="F1090" t="str">
            <v>Buruh Lapangan Agak Terlatih / Pekerja setengah Terampil</v>
          </cell>
          <cell r="J1090" t="str">
            <v>Pekerja setengah Terampil</v>
          </cell>
          <cell r="K1090">
            <v>0.15</v>
          </cell>
          <cell r="L1090" t="str">
            <v>Orang</v>
          </cell>
          <cell r="M1090">
            <v>24500</v>
          </cell>
          <cell r="N1090">
            <v>3675</v>
          </cell>
        </row>
        <row r="1091">
          <cell r="B1091">
            <v>1084</v>
          </cell>
          <cell r="C1091" t="str">
            <v>P</v>
          </cell>
          <cell r="F1091" t="str">
            <v>Tukang Kayu (terampil)</v>
          </cell>
          <cell r="J1091" t="str">
            <v>Tukang Kayu Terampil</v>
          </cell>
          <cell r="K1091">
            <v>0.15</v>
          </cell>
          <cell r="L1091" t="str">
            <v>Orang</v>
          </cell>
          <cell r="M1091">
            <v>29100</v>
          </cell>
          <cell r="N1091">
            <v>4365</v>
          </cell>
        </row>
        <row r="1092">
          <cell r="B1092">
            <v>1085</v>
          </cell>
          <cell r="C1092" t="str">
            <v>P</v>
          </cell>
          <cell r="F1092" t="str">
            <v>Kepala Tukang Kayu</v>
          </cell>
          <cell r="J1092" t="str">
            <v xml:space="preserve">Kepala Tukang Kayu </v>
          </cell>
          <cell r="K1092">
            <v>0.01</v>
          </cell>
          <cell r="L1092" t="str">
            <v>Orang</v>
          </cell>
          <cell r="M1092">
            <v>30000</v>
          </cell>
          <cell r="N1092">
            <v>300</v>
          </cell>
        </row>
        <row r="1093">
          <cell r="B1093">
            <v>1086</v>
          </cell>
          <cell r="C1093" t="str">
            <v>P</v>
          </cell>
          <cell r="F1093" t="str">
            <v>Mandor Lapangan</v>
          </cell>
          <cell r="J1093" t="str">
            <v>Mandor</v>
          </cell>
          <cell r="K1093">
            <v>5.0000000000000001E-3</v>
          </cell>
          <cell r="L1093" t="str">
            <v>Orang</v>
          </cell>
          <cell r="M1093">
            <v>31800</v>
          </cell>
          <cell r="N1093">
            <v>159</v>
          </cell>
        </row>
        <row r="1094">
          <cell r="B1094">
            <v>1087</v>
          </cell>
          <cell r="M1094" t="str">
            <v>Jumlah</v>
          </cell>
          <cell r="N1094">
            <v>99246.900000000009</v>
          </cell>
        </row>
        <row r="1095">
          <cell r="B1095">
            <v>1088</v>
          </cell>
          <cell r="M1095" t="str">
            <v>Dibulatkan</v>
          </cell>
          <cell r="N1095">
            <v>99250</v>
          </cell>
        </row>
        <row r="1096">
          <cell r="B1096">
            <v>1089</v>
          </cell>
        </row>
        <row r="1097">
          <cell r="A1097" t="str">
            <v>A098</v>
          </cell>
          <cell r="B1097">
            <v>1090</v>
          </cell>
          <cell r="H1097" t="str">
            <v>A098</v>
          </cell>
          <cell r="I1097" t="str">
            <v>M²</v>
          </cell>
          <cell r="J1097" t="str">
            <v>PEK. ATAP GENTENG PLENTONG EX JATIWANGI</v>
          </cell>
          <cell r="K1097" t="str">
            <v>Harga per 1 M² ……</v>
          </cell>
          <cell r="M1097" t="str">
            <v>Rp.</v>
          </cell>
          <cell r="N1097">
            <v>23440</v>
          </cell>
        </row>
        <row r="1098">
          <cell r="B1098">
            <v>1091</v>
          </cell>
          <cell r="D1098" t="str">
            <v>B</v>
          </cell>
          <cell r="F1098" t="str">
            <v>Genteng Plentong Pres Bakar Jatiwangi</v>
          </cell>
          <cell r="J1098" t="str">
            <v>Genteng Plentong Pres Bakar Jatiwangi</v>
          </cell>
          <cell r="K1098">
            <v>25</v>
          </cell>
          <cell r="L1098" t="str">
            <v>Bh</v>
          </cell>
          <cell r="M1098">
            <v>740</v>
          </cell>
          <cell r="N1098">
            <v>18500</v>
          </cell>
        </row>
        <row r="1099">
          <cell r="B1099">
            <v>1092</v>
          </cell>
          <cell r="C1099" t="str">
            <v>P</v>
          </cell>
          <cell r="F1099" t="str">
            <v>Buruh Lapangan Agak Terlatih / Pekerja setengah Terampil</v>
          </cell>
          <cell r="J1099" t="str">
            <v>Pekerja Setengah Terampil</v>
          </cell>
          <cell r="K1099">
            <v>0.12</v>
          </cell>
          <cell r="L1099" t="str">
            <v>Orang</v>
          </cell>
          <cell r="M1099">
            <v>24500</v>
          </cell>
          <cell r="N1099">
            <v>2940</v>
          </cell>
        </row>
        <row r="1100">
          <cell r="B1100">
            <v>1093</v>
          </cell>
          <cell r="C1100" t="str">
            <v>P</v>
          </cell>
          <cell r="F1100" t="str">
            <v>Tukang Batu (Terampil)</v>
          </cell>
          <cell r="J1100" t="str">
            <v>Tukang Batu Terampil</v>
          </cell>
          <cell r="K1100">
            <v>0.06</v>
          </cell>
          <cell r="L1100" t="str">
            <v>Orang</v>
          </cell>
          <cell r="M1100">
            <v>27300</v>
          </cell>
          <cell r="N1100">
            <v>1638</v>
          </cell>
        </row>
        <row r="1101">
          <cell r="B1101">
            <v>1094</v>
          </cell>
          <cell r="C1101" t="str">
            <v>P</v>
          </cell>
          <cell r="F1101" t="str">
            <v>Kepala Tukang Batu</v>
          </cell>
          <cell r="J1101" t="str">
            <v>Kepala Tukang Batu</v>
          </cell>
          <cell r="K1101">
            <v>6.0000000000000001E-3</v>
          </cell>
          <cell r="L1101" t="str">
            <v>Orang</v>
          </cell>
          <cell r="M1101">
            <v>29100</v>
          </cell>
          <cell r="N1101">
            <v>174.6</v>
          </cell>
        </row>
        <row r="1102">
          <cell r="B1102">
            <v>1095</v>
          </cell>
          <cell r="C1102" t="str">
            <v>P</v>
          </cell>
          <cell r="F1102" t="str">
            <v>Mandor Lapangan</v>
          </cell>
          <cell r="J1102" t="str">
            <v>Mandor</v>
          </cell>
          <cell r="K1102">
            <v>6.0000000000000001E-3</v>
          </cell>
          <cell r="L1102" t="str">
            <v>Orang</v>
          </cell>
          <cell r="M1102">
            <v>31800</v>
          </cell>
          <cell r="N1102">
            <v>190.8</v>
          </cell>
        </row>
        <row r="1103">
          <cell r="B1103">
            <v>1096</v>
          </cell>
          <cell r="M1103" t="str">
            <v>Jumlah</v>
          </cell>
          <cell r="N1103">
            <v>23443.399999999998</v>
          </cell>
        </row>
        <row r="1104">
          <cell r="B1104">
            <v>1097</v>
          </cell>
          <cell r="M1104" t="str">
            <v>Dibulatkan</v>
          </cell>
          <cell r="N1104">
            <v>23440</v>
          </cell>
        </row>
        <row r="1105">
          <cell r="B1105">
            <v>1098</v>
          </cell>
        </row>
        <row r="1106">
          <cell r="A1106" t="str">
            <v>A098a</v>
          </cell>
          <cell r="B1106">
            <v>1099</v>
          </cell>
          <cell r="H1106" t="str">
            <v>A098a</v>
          </cell>
          <cell r="I1106" t="str">
            <v>M²</v>
          </cell>
          <cell r="J1106" t="str">
            <v>PEK. ATAP GENTENG PLENTONG BERGLAZUR</v>
          </cell>
          <cell r="K1106" t="str">
            <v>Harga per 1 M² ……</v>
          </cell>
          <cell r="M1106" t="str">
            <v>Rp.</v>
          </cell>
          <cell r="N1106">
            <v>57440</v>
          </cell>
        </row>
        <row r="1107">
          <cell r="B1107">
            <v>1100</v>
          </cell>
          <cell r="D1107" t="str">
            <v>B</v>
          </cell>
          <cell r="F1107" t="str">
            <v>Genteng Plentong Pres Oven Jatiwangi Berglazur</v>
          </cell>
          <cell r="J1107" t="str">
            <v>Genteng Plentong Pres Bakar Jatiwangi Glazur</v>
          </cell>
          <cell r="K1107">
            <v>25</v>
          </cell>
          <cell r="L1107" t="str">
            <v>Bh</v>
          </cell>
          <cell r="M1107">
            <v>2100</v>
          </cell>
          <cell r="N1107">
            <v>52500</v>
          </cell>
        </row>
        <row r="1108">
          <cell r="B1108">
            <v>1101</v>
          </cell>
          <cell r="C1108" t="str">
            <v>P</v>
          </cell>
          <cell r="F1108" t="str">
            <v>Buruh Lapangan Agak Terlatih / Pekerja setengah Terampil</v>
          </cell>
          <cell r="J1108" t="str">
            <v>Pekerja Setengah Terampil</v>
          </cell>
          <cell r="K1108">
            <v>0.12</v>
          </cell>
          <cell r="L1108" t="str">
            <v>Orang</v>
          </cell>
          <cell r="M1108">
            <v>24500</v>
          </cell>
          <cell r="N1108">
            <v>2940</v>
          </cell>
        </row>
        <row r="1109">
          <cell r="B1109">
            <v>1102</v>
          </cell>
          <cell r="C1109" t="str">
            <v>P</v>
          </cell>
          <cell r="F1109" t="str">
            <v>Tukang Batu (Terampil)</v>
          </cell>
          <cell r="J1109" t="str">
            <v>Tukang Batu Terampil</v>
          </cell>
          <cell r="K1109">
            <v>0.06</v>
          </cell>
          <cell r="L1109" t="str">
            <v>Orang</v>
          </cell>
          <cell r="M1109">
            <v>27300</v>
          </cell>
          <cell r="N1109">
            <v>1638</v>
          </cell>
        </row>
        <row r="1110">
          <cell r="B1110">
            <v>1103</v>
          </cell>
          <cell r="C1110" t="str">
            <v>P</v>
          </cell>
          <cell r="F1110" t="str">
            <v>Kepala Tukang Batu</v>
          </cell>
          <cell r="J1110" t="str">
            <v>Kepala Tukang Batu</v>
          </cell>
          <cell r="K1110">
            <v>6.0000000000000001E-3</v>
          </cell>
          <cell r="L1110" t="str">
            <v>Orang</v>
          </cell>
          <cell r="M1110">
            <v>29100</v>
          </cell>
          <cell r="N1110">
            <v>174.6</v>
          </cell>
        </row>
        <row r="1111">
          <cell r="B1111">
            <v>1104</v>
          </cell>
          <cell r="C1111" t="str">
            <v>P</v>
          </cell>
          <cell r="F1111" t="str">
            <v>Mandor Lapangan</v>
          </cell>
          <cell r="J1111" t="str">
            <v>Mandor</v>
          </cell>
          <cell r="K1111">
            <v>6.0000000000000001E-3</v>
          </cell>
          <cell r="L1111" t="str">
            <v>Orang</v>
          </cell>
          <cell r="M1111">
            <v>31800</v>
          </cell>
          <cell r="N1111">
            <v>190.8</v>
          </cell>
        </row>
        <row r="1112">
          <cell r="B1112">
            <v>1105</v>
          </cell>
          <cell r="M1112" t="str">
            <v>Jumlah</v>
          </cell>
          <cell r="N1112">
            <v>57443.4</v>
          </cell>
        </row>
        <row r="1113">
          <cell r="B1113">
            <v>1106</v>
          </cell>
          <cell r="M1113" t="str">
            <v>Dibulatkan</v>
          </cell>
          <cell r="N1113">
            <v>57440</v>
          </cell>
        </row>
        <row r="1114">
          <cell r="B1114">
            <v>1107</v>
          </cell>
        </row>
        <row r="1115">
          <cell r="A1115" t="str">
            <v>A099</v>
          </cell>
          <cell r="B1115">
            <v>1108</v>
          </cell>
          <cell r="H1115" t="str">
            <v>A099</v>
          </cell>
          <cell r="I1115" t="str">
            <v>M²</v>
          </cell>
          <cell r="J1115" t="str">
            <v>PEK. ATAP GENTENG BETON NATURAL</v>
          </cell>
          <cell r="K1115" t="str">
            <v>Harga per 1 M² ……</v>
          </cell>
          <cell r="M1115" t="str">
            <v>Rp.</v>
          </cell>
          <cell r="N1115">
            <v>34940</v>
          </cell>
        </row>
        <row r="1116">
          <cell r="B1116">
            <v>1109</v>
          </cell>
          <cell r="D1116" t="str">
            <v>B</v>
          </cell>
          <cell r="F1116" t="str">
            <v>Genteng Beton Natural</v>
          </cell>
          <cell r="J1116" t="str">
            <v>Genteng Beton Natural</v>
          </cell>
          <cell r="K1116">
            <v>12</v>
          </cell>
          <cell r="L1116" t="str">
            <v>Bh</v>
          </cell>
          <cell r="M1116">
            <v>2500</v>
          </cell>
          <cell r="N1116">
            <v>30000</v>
          </cell>
        </row>
        <row r="1117">
          <cell r="B1117">
            <v>1110</v>
          </cell>
          <cell r="C1117" t="str">
            <v>P</v>
          </cell>
          <cell r="F1117" t="str">
            <v>Buruh Lapangan Agak Terlatih / Pekerja setengah Terampil</v>
          </cell>
          <cell r="J1117" t="str">
            <v>Pekerja Setengah Terampil</v>
          </cell>
          <cell r="K1117">
            <v>0.12</v>
          </cell>
          <cell r="L1117" t="str">
            <v>Orang</v>
          </cell>
          <cell r="M1117">
            <v>24500</v>
          </cell>
          <cell r="N1117">
            <v>2940</v>
          </cell>
        </row>
        <row r="1118">
          <cell r="B1118">
            <v>1111</v>
          </cell>
          <cell r="C1118" t="str">
            <v>P</v>
          </cell>
          <cell r="F1118" t="str">
            <v>Tukang Batu (Terampil)</v>
          </cell>
          <cell r="J1118" t="str">
            <v>Tukang Batu Terampil</v>
          </cell>
          <cell r="K1118">
            <v>0.06</v>
          </cell>
          <cell r="L1118" t="str">
            <v>Orang</v>
          </cell>
          <cell r="M1118">
            <v>27300</v>
          </cell>
          <cell r="N1118">
            <v>1638</v>
          </cell>
        </row>
        <row r="1119">
          <cell r="B1119">
            <v>1112</v>
          </cell>
          <cell r="C1119" t="str">
            <v>P</v>
          </cell>
          <cell r="F1119" t="str">
            <v>Kepala Tukang Batu</v>
          </cell>
          <cell r="J1119" t="str">
            <v>Kepala Tukang Batu</v>
          </cell>
          <cell r="K1119">
            <v>6.0000000000000001E-3</v>
          </cell>
          <cell r="L1119" t="str">
            <v>Orang</v>
          </cell>
          <cell r="M1119">
            <v>29100</v>
          </cell>
          <cell r="N1119">
            <v>174.6</v>
          </cell>
        </row>
        <row r="1120">
          <cell r="B1120">
            <v>1113</v>
          </cell>
          <cell r="C1120" t="str">
            <v>P</v>
          </cell>
          <cell r="F1120" t="str">
            <v>Mandor Lapangan</v>
          </cell>
          <cell r="J1120" t="str">
            <v>Mandor</v>
          </cell>
          <cell r="K1120">
            <v>6.0000000000000001E-3</v>
          </cell>
          <cell r="L1120" t="str">
            <v>Orang</v>
          </cell>
          <cell r="M1120">
            <v>31800</v>
          </cell>
          <cell r="N1120">
            <v>190.8</v>
          </cell>
        </row>
        <row r="1121">
          <cell r="B1121">
            <v>1114</v>
          </cell>
          <cell r="M1121" t="str">
            <v>Jumlah</v>
          </cell>
          <cell r="N1121">
            <v>34943.4</v>
          </cell>
        </row>
        <row r="1122">
          <cell r="B1122">
            <v>1115</v>
          </cell>
          <cell r="M1122" t="str">
            <v>Dibulatkan</v>
          </cell>
          <cell r="N1122">
            <v>34940</v>
          </cell>
        </row>
        <row r="1123">
          <cell r="B1123">
            <v>1116</v>
          </cell>
        </row>
        <row r="1124">
          <cell r="A1124" t="str">
            <v>A100</v>
          </cell>
          <cell r="B1124">
            <v>1117</v>
          </cell>
          <cell r="H1124" t="str">
            <v>A100</v>
          </cell>
          <cell r="I1124" t="str">
            <v>M²</v>
          </cell>
          <cell r="J1124" t="str">
            <v>PEK. ATAP GENTENG MORANDO NATURAL</v>
          </cell>
          <cell r="K1124" t="str">
            <v>Harga per 1 M² ……</v>
          </cell>
          <cell r="M1124" t="str">
            <v>Rp.</v>
          </cell>
          <cell r="N1124">
            <v>42440</v>
          </cell>
        </row>
        <row r="1125">
          <cell r="B1125">
            <v>1118</v>
          </cell>
          <cell r="D1125" t="str">
            <v>B</v>
          </cell>
          <cell r="F1125" t="str">
            <v>Genteng Morando Natural</v>
          </cell>
          <cell r="J1125" t="str">
            <v>Genteng Morando natural</v>
          </cell>
          <cell r="K1125">
            <v>25</v>
          </cell>
          <cell r="L1125" t="str">
            <v>Bh</v>
          </cell>
          <cell r="M1125">
            <v>1500</v>
          </cell>
          <cell r="N1125">
            <v>37500</v>
          </cell>
        </row>
        <row r="1126">
          <cell r="B1126">
            <v>1119</v>
          </cell>
          <cell r="C1126" t="str">
            <v>P</v>
          </cell>
          <cell r="F1126" t="str">
            <v>Buruh Lapangan Agak Terlatih / Pekerja setengah Terampil</v>
          </cell>
          <cell r="J1126" t="str">
            <v>Pekerja Setengah Terampil</v>
          </cell>
          <cell r="K1126">
            <v>0.12</v>
          </cell>
          <cell r="L1126" t="str">
            <v>Orang</v>
          </cell>
          <cell r="M1126">
            <v>24500</v>
          </cell>
          <cell r="N1126">
            <v>2940</v>
          </cell>
        </row>
        <row r="1127">
          <cell r="B1127">
            <v>1120</v>
          </cell>
          <cell r="C1127" t="str">
            <v>P</v>
          </cell>
          <cell r="F1127" t="str">
            <v>Tukang Batu (Terampil)</v>
          </cell>
          <cell r="J1127" t="str">
            <v>Tukang Batu Terampil</v>
          </cell>
          <cell r="K1127">
            <v>0.06</v>
          </cell>
          <cell r="L1127" t="str">
            <v>Orang</v>
          </cell>
          <cell r="M1127">
            <v>27300</v>
          </cell>
          <cell r="N1127">
            <v>1638</v>
          </cell>
        </row>
        <row r="1128">
          <cell r="B1128">
            <v>1121</v>
          </cell>
          <cell r="C1128" t="str">
            <v>P</v>
          </cell>
          <cell r="F1128" t="str">
            <v>Kepala Tukang Batu</v>
          </cell>
          <cell r="J1128" t="str">
            <v>Kepala Tukang Batu</v>
          </cell>
          <cell r="K1128">
            <v>6.0000000000000001E-3</v>
          </cell>
          <cell r="L1128" t="str">
            <v>Orang</v>
          </cell>
          <cell r="M1128">
            <v>29100</v>
          </cell>
          <cell r="N1128">
            <v>174.6</v>
          </cell>
        </row>
        <row r="1129">
          <cell r="B1129">
            <v>1122</v>
          </cell>
          <cell r="C1129" t="str">
            <v>P</v>
          </cell>
          <cell r="F1129" t="str">
            <v>Mandor Lapangan</v>
          </cell>
          <cell r="J1129" t="str">
            <v>Mandor</v>
          </cell>
          <cell r="K1129">
            <v>6.0000000000000001E-3</v>
          </cell>
          <cell r="L1129" t="str">
            <v>Orang</v>
          </cell>
          <cell r="M1129">
            <v>31800</v>
          </cell>
          <cell r="N1129">
            <v>190.8</v>
          </cell>
        </row>
        <row r="1130">
          <cell r="B1130">
            <v>1123</v>
          </cell>
          <cell r="M1130" t="str">
            <v>Jumlah</v>
          </cell>
          <cell r="N1130">
            <v>42443.4</v>
          </cell>
        </row>
        <row r="1131">
          <cell r="B1131">
            <v>1124</v>
          </cell>
          <cell r="M1131" t="str">
            <v>Dibulatkan</v>
          </cell>
          <cell r="N1131">
            <v>42440</v>
          </cell>
        </row>
        <row r="1132">
          <cell r="B1132">
            <v>1125</v>
          </cell>
        </row>
        <row r="1133">
          <cell r="A1133" t="str">
            <v>A100.1</v>
          </cell>
          <cell r="B1133">
            <v>1126</v>
          </cell>
          <cell r="H1133" t="str">
            <v>A100.1</v>
          </cell>
          <cell r="I1133" t="str">
            <v>M²</v>
          </cell>
          <cell r="J1133" t="str">
            <v>PEK. ATAP GENTENG MORANDO BERGLAZUR</v>
          </cell>
          <cell r="K1133" t="str">
            <v>Harga per 1 M² ……</v>
          </cell>
          <cell r="M1133" t="str">
            <v>Rp.</v>
          </cell>
          <cell r="N1133">
            <v>52690</v>
          </cell>
        </row>
        <row r="1134">
          <cell r="B1134">
            <v>1127</v>
          </cell>
          <cell r="D1134" t="str">
            <v>B</v>
          </cell>
          <cell r="F1134" t="str">
            <v>Genteng Morando Berglazur</v>
          </cell>
          <cell r="J1134" t="str">
            <v>Genteng Morando Berglazur</v>
          </cell>
          <cell r="K1134">
            <v>25</v>
          </cell>
          <cell r="L1134" t="str">
            <v>Bh</v>
          </cell>
          <cell r="M1134">
            <v>1910</v>
          </cell>
          <cell r="N1134">
            <v>47750</v>
          </cell>
        </row>
        <row r="1135">
          <cell r="B1135">
            <v>1128</v>
          </cell>
          <cell r="C1135" t="str">
            <v>P</v>
          </cell>
          <cell r="F1135" t="str">
            <v>Buruh Lapangan Agak Terlatih / Pekerja setengah Terampil</v>
          </cell>
          <cell r="J1135" t="str">
            <v>Pekerja Setengah Terampil</v>
          </cell>
          <cell r="K1135">
            <v>0.12</v>
          </cell>
          <cell r="L1135" t="str">
            <v>Orang</v>
          </cell>
          <cell r="M1135">
            <v>24500</v>
          </cell>
          <cell r="N1135">
            <v>2940</v>
          </cell>
        </row>
        <row r="1136">
          <cell r="B1136">
            <v>1129</v>
          </cell>
          <cell r="C1136" t="str">
            <v>P</v>
          </cell>
          <cell r="F1136" t="str">
            <v>Tukang Batu (Terampil)</v>
          </cell>
          <cell r="J1136" t="str">
            <v>Tukang Batu Terampil</v>
          </cell>
          <cell r="K1136">
            <v>0.06</v>
          </cell>
          <cell r="L1136" t="str">
            <v>Orang</v>
          </cell>
          <cell r="M1136">
            <v>27300</v>
          </cell>
          <cell r="N1136">
            <v>1638</v>
          </cell>
        </row>
        <row r="1137">
          <cell r="B1137">
            <v>1130</v>
          </cell>
          <cell r="C1137" t="str">
            <v>P</v>
          </cell>
          <cell r="F1137" t="str">
            <v>Kepala Tukang Batu</v>
          </cell>
          <cell r="J1137" t="str">
            <v>Kepala Tukang Batu</v>
          </cell>
          <cell r="K1137">
            <v>6.0000000000000001E-3</v>
          </cell>
          <cell r="L1137" t="str">
            <v>Orang</v>
          </cell>
          <cell r="M1137">
            <v>29100</v>
          </cell>
          <cell r="N1137">
            <v>174.6</v>
          </cell>
        </row>
        <row r="1138">
          <cell r="B1138">
            <v>1131</v>
          </cell>
          <cell r="C1138" t="str">
            <v>P</v>
          </cell>
          <cell r="F1138" t="str">
            <v>Mandor Lapangan</v>
          </cell>
          <cell r="J1138" t="str">
            <v>Mandor</v>
          </cell>
          <cell r="K1138">
            <v>6.0000000000000001E-3</v>
          </cell>
          <cell r="L1138" t="str">
            <v>Orang</v>
          </cell>
          <cell r="M1138">
            <v>31800</v>
          </cell>
          <cell r="N1138">
            <v>190.8</v>
          </cell>
        </row>
        <row r="1139">
          <cell r="B1139">
            <v>1132</v>
          </cell>
          <cell r="M1139" t="str">
            <v>Jumlah</v>
          </cell>
          <cell r="N1139">
            <v>52693.4</v>
          </cell>
        </row>
        <row r="1140">
          <cell r="B1140">
            <v>1133</v>
          </cell>
          <cell r="M1140" t="str">
            <v>Dibulatkan</v>
          </cell>
          <cell r="N1140">
            <v>52690</v>
          </cell>
        </row>
        <row r="1141">
          <cell r="B1141">
            <v>1134</v>
          </cell>
        </row>
        <row r="1142">
          <cell r="A1142" t="str">
            <v>A101</v>
          </cell>
          <cell r="B1142">
            <v>1135</v>
          </cell>
          <cell r="H1142" t="str">
            <v>A101</v>
          </cell>
          <cell r="I1142" t="str">
            <v>M²</v>
          </cell>
          <cell r="J1142" t="str">
            <v>PEK. ATAP SPANDEK</v>
          </cell>
          <cell r="K1142" t="str">
            <v>Harga per 1 M² ……</v>
          </cell>
          <cell r="M1142" t="str">
            <v>Rp.</v>
          </cell>
          <cell r="N1142">
            <v>111800</v>
          </cell>
        </row>
        <row r="1143">
          <cell r="B1143">
            <v>1136</v>
          </cell>
          <cell r="D1143" t="str">
            <v>B</v>
          </cell>
          <cell r="F1143" t="str">
            <v>Spandek</v>
          </cell>
          <cell r="J1143" t="str">
            <v>Spandek</v>
          </cell>
          <cell r="K1143">
            <v>1.1000000000000001</v>
          </cell>
          <cell r="L1143" t="str">
            <v>m2</v>
          </cell>
          <cell r="M1143">
            <v>80000</v>
          </cell>
          <cell r="N1143">
            <v>88000</v>
          </cell>
        </row>
        <row r="1144">
          <cell r="B1144">
            <v>1137</v>
          </cell>
          <cell r="D1144" t="str">
            <v>B</v>
          </cell>
          <cell r="F1144" t="str">
            <v>Angkur Pengikat Atap</v>
          </cell>
          <cell r="J1144" t="str">
            <v>Angkur pengikat atap</v>
          </cell>
          <cell r="K1144">
            <v>4</v>
          </cell>
          <cell r="L1144" t="str">
            <v>Bh</v>
          </cell>
          <cell r="M1144">
            <v>4500</v>
          </cell>
          <cell r="N1144">
            <v>18000</v>
          </cell>
        </row>
        <row r="1145">
          <cell r="B1145">
            <v>1138</v>
          </cell>
          <cell r="C1145" t="str">
            <v>P</v>
          </cell>
          <cell r="F1145" t="str">
            <v>Tukang Besi</v>
          </cell>
          <cell r="J1145" t="str">
            <v>Tukang besi</v>
          </cell>
          <cell r="K1145">
            <v>0.1</v>
          </cell>
          <cell r="L1145" t="str">
            <v>Orang</v>
          </cell>
          <cell r="M1145">
            <v>29100</v>
          </cell>
          <cell r="N1145">
            <v>2910</v>
          </cell>
        </row>
        <row r="1146">
          <cell r="B1146">
            <v>1139</v>
          </cell>
          <cell r="C1146" t="str">
            <v>P</v>
          </cell>
          <cell r="F1146" t="str">
            <v>Kepala Tukang Besi Profil</v>
          </cell>
          <cell r="J1146" t="str">
            <v>Kepala Tukang Besi</v>
          </cell>
          <cell r="K1146">
            <v>0.01</v>
          </cell>
          <cell r="L1146" t="str">
            <v>Orang</v>
          </cell>
          <cell r="M1146">
            <v>30000</v>
          </cell>
          <cell r="N1146">
            <v>300</v>
          </cell>
        </row>
        <row r="1147">
          <cell r="B1147">
            <v>1140</v>
          </cell>
          <cell r="C1147" t="str">
            <v>P</v>
          </cell>
          <cell r="F1147" t="str">
            <v>Buruh Lapangan Tak Terlatih / Pekerja</v>
          </cell>
          <cell r="J1147" t="str">
            <v>Pekerja</v>
          </cell>
          <cell r="K1147">
            <v>0.1</v>
          </cell>
          <cell r="L1147" t="str">
            <v>Orang</v>
          </cell>
          <cell r="M1147">
            <v>22700</v>
          </cell>
          <cell r="N1147">
            <v>2270</v>
          </cell>
        </row>
        <row r="1148">
          <cell r="B1148">
            <v>1141</v>
          </cell>
          <cell r="C1148" t="str">
            <v>P</v>
          </cell>
          <cell r="F1148" t="str">
            <v>Mandor Lapangan</v>
          </cell>
          <cell r="J1148" t="str">
            <v>Mandor</v>
          </cell>
          <cell r="K1148">
            <v>0.01</v>
          </cell>
          <cell r="L1148" t="str">
            <v>Orang</v>
          </cell>
          <cell r="M1148">
            <v>31800</v>
          </cell>
          <cell r="N1148">
            <v>318</v>
          </cell>
        </row>
        <row r="1149">
          <cell r="B1149">
            <v>1142</v>
          </cell>
          <cell r="M1149" t="str">
            <v>Jumlah</v>
          </cell>
          <cell r="N1149">
            <v>111798</v>
          </cell>
        </row>
        <row r="1150">
          <cell r="B1150">
            <v>1143</v>
          </cell>
          <cell r="M1150" t="str">
            <v>Dibulatkan</v>
          </cell>
          <cell r="N1150">
            <v>111800</v>
          </cell>
        </row>
        <row r="1151">
          <cell r="B1151">
            <v>1144</v>
          </cell>
        </row>
        <row r="1152">
          <cell r="A1152" t="str">
            <v>A102</v>
          </cell>
          <cell r="B1152">
            <v>1145</v>
          </cell>
          <cell r="H1152" t="str">
            <v>A102</v>
          </cell>
          <cell r="I1152" t="str">
            <v>M¹</v>
          </cell>
          <cell r="J1152" t="str">
            <v>PEK. BUBUNGAN ATAP GENTENG EX JATIWANGI</v>
          </cell>
          <cell r="K1152" t="str">
            <v>Harga per 1M' …..</v>
          </cell>
          <cell r="M1152" t="str">
            <v>Rp.</v>
          </cell>
          <cell r="N1152">
            <v>64410</v>
          </cell>
        </row>
        <row r="1153">
          <cell r="B1153">
            <v>1146</v>
          </cell>
          <cell r="D1153" t="str">
            <v>B</v>
          </cell>
          <cell r="F1153" t="str">
            <v>Genteng Bubungan Plentong Jatiwangi Berglazur</v>
          </cell>
          <cell r="J1153" t="str">
            <v>Genteng Bubungan Ex Jatiwangi Segitiga</v>
          </cell>
          <cell r="K1153">
            <v>4</v>
          </cell>
          <cell r="L1153" t="str">
            <v>Bh</v>
          </cell>
          <cell r="M1153">
            <v>3700</v>
          </cell>
          <cell r="N1153">
            <v>14800</v>
          </cell>
        </row>
        <row r="1154">
          <cell r="B1154">
            <v>1147</v>
          </cell>
          <cell r="D1154" t="str">
            <v>B</v>
          </cell>
          <cell r="F1154" t="str">
            <v>Semen portland</v>
          </cell>
          <cell r="J1154" t="str">
            <v>PC (50 Kg)</v>
          </cell>
          <cell r="K1154">
            <v>0.13039999999999999</v>
          </cell>
          <cell r="L1154" t="str">
            <v>Zak</v>
          </cell>
          <cell r="M1154">
            <v>44200</v>
          </cell>
          <cell r="N1154">
            <v>5763.6799999999994</v>
          </cell>
        </row>
        <row r="1155">
          <cell r="B1155">
            <v>1148</v>
          </cell>
          <cell r="D1155" t="str">
            <v>B</v>
          </cell>
          <cell r="F1155" t="str">
            <v>Pasir Pasang</v>
          </cell>
          <cell r="J1155" t="str">
            <v>Pasir Pasang</v>
          </cell>
          <cell r="K1155">
            <v>0.21</v>
          </cell>
          <cell r="L1155" t="str">
            <v>M3</v>
          </cell>
          <cell r="M1155">
            <v>160000</v>
          </cell>
          <cell r="N1155">
            <v>33600</v>
          </cell>
        </row>
        <row r="1156">
          <cell r="B1156">
            <v>1149</v>
          </cell>
          <cell r="J1156" t="str">
            <v>Peralatan</v>
          </cell>
          <cell r="K1156">
            <v>1</v>
          </cell>
          <cell r="L1156" t="str">
            <v>Ls</v>
          </cell>
          <cell r="M1156">
            <v>500</v>
          </cell>
          <cell r="N1156">
            <v>500</v>
          </cell>
        </row>
        <row r="1157">
          <cell r="B1157">
            <v>1150</v>
          </cell>
          <cell r="C1157" t="str">
            <v>P</v>
          </cell>
          <cell r="F1157" t="str">
            <v>Buruh Lapangan Agak Terlatih / Pekerja setengah Terampil</v>
          </cell>
          <cell r="J1157" t="str">
            <v>Pekerja Setengah Terampil</v>
          </cell>
          <cell r="K1157">
            <v>0.15</v>
          </cell>
          <cell r="L1157" t="str">
            <v>Orang</v>
          </cell>
          <cell r="M1157">
            <v>24500</v>
          </cell>
          <cell r="N1157">
            <v>3675</v>
          </cell>
        </row>
        <row r="1158">
          <cell r="B1158">
            <v>1151</v>
          </cell>
          <cell r="C1158" t="str">
            <v>P</v>
          </cell>
          <cell r="F1158" t="str">
            <v>Tukang Batu (Terampil)</v>
          </cell>
          <cell r="J1158" t="str">
            <v>Tukang Batu Terampil</v>
          </cell>
          <cell r="K1158">
            <v>0.2</v>
          </cell>
          <cell r="L1158" t="str">
            <v>Orang</v>
          </cell>
          <cell r="M1158">
            <v>27300</v>
          </cell>
          <cell r="N1158">
            <v>5460</v>
          </cell>
        </row>
        <row r="1159">
          <cell r="B1159">
            <v>1152</v>
          </cell>
          <cell r="C1159" t="str">
            <v>P</v>
          </cell>
          <cell r="F1159" t="str">
            <v>Kepala Tukang Batu</v>
          </cell>
          <cell r="J1159" t="str">
            <v>Kepala Tukang Batu</v>
          </cell>
          <cell r="K1159">
            <v>0.01</v>
          </cell>
          <cell r="L1159" t="str">
            <v>Orang</v>
          </cell>
          <cell r="M1159">
            <v>29100</v>
          </cell>
          <cell r="N1159">
            <v>291</v>
          </cell>
        </row>
        <row r="1160">
          <cell r="B1160">
            <v>1153</v>
          </cell>
          <cell r="C1160" t="str">
            <v>P</v>
          </cell>
          <cell r="F1160" t="str">
            <v>Mandor Lapangan</v>
          </cell>
          <cell r="J1160" t="str">
            <v>Mandor</v>
          </cell>
          <cell r="K1160">
            <v>0.01</v>
          </cell>
          <cell r="L1160" t="str">
            <v>Orang</v>
          </cell>
          <cell r="M1160">
            <v>31800</v>
          </cell>
          <cell r="N1160">
            <v>318</v>
          </cell>
        </row>
        <row r="1161">
          <cell r="B1161">
            <v>1154</v>
          </cell>
          <cell r="M1161" t="str">
            <v>Jumlah</v>
          </cell>
          <cell r="N1161">
            <v>64407.68</v>
          </cell>
        </row>
        <row r="1162">
          <cell r="B1162">
            <v>1155</v>
          </cell>
          <cell r="M1162" t="str">
            <v>Dibulatkan</v>
          </cell>
          <cell r="N1162">
            <v>64410</v>
          </cell>
        </row>
        <row r="1163">
          <cell r="B1163">
            <v>1156</v>
          </cell>
        </row>
        <row r="1164">
          <cell r="A1164" t="str">
            <v>A103</v>
          </cell>
          <cell r="B1164">
            <v>1157</v>
          </cell>
          <cell r="H1164" t="str">
            <v>A103</v>
          </cell>
          <cell r="I1164" t="str">
            <v>M¹</v>
          </cell>
          <cell r="J1164" t="str">
            <v>PEK. BUBUNGAN ATAP GENTENG MORANDO NATURAL</v>
          </cell>
          <cell r="K1164" t="str">
            <v>Harga per 1M' …..</v>
          </cell>
          <cell r="M1164" t="str">
            <v>Rp.</v>
          </cell>
          <cell r="N1164">
            <v>60410</v>
          </cell>
        </row>
        <row r="1165">
          <cell r="B1165">
            <v>1158</v>
          </cell>
          <cell r="D1165" t="str">
            <v>B</v>
          </cell>
          <cell r="F1165" t="str">
            <v>Bubungan Genteng Morando Natural</v>
          </cell>
          <cell r="J1165" t="str">
            <v>Genteng Bubungan Morando Natural</v>
          </cell>
          <cell r="K1165">
            <v>4</v>
          </cell>
          <cell r="L1165" t="str">
            <v>Bh</v>
          </cell>
          <cell r="M1165">
            <v>2700</v>
          </cell>
          <cell r="N1165">
            <v>10800</v>
          </cell>
        </row>
        <row r="1166">
          <cell r="B1166">
            <v>1159</v>
          </cell>
          <cell r="D1166" t="str">
            <v>B</v>
          </cell>
          <cell r="F1166" t="str">
            <v>Semen portland</v>
          </cell>
          <cell r="J1166" t="str">
            <v>PC (50 Kg)</v>
          </cell>
          <cell r="K1166">
            <v>0.13039999999999999</v>
          </cell>
          <cell r="L1166" t="str">
            <v>Zak</v>
          </cell>
          <cell r="M1166">
            <v>44200</v>
          </cell>
          <cell r="N1166">
            <v>5763.6799999999994</v>
          </cell>
        </row>
        <row r="1167">
          <cell r="B1167">
            <v>1160</v>
          </cell>
          <cell r="D1167" t="str">
            <v>B</v>
          </cell>
          <cell r="F1167" t="str">
            <v>Pasir Pasang</v>
          </cell>
          <cell r="J1167" t="str">
            <v>Pasir Pasang</v>
          </cell>
          <cell r="K1167">
            <v>0.21</v>
          </cell>
          <cell r="L1167" t="str">
            <v>M3</v>
          </cell>
          <cell r="M1167">
            <v>160000</v>
          </cell>
          <cell r="N1167">
            <v>33600</v>
          </cell>
        </row>
        <row r="1168">
          <cell r="B1168">
            <v>1161</v>
          </cell>
          <cell r="J1168" t="str">
            <v>Peralatan</v>
          </cell>
          <cell r="K1168">
            <v>1</v>
          </cell>
          <cell r="L1168" t="str">
            <v>Ls</v>
          </cell>
          <cell r="M1168">
            <v>500</v>
          </cell>
          <cell r="N1168">
            <v>500</v>
          </cell>
        </row>
        <row r="1169">
          <cell r="B1169">
            <v>1162</v>
          </cell>
          <cell r="C1169" t="str">
            <v>P</v>
          </cell>
          <cell r="F1169" t="str">
            <v>Buruh Lapangan Agak Terlatih / Pekerja setengah Terampil</v>
          </cell>
          <cell r="J1169" t="str">
            <v>Pekerja Setengah Terampil</v>
          </cell>
          <cell r="K1169">
            <v>0.15</v>
          </cell>
          <cell r="L1169" t="str">
            <v>Orang</v>
          </cell>
          <cell r="M1169">
            <v>24500</v>
          </cell>
          <cell r="N1169">
            <v>3675</v>
          </cell>
        </row>
        <row r="1170">
          <cell r="B1170">
            <v>1163</v>
          </cell>
          <cell r="C1170" t="str">
            <v>P</v>
          </cell>
          <cell r="F1170" t="str">
            <v>Tukang Batu (Terampil)</v>
          </cell>
          <cell r="J1170" t="str">
            <v>Tukang Batu Terampil</v>
          </cell>
          <cell r="K1170">
            <v>0.2</v>
          </cell>
          <cell r="L1170" t="str">
            <v>Orang</v>
          </cell>
          <cell r="M1170">
            <v>27300</v>
          </cell>
          <cell r="N1170">
            <v>5460</v>
          </cell>
        </row>
        <row r="1171">
          <cell r="B1171">
            <v>1164</v>
          </cell>
          <cell r="C1171" t="str">
            <v>P</v>
          </cell>
          <cell r="F1171" t="str">
            <v>Kepala Tukang Batu</v>
          </cell>
          <cell r="J1171" t="str">
            <v>Kepala Tukang Batu</v>
          </cell>
          <cell r="K1171">
            <v>0.01</v>
          </cell>
          <cell r="L1171" t="str">
            <v>Orang</v>
          </cell>
          <cell r="M1171">
            <v>29100</v>
          </cell>
          <cell r="N1171">
            <v>291</v>
          </cell>
        </row>
        <row r="1172">
          <cell r="B1172">
            <v>1165</v>
          </cell>
          <cell r="C1172" t="str">
            <v>P</v>
          </cell>
          <cell r="F1172" t="str">
            <v>Mandor Lapangan</v>
          </cell>
          <cell r="J1172" t="str">
            <v>Mandor</v>
          </cell>
          <cell r="K1172">
            <v>0.01</v>
          </cell>
          <cell r="L1172" t="str">
            <v>Orang</v>
          </cell>
          <cell r="M1172">
            <v>31800</v>
          </cell>
          <cell r="N1172">
            <v>318</v>
          </cell>
        </row>
        <row r="1173">
          <cell r="B1173">
            <v>1166</v>
          </cell>
          <cell r="M1173" t="str">
            <v>Jumlah</v>
          </cell>
          <cell r="N1173">
            <v>60407.68</v>
          </cell>
        </row>
        <row r="1174">
          <cell r="B1174">
            <v>1167</v>
          </cell>
          <cell r="M1174" t="str">
            <v>Dibulatkan</v>
          </cell>
          <cell r="N1174">
            <v>60410</v>
          </cell>
        </row>
        <row r="1175">
          <cell r="B1175">
            <v>1168</v>
          </cell>
        </row>
        <row r="1176">
          <cell r="A1176" t="str">
            <v>A103a</v>
          </cell>
          <cell r="B1176">
            <v>1169</v>
          </cell>
          <cell r="H1176" t="str">
            <v>A103a</v>
          </cell>
          <cell r="I1176" t="str">
            <v>M¹</v>
          </cell>
          <cell r="J1176" t="str">
            <v>PEK. BUBUNGAN ATAP GENTENG MORANDO BERGLAZUR</v>
          </cell>
          <cell r="K1176" t="str">
            <v>Harga per 1M' …..</v>
          </cell>
          <cell r="M1176" t="str">
            <v>Rp.</v>
          </cell>
          <cell r="N1176">
            <v>77210</v>
          </cell>
        </row>
        <row r="1177">
          <cell r="B1177">
            <v>1170</v>
          </cell>
          <cell r="D1177" t="str">
            <v>B</v>
          </cell>
          <cell r="F1177" t="str">
            <v>Bubungan Genteng Morando Berglazur</v>
          </cell>
          <cell r="J1177" t="str">
            <v>Genteng Bubungan Morando Berglazur</v>
          </cell>
          <cell r="K1177">
            <v>4</v>
          </cell>
          <cell r="L1177" t="str">
            <v>Bh</v>
          </cell>
          <cell r="M1177">
            <v>6900</v>
          </cell>
          <cell r="N1177">
            <v>27600</v>
          </cell>
        </row>
        <row r="1178">
          <cell r="B1178">
            <v>1171</v>
          </cell>
          <cell r="D1178" t="str">
            <v>B</v>
          </cell>
          <cell r="F1178" t="str">
            <v>Semen portland</v>
          </cell>
          <cell r="J1178" t="str">
            <v>PC (50 Kg)</v>
          </cell>
          <cell r="K1178">
            <v>0.13039999999999999</v>
          </cell>
          <cell r="L1178" t="str">
            <v>Zak</v>
          </cell>
          <cell r="M1178">
            <v>44200</v>
          </cell>
          <cell r="N1178">
            <v>5763.6799999999994</v>
          </cell>
        </row>
        <row r="1179">
          <cell r="B1179">
            <v>1172</v>
          </cell>
          <cell r="D1179" t="str">
            <v>B</v>
          </cell>
          <cell r="F1179" t="str">
            <v>Pasir Pasang</v>
          </cell>
          <cell r="J1179" t="str">
            <v>Pasir Pasang</v>
          </cell>
          <cell r="K1179">
            <v>0.21</v>
          </cell>
          <cell r="L1179" t="str">
            <v>M3</v>
          </cell>
          <cell r="M1179">
            <v>160000</v>
          </cell>
          <cell r="N1179">
            <v>33600</v>
          </cell>
        </row>
        <row r="1180">
          <cell r="B1180">
            <v>1173</v>
          </cell>
          <cell r="J1180" t="str">
            <v>Peralatan</v>
          </cell>
          <cell r="K1180">
            <v>1</v>
          </cell>
          <cell r="L1180" t="str">
            <v>Ls</v>
          </cell>
          <cell r="M1180">
            <v>500</v>
          </cell>
          <cell r="N1180">
            <v>500</v>
          </cell>
        </row>
        <row r="1181">
          <cell r="B1181">
            <v>1174</v>
          </cell>
          <cell r="C1181" t="str">
            <v>P</v>
          </cell>
          <cell r="F1181" t="str">
            <v>Buruh Lapangan Agak Terlatih / Pekerja setengah Terampil</v>
          </cell>
          <cell r="J1181" t="str">
            <v>Pekerja Setengah Terampil</v>
          </cell>
          <cell r="K1181">
            <v>0.15</v>
          </cell>
          <cell r="L1181" t="str">
            <v>Orang</v>
          </cell>
          <cell r="M1181">
            <v>24500</v>
          </cell>
          <cell r="N1181">
            <v>3675</v>
          </cell>
        </row>
        <row r="1182">
          <cell r="B1182">
            <v>1175</v>
          </cell>
          <cell r="C1182" t="str">
            <v>P</v>
          </cell>
          <cell r="F1182" t="str">
            <v>Tukang Batu (Terampil)</v>
          </cell>
          <cell r="J1182" t="str">
            <v>Tukang Batu Terampil</v>
          </cell>
          <cell r="K1182">
            <v>0.2</v>
          </cell>
          <cell r="L1182" t="str">
            <v>Orang</v>
          </cell>
          <cell r="M1182">
            <v>27300</v>
          </cell>
          <cell r="N1182">
            <v>5460</v>
          </cell>
        </row>
        <row r="1183">
          <cell r="B1183">
            <v>1176</v>
          </cell>
          <cell r="C1183" t="str">
            <v>P</v>
          </cell>
          <cell r="F1183" t="str">
            <v>Kepala Tukang Batu</v>
          </cell>
          <cell r="J1183" t="str">
            <v>Kepala Tukang Batu</v>
          </cell>
          <cell r="K1183">
            <v>0.01</v>
          </cell>
          <cell r="L1183" t="str">
            <v>Orang</v>
          </cell>
          <cell r="M1183">
            <v>29100</v>
          </cell>
          <cell r="N1183">
            <v>291</v>
          </cell>
        </row>
        <row r="1184">
          <cell r="B1184">
            <v>1177</v>
          </cell>
          <cell r="C1184" t="str">
            <v>P</v>
          </cell>
          <cell r="F1184" t="str">
            <v>Mandor Lapangan</v>
          </cell>
          <cell r="J1184" t="str">
            <v>Mandor</v>
          </cell>
          <cell r="K1184">
            <v>0.01</v>
          </cell>
          <cell r="L1184" t="str">
            <v>Orang</v>
          </cell>
          <cell r="M1184">
            <v>31800</v>
          </cell>
          <cell r="N1184">
            <v>318</v>
          </cell>
        </row>
        <row r="1185">
          <cell r="B1185">
            <v>1178</v>
          </cell>
          <cell r="M1185" t="str">
            <v>Jumlah</v>
          </cell>
          <cell r="N1185">
            <v>77207.679999999993</v>
          </cell>
        </row>
        <row r="1186">
          <cell r="B1186">
            <v>1179</v>
          </cell>
          <cell r="M1186" t="str">
            <v>Dibulatkan</v>
          </cell>
          <cell r="N1186">
            <v>77210</v>
          </cell>
        </row>
        <row r="1187">
          <cell r="B1187">
            <v>1180</v>
          </cell>
        </row>
        <row r="1188">
          <cell r="A1188" t="str">
            <v>A104</v>
          </cell>
          <cell r="B1188">
            <v>1181</v>
          </cell>
          <cell r="H1188" t="str">
            <v>A104</v>
          </cell>
          <cell r="I1188" t="str">
            <v>M¹</v>
          </cell>
          <cell r="J1188" t="str">
            <v>PEK. BUBUNGAN ATAP GENTENG BETON</v>
          </cell>
          <cell r="K1188" t="str">
            <v>Harga per 1M' …..</v>
          </cell>
          <cell r="M1188" t="str">
            <v>Rp.</v>
          </cell>
          <cell r="N1188">
            <v>61610</v>
          </cell>
        </row>
        <row r="1189">
          <cell r="B1189">
            <v>1182</v>
          </cell>
          <cell r="D1189" t="str">
            <v>B</v>
          </cell>
          <cell r="F1189" t="str">
            <v>Bubungan Genteng Beton Natural</v>
          </cell>
          <cell r="J1189" t="str">
            <v>Bubungan Genteng Beton Natural</v>
          </cell>
          <cell r="K1189">
            <v>3</v>
          </cell>
          <cell r="L1189" t="str">
            <v>Bh</v>
          </cell>
          <cell r="M1189">
            <v>4000</v>
          </cell>
          <cell r="N1189">
            <v>12000</v>
          </cell>
        </row>
        <row r="1190">
          <cell r="B1190">
            <v>1183</v>
          </cell>
          <cell r="D1190" t="str">
            <v>B</v>
          </cell>
          <cell r="F1190" t="str">
            <v>Semen portland</v>
          </cell>
          <cell r="J1190" t="str">
            <v>PC (50 Kg)</v>
          </cell>
          <cell r="K1190">
            <v>0.13039999999999999</v>
          </cell>
          <cell r="L1190" t="str">
            <v>Zak</v>
          </cell>
          <cell r="M1190">
            <v>44200</v>
          </cell>
          <cell r="N1190">
            <v>5763.6799999999994</v>
          </cell>
        </row>
        <row r="1191">
          <cell r="B1191">
            <v>1184</v>
          </cell>
          <cell r="D1191" t="str">
            <v>B</v>
          </cell>
          <cell r="F1191" t="str">
            <v>Pasir Pasang</v>
          </cell>
          <cell r="J1191" t="str">
            <v>Pasir Pasang</v>
          </cell>
          <cell r="K1191">
            <v>0.21</v>
          </cell>
          <cell r="L1191" t="str">
            <v>M3</v>
          </cell>
          <cell r="M1191">
            <v>160000</v>
          </cell>
          <cell r="N1191">
            <v>33600</v>
          </cell>
        </row>
        <row r="1192">
          <cell r="B1192">
            <v>1185</v>
          </cell>
          <cell r="J1192" t="str">
            <v>Peralatan</v>
          </cell>
          <cell r="K1192">
            <v>1</v>
          </cell>
          <cell r="L1192" t="str">
            <v>Ls</v>
          </cell>
          <cell r="M1192">
            <v>500</v>
          </cell>
          <cell r="N1192">
            <v>500</v>
          </cell>
        </row>
        <row r="1193">
          <cell r="B1193">
            <v>1186</v>
          </cell>
          <cell r="C1193" t="str">
            <v>P</v>
          </cell>
          <cell r="F1193" t="str">
            <v>Buruh Lapangan Agak Terlatih / Pekerja setengah Terampil</v>
          </cell>
          <cell r="J1193" t="str">
            <v>Pekerja Setengah Terampil</v>
          </cell>
          <cell r="K1193">
            <v>0.15</v>
          </cell>
          <cell r="L1193" t="str">
            <v>Orang</v>
          </cell>
          <cell r="M1193">
            <v>24500</v>
          </cell>
          <cell r="N1193">
            <v>3675</v>
          </cell>
        </row>
        <row r="1194">
          <cell r="B1194">
            <v>1187</v>
          </cell>
          <cell r="C1194" t="str">
            <v>P</v>
          </cell>
          <cell r="F1194" t="str">
            <v>Tukang Batu (Terampil)</v>
          </cell>
          <cell r="J1194" t="str">
            <v>Tukang Batu Terampil</v>
          </cell>
          <cell r="K1194">
            <v>0.2</v>
          </cell>
          <cell r="L1194" t="str">
            <v>Orang</v>
          </cell>
          <cell r="M1194">
            <v>27300</v>
          </cell>
          <cell r="N1194">
            <v>5460</v>
          </cell>
        </row>
        <row r="1195">
          <cell r="B1195">
            <v>1188</v>
          </cell>
          <cell r="C1195" t="str">
            <v>P</v>
          </cell>
          <cell r="F1195" t="str">
            <v>Kepala Tukang Batu</v>
          </cell>
          <cell r="J1195" t="str">
            <v>Kepala Tukang Batu</v>
          </cell>
          <cell r="K1195">
            <v>0.01</v>
          </cell>
          <cell r="L1195" t="str">
            <v>Orang</v>
          </cell>
          <cell r="M1195">
            <v>29100</v>
          </cell>
          <cell r="N1195">
            <v>291</v>
          </cell>
        </row>
        <row r="1196">
          <cell r="B1196">
            <v>1189</v>
          </cell>
          <cell r="C1196" t="str">
            <v>P</v>
          </cell>
          <cell r="F1196" t="str">
            <v>Mandor Lapangan</v>
          </cell>
          <cell r="J1196" t="str">
            <v>Mandor</v>
          </cell>
          <cell r="K1196">
            <v>0.01</v>
          </cell>
          <cell r="L1196" t="str">
            <v>Orang</v>
          </cell>
          <cell r="M1196">
            <v>31800</v>
          </cell>
          <cell r="N1196">
            <v>318</v>
          </cell>
        </row>
        <row r="1197">
          <cell r="B1197">
            <v>1190</v>
          </cell>
          <cell r="M1197" t="str">
            <v>Jumlah</v>
          </cell>
          <cell r="N1197">
            <v>61607.68</v>
          </cell>
        </row>
        <row r="1198">
          <cell r="B1198">
            <v>1191</v>
          </cell>
          <cell r="M1198" t="str">
            <v>Dibulatkan</v>
          </cell>
          <cell r="N1198">
            <v>61610</v>
          </cell>
        </row>
        <row r="1199">
          <cell r="B1199">
            <v>1192</v>
          </cell>
        </row>
        <row r="1200">
          <cell r="A1200" t="str">
            <v>A105</v>
          </cell>
          <cell r="B1200">
            <v>1193</v>
          </cell>
          <cell r="H1200" t="str">
            <v>A105</v>
          </cell>
          <cell r="I1200" t="str">
            <v>M²</v>
          </cell>
          <cell r="J1200" t="str">
            <v>PASANG ATAP ASBES GLB. 2.700 X 1.050 X 4  MM</v>
          </cell>
          <cell r="K1200" t="str">
            <v>Harga per 1 M² ……</v>
          </cell>
          <cell r="M1200" t="str">
            <v>Rp.</v>
          </cell>
          <cell r="N1200">
            <v>29380</v>
          </cell>
        </row>
        <row r="1201">
          <cell r="B1201">
            <v>1194</v>
          </cell>
          <cell r="D1201" t="str">
            <v>B</v>
          </cell>
          <cell r="F1201" t="str">
            <v>Asbes Gelombang 2700 x 1050 x 4 mm</v>
          </cell>
          <cell r="J1201" t="str">
            <v>Asbes Gelombang 2700 x 1050 x 4 mm</v>
          </cell>
          <cell r="K1201">
            <v>0.42</v>
          </cell>
          <cell r="L1201" t="str">
            <v>Lbr</v>
          </cell>
          <cell r="M1201">
            <v>53000</v>
          </cell>
          <cell r="N1201">
            <v>22260</v>
          </cell>
        </row>
        <row r="1202">
          <cell r="B1202">
            <v>1195</v>
          </cell>
          <cell r="D1202" t="str">
            <v>B</v>
          </cell>
          <cell r="F1202" t="str">
            <v>Paku Sekrup Asbes</v>
          </cell>
          <cell r="J1202" t="str">
            <v>Paku Sekrup asbes</v>
          </cell>
          <cell r="K1202">
            <v>2</v>
          </cell>
          <cell r="L1202" t="str">
            <v>bh</v>
          </cell>
          <cell r="M1202">
            <v>520</v>
          </cell>
          <cell r="N1202">
            <v>1040</v>
          </cell>
        </row>
        <row r="1203">
          <cell r="B1203">
            <v>1196</v>
          </cell>
          <cell r="C1203" t="str">
            <v>P</v>
          </cell>
          <cell r="F1203" t="str">
            <v>Buruh Lapangan Tak Terlatih / Pekerja</v>
          </cell>
          <cell r="J1203" t="str">
            <v>Pekerja</v>
          </cell>
          <cell r="K1203">
            <v>0.15</v>
          </cell>
          <cell r="L1203" t="str">
            <v>Orang</v>
          </cell>
          <cell r="M1203">
            <v>22700</v>
          </cell>
          <cell r="N1203">
            <v>3405</v>
          </cell>
        </row>
        <row r="1204">
          <cell r="B1204">
            <v>1197</v>
          </cell>
          <cell r="C1204" t="str">
            <v>P</v>
          </cell>
          <cell r="F1204" t="str">
            <v>Tukang Kayu (terampil)</v>
          </cell>
          <cell r="J1204" t="str">
            <v>Tukang Kayu Terampil</v>
          </cell>
          <cell r="K1204">
            <v>7.4999999999999997E-2</v>
          </cell>
          <cell r="L1204" t="str">
            <v>Orang</v>
          </cell>
          <cell r="M1204">
            <v>29100</v>
          </cell>
          <cell r="N1204">
            <v>2182.5</v>
          </cell>
        </row>
        <row r="1205">
          <cell r="B1205">
            <v>1198</v>
          </cell>
          <cell r="C1205" t="str">
            <v>P</v>
          </cell>
          <cell r="F1205" t="str">
            <v>Kepala Tukang Kayu</v>
          </cell>
          <cell r="J1205" t="str">
            <v>Kepala Tukang Kayu</v>
          </cell>
          <cell r="K1205">
            <v>8.0000000000000002E-3</v>
          </cell>
          <cell r="L1205" t="str">
            <v>Orang</v>
          </cell>
          <cell r="M1205">
            <v>30000</v>
          </cell>
          <cell r="N1205">
            <v>240</v>
          </cell>
        </row>
        <row r="1206">
          <cell r="B1206">
            <v>1199</v>
          </cell>
          <cell r="C1206" t="str">
            <v>P</v>
          </cell>
          <cell r="F1206" t="str">
            <v>Mandor Lapangan</v>
          </cell>
          <cell r="J1206" t="str">
            <v>Mandor</v>
          </cell>
          <cell r="K1206">
            <v>8.0000000000000002E-3</v>
          </cell>
          <cell r="L1206" t="str">
            <v>Orang</v>
          </cell>
          <cell r="M1206">
            <v>31800</v>
          </cell>
          <cell r="N1206">
            <v>254.4</v>
          </cell>
        </row>
        <row r="1207">
          <cell r="B1207">
            <v>1200</v>
          </cell>
          <cell r="M1207" t="str">
            <v>Jumlah</v>
          </cell>
          <cell r="N1207">
            <v>29381.9</v>
          </cell>
        </row>
        <row r="1208">
          <cell r="B1208">
            <v>1201</v>
          </cell>
          <cell r="M1208" t="str">
            <v>Dibulatkan</v>
          </cell>
          <cell r="N1208">
            <v>29380</v>
          </cell>
        </row>
        <row r="1209">
          <cell r="B1209">
            <v>1202</v>
          </cell>
        </row>
        <row r="1210">
          <cell r="A1210" t="str">
            <v>A106</v>
          </cell>
          <cell r="B1210">
            <v>1203</v>
          </cell>
          <cell r="H1210" t="str">
            <v>A106</v>
          </cell>
          <cell r="I1210" t="str">
            <v>M²</v>
          </cell>
          <cell r="J1210" t="str">
            <v>PASANG ATAP ASBES GLB. 1.800 X 1.050 X 4 MM</v>
          </cell>
          <cell r="K1210" t="str">
            <v>Harga per 1 M² ……</v>
          </cell>
          <cell r="M1210" t="str">
            <v>Rp.</v>
          </cell>
          <cell r="N1210">
            <v>30200</v>
          </cell>
        </row>
        <row r="1211">
          <cell r="B1211">
            <v>1204</v>
          </cell>
          <cell r="D1211" t="str">
            <v>B</v>
          </cell>
          <cell r="F1211" t="str">
            <v>Asbes Gelombang 1800 x 1050 x 4 mm</v>
          </cell>
          <cell r="J1211" t="str">
            <v>Asbes Gelombang 1800 x 1050 x 4 mm</v>
          </cell>
          <cell r="K1211">
            <v>0.65</v>
          </cell>
          <cell r="L1211" t="str">
            <v>Lbr</v>
          </cell>
          <cell r="M1211">
            <v>35500</v>
          </cell>
          <cell r="N1211">
            <v>23075</v>
          </cell>
        </row>
        <row r="1212">
          <cell r="B1212">
            <v>1205</v>
          </cell>
          <cell r="D1212" t="str">
            <v>B</v>
          </cell>
          <cell r="F1212" t="str">
            <v>Paku Sekrup Asbes</v>
          </cell>
          <cell r="J1212" t="str">
            <v>Paku Sekrup asbes</v>
          </cell>
          <cell r="K1212">
            <v>2</v>
          </cell>
          <cell r="L1212" t="str">
            <v>bh</v>
          </cell>
          <cell r="M1212">
            <v>520</v>
          </cell>
          <cell r="N1212">
            <v>1040</v>
          </cell>
        </row>
        <row r="1213">
          <cell r="B1213">
            <v>1206</v>
          </cell>
          <cell r="C1213" t="str">
            <v>P</v>
          </cell>
          <cell r="F1213" t="str">
            <v>Buruh Lapangan Tak Terlatih / Pekerja</v>
          </cell>
          <cell r="J1213" t="str">
            <v>Pekerja</v>
          </cell>
          <cell r="K1213">
            <v>0.15</v>
          </cell>
          <cell r="L1213" t="str">
            <v>Orang</v>
          </cell>
          <cell r="M1213">
            <v>22700</v>
          </cell>
          <cell r="N1213">
            <v>3405</v>
          </cell>
        </row>
        <row r="1214">
          <cell r="B1214">
            <v>1207</v>
          </cell>
          <cell r="C1214" t="str">
            <v>P</v>
          </cell>
          <cell r="F1214" t="str">
            <v>Tukang Kayu (terampil)</v>
          </cell>
          <cell r="J1214" t="str">
            <v>Tukang Kayu Terampil</v>
          </cell>
          <cell r="K1214">
            <v>7.4999999999999997E-2</v>
          </cell>
          <cell r="L1214" t="str">
            <v>Orang</v>
          </cell>
          <cell r="M1214">
            <v>29100</v>
          </cell>
          <cell r="N1214">
            <v>2182.5</v>
          </cell>
        </row>
        <row r="1215">
          <cell r="B1215">
            <v>1208</v>
          </cell>
          <cell r="C1215" t="str">
            <v>P</v>
          </cell>
          <cell r="F1215" t="str">
            <v>Kepala Tukang Kayu</v>
          </cell>
          <cell r="J1215" t="str">
            <v>Kepala Tukang Kayu</v>
          </cell>
          <cell r="K1215">
            <v>8.0000000000000002E-3</v>
          </cell>
          <cell r="L1215" t="str">
            <v>Orang</v>
          </cell>
          <cell r="M1215">
            <v>30000</v>
          </cell>
          <cell r="N1215">
            <v>240</v>
          </cell>
        </row>
        <row r="1216">
          <cell r="B1216">
            <v>1209</v>
          </cell>
          <cell r="C1216" t="str">
            <v>P</v>
          </cell>
          <cell r="F1216" t="str">
            <v>Mandor Lapangan</v>
          </cell>
          <cell r="J1216" t="str">
            <v>Mandor</v>
          </cell>
          <cell r="K1216">
            <v>8.0000000000000002E-3</v>
          </cell>
          <cell r="L1216" t="str">
            <v>Orang</v>
          </cell>
          <cell r="M1216">
            <v>31800</v>
          </cell>
          <cell r="N1216">
            <v>254.4</v>
          </cell>
        </row>
        <row r="1217">
          <cell r="B1217">
            <v>1210</v>
          </cell>
          <cell r="M1217" t="str">
            <v>Jumlah</v>
          </cell>
          <cell r="N1217">
            <v>30196.9</v>
          </cell>
        </row>
        <row r="1218">
          <cell r="B1218">
            <v>1211</v>
          </cell>
          <cell r="M1218" t="str">
            <v>Dibulatkan</v>
          </cell>
          <cell r="N1218">
            <v>30200</v>
          </cell>
        </row>
        <row r="1219">
          <cell r="B1219">
            <v>1212</v>
          </cell>
        </row>
        <row r="1220">
          <cell r="A1220" t="str">
            <v>A107</v>
          </cell>
          <cell r="B1220">
            <v>1213</v>
          </cell>
          <cell r="H1220" t="str">
            <v>A107</v>
          </cell>
          <cell r="I1220" t="str">
            <v>M'</v>
          </cell>
          <cell r="J1220" t="str">
            <v>PASANG NOKSTEL GELOMBANG</v>
          </cell>
          <cell r="K1220" t="str">
            <v>Harga per 1M' …..</v>
          </cell>
          <cell r="M1220" t="str">
            <v>Rp.</v>
          </cell>
          <cell r="N1220">
            <v>41850</v>
          </cell>
        </row>
        <row r="1221">
          <cell r="B1221">
            <v>1214</v>
          </cell>
          <cell r="D1221" t="str">
            <v>B</v>
          </cell>
          <cell r="F1221" t="str">
            <v>Nokstel Gelombang</v>
          </cell>
          <cell r="J1221" t="str">
            <v>Nokstel Gelombang</v>
          </cell>
          <cell r="K1221">
            <v>1.1000000000000001</v>
          </cell>
          <cell r="L1221" t="str">
            <v>Lbr</v>
          </cell>
          <cell r="M1221">
            <v>32500</v>
          </cell>
          <cell r="N1221">
            <v>35750</v>
          </cell>
        </row>
        <row r="1222">
          <cell r="B1222">
            <v>1215</v>
          </cell>
          <cell r="D1222" t="str">
            <v>B</v>
          </cell>
          <cell r="F1222" t="str">
            <v>Paku Sekrup Asbes</v>
          </cell>
          <cell r="J1222" t="str">
            <v>Paku Sekrup asbes</v>
          </cell>
          <cell r="K1222">
            <v>6</v>
          </cell>
          <cell r="L1222" t="str">
            <v>bh</v>
          </cell>
          <cell r="M1222">
            <v>520</v>
          </cell>
          <cell r="N1222">
            <v>3120</v>
          </cell>
        </row>
        <row r="1223">
          <cell r="B1223">
            <v>1216</v>
          </cell>
          <cell r="C1223" t="str">
            <v>P</v>
          </cell>
          <cell r="F1223" t="str">
            <v>Buruh Lapangan Tak Terlatih / Pekerja</v>
          </cell>
          <cell r="J1223" t="str">
            <v>Pekerja</v>
          </cell>
          <cell r="K1223">
            <v>0.03</v>
          </cell>
          <cell r="L1223" t="str">
            <v>Orang</v>
          </cell>
          <cell r="M1223">
            <v>22700</v>
          </cell>
          <cell r="N1223">
            <v>681</v>
          </cell>
        </row>
        <row r="1224">
          <cell r="B1224">
            <v>1217</v>
          </cell>
          <cell r="C1224" t="str">
            <v>P</v>
          </cell>
          <cell r="F1224" t="str">
            <v>Tukang Kayu (terampil)</v>
          </cell>
          <cell r="J1224" t="str">
            <v>Tukang Kayu Terampil</v>
          </cell>
          <cell r="K1224">
            <v>7.0000000000000007E-2</v>
          </cell>
          <cell r="L1224" t="str">
            <v>Orang</v>
          </cell>
          <cell r="M1224">
            <v>29100</v>
          </cell>
          <cell r="N1224">
            <v>2037.0000000000002</v>
          </cell>
        </row>
        <row r="1225">
          <cell r="B1225">
            <v>1218</v>
          </cell>
          <cell r="C1225" t="str">
            <v>P</v>
          </cell>
          <cell r="F1225" t="str">
            <v>Kepala Tukang Kayu</v>
          </cell>
          <cell r="J1225" t="str">
            <v>Kepala Tukang Kayu</v>
          </cell>
          <cell r="K1225">
            <v>7.0000000000000001E-3</v>
          </cell>
          <cell r="L1225" t="str">
            <v>Orang</v>
          </cell>
          <cell r="M1225">
            <v>30000</v>
          </cell>
          <cell r="N1225">
            <v>210</v>
          </cell>
        </row>
        <row r="1226">
          <cell r="B1226">
            <v>1219</v>
          </cell>
          <cell r="C1226" t="str">
            <v>P</v>
          </cell>
          <cell r="F1226" t="str">
            <v>Mandor Lapangan</v>
          </cell>
          <cell r="J1226" t="str">
            <v>Mandor</v>
          </cell>
          <cell r="K1226">
            <v>1.5E-3</v>
          </cell>
          <cell r="L1226" t="str">
            <v>Orang</v>
          </cell>
          <cell r="M1226">
            <v>31800</v>
          </cell>
          <cell r="N1226">
            <v>47.7</v>
          </cell>
        </row>
        <row r="1227">
          <cell r="B1227">
            <v>1220</v>
          </cell>
          <cell r="M1227" t="str">
            <v>Jumlah</v>
          </cell>
          <cell r="N1227">
            <v>41845.699999999997</v>
          </cell>
        </row>
        <row r="1228">
          <cell r="B1228">
            <v>1221</v>
          </cell>
          <cell r="M1228" t="str">
            <v>Dibulatkan</v>
          </cell>
          <cell r="N1228">
            <v>41850</v>
          </cell>
        </row>
        <row r="1229">
          <cell r="B1229">
            <v>1222</v>
          </cell>
        </row>
        <row r="1230">
          <cell r="A1230" t="str">
            <v>A108</v>
          </cell>
          <cell r="B1230">
            <v>1223</v>
          </cell>
          <cell r="H1230" t="str">
            <v>A108</v>
          </cell>
          <cell r="I1230" t="str">
            <v>M'</v>
          </cell>
          <cell r="J1230" t="str">
            <v>PASANG TALANG DATAR, SENG BWG 28</v>
          </cell>
          <cell r="K1230" t="str">
            <v>Harga per 1M' …..</v>
          </cell>
          <cell r="M1230" t="str">
            <v>Rp.</v>
          </cell>
          <cell r="N1230">
            <v>71930</v>
          </cell>
        </row>
        <row r="1231">
          <cell r="B1231">
            <v>1224</v>
          </cell>
          <cell r="D1231" t="str">
            <v>B</v>
          </cell>
          <cell r="F1231" t="str">
            <v>Seng BJLS 30  lebar 55 cm ( 1 rol 50 m')</v>
          </cell>
          <cell r="J1231" t="str">
            <v>Seng BJLS 30 lebar 60 cm (1 rol 50 m')</v>
          </cell>
          <cell r="K1231">
            <v>1.1000000000000001</v>
          </cell>
          <cell r="L1231" t="str">
            <v>M'</v>
          </cell>
          <cell r="M1231">
            <v>21600</v>
          </cell>
          <cell r="N1231">
            <v>23760.000000000004</v>
          </cell>
        </row>
        <row r="1232">
          <cell r="B1232">
            <v>1225</v>
          </cell>
          <cell r="D1232" t="str">
            <v>B</v>
          </cell>
          <cell r="F1232" t="str">
            <v>Paku 1 cm s.d 3 cm</v>
          </cell>
          <cell r="J1232" t="str">
            <v>Paku 1 cm s.d 3 cm</v>
          </cell>
          <cell r="K1232">
            <v>1.4999999999999999E-2</v>
          </cell>
          <cell r="L1232" t="str">
            <v>Kg</v>
          </cell>
          <cell r="M1232">
            <v>14200</v>
          </cell>
          <cell r="N1232">
            <v>213</v>
          </cell>
        </row>
        <row r="1233">
          <cell r="B1233">
            <v>1226</v>
          </cell>
          <cell r="D1233" t="str">
            <v>B</v>
          </cell>
          <cell r="F1233" t="str">
            <v>Kayu Balok Borneo Super</v>
          </cell>
          <cell r="J1233" t="str">
            <v>Kayu Balok Borneo Super</v>
          </cell>
          <cell r="K1233">
            <v>9.5999999999999992E-3</v>
          </cell>
          <cell r="L1233" t="str">
            <v>M3</v>
          </cell>
          <cell r="M1233">
            <v>2621000</v>
          </cell>
          <cell r="N1233">
            <v>25161.599999999999</v>
          </cell>
        </row>
        <row r="1234">
          <cell r="B1234">
            <v>1227</v>
          </cell>
          <cell r="D1234" t="str">
            <v>B</v>
          </cell>
          <cell r="F1234" t="str">
            <v>Flincote</v>
          </cell>
          <cell r="J1234" t="str">
            <v>Flincote</v>
          </cell>
          <cell r="K1234">
            <v>0.25</v>
          </cell>
          <cell r="L1234" t="str">
            <v>Kg</v>
          </cell>
          <cell r="M1234">
            <v>28000</v>
          </cell>
          <cell r="N1234">
            <v>7000</v>
          </cell>
        </row>
        <row r="1235">
          <cell r="B1235">
            <v>1228</v>
          </cell>
          <cell r="C1235" t="str">
            <v>P</v>
          </cell>
          <cell r="F1235" t="str">
            <v>Buruh Lapangan Tak Terlatih / Pekerja</v>
          </cell>
          <cell r="J1235" t="str">
            <v>Pekerja</v>
          </cell>
          <cell r="K1235">
            <v>0.15</v>
          </cell>
          <cell r="L1235" t="str">
            <v>Orang</v>
          </cell>
          <cell r="M1235">
            <v>22700</v>
          </cell>
          <cell r="N1235">
            <v>3405</v>
          </cell>
        </row>
        <row r="1236">
          <cell r="B1236">
            <v>1229</v>
          </cell>
          <cell r="C1236" t="str">
            <v>P</v>
          </cell>
          <cell r="F1236" t="str">
            <v>Tukang Kayu (terampil)</v>
          </cell>
          <cell r="J1236" t="str">
            <v>Tukang Kayu Terampil</v>
          </cell>
          <cell r="K1236">
            <v>0.4</v>
          </cell>
          <cell r="L1236" t="str">
            <v>Orang</v>
          </cell>
          <cell r="M1236">
            <v>29100</v>
          </cell>
          <cell r="N1236">
            <v>11640</v>
          </cell>
        </row>
        <row r="1237">
          <cell r="B1237">
            <v>1230</v>
          </cell>
          <cell r="C1237" t="str">
            <v>P</v>
          </cell>
          <cell r="F1237" t="str">
            <v>Kepala Tukang Kayu</v>
          </cell>
          <cell r="J1237" t="str">
            <v>Kepala Tukang Kayu</v>
          </cell>
          <cell r="K1237">
            <v>2.5000000000000001E-2</v>
          </cell>
          <cell r="L1237" t="str">
            <v>Orang</v>
          </cell>
          <cell r="M1237">
            <v>30000</v>
          </cell>
          <cell r="N1237">
            <v>750</v>
          </cell>
        </row>
        <row r="1238">
          <cell r="B1238">
            <v>1231</v>
          </cell>
          <cell r="M1238" t="str">
            <v>Jumlah</v>
          </cell>
          <cell r="N1238">
            <v>71929.600000000006</v>
          </cell>
        </row>
        <row r="1239">
          <cell r="B1239">
            <v>1232</v>
          </cell>
          <cell r="M1239" t="str">
            <v>Dibulatkan</v>
          </cell>
          <cell r="N1239">
            <v>71930</v>
          </cell>
        </row>
        <row r="1240">
          <cell r="B1240">
            <v>1233</v>
          </cell>
        </row>
        <row r="1241">
          <cell r="A1241" t="str">
            <v>A109</v>
          </cell>
          <cell r="B1241">
            <v>1234</v>
          </cell>
          <cell r="H1241" t="str">
            <v>A109</v>
          </cell>
          <cell r="I1241" t="str">
            <v>M'</v>
          </cell>
          <cell r="J1241" t="str">
            <v>PASANG TALANG MIRING, SENG BWG 28</v>
          </cell>
          <cell r="K1241" t="str">
            <v>Harga per 1M' …..</v>
          </cell>
          <cell r="M1241" t="str">
            <v>Rp.</v>
          </cell>
          <cell r="N1241">
            <v>73330</v>
          </cell>
        </row>
        <row r="1242">
          <cell r="B1242">
            <v>1235</v>
          </cell>
          <cell r="D1242" t="str">
            <v>B</v>
          </cell>
          <cell r="F1242" t="str">
            <v>Seng BJLS 30  lebar 55 cm ( 1 rol 50 m')</v>
          </cell>
          <cell r="J1242" t="str">
            <v>Seng BJLS 30 lebar 60 cm (1 rol 50 m')</v>
          </cell>
          <cell r="K1242">
            <v>1.1000000000000001</v>
          </cell>
          <cell r="L1242" t="str">
            <v>M'</v>
          </cell>
          <cell r="M1242">
            <v>21600</v>
          </cell>
          <cell r="N1242">
            <v>23760.000000000004</v>
          </cell>
        </row>
        <row r="1243">
          <cell r="B1243">
            <v>1236</v>
          </cell>
          <cell r="D1243" t="str">
            <v>B</v>
          </cell>
          <cell r="F1243" t="str">
            <v>Paku 1 cm s.d 3 cm</v>
          </cell>
          <cell r="J1243" t="str">
            <v>Paku 1 cm s.d 3 cm</v>
          </cell>
          <cell r="K1243">
            <v>1.4999999999999999E-2</v>
          </cell>
          <cell r="L1243" t="str">
            <v>Kg</v>
          </cell>
          <cell r="M1243">
            <v>14200</v>
          </cell>
          <cell r="N1243">
            <v>213</v>
          </cell>
        </row>
        <row r="1244">
          <cell r="B1244">
            <v>1237</v>
          </cell>
          <cell r="D1244" t="str">
            <v>B</v>
          </cell>
          <cell r="F1244" t="str">
            <v>Kayu Balok Borneo Super</v>
          </cell>
          <cell r="J1244" t="str">
            <v>Kayu Balok Borneo Super</v>
          </cell>
          <cell r="K1244">
            <v>9.5999999999999992E-3</v>
          </cell>
          <cell r="L1244" t="str">
            <v>M3</v>
          </cell>
          <cell r="M1244">
            <v>2621000</v>
          </cell>
          <cell r="N1244">
            <v>25161.599999999999</v>
          </cell>
        </row>
        <row r="1245">
          <cell r="B1245">
            <v>1238</v>
          </cell>
          <cell r="D1245" t="str">
            <v>B</v>
          </cell>
          <cell r="F1245" t="str">
            <v>Flincote</v>
          </cell>
          <cell r="J1245" t="str">
            <v>Flincote</v>
          </cell>
          <cell r="K1245">
            <v>0.3</v>
          </cell>
          <cell r="L1245" t="str">
            <v>Kg</v>
          </cell>
          <cell r="M1245">
            <v>28000</v>
          </cell>
          <cell r="N1245">
            <v>8400</v>
          </cell>
        </row>
        <row r="1246">
          <cell r="B1246">
            <v>1239</v>
          </cell>
          <cell r="C1246" t="str">
            <v>P</v>
          </cell>
          <cell r="F1246" t="str">
            <v>Buruh Lapangan Tak Terlatih / Pekerja</v>
          </cell>
          <cell r="J1246" t="str">
            <v>Pekerja</v>
          </cell>
          <cell r="K1246">
            <v>0.15</v>
          </cell>
          <cell r="L1246" t="str">
            <v>Orang</v>
          </cell>
          <cell r="M1246">
            <v>22700</v>
          </cell>
          <cell r="N1246">
            <v>3405</v>
          </cell>
        </row>
        <row r="1247">
          <cell r="B1247">
            <v>1240</v>
          </cell>
          <cell r="C1247" t="str">
            <v>P</v>
          </cell>
          <cell r="F1247" t="str">
            <v>Tukang Kayu (terampil)</v>
          </cell>
          <cell r="J1247" t="str">
            <v>Tukang Kayu Terampil</v>
          </cell>
          <cell r="K1247">
            <v>0.4</v>
          </cell>
          <cell r="L1247" t="str">
            <v>Orang</v>
          </cell>
          <cell r="M1247">
            <v>29100</v>
          </cell>
          <cell r="N1247">
            <v>11640</v>
          </cell>
        </row>
        <row r="1248">
          <cell r="B1248">
            <v>1241</v>
          </cell>
          <cell r="C1248" t="str">
            <v>P</v>
          </cell>
          <cell r="F1248" t="str">
            <v>Kepala Tukang Kayu</v>
          </cell>
          <cell r="J1248" t="str">
            <v>Kepala Tukang Kayu</v>
          </cell>
          <cell r="K1248">
            <v>2.5000000000000001E-2</v>
          </cell>
          <cell r="L1248" t="str">
            <v>Orang</v>
          </cell>
          <cell r="M1248">
            <v>30000</v>
          </cell>
          <cell r="N1248">
            <v>750</v>
          </cell>
        </row>
        <row r="1249">
          <cell r="B1249">
            <v>1242</v>
          </cell>
          <cell r="M1249" t="str">
            <v>Jumlah</v>
          </cell>
          <cell r="N1249">
            <v>73329.600000000006</v>
          </cell>
        </row>
        <row r="1250">
          <cell r="B1250">
            <v>1243</v>
          </cell>
          <cell r="M1250" t="str">
            <v>Dibulatkan</v>
          </cell>
          <cell r="N1250">
            <v>73330</v>
          </cell>
        </row>
        <row r="1251">
          <cell r="B1251">
            <v>1244</v>
          </cell>
        </row>
        <row r="1252">
          <cell r="A1252" t="str">
            <v>A110</v>
          </cell>
          <cell r="B1252">
            <v>1245</v>
          </cell>
          <cell r="H1252" t="str">
            <v>A110</v>
          </cell>
          <cell r="I1252" t="str">
            <v>M'</v>
          </cell>
          <cell r="J1252" t="str">
            <v>SALURAN GRAVEL BETON 1/2 O 20 CM + PASANGAN</v>
          </cell>
          <cell r="K1252" t="str">
            <v>Harga per 1M' …..</v>
          </cell>
          <cell r="M1252" t="str">
            <v>Rp.</v>
          </cell>
          <cell r="N1252">
            <v>63750</v>
          </cell>
        </row>
        <row r="1253">
          <cell r="B1253">
            <v>1246</v>
          </cell>
          <cell r="J1253" t="str">
            <v>Galian Tanah</v>
          </cell>
          <cell r="K1253">
            <v>0.2</v>
          </cell>
          <cell r="L1253" t="str">
            <v>M3</v>
          </cell>
          <cell r="M1253">
            <v>19170</v>
          </cell>
          <cell r="N1253">
            <v>3834</v>
          </cell>
        </row>
        <row r="1254">
          <cell r="B1254">
            <v>1247</v>
          </cell>
          <cell r="D1254" t="str">
            <v>B</v>
          </cell>
          <cell r="F1254" t="str">
            <v>Gravel U 20 cm</v>
          </cell>
          <cell r="J1254" t="str">
            <v>Grevel U 20 cm'</v>
          </cell>
          <cell r="K1254">
            <v>1</v>
          </cell>
          <cell r="L1254" t="str">
            <v>bh</v>
          </cell>
          <cell r="M1254">
            <v>17500</v>
          </cell>
          <cell r="N1254">
            <v>17500</v>
          </cell>
        </row>
        <row r="1255">
          <cell r="B1255">
            <v>1248</v>
          </cell>
          <cell r="J1255" t="str">
            <v>Pas. Bata + Plesteran ad.1 : 3 (A.072 x 0,21 + A.076)</v>
          </cell>
          <cell r="K1255">
            <v>1</v>
          </cell>
          <cell r="L1255" t="str">
            <v>M'</v>
          </cell>
          <cell r="M1255">
            <v>40012.300000000003</v>
          </cell>
          <cell r="N1255">
            <v>40012.300000000003</v>
          </cell>
        </row>
        <row r="1256">
          <cell r="B1256">
            <v>1249</v>
          </cell>
          <cell r="J1256" t="str">
            <v>Upah Kerja</v>
          </cell>
          <cell r="K1256">
            <v>1</v>
          </cell>
          <cell r="L1256" t="str">
            <v>Ls</v>
          </cell>
          <cell r="M1256">
            <v>2400</v>
          </cell>
          <cell r="N1256">
            <v>2400</v>
          </cell>
        </row>
        <row r="1257">
          <cell r="B1257">
            <v>1250</v>
          </cell>
          <cell r="M1257" t="str">
            <v>Jumlah</v>
          </cell>
          <cell r="N1257">
            <v>63746.3</v>
          </cell>
        </row>
        <row r="1258">
          <cell r="B1258">
            <v>1251</v>
          </cell>
          <cell r="M1258" t="str">
            <v>Dibulatkan</v>
          </cell>
          <cell r="N1258">
            <v>63750</v>
          </cell>
        </row>
        <row r="1259">
          <cell r="B1259">
            <v>1252</v>
          </cell>
        </row>
        <row r="1260">
          <cell r="B1260">
            <v>1253</v>
          </cell>
        </row>
        <row r="1261">
          <cell r="A1261" t="str">
            <v>A111</v>
          </cell>
          <cell r="B1261">
            <v>1254</v>
          </cell>
          <cell r="H1261" t="str">
            <v>A111</v>
          </cell>
          <cell r="I1261" t="str">
            <v>M²</v>
          </cell>
          <cell r="J1261" t="str">
            <v>PASANGAN PAVING BLOCK NATURAL 6 CM</v>
          </cell>
          <cell r="K1261" t="str">
            <v>Harga per 1 M² ……</v>
          </cell>
          <cell r="M1261" t="str">
            <v>Rp.</v>
          </cell>
          <cell r="N1261">
            <v>80150</v>
          </cell>
        </row>
        <row r="1262">
          <cell r="B1262">
            <v>1255</v>
          </cell>
          <cell r="D1262" t="str">
            <v>B</v>
          </cell>
          <cell r="F1262" t="str">
            <v>Paving Blok Natural 6 cm</v>
          </cell>
          <cell r="J1262" t="str">
            <v>Paving Blok Natural 6 cm</v>
          </cell>
          <cell r="K1262">
            <v>1.01</v>
          </cell>
          <cell r="L1262" t="str">
            <v>M2</v>
          </cell>
          <cell r="M1262">
            <v>40000</v>
          </cell>
          <cell r="N1262">
            <v>40400</v>
          </cell>
        </row>
        <row r="1263">
          <cell r="B1263">
            <v>1256</v>
          </cell>
          <cell r="D1263" t="str">
            <v>B</v>
          </cell>
          <cell r="F1263" t="str">
            <v>Pasir Beton</v>
          </cell>
          <cell r="J1263" t="str">
            <v>Pasir Beton</v>
          </cell>
          <cell r="K1263">
            <v>0.1</v>
          </cell>
          <cell r="L1263" t="str">
            <v>M3</v>
          </cell>
          <cell r="M1263">
            <v>169000</v>
          </cell>
          <cell r="N1263">
            <v>16900</v>
          </cell>
        </row>
        <row r="1264">
          <cell r="B1264">
            <v>1257</v>
          </cell>
          <cell r="C1264" t="str">
            <v>P</v>
          </cell>
          <cell r="F1264" t="str">
            <v>Buruh Lapangan Agak Terlatih / Pekerja setengah Terampil</v>
          </cell>
          <cell r="J1264" t="str">
            <v>Pekerja Setengah Terampil</v>
          </cell>
          <cell r="K1264">
            <v>0.25</v>
          </cell>
          <cell r="L1264" t="str">
            <v>Orang</v>
          </cell>
          <cell r="M1264">
            <v>24500</v>
          </cell>
          <cell r="N1264">
            <v>6125</v>
          </cell>
        </row>
        <row r="1265">
          <cell r="B1265">
            <v>1258</v>
          </cell>
          <cell r="C1265" t="str">
            <v>P</v>
          </cell>
          <cell r="F1265" t="str">
            <v>Tukang Batu setengah terampil</v>
          </cell>
          <cell r="J1265" t="str">
            <v>Tukang Batu Setengah Terampil</v>
          </cell>
          <cell r="K1265">
            <v>0.5</v>
          </cell>
          <cell r="L1265" t="str">
            <v>Orang</v>
          </cell>
          <cell r="M1265">
            <v>26800</v>
          </cell>
          <cell r="N1265">
            <v>13400</v>
          </cell>
        </row>
        <row r="1266">
          <cell r="B1266">
            <v>1259</v>
          </cell>
          <cell r="C1266" t="str">
            <v>P</v>
          </cell>
          <cell r="F1266" t="str">
            <v>Kepala Tukang Batu</v>
          </cell>
          <cell r="J1266" t="str">
            <v>Kepala Tukang Batu</v>
          </cell>
          <cell r="K1266">
            <v>2.5000000000000001E-2</v>
          </cell>
          <cell r="L1266" t="str">
            <v>Orang</v>
          </cell>
          <cell r="M1266">
            <v>29100</v>
          </cell>
          <cell r="N1266">
            <v>727.5</v>
          </cell>
        </row>
        <row r="1267">
          <cell r="B1267">
            <v>1260</v>
          </cell>
          <cell r="C1267" t="str">
            <v>P</v>
          </cell>
          <cell r="F1267" t="str">
            <v>Mandor Lapangan</v>
          </cell>
          <cell r="J1267" t="str">
            <v>Mandor</v>
          </cell>
          <cell r="K1267">
            <v>3.0000000000000001E-3</v>
          </cell>
          <cell r="L1267" t="str">
            <v>Orang</v>
          </cell>
          <cell r="M1267">
            <v>31800</v>
          </cell>
          <cell r="N1267">
            <v>95.4</v>
          </cell>
        </row>
        <row r="1268">
          <cell r="B1268">
            <v>1261</v>
          </cell>
          <cell r="J1268" t="str">
            <v>Peralatan</v>
          </cell>
          <cell r="K1268">
            <v>1</v>
          </cell>
          <cell r="L1268" t="str">
            <v>Ls</v>
          </cell>
          <cell r="M1268">
            <v>2500</v>
          </cell>
          <cell r="N1268">
            <v>2500</v>
          </cell>
        </row>
        <row r="1269">
          <cell r="B1269">
            <v>1262</v>
          </cell>
          <cell r="M1269" t="str">
            <v>Jumlah</v>
          </cell>
          <cell r="N1269">
            <v>80147.899999999994</v>
          </cell>
        </row>
        <row r="1270">
          <cell r="B1270">
            <v>1263</v>
          </cell>
          <cell r="M1270" t="str">
            <v>Dibulatkan</v>
          </cell>
          <cell r="N1270">
            <v>80150</v>
          </cell>
        </row>
        <row r="1271">
          <cell r="B1271">
            <v>1264</v>
          </cell>
        </row>
        <row r="1272">
          <cell r="A1272" t="str">
            <v>A112</v>
          </cell>
          <cell r="B1272">
            <v>1265</v>
          </cell>
          <cell r="H1272" t="str">
            <v>A112</v>
          </cell>
          <cell r="I1272" t="str">
            <v>M'</v>
          </cell>
          <cell r="J1272" t="str">
            <v>PASANGAN CANSTEEN</v>
          </cell>
          <cell r="K1272" t="str">
            <v>Harga per 1 M¹ ……</v>
          </cell>
          <cell r="M1272" t="str">
            <v>Rp.</v>
          </cell>
          <cell r="N1272">
            <v>87470</v>
          </cell>
        </row>
        <row r="1273">
          <cell r="B1273">
            <v>1266</v>
          </cell>
          <cell r="J1273" t="str">
            <v>Perancah Kayu Beton</v>
          </cell>
          <cell r="K1273">
            <v>0.92</v>
          </cell>
          <cell r="L1273" t="str">
            <v>M2</v>
          </cell>
          <cell r="M1273">
            <v>61968</v>
          </cell>
          <cell r="N1273">
            <v>57010.560000000005</v>
          </cell>
        </row>
        <row r="1274">
          <cell r="B1274">
            <v>1267</v>
          </cell>
          <cell r="J1274" t="str">
            <v xml:space="preserve">Beton Struktur K-175 </v>
          </cell>
          <cell r="K1274">
            <v>0.05</v>
          </cell>
          <cell r="L1274" t="str">
            <v>M3</v>
          </cell>
          <cell r="M1274">
            <v>609100</v>
          </cell>
          <cell r="N1274">
            <v>30455</v>
          </cell>
        </row>
        <row r="1275">
          <cell r="B1275">
            <v>1268</v>
          </cell>
          <cell r="M1275" t="str">
            <v>Jumlah</v>
          </cell>
          <cell r="N1275">
            <v>87465.56</v>
          </cell>
        </row>
        <row r="1276">
          <cell r="B1276">
            <v>1269</v>
          </cell>
          <cell r="M1276" t="str">
            <v>Dibulatkan</v>
          </cell>
          <cell r="N1276">
            <v>87470</v>
          </cell>
        </row>
        <row r="1277">
          <cell r="B1277">
            <v>1270</v>
          </cell>
        </row>
        <row r="1278">
          <cell r="A1278" t="str">
            <v>A113</v>
          </cell>
          <cell r="B1278">
            <v>1271</v>
          </cell>
          <cell r="H1278" t="str">
            <v>A113</v>
          </cell>
          <cell r="I1278" t="str">
            <v>M³</v>
          </cell>
          <cell r="J1278" t="str">
            <v>MEMBONGKAR DINDING BATA (JIKA BONGKARAN DIPAKAI LAGI)</v>
          </cell>
          <cell r="K1278" t="str">
            <v>Harga per 1 M³ ……</v>
          </cell>
          <cell r="M1278" t="str">
            <v>Rp.</v>
          </cell>
          <cell r="N1278">
            <v>51860</v>
          </cell>
        </row>
        <row r="1279">
          <cell r="B1279">
            <v>1272</v>
          </cell>
          <cell r="C1279" t="str">
            <v>P</v>
          </cell>
          <cell r="F1279" t="str">
            <v>Buruh Lapangan Agak Terlatih / Pekerja setengah Terampil</v>
          </cell>
          <cell r="J1279" t="str">
            <v>Pekerja Setengah Terampil</v>
          </cell>
          <cell r="K1279">
            <v>2</v>
          </cell>
          <cell r="L1279" t="str">
            <v>Orang</v>
          </cell>
          <cell r="M1279">
            <v>24500</v>
          </cell>
          <cell r="N1279">
            <v>49000</v>
          </cell>
        </row>
        <row r="1280">
          <cell r="B1280">
            <v>1273</v>
          </cell>
          <cell r="C1280" t="str">
            <v>P</v>
          </cell>
          <cell r="F1280" t="str">
            <v>Mandor Lapangan</v>
          </cell>
          <cell r="J1280" t="str">
            <v>Mandor</v>
          </cell>
          <cell r="K1280">
            <v>0.09</v>
          </cell>
          <cell r="L1280" t="str">
            <v>Orang</v>
          </cell>
          <cell r="M1280">
            <v>31800</v>
          </cell>
          <cell r="N1280">
            <v>2862</v>
          </cell>
        </row>
        <row r="1281">
          <cell r="B1281">
            <v>1274</v>
          </cell>
          <cell r="M1281" t="str">
            <v>Jumlah</v>
          </cell>
          <cell r="N1281">
            <v>51862</v>
          </cell>
        </row>
        <row r="1282">
          <cell r="B1282">
            <v>1275</v>
          </cell>
          <cell r="M1282" t="str">
            <v>Dibulatkan</v>
          </cell>
          <cell r="N1282">
            <v>51860</v>
          </cell>
        </row>
        <row r="1283">
          <cell r="B1283">
            <v>1276</v>
          </cell>
        </row>
        <row r="1284">
          <cell r="A1284" t="str">
            <v>A114</v>
          </cell>
          <cell r="B1284">
            <v>1277</v>
          </cell>
          <cell r="H1284" t="str">
            <v>A114</v>
          </cell>
          <cell r="I1284" t="str">
            <v>M³</v>
          </cell>
          <cell r="J1284" t="str">
            <v>MEMBONGKAR DINDING BATA (JIKA BONGKARAN TIDAK DIPAKAI LAGI)</v>
          </cell>
          <cell r="K1284" t="str">
            <v>Harga per 1 M³ ……</v>
          </cell>
          <cell r="M1284" t="str">
            <v>Rp.</v>
          </cell>
          <cell r="N1284">
            <v>27360</v>
          </cell>
        </row>
        <row r="1285">
          <cell r="B1285">
            <v>1278</v>
          </cell>
          <cell r="C1285" t="str">
            <v>P</v>
          </cell>
          <cell r="F1285" t="str">
            <v>Buruh Lapangan Agak Terlatih / Pekerja setengah Terampil</v>
          </cell>
          <cell r="J1285" t="str">
            <v>Pekerja Setengah Terampil</v>
          </cell>
          <cell r="K1285">
            <v>1</v>
          </cell>
          <cell r="L1285" t="str">
            <v>Orang</v>
          </cell>
          <cell r="M1285">
            <v>24500</v>
          </cell>
          <cell r="N1285">
            <v>24500</v>
          </cell>
        </row>
        <row r="1286">
          <cell r="B1286">
            <v>1279</v>
          </cell>
          <cell r="C1286" t="str">
            <v>P</v>
          </cell>
          <cell r="F1286" t="str">
            <v>Mandor Lapangan</v>
          </cell>
          <cell r="J1286" t="str">
            <v>Mandor</v>
          </cell>
          <cell r="K1286">
            <v>0.09</v>
          </cell>
          <cell r="L1286" t="str">
            <v>Orang</v>
          </cell>
          <cell r="M1286">
            <v>31800</v>
          </cell>
          <cell r="N1286">
            <v>2862</v>
          </cell>
        </row>
        <row r="1287">
          <cell r="B1287">
            <v>1280</v>
          </cell>
          <cell r="M1287" t="str">
            <v>Jumlah</v>
          </cell>
          <cell r="N1287">
            <v>27362</v>
          </cell>
        </row>
        <row r="1288">
          <cell r="B1288">
            <v>1281</v>
          </cell>
          <cell r="M1288" t="str">
            <v>Dibulatkan</v>
          </cell>
          <cell r="N1288">
            <v>27360</v>
          </cell>
        </row>
        <row r="1289">
          <cell r="B1289">
            <v>1282</v>
          </cell>
        </row>
        <row r="1290">
          <cell r="A1290" t="str">
            <v>A115</v>
          </cell>
          <cell r="B1290">
            <v>1283</v>
          </cell>
          <cell r="H1290" t="str">
            <v>A115</v>
          </cell>
          <cell r="I1290" t="str">
            <v>M²</v>
          </cell>
          <cell r="J1290" t="str">
            <v>MEMBONGKAR PLESTERAN DINDING</v>
          </cell>
          <cell r="K1290" t="str">
            <v>Harga per 1 M² ……</v>
          </cell>
          <cell r="M1290" t="str">
            <v>Rp.</v>
          </cell>
          <cell r="N1290">
            <v>2020</v>
          </cell>
        </row>
        <row r="1291">
          <cell r="B1291">
            <v>1284</v>
          </cell>
          <cell r="C1291" t="str">
            <v>P</v>
          </cell>
          <cell r="F1291" t="str">
            <v>Buruh Lapangan Agak Terlatih / Pekerja setengah Terampil</v>
          </cell>
          <cell r="J1291" t="str">
            <v>Pekerja Setengah Terampil</v>
          </cell>
          <cell r="K1291">
            <v>0.05</v>
          </cell>
          <cell r="L1291" t="str">
            <v>Orang</v>
          </cell>
          <cell r="M1291">
            <v>24500</v>
          </cell>
          <cell r="N1291">
            <v>1225</v>
          </cell>
        </row>
        <row r="1292">
          <cell r="B1292">
            <v>1285</v>
          </cell>
          <cell r="C1292" t="str">
            <v>P</v>
          </cell>
          <cell r="F1292" t="str">
            <v>Mandor Lapangan</v>
          </cell>
          <cell r="J1292" t="str">
            <v>Mandor</v>
          </cell>
          <cell r="K1292">
            <v>2.5000000000000001E-2</v>
          </cell>
          <cell r="L1292" t="str">
            <v>Orang</v>
          </cell>
          <cell r="M1292">
            <v>31800</v>
          </cell>
          <cell r="N1292">
            <v>795</v>
          </cell>
        </row>
        <row r="1293">
          <cell r="B1293">
            <v>1286</v>
          </cell>
          <cell r="M1293" t="str">
            <v>Jumlah</v>
          </cell>
          <cell r="N1293">
            <v>2020</v>
          </cell>
        </row>
        <row r="1294">
          <cell r="B1294">
            <v>1287</v>
          </cell>
          <cell r="M1294" t="str">
            <v>Dibulatkan</v>
          </cell>
          <cell r="N1294">
            <v>2020</v>
          </cell>
        </row>
        <row r="1295">
          <cell r="B1295">
            <v>1288</v>
          </cell>
        </row>
        <row r="1296">
          <cell r="A1296" t="str">
            <v>A116</v>
          </cell>
          <cell r="B1296">
            <v>1289</v>
          </cell>
          <cell r="H1296" t="str">
            <v>A116</v>
          </cell>
          <cell r="I1296" t="str">
            <v>M²</v>
          </cell>
          <cell r="J1296" t="str">
            <v>MEMBONGKAR LANTAI</v>
          </cell>
          <cell r="K1296" t="str">
            <v>Harga per 1 M² ……</v>
          </cell>
          <cell r="M1296" t="str">
            <v>Rp.</v>
          </cell>
          <cell r="N1296">
            <v>5220</v>
          </cell>
        </row>
        <row r="1297">
          <cell r="B1297">
            <v>1290</v>
          </cell>
          <cell r="C1297" t="str">
            <v>P</v>
          </cell>
          <cell r="F1297" t="str">
            <v>Buruh Lapangan Agak Terlatih / Pekerja setengah Terampil</v>
          </cell>
          <cell r="J1297" t="str">
            <v>Pekerja Setengah Terampil</v>
          </cell>
          <cell r="K1297">
            <v>0.2</v>
          </cell>
          <cell r="L1297" t="str">
            <v>Orang</v>
          </cell>
          <cell r="M1297">
            <v>24500</v>
          </cell>
          <cell r="N1297">
            <v>4900</v>
          </cell>
        </row>
        <row r="1298">
          <cell r="B1298">
            <v>1291</v>
          </cell>
          <cell r="C1298" t="str">
            <v>P</v>
          </cell>
          <cell r="F1298" t="str">
            <v>Mandor Lapangan</v>
          </cell>
          <cell r="J1298" t="str">
            <v>Mandor</v>
          </cell>
          <cell r="K1298">
            <v>0.01</v>
          </cell>
          <cell r="L1298" t="str">
            <v>Orang</v>
          </cell>
          <cell r="M1298">
            <v>31800</v>
          </cell>
          <cell r="N1298">
            <v>318</v>
          </cell>
        </row>
        <row r="1299">
          <cell r="B1299">
            <v>1292</v>
          </cell>
          <cell r="M1299" t="str">
            <v>Jumlah</v>
          </cell>
          <cell r="N1299">
            <v>5218</v>
          </cell>
        </row>
        <row r="1300">
          <cell r="B1300">
            <v>1293</v>
          </cell>
          <cell r="M1300" t="str">
            <v>Dibulatkan</v>
          </cell>
          <cell r="N1300">
            <v>5220</v>
          </cell>
        </row>
        <row r="1301">
          <cell r="B1301">
            <v>1294</v>
          </cell>
        </row>
        <row r="1302">
          <cell r="A1302" t="str">
            <v>A117</v>
          </cell>
          <cell r="B1302">
            <v>1295</v>
          </cell>
          <cell r="H1302" t="str">
            <v>A117</v>
          </cell>
          <cell r="I1302" t="str">
            <v>M³</v>
          </cell>
          <cell r="J1302" t="str">
            <v>MEMBONGKAR LANTAI BETON BERTULANG</v>
          </cell>
          <cell r="K1302" t="str">
            <v>Harga per 1 M³ ……</v>
          </cell>
          <cell r="M1302" t="str">
            <v>Rp.</v>
          </cell>
          <cell r="N1302">
            <v>220560</v>
          </cell>
        </row>
        <row r="1303">
          <cell r="B1303">
            <v>1296</v>
          </cell>
          <cell r="C1303" t="str">
            <v>P</v>
          </cell>
          <cell r="F1303" t="str">
            <v>Tukang Besi Beton terampil</v>
          </cell>
          <cell r="J1303" t="str">
            <v>Tukang Besi Beton Terampil</v>
          </cell>
          <cell r="K1303">
            <v>2</v>
          </cell>
          <cell r="L1303" t="str">
            <v>Orang</v>
          </cell>
          <cell r="M1303">
            <v>29100</v>
          </cell>
          <cell r="N1303">
            <v>58200</v>
          </cell>
        </row>
        <row r="1304">
          <cell r="B1304">
            <v>1297</v>
          </cell>
          <cell r="C1304" t="str">
            <v>P</v>
          </cell>
          <cell r="F1304" t="str">
            <v>Kepala Tukang Besi Beton</v>
          </cell>
          <cell r="J1304" t="str">
            <v>Kepala Tukang Besi Beton</v>
          </cell>
          <cell r="K1304">
            <v>0.2</v>
          </cell>
          <cell r="L1304" t="str">
            <v>Orang</v>
          </cell>
          <cell r="M1304">
            <v>30000</v>
          </cell>
          <cell r="N1304">
            <v>6000</v>
          </cell>
        </row>
        <row r="1305">
          <cell r="B1305">
            <v>1298</v>
          </cell>
          <cell r="C1305" t="str">
            <v>P</v>
          </cell>
          <cell r="F1305" t="str">
            <v>Buruh Lapangan Agak Terlatih / Pekerja setengah Terampil</v>
          </cell>
          <cell r="J1305" t="str">
            <v>Pekerja Setengah Terampil</v>
          </cell>
          <cell r="K1305">
            <v>4</v>
          </cell>
          <cell r="L1305" t="str">
            <v>Orang</v>
          </cell>
          <cell r="M1305">
            <v>24500</v>
          </cell>
          <cell r="N1305">
            <v>98000</v>
          </cell>
        </row>
        <row r="1306">
          <cell r="B1306">
            <v>1299</v>
          </cell>
          <cell r="C1306" t="str">
            <v>P</v>
          </cell>
          <cell r="F1306" t="str">
            <v>Mandor Lapangan</v>
          </cell>
          <cell r="J1306" t="str">
            <v>Mandor</v>
          </cell>
          <cell r="K1306">
            <v>0.2</v>
          </cell>
          <cell r="L1306" t="str">
            <v>Orang</v>
          </cell>
          <cell r="M1306">
            <v>31800</v>
          </cell>
          <cell r="N1306">
            <v>6360</v>
          </cell>
        </row>
        <row r="1307">
          <cell r="B1307">
            <v>1300</v>
          </cell>
          <cell r="D1307" t="str">
            <v>B</v>
          </cell>
          <cell r="F1307" t="str">
            <v>Alat bantu</v>
          </cell>
          <cell r="J1307" t="str">
            <v>Alat Bantu</v>
          </cell>
          <cell r="K1307">
            <v>1</v>
          </cell>
          <cell r="L1307" t="str">
            <v>Set</v>
          </cell>
          <cell r="M1307">
            <v>52000</v>
          </cell>
          <cell r="N1307">
            <v>52000</v>
          </cell>
        </row>
        <row r="1308">
          <cell r="B1308">
            <v>1301</v>
          </cell>
          <cell r="M1308" t="str">
            <v>Jumlah</v>
          </cell>
          <cell r="N1308">
            <v>220560</v>
          </cell>
        </row>
        <row r="1309">
          <cell r="B1309">
            <v>1302</v>
          </cell>
          <cell r="M1309" t="str">
            <v>Dibulatkan</v>
          </cell>
          <cell r="N1309">
            <v>220560</v>
          </cell>
        </row>
        <row r="1310">
          <cell r="B1310">
            <v>1303</v>
          </cell>
        </row>
        <row r="1311">
          <cell r="A1311" t="str">
            <v>A118</v>
          </cell>
          <cell r="B1311">
            <v>1304</v>
          </cell>
          <cell r="H1311" t="str">
            <v>A118</v>
          </cell>
          <cell r="I1311" t="str">
            <v>M²</v>
          </cell>
          <cell r="J1311" t="str">
            <v>MEMBONGKAR DAN MENURUNKAN ATAP GENTENG</v>
          </cell>
          <cell r="K1311" t="str">
            <v>Harga per 1 M² ……</v>
          </cell>
          <cell r="M1311" t="str">
            <v>Rp.</v>
          </cell>
          <cell r="N1311">
            <v>810</v>
          </cell>
        </row>
        <row r="1312">
          <cell r="B1312">
            <v>1305</v>
          </cell>
          <cell r="C1312" t="str">
            <v>P</v>
          </cell>
          <cell r="F1312" t="str">
            <v>Buruh Lapangan Agak Terlatih / Pekerja setengah Terampil</v>
          </cell>
          <cell r="J1312" t="str">
            <v>Pekerja Setengah Terampil</v>
          </cell>
          <cell r="K1312">
            <v>0.02</v>
          </cell>
          <cell r="L1312" t="str">
            <v>Orang</v>
          </cell>
          <cell r="M1312">
            <v>24500</v>
          </cell>
          <cell r="N1312">
            <v>490</v>
          </cell>
        </row>
        <row r="1313">
          <cell r="B1313">
            <v>1306</v>
          </cell>
          <cell r="C1313" t="str">
            <v>P</v>
          </cell>
          <cell r="F1313" t="str">
            <v>Mandor Lapangan</v>
          </cell>
          <cell r="J1313" t="str">
            <v>Mandor</v>
          </cell>
          <cell r="K1313">
            <v>0.01</v>
          </cell>
          <cell r="L1313" t="str">
            <v>Orang</v>
          </cell>
          <cell r="M1313">
            <v>31800</v>
          </cell>
          <cell r="N1313">
            <v>318</v>
          </cell>
        </row>
        <row r="1314">
          <cell r="B1314">
            <v>1307</v>
          </cell>
          <cell r="M1314" t="str">
            <v>Jumlah</v>
          </cell>
          <cell r="N1314">
            <v>808</v>
          </cell>
        </row>
        <row r="1315">
          <cell r="B1315">
            <v>1308</v>
          </cell>
          <cell r="M1315" t="str">
            <v>Dibulatkan</v>
          </cell>
          <cell r="N1315">
            <v>810</v>
          </cell>
        </row>
        <row r="1316">
          <cell r="B1316">
            <v>1309</v>
          </cell>
        </row>
        <row r="1317">
          <cell r="A1317" t="str">
            <v>A119</v>
          </cell>
          <cell r="B1317">
            <v>1310</v>
          </cell>
          <cell r="H1317" t="str">
            <v>A119</v>
          </cell>
          <cell r="I1317" t="str">
            <v>M²</v>
          </cell>
          <cell r="J1317" t="str">
            <v>MEMBONGKAR DAN MENURUNKAN ATAP SENG</v>
          </cell>
          <cell r="K1317" t="str">
            <v>Harga per 1 M² ……</v>
          </cell>
          <cell r="M1317" t="str">
            <v>Rp.</v>
          </cell>
          <cell r="N1317">
            <v>3820</v>
          </cell>
        </row>
        <row r="1318">
          <cell r="B1318">
            <v>1311</v>
          </cell>
          <cell r="C1318" t="str">
            <v>P</v>
          </cell>
          <cell r="F1318" t="str">
            <v>Tukang Kayu setengah terampil</v>
          </cell>
          <cell r="J1318" t="str">
            <v>Tukang Kayu Setengah Terampil</v>
          </cell>
          <cell r="K1318">
            <v>0.05</v>
          </cell>
          <cell r="L1318" t="str">
            <v>Orang</v>
          </cell>
          <cell r="M1318">
            <v>27300</v>
          </cell>
          <cell r="N1318">
            <v>1365</v>
          </cell>
        </row>
        <row r="1319">
          <cell r="B1319">
            <v>1312</v>
          </cell>
          <cell r="C1319" t="str">
            <v>P</v>
          </cell>
          <cell r="F1319" t="str">
            <v>Buruh Lapangan Agak Terlatih / Pekerja setengah Terampil</v>
          </cell>
          <cell r="J1319" t="str">
            <v>Pekerja Setengah Terampil</v>
          </cell>
          <cell r="K1319">
            <v>0.1</v>
          </cell>
          <cell r="L1319" t="str">
            <v>Orang</v>
          </cell>
          <cell r="M1319">
            <v>24500</v>
          </cell>
          <cell r="N1319">
            <v>2450</v>
          </cell>
        </row>
        <row r="1320">
          <cell r="B1320">
            <v>1313</v>
          </cell>
          <cell r="M1320" t="str">
            <v>Jumlah</v>
          </cell>
          <cell r="N1320">
            <v>3815</v>
          </cell>
        </row>
        <row r="1321">
          <cell r="B1321">
            <v>1314</v>
          </cell>
          <cell r="M1321" t="str">
            <v>Dibulatkan</v>
          </cell>
          <cell r="N1321">
            <v>3820</v>
          </cell>
        </row>
        <row r="1322">
          <cell r="B1322">
            <v>1315</v>
          </cell>
        </row>
        <row r="1323">
          <cell r="A1323" t="str">
            <v>A120</v>
          </cell>
          <cell r="B1323">
            <v>1316</v>
          </cell>
          <cell r="H1323" t="str">
            <v>A120</v>
          </cell>
          <cell r="I1323" t="str">
            <v>M²</v>
          </cell>
          <cell r="J1323" t="str">
            <v>MEMBONGKAR DAN MENURUNKAN RANGKA ATAP KAYU  (JIKA BONGKARAN DIPAKAI LAGI)</v>
          </cell>
          <cell r="K1323" t="str">
            <v>Harga per 1 M² ……</v>
          </cell>
          <cell r="M1323" t="str">
            <v>Rp.</v>
          </cell>
          <cell r="N1323">
            <v>3370</v>
          </cell>
        </row>
        <row r="1324">
          <cell r="B1324">
            <v>1317</v>
          </cell>
        </row>
        <row r="1325">
          <cell r="B1325">
            <v>1318</v>
          </cell>
          <cell r="C1325" t="str">
            <v>P</v>
          </cell>
          <cell r="F1325" t="str">
            <v>Tukang Kayu setengah terampil</v>
          </cell>
          <cell r="J1325" t="str">
            <v>Tukang Kayu Setengah Terampil</v>
          </cell>
          <cell r="K1325">
            <v>2.5000000000000001E-2</v>
          </cell>
          <cell r="L1325" t="str">
            <v>Orang</v>
          </cell>
          <cell r="M1325">
            <v>27300</v>
          </cell>
          <cell r="N1325">
            <v>682.5</v>
          </cell>
        </row>
        <row r="1326">
          <cell r="B1326">
            <v>1319</v>
          </cell>
          <cell r="C1326" t="str">
            <v>P</v>
          </cell>
          <cell r="F1326" t="str">
            <v>Kepala Tukang Kayu</v>
          </cell>
          <cell r="J1326" t="str">
            <v>Kepala Tukang Kayu</v>
          </cell>
          <cell r="K1326">
            <v>2.5000000000000001E-3</v>
          </cell>
          <cell r="L1326" t="str">
            <v>Orang</v>
          </cell>
          <cell r="M1326">
            <v>30000</v>
          </cell>
          <cell r="N1326">
            <v>75</v>
          </cell>
        </row>
        <row r="1327">
          <cell r="B1327">
            <v>1320</v>
          </cell>
          <cell r="C1327" t="str">
            <v>P</v>
          </cell>
          <cell r="F1327" t="str">
            <v>Buruh Lapangan Agak Terlatih / Pekerja setengah Terampil</v>
          </cell>
          <cell r="J1327" t="str">
            <v>Pekerja Setengah Terampil</v>
          </cell>
          <cell r="K1327">
            <v>0.1</v>
          </cell>
          <cell r="L1327" t="str">
            <v>Orang</v>
          </cell>
          <cell r="M1327">
            <v>24500</v>
          </cell>
          <cell r="N1327">
            <v>2450</v>
          </cell>
        </row>
        <row r="1328">
          <cell r="B1328">
            <v>1321</v>
          </cell>
          <cell r="C1328" t="str">
            <v>P</v>
          </cell>
          <cell r="F1328" t="str">
            <v>Mandor Lapangan</v>
          </cell>
          <cell r="J1328" t="str">
            <v>Mandor</v>
          </cell>
          <cell r="K1328">
            <v>5.0000000000000001E-3</v>
          </cell>
          <cell r="L1328" t="str">
            <v>Orang</v>
          </cell>
          <cell r="M1328">
            <v>31800</v>
          </cell>
          <cell r="N1328">
            <v>159</v>
          </cell>
        </row>
        <row r="1329">
          <cell r="B1329">
            <v>1322</v>
          </cell>
          <cell r="M1329" t="str">
            <v>Jumlah</v>
          </cell>
          <cell r="N1329">
            <v>3366.5</v>
          </cell>
        </row>
        <row r="1330">
          <cell r="B1330">
            <v>1323</v>
          </cell>
          <cell r="M1330" t="str">
            <v>Dibulatkan</v>
          </cell>
          <cell r="N1330">
            <v>3370</v>
          </cell>
        </row>
        <row r="1331">
          <cell r="B1331">
            <v>1324</v>
          </cell>
        </row>
        <row r="1332">
          <cell r="A1332" t="str">
            <v>A121</v>
          </cell>
          <cell r="B1332">
            <v>1325</v>
          </cell>
          <cell r="H1332" t="str">
            <v>A121</v>
          </cell>
          <cell r="I1332" t="str">
            <v>M²</v>
          </cell>
          <cell r="J1332" t="str">
            <v>MEMBONGKAR DAN MENURUNKAN RANGKA ATAP KAYU  (JIKA BONGKARAN TIDAK PAKAI LAGI)</v>
          </cell>
          <cell r="K1332" t="str">
            <v>Harga per 1 M² ……</v>
          </cell>
          <cell r="M1332" t="str">
            <v>Rp.</v>
          </cell>
          <cell r="N1332">
            <v>1680</v>
          </cell>
        </row>
        <row r="1333">
          <cell r="B1333">
            <v>1326</v>
          </cell>
        </row>
        <row r="1334">
          <cell r="B1334">
            <v>1327</v>
          </cell>
          <cell r="C1334" t="str">
            <v>P</v>
          </cell>
          <cell r="F1334" t="str">
            <v>Tukang Kayu setengah terampil</v>
          </cell>
          <cell r="J1334" t="str">
            <v>Tukang Kayu Setengah Terampil</v>
          </cell>
          <cell r="K1334">
            <v>1.2500000000000001E-2</v>
          </cell>
          <cell r="L1334" t="str">
            <v>Orang</v>
          </cell>
          <cell r="M1334">
            <v>27300</v>
          </cell>
          <cell r="N1334">
            <v>341.25</v>
          </cell>
        </row>
        <row r="1335">
          <cell r="B1335">
            <v>1328</v>
          </cell>
          <cell r="C1335" t="str">
            <v>P</v>
          </cell>
          <cell r="F1335" t="str">
            <v>Kepala Tukang Kayu</v>
          </cell>
          <cell r="J1335" t="str">
            <v>Kepala Tukang Kayu</v>
          </cell>
          <cell r="K1335">
            <v>1.25E-3</v>
          </cell>
          <cell r="L1335" t="str">
            <v>Orang</v>
          </cell>
          <cell r="M1335">
            <v>30000</v>
          </cell>
          <cell r="N1335">
            <v>37.5</v>
          </cell>
        </row>
        <row r="1336">
          <cell r="B1336">
            <v>1329</v>
          </cell>
          <cell r="C1336" t="str">
            <v>P</v>
          </cell>
          <cell r="F1336" t="str">
            <v>Buruh Lapangan Agak Terlatih / Pekerja setengah Terampil</v>
          </cell>
          <cell r="J1336" t="str">
            <v>Pekerja Setengah Terampil</v>
          </cell>
          <cell r="K1336">
            <v>0.05</v>
          </cell>
          <cell r="L1336" t="str">
            <v>Orang</v>
          </cell>
          <cell r="M1336">
            <v>24500</v>
          </cell>
          <cell r="N1336">
            <v>1225</v>
          </cell>
        </row>
        <row r="1337">
          <cell r="B1337">
            <v>1330</v>
          </cell>
          <cell r="C1337" t="str">
            <v>P</v>
          </cell>
          <cell r="F1337" t="str">
            <v>Mandor Lapangan</v>
          </cell>
          <cell r="J1337" t="str">
            <v>Mandor</v>
          </cell>
          <cell r="K1337">
            <v>2.5000000000000001E-3</v>
          </cell>
          <cell r="L1337" t="str">
            <v>Orang</v>
          </cell>
          <cell r="M1337">
            <v>31800</v>
          </cell>
          <cell r="N1337">
            <v>79.5</v>
          </cell>
        </row>
        <row r="1338">
          <cell r="B1338">
            <v>1331</v>
          </cell>
          <cell r="M1338" t="str">
            <v>Jumlah</v>
          </cell>
          <cell r="N1338">
            <v>1683.25</v>
          </cell>
        </row>
        <row r="1339">
          <cell r="B1339">
            <v>1332</v>
          </cell>
          <cell r="M1339" t="str">
            <v>Dibulatkan</v>
          </cell>
          <cell r="N1339">
            <v>1680</v>
          </cell>
        </row>
        <row r="1340">
          <cell r="B1340">
            <v>1333</v>
          </cell>
        </row>
        <row r="1341">
          <cell r="A1341" t="str">
            <v>A122</v>
          </cell>
          <cell r="B1341">
            <v>1334</v>
          </cell>
          <cell r="H1341" t="str">
            <v>A122</v>
          </cell>
          <cell r="I1341" t="str">
            <v>M³</v>
          </cell>
          <cell r="J1341" t="str">
            <v>MEMBONGKAR DAN MENURUNKAN KUDA - KUDA KAYU</v>
          </cell>
          <cell r="K1341" t="str">
            <v>Harga per 1 M³ ……</v>
          </cell>
          <cell r="M1341" t="str">
            <v>Rp.</v>
          </cell>
          <cell r="N1341">
            <v>286160</v>
          </cell>
        </row>
        <row r="1342">
          <cell r="B1342">
            <v>1335</v>
          </cell>
          <cell r="C1342" t="str">
            <v>P</v>
          </cell>
          <cell r="F1342" t="str">
            <v>Tukang Kayu setengah terampil</v>
          </cell>
          <cell r="J1342" t="str">
            <v>Tukang Kayu Setengah Terampil</v>
          </cell>
          <cell r="K1342">
            <v>6</v>
          </cell>
          <cell r="L1342" t="str">
            <v>Orang</v>
          </cell>
          <cell r="M1342">
            <v>27300</v>
          </cell>
          <cell r="N1342">
            <v>163800</v>
          </cell>
        </row>
        <row r="1343">
          <cell r="B1343">
            <v>1336</v>
          </cell>
          <cell r="C1343" t="str">
            <v>P</v>
          </cell>
          <cell r="F1343" t="str">
            <v>Kepala Tukang Kayu</v>
          </cell>
          <cell r="J1343" t="str">
            <v>Kepala Tukang Kayu</v>
          </cell>
          <cell r="K1343">
            <v>0.6</v>
          </cell>
          <cell r="L1343" t="str">
            <v>Orang</v>
          </cell>
          <cell r="M1343">
            <v>30000</v>
          </cell>
          <cell r="N1343">
            <v>18000</v>
          </cell>
        </row>
        <row r="1344">
          <cell r="B1344">
            <v>1337</v>
          </cell>
          <cell r="C1344" t="str">
            <v>P</v>
          </cell>
          <cell r="F1344" t="str">
            <v>Buruh Lapangan Agak Terlatih / Pekerja setengah Terampil</v>
          </cell>
          <cell r="J1344" t="str">
            <v>Pekerja Setengah Terampil</v>
          </cell>
          <cell r="K1344">
            <v>4</v>
          </cell>
          <cell r="L1344" t="str">
            <v>Orang</v>
          </cell>
          <cell r="M1344">
            <v>24500</v>
          </cell>
          <cell r="N1344">
            <v>98000</v>
          </cell>
        </row>
        <row r="1345">
          <cell r="B1345">
            <v>1338</v>
          </cell>
          <cell r="C1345" t="str">
            <v>P</v>
          </cell>
          <cell r="F1345" t="str">
            <v>Mandor Lapangan</v>
          </cell>
          <cell r="J1345" t="str">
            <v>Mandor</v>
          </cell>
          <cell r="K1345">
            <v>0.2</v>
          </cell>
          <cell r="L1345" t="str">
            <v>Orang</v>
          </cell>
          <cell r="M1345">
            <v>31800</v>
          </cell>
          <cell r="N1345">
            <v>6360</v>
          </cell>
        </row>
        <row r="1346">
          <cell r="B1346">
            <v>1339</v>
          </cell>
          <cell r="M1346" t="str">
            <v>Jumlah</v>
          </cell>
          <cell r="N1346">
            <v>286160</v>
          </cell>
        </row>
        <row r="1347">
          <cell r="B1347">
            <v>1340</v>
          </cell>
          <cell r="M1347" t="str">
            <v>Dibulatkan</v>
          </cell>
          <cell r="N1347">
            <v>286160</v>
          </cell>
        </row>
        <row r="1348">
          <cell r="B1348">
            <v>1341</v>
          </cell>
        </row>
        <row r="1349">
          <cell r="A1349" t="str">
            <v>A123</v>
          </cell>
          <cell r="B1349">
            <v>1342</v>
          </cell>
          <cell r="H1349" t="str">
            <v>A123</v>
          </cell>
          <cell r="I1349" t="str">
            <v>KG</v>
          </cell>
          <cell r="J1349" t="str">
            <v>BONGKARAN RANGKA BAJA</v>
          </cell>
          <cell r="K1349" t="str">
            <v>Harga per 1 KG ……</v>
          </cell>
          <cell r="M1349" t="str">
            <v>Rp.</v>
          </cell>
          <cell r="N1349">
            <v>2990</v>
          </cell>
        </row>
        <row r="1350">
          <cell r="B1350">
            <v>1343</v>
          </cell>
          <cell r="C1350" t="str">
            <v>P</v>
          </cell>
          <cell r="F1350" t="str">
            <v>Mandor Lapangan</v>
          </cell>
          <cell r="J1350" t="str">
            <v>Mandor Lapangan</v>
          </cell>
          <cell r="K1350">
            <v>2.9999999999999997E-4</v>
          </cell>
          <cell r="L1350" t="str">
            <v>HO</v>
          </cell>
          <cell r="M1350">
            <v>31800</v>
          </cell>
          <cell r="N1350">
            <v>9.5399999999999991</v>
          </cell>
        </row>
        <row r="1351">
          <cell r="B1351">
            <v>1344</v>
          </cell>
          <cell r="C1351" t="str">
            <v>P</v>
          </cell>
          <cell r="F1351" t="str">
            <v>Tukang Kepala</v>
          </cell>
          <cell r="J1351" t="str">
            <v>Tukang Kepala</v>
          </cell>
          <cell r="K1351">
            <v>2.0000000000000001E-4</v>
          </cell>
          <cell r="L1351" t="str">
            <v>HO</v>
          </cell>
          <cell r="M1351">
            <v>29100</v>
          </cell>
          <cell r="N1351">
            <v>5.82</v>
          </cell>
        </row>
        <row r="1352">
          <cell r="B1352">
            <v>1345</v>
          </cell>
          <cell r="C1352" t="str">
            <v>P</v>
          </cell>
          <cell r="F1352" t="str">
            <v>Tukang Besi</v>
          </cell>
          <cell r="J1352" t="str">
            <v>Tukang Besi</v>
          </cell>
          <cell r="K1352">
            <v>2.0000000000000001E-4</v>
          </cell>
          <cell r="L1352" t="str">
            <v>HO</v>
          </cell>
          <cell r="M1352">
            <v>29100</v>
          </cell>
          <cell r="N1352">
            <v>5.82</v>
          </cell>
        </row>
        <row r="1353">
          <cell r="B1353">
            <v>1346</v>
          </cell>
          <cell r="C1353" t="str">
            <v>P</v>
          </cell>
          <cell r="F1353" t="str">
            <v>Tukang Las Terlatih</v>
          </cell>
          <cell r="J1353" t="str">
            <v>Tukang Las</v>
          </cell>
          <cell r="K1353">
            <v>2.0000000000000001E-4</v>
          </cell>
          <cell r="L1353" t="str">
            <v>HO</v>
          </cell>
          <cell r="M1353">
            <v>30900</v>
          </cell>
          <cell r="N1353">
            <v>6.1800000000000006</v>
          </cell>
        </row>
        <row r="1354">
          <cell r="B1354">
            <v>1347</v>
          </cell>
          <cell r="C1354" t="str">
            <v>P</v>
          </cell>
          <cell r="F1354" t="str">
            <v>Operator Terlatih</v>
          </cell>
          <cell r="J1354" t="str">
            <v>Operator Terlatih</v>
          </cell>
          <cell r="K1354">
            <v>2.0000000000000001E-4</v>
          </cell>
          <cell r="L1354" t="str">
            <v>HO</v>
          </cell>
          <cell r="M1354">
            <v>38200</v>
          </cell>
          <cell r="N1354">
            <v>7.6400000000000006</v>
          </cell>
        </row>
        <row r="1355">
          <cell r="B1355">
            <v>1348</v>
          </cell>
          <cell r="C1355" t="str">
            <v>P</v>
          </cell>
          <cell r="F1355" t="str">
            <v>Sopir</v>
          </cell>
          <cell r="J1355" t="str">
            <v>Sopir</v>
          </cell>
          <cell r="K1355">
            <v>2.0000000000000001E-4</v>
          </cell>
          <cell r="L1355" t="str">
            <v>HO</v>
          </cell>
          <cell r="M1355">
            <v>30900</v>
          </cell>
          <cell r="N1355">
            <v>6.1800000000000006</v>
          </cell>
        </row>
        <row r="1356">
          <cell r="B1356">
            <v>1349</v>
          </cell>
          <cell r="C1356" t="str">
            <v>P</v>
          </cell>
          <cell r="F1356" t="str">
            <v>Buruh Lapangan Terlatih / Pekerja Terampil</v>
          </cell>
          <cell r="J1356" t="str">
            <v>Buruh Lapangan Terlatih</v>
          </cell>
          <cell r="K1356">
            <v>0.01</v>
          </cell>
          <cell r="L1356" t="str">
            <v>HO</v>
          </cell>
          <cell r="M1356">
            <v>26400</v>
          </cell>
          <cell r="N1356">
            <v>264</v>
          </cell>
        </row>
        <row r="1357">
          <cell r="B1357">
            <v>1350</v>
          </cell>
          <cell r="C1357" t="str">
            <v>P</v>
          </cell>
          <cell r="F1357" t="str">
            <v>Buruh Lapangan Tak Terlatih / Pekerja</v>
          </cell>
          <cell r="J1357" t="str">
            <v>Buruh Lapangan Tak Terlatih</v>
          </cell>
          <cell r="K1357">
            <v>0.06</v>
          </cell>
          <cell r="L1357" t="str">
            <v>HO</v>
          </cell>
          <cell r="M1357">
            <v>22700</v>
          </cell>
          <cell r="N1357">
            <v>1362</v>
          </cell>
        </row>
        <row r="1358">
          <cell r="B1358">
            <v>1351</v>
          </cell>
          <cell r="D1358" t="str">
            <v>B</v>
          </cell>
          <cell r="F1358" t="str">
            <v>Kawat las</v>
          </cell>
          <cell r="J1358" t="str">
            <v>Kawat Las</v>
          </cell>
          <cell r="K1358">
            <v>0.01</v>
          </cell>
          <cell r="L1358" t="str">
            <v>KG</v>
          </cell>
          <cell r="M1358">
            <v>75000</v>
          </cell>
          <cell r="N1358">
            <v>750</v>
          </cell>
        </row>
        <row r="1359">
          <cell r="B1359">
            <v>1352</v>
          </cell>
          <cell r="D1359" t="str">
            <v>B</v>
          </cell>
          <cell r="F1359" t="str">
            <v>Solar</v>
          </cell>
          <cell r="J1359" t="str">
            <v>Solar</v>
          </cell>
          <cell r="K1359">
            <v>0.1</v>
          </cell>
          <cell r="L1359" t="str">
            <v>Liter</v>
          </cell>
          <cell r="M1359">
            <v>4300</v>
          </cell>
          <cell r="N1359">
            <v>430</v>
          </cell>
        </row>
        <row r="1360">
          <cell r="B1360">
            <v>1353</v>
          </cell>
          <cell r="D1360" t="str">
            <v>B</v>
          </cell>
          <cell r="F1360" t="str">
            <v>Pelumas</v>
          </cell>
          <cell r="J1360" t="str">
            <v>Pelumas</v>
          </cell>
          <cell r="K1360">
            <v>2.9999999999999997E-4</v>
          </cell>
          <cell r="L1360" t="str">
            <v>Liter</v>
          </cell>
          <cell r="M1360">
            <v>24550</v>
          </cell>
          <cell r="N1360">
            <v>7.3649999999999993</v>
          </cell>
        </row>
        <row r="1361">
          <cell r="B1361">
            <v>1354</v>
          </cell>
          <cell r="D1361" t="str">
            <v>B</v>
          </cell>
          <cell r="F1361" t="str">
            <v>Alat bantu</v>
          </cell>
          <cell r="J1361" t="str">
            <v>Alat Bantu</v>
          </cell>
          <cell r="K1361">
            <v>2.9999999999999997E-4</v>
          </cell>
          <cell r="L1361" t="str">
            <v>Set</v>
          </cell>
          <cell r="M1361">
            <v>52000</v>
          </cell>
          <cell r="N1361">
            <v>15.599999999999998</v>
          </cell>
        </row>
        <row r="1362">
          <cell r="B1362">
            <v>1355</v>
          </cell>
          <cell r="E1362" t="str">
            <v>A</v>
          </cell>
          <cell r="F1362" t="str">
            <v>Dump Truck 5 Ton (145 HP)</v>
          </cell>
          <cell r="J1362" t="str">
            <v>Dump Truck 5 T / 145 HP</v>
          </cell>
          <cell r="K1362">
            <v>2.9999999999999997E-4</v>
          </cell>
          <cell r="L1362" t="str">
            <v>Jam</v>
          </cell>
          <cell r="M1362">
            <v>139300</v>
          </cell>
          <cell r="N1362">
            <v>41.79</v>
          </cell>
        </row>
        <row r="1363">
          <cell r="B1363">
            <v>1356</v>
          </cell>
          <cell r="E1363" t="str">
            <v>A</v>
          </cell>
          <cell r="F1363" t="str">
            <v>Flatbed Truck With Crane</v>
          </cell>
          <cell r="J1363" t="str">
            <v>Fletbed Truck With Crane</v>
          </cell>
          <cell r="K1363">
            <v>2.9999999999999997E-4</v>
          </cell>
          <cell r="L1363" t="str">
            <v>Jam</v>
          </cell>
          <cell r="M1363">
            <v>156900</v>
          </cell>
          <cell r="N1363">
            <v>47.069999999999993</v>
          </cell>
        </row>
        <row r="1364">
          <cell r="B1364">
            <v>1357</v>
          </cell>
          <cell r="E1364" t="str">
            <v>A</v>
          </cell>
          <cell r="F1364" t="str">
            <v>Genset</v>
          </cell>
          <cell r="J1364" t="str">
            <v>Generator</v>
          </cell>
          <cell r="K1364">
            <v>2.9999999999999997E-4</v>
          </cell>
          <cell r="L1364" t="str">
            <v>Jam</v>
          </cell>
          <cell r="M1364">
            <v>96600</v>
          </cell>
          <cell r="N1364">
            <v>28.979999999999997</v>
          </cell>
        </row>
        <row r="1365">
          <cell r="B1365">
            <v>1358</v>
          </cell>
          <cell r="M1365" t="str">
            <v>Jumlah</v>
          </cell>
          <cell r="N1365">
            <v>2987.9850000000001</v>
          </cell>
        </row>
        <row r="1366">
          <cell r="B1366">
            <v>1359</v>
          </cell>
          <cell r="M1366" t="str">
            <v>Dibulatkan</v>
          </cell>
          <cell r="N1366">
            <v>2990</v>
          </cell>
        </row>
        <row r="1367">
          <cell r="B1367">
            <v>1360</v>
          </cell>
        </row>
        <row r="1368">
          <cell r="A1368" t="str">
            <v>A124</v>
          </cell>
          <cell r="B1368">
            <v>1361</v>
          </cell>
          <cell r="H1368" t="str">
            <v>A124</v>
          </cell>
          <cell r="I1368" t="str">
            <v>M²</v>
          </cell>
          <cell r="J1368" t="str">
            <v xml:space="preserve">MEMBONGKAR ASPAL </v>
          </cell>
          <cell r="K1368" t="str">
            <v>Harga per 1 M² ……</v>
          </cell>
          <cell r="M1368" t="str">
            <v>Rp.</v>
          </cell>
          <cell r="N1368">
            <v>25260</v>
          </cell>
        </row>
        <row r="1369">
          <cell r="B1369">
            <v>1362</v>
          </cell>
          <cell r="C1369" t="str">
            <v>P</v>
          </cell>
          <cell r="F1369" t="str">
            <v>Buruh Lapangan Agak Terlatih / Pekerja setengah Terampil</v>
          </cell>
          <cell r="J1369" t="str">
            <v>Pekerja Setengah Terampil</v>
          </cell>
          <cell r="K1369">
            <v>0.88</v>
          </cell>
          <cell r="L1369" t="str">
            <v>Orang</v>
          </cell>
          <cell r="M1369">
            <v>24500</v>
          </cell>
          <cell r="N1369">
            <v>21560</v>
          </cell>
        </row>
        <row r="1370">
          <cell r="B1370">
            <v>1363</v>
          </cell>
          <cell r="C1370" t="str">
            <v>P</v>
          </cell>
          <cell r="F1370" t="str">
            <v>Mandor Lapangan</v>
          </cell>
          <cell r="J1370" t="str">
            <v>Mandor</v>
          </cell>
          <cell r="K1370">
            <v>0.1</v>
          </cell>
          <cell r="L1370" t="str">
            <v>Orang</v>
          </cell>
          <cell r="M1370">
            <v>31800</v>
          </cell>
          <cell r="N1370">
            <v>3180</v>
          </cell>
        </row>
        <row r="1371">
          <cell r="B1371">
            <v>1364</v>
          </cell>
          <cell r="D1371" t="str">
            <v>B</v>
          </cell>
          <cell r="F1371" t="str">
            <v>Alat bantu</v>
          </cell>
          <cell r="J1371" t="str">
            <v>Alat Bantu</v>
          </cell>
          <cell r="K1371">
            <v>0.01</v>
          </cell>
          <cell r="L1371" t="str">
            <v>Orang</v>
          </cell>
          <cell r="M1371">
            <v>52000</v>
          </cell>
          <cell r="N1371">
            <v>520</v>
          </cell>
        </row>
        <row r="1372">
          <cell r="B1372">
            <v>1365</v>
          </cell>
          <cell r="M1372" t="str">
            <v>Jumlah</v>
          </cell>
          <cell r="N1372">
            <v>25260</v>
          </cell>
        </row>
        <row r="1373">
          <cell r="B1373">
            <v>1366</v>
          </cell>
          <cell r="M1373" t="str">
            <v>Dibulatkan</v>
          </cell>
          <cell r="N1373">
            <v>25260</v>
          </cell>
        </row>
        <row r="1374">
          <cell r="B1374">
            <v>1367</v>
          </cell>
        </row>
        <row r="1375">
          <cell r="A1375" t="str">
            <v>A125</v>
          </cell>
          <cell r="B1375">
            <v>1368</v>
          </cell>
          <cell r="H1375" t="str">
            <v>A125</v>
          </cell>
          <cell r="I1375" t="str">
            <v>M²</v>
          </cell>
          <cell r="J1375" t="str">
            <v>MEMBONGKAR RABAT BETON</v>
          </cell>
          <cell r="K1375" t="str">
            <v>Harga per 1 M² ……</v>
          </cell>
          <cell r="M1375" t="str">
            <v>Rp.</v>
          </cell>
          <cell r="N1375">
            <v>9560</v>
          </cell>
        </row>
        <row r="1376">
          <cell r="B1376">
            <v>1369</v>
          </cell>
          <cell r="C1376" t="str">
            <v>P</v>
          </cell>
          <cell r="F1376" t="str">
            <v>Buruh Lapangan Agak Terlatih / Pekerja setengah Terampil</v>
          </cell>
          <cell r="J1376" t="str">
            <v>Pekerja Setengah Terampil</v>
          </cell>
          <cell r="K1376">
            <v>0.36</v>
          </cell>
          <cell r="L1376" t="str">
            <v>Orang</v>
          </cell>
          <cell r="M1376">
            <v>24500</v>
          </cell>
          <cell r="N1376">
            <v>8820</v>
          </cell>
        </row>
        <row r="1377">
          <cell r="B1377">
            <v>1370</v>
          </cell>
          <cell r="C1377" t="str">
            <v>P</v>
          </cell>
          <cell r="F1377" t="str">
            <v>Mandor Lapangan</v>
          </cell>
          <cell r="J1377" t="str">
            <v>Mandor</v>
          </cell>
          <cell r="K1377">
            <v>0.02</v>
          </cell>
          <cell r="L1377" t="str">
            <v>Orang</v>
          </cell>
          <cell r="M1377">
            <v>31800</v>
          </cell>
          <cell r="N1377">
            <v>636</v>
          </cell>
        </row>
        <row r="1378">
          <cell r="B1378">
            <v>1371</v>
          </cell>
          <cell r="D1378" t="str">
            <v>B</v>
          </cell>
          <cell r="F1378" t="str">
            <v>Alat bantu</v>
          </cell>
          <cell r="J1378" t="str">
            <v>Alat Bantu</v>
          </cell>
          <cell r="K1378">
            <v>2E-3</v>
          </cell>
          <cell r="L1378" t="str">
            <v>Orang</v>
          </cell>
          <cell r="M1378">
            <v>52000</v>
          </cell>
          <cell r="N1378">
            <v>104</v>
          </cell>
        </row>
        <row r="1379">
          <cell r="B1379">
            <v>1372</v>
          </cell>
          <cell r="M1379" t="str">
            <v>Jumlah</v>
          </cell>
          <cell r="N1379">
            <v>9560</v>
          </cell>
        </row>
        <row r="1380">
          <cell r="B1380">
            <v>1373</v>
          </cell>
          <cell r="M1380" t="str">
            <v>Dibulatkan</v>
          </cell>
          <cell r="N1380">
            <v>9560</v>
          </cell>
        </row>
        <row r="1381">
          <cell r="B1381">
            <v>1374</v>
          </cell>
        </row>
        <row r="1382">
          <cell r="A1382" t="str">
            <v>A126</v>
          </cell>
          <cell r="B1382">
            <v>1375</v>
          </cell>
          <cell r="H1382" t="str">
            <v>A126</v>
          </cell>
          <cell r="I1382" t="str">
            <v>M²</v>
          </cell>
          <cell r="J1382" t="str">
            <v>MEMBERSIHKAN KARAT BESI &amp; CAT LAMA</v>
          </cell>
          <cell r="K1382" t="str">
            <v>Harga per 1 M² ……</v>
          </cell>
          <cell r="M1382" t="str">
            <v>Rp.</v>
          </cell>
          <cell r="N1382">
            <v>2240</v>
          </cell>
        </row>
        <row r="1383">
          <cell r="B1383">
            <v>1376</v>
          </cell>
          <cell r="C1383" t="str">
            <v>P</v>
          </cell>
          <cell r="F1383" t="str">
            <v>Buruh Lapangan Agak Terlatih / Pekerja setengah Terampil</v>
          </cell>
          <cell r="J1383" t="str">
            <v>Pekerja Setengah Terampil</v>
          </cell>
          <cell r="K1383">
            <v>6.6600000000000006E-2</v>
          </cell>
          <cell r="L1383" t="str">
            <v>Orang</v>
          </cell>
          <cell r="M1383">
            <v>24500</v>
          </cell>
          <cell r="N1383">
            <v>1631.7</v>
          </cell>
        </row>
        <row r="1384">
          <cell r="B1384">
            <v>1377</v>
          </cell>
          <cell r="C1384" t="str">
            <v>P</v>
          </cell>
          <cell r="F1384" t="str">
            <v>Mandor Lapangan</v>
          </cell>
          <cell r="J1384" t="str">
            <v>Mandor</v>
          </cell>
          <cell r="K1384">
            <v>6.6E-3</v>
          </cell>
          <cell r="L1384" t="str">
            <v>Orang</v>
          </cell>
          <cell r="M1384">
            <v>31800</v>
          </cell>
          <cell r="N1384">
            <v>209.88</v>
          </cell>
        </row>
        <row r="1385">
          <cell r="B1385">
            <v>1378</v>
          </cell>
          <cell r="D1385" t="str">
            <v>B</v>
          </cell>
          <cell r="F1385" t="str">
            <v>Sikat Baja</v>
          </cell>
          <cell r="J1385" t="str">
            <v>Sikat Baja</v>
          </cell>
          <cell r="K1385">
            <v>2E-3</v>
          </cell>
          <cell r="L1385" t="str">
            <v>bh</v>
          </cell>
          <cell r="M1385">
            <v>31800</v>
          </cell>
          <cell r="N1385">
            <v>63.6</v>
          </cell>
        </row>
        <row r="1386">
          <cell r="B1386">
            <v>1379</v>
          </cell>
          <cell r="D1386" t="str">
            <v>B</v>
          </cell>
          <cell r="F1386" t="str">
            <v>Ampelas</v>
          </cell>
          <cell r="J1386" t="str">
            <v>Ampelas</v>
          </cell>
          <cell r="K1386">
            <v>0.1</v>
          </cell>
          <cell r="L1386" t="str">
            <v>lbr</v>
          </cell>
          <cell r="M1386">
            <v>3360</v>
          </cell>
          <cell r="N1386">
            <v>336</v>
          </cell>
        </row>
        <row r="1387">
          <cell r="B1387">
            <v>1380</v>
          </cell>
          <cell r="M1387" t="str">
            <v>Jumlah</v>
          </cell>
          <cell r="N1387">
            <v>2241.1799999999998</v>
          </cell>
        </row>
        <row r="1388">
          <cell r="B1388">
            <v>1381</v>
          </cell>
          <cell r="M1388" t="str">
            <v>Dibulatkan</v>
          </cell>
          <cell r="N1388">
            <v>2240</v>
          </cell>
        </row>
        <row r="1389">
          <cell r="B1389">
            <v>1382</v>
          </cell>
        </row>
        <row r="1390">
          <cell r="A1390" t="str">
            <v>A127</v>
          </cell>
          <cell r="B1390">
            <v>1383</v>
          </cell>
          <cell r="H1390" t="str">
            <v>A127</v>
          </cell>
          <cell r="I1390" t="str">
            <v>M³</v>
          </cell>
          <cell r="J1390" t="str">
            <v>PASANGAN BETON K - 175 15/15 CM (224,81 KG)</v>
          </cell>
          <cell r="K1390" t="str">
            <v>Harga per 1 M³ ……</v>
          </cell>
          <cell r="M1390" t="str">
            <v>Rp.</v>
          </cell>
          <cell r="N1390">
            <v>3774230</v>
          </cell>
        </row>
        <row r="1391">
          <cell r="B1391">
            <v>1384</v>
          </cell>
          <cell r="J1391" t="str">
            <v>Pasangan Besi Beton U.24</v>
          </cell>
          <cell r="K1391">
            <v>224.81</v>
          </cell>
          <cell r="L1391" t="str">
            <v>KG</v>
          </cell>
          <cell r="M1391">
            <v>10040</v>
          </cell>
          <cell r="N1391">
            <v>2257092.4</v>
          </cell>
        </row>
        <row r="1392">
          <cell r="B1392">
            <v>1385</v>
          </cell>
          <cell r="J1392" t="str">
            <v xml:space="preserve">Pasang papan begisting </v>
          </cell>
          <cell r="K1392">
            <v>13.33</v>
          </cell>
          <cell r="L1392" t="str">
            <v>M2</v>
          </cell>
          <cell r="M1392">
            <v>68120</v>
          </cell>
          <cell r="N1392">
            <v>908039.6</v>
          </cell>
        </row>
        <row r="1393">
          <cell r="B1393">
            <v>1386</v>
          </cell>
          <cell r="J1393" t="str">
            <v>Beton K - 175</v>
          </cell>
          <cell r="K1393">
            <v>1</v>
          </cell>
          <cell r="L1393" t="str">
            <v>M3</v>
          </cell>
          <cell r="M1393">
            <v>609100</v>
          </cell>
          <cell r="N1393">
            <v>609100</v>
          </cell>
        </row>
        <row r="1394">
          <cell r="B1394">
            <v>1387</v>
          </cell>
          <cell r="M1394" t="str">
            <v>Jumlah</v>
          </cell>
          <cell r="N1394">
            <v>3774232</v>
          </cell>
        </row>
        <row r="1395">
          <cell r="B1395">
            <v>1388</v>
          </cell>
          <cell r="M1395" t="str">
            <v>Dibulatkan</v>
          </cell>
          <cell r="N1395">
            <v>3774230</v>
          </cell>
        </row>
        <row r="1396">
          <cell r="B1396">
            <v>1389</v>
          </cell>
        </row>
        <row r="1397">
          <cell r="A1397" t="str">
            <v>A128</v>
          </cell>
          <cell r="B1397">
            <v>1390</v>
          </cell>
          <cell r="H1397" t="str">
            <v>A128</v>
          </cell>
          <cell r="I1397" t="str">
            <v>M³</v>
          </cell>
          <cell r="J1397" t="str">
            <v>PASANGAN BETON K - 175 20/20 CM (137,17 KG )</v>
          </cell>
          <cell r="K1397" t="str">
            <v>Harga per 1 M³ ……</v>
          </cell>
          <cell r="M1397" t="str">
            <v>Rp.</v>
          </cell>
          <cell r="N1397">
            <v>2667490</v>
          </cell>
        </row>
        <row r="1398">
          <cell r="B1398">
            <v>1391</v>
          </cell>
          <cell r="J1398" t="str">
            <v>Pasang Besi Beton U.24</v>
          </cell>
          <cell r="K1398">
            <v>137.16999999999999</v>
          </cell>
          <cell r="L1398" t="str">
            <v>KG</v>
          </cell>
          <cell r="M1398">
            <v>10040</v>
          </cell>
          <cell r="N1398">
            <v>1377186.7999999998</v>
          </cell>
        </row>
        <row r="1399">
          <cell r="B1399">
            <v>1392</v>
          </cell>
          <cell r="J1399" t="str">
            <v xml:space="preserve">Pasang papan begisting </v>
          </cell>
          <cell r="K1399">
            <v>10</v>
          </cell>
          <cell r="L1399" t="str">
            <v>M2</v>
          </cell>
          <cell r="M1399">
            <v>68120</v>
          </cell>
          <cell r="N1399">
            <v>681200</v>
          </cell>
        </row>
        <row r="1400">
          <cell r="B1400">
            <v>1393</v>
          </cell>
          <cell r="J1400" t="str">
            <v>Beton K - 175</v>
          </cell>
          <cell r="K1400">
            <v>1</v>
          </cell>
          <cell r="L1400" t="str">
            <v>M3</v>
          </cell>
          <cell r="M1400">
            <v>609100</v>
          </cell>
          <cell r="N1400">
            <v>609100</v>
          </cell>
        </row>
        <row r="1401">
          <cell r="B1401">
            <v>1394</v>
          </cell>
          <cell r="M1401" t="str">
            <v>Jumlah</v>
          </cell>
          <cell r="N1401">
            <v>2667486.7999999998</v>
          </cell>
        </row>
        <row r="1402">
          <cell r="B1402">
            <v>1395</v>
          </cell>
          <cell r="M1402" t="str">
            <v>Dibulatkan</v>
          </cell>
          <cell r="N1402">
            <v>2667490</v>
          </cell>
        </row>
        <row r="1403">
          <cell r="B1403">
            <v>1396</v>
          </cell>
        </row>
        <row r="1404">
          <cell r="A1404" t="str">
            <v>A129</v>
          </cell>
          <cell r="B1404">
            <v>1397</v>
          </cell>
          <cell r="H1404" t="str">
            <v>A129</v>
          </cell>
          <cell r="I1404" t="str">
            <v>M³</v>
          </cell>
          <cell r="J1404" t="str">
            <v>PASANGAN BETON K - 175 15/20 CM (148 KG )</v>
          </cell>
          <cell r="K1404" t="str">
            <v>Harga per 1 M³ ……</v>
          </cell>
          <cell r="M1404" t="str">
            <v>Rp.</v>
          </cell>
          <cell r="N1404">
            <v>2776220</v>
          </cell>
        </row>
        <row r="1405">
          <cell r="B1405">
            <v>1398</v>
          </cell>
          <cell r="J1405" t="str">
            <v>Pasang Besi Beton U.24</v>
          </cell>
          <cell r="K1405">
            <v>148</v>
          </cell>
          <cell r="L1405" t="str">
            <v>KG</v>
          </cell>
          <cell r="M1405">
            <v>10040</v>
          </cell>
          <cell r="N1405">
            <v>1485920</v>
          </cell>
        </row>
        <row r="1406">
          <cell r="B1406">
            <v>1399</v>
          </cell>
          <cell r="J1406" t="str">
            <v xml:space="preserve">Pasang papan begisting </v>
          </cell>
          <cell r="K1406">
            <v>10</v>
          </cell>
          <cell r="L1406" t="str">
            <v>M2</v>
          </cell>
          <cell r="M1406">
            <v>68120</v>
          </cell>
          <cell r="N1406">
            <v>681200</v>
          </cell>
        </row>
        <row r="1407">
          <cell r="B1407">
            <v>1400</v>
          </cell>
          <cell r="J1407" t="str">
            <v>Beton K - 175</v>
          </cell>
          <cell r="K1407">
            <v>1</v>
          </cell>
          <cell r="L1407" t="str">
            <v>M3</v>
          </cell>
          <cell r="M1407">
            <v>609100</v>
          </cell>
          <cell r="N1407">
            <v>609100</v>
          </cell>
        </row>
        <row r="1408">
          <cell r="B1408">
            <v>1401</v>
          </cell>
          <cell r="M1408" t="str">
            <v>Jumlah</v>
          </cell>
          <cell r="N1408">
            <v>2776220</v>
          </cell>
        </row>
        <row r="1409">
          <cell r="B1409">
            <v>1402</v>
          </cell>
          <cell r="M1409" t="str">
            <v>Dibulatkan</v>
          </cell>
          <cell r="N1409">
            <v>2776220</v>
          </cell>
        </row>
        <row r="1410">
          <cell r="B1410">
            <v>1403</v>
          </cell>
        </row>
        <row r="1411">
          <cell r="A1411" t="str">
            <v>A130</v>
          </cell>
          <cell r="B1411">
            <v>1404</v>
          </cell>
          <cell r="H1411" t="str">
            <v>A130</v>
          </cell>
          <cell r="I1411" t="str">
            <v>M³</v>
          </cell>
          <cell r="J1411" t="str">
            <v>SLOOF 30/40 (175 KG / M3 U.24) SITE MIX K - 175 BEKISTING PAPAN</v>
          </cell>
          <cell r="K1411" t="str">
            <v>Harga per 1 M³ ……</v>
          </cell>
          <cell r="M1411" t="str">
            <v>Rp.</v>
          </cell>
          <cell r="N1411">
            <v>2820240</v>
          </cell>
        </row>
        <row r="1412">
          <cell r="B1412">
            <v>1405</v>
          </cell>
          <cell r="J1412" t="str">
            <v>Beton Site Mix K - 175</v>
          </cell>
          <cell r="K1412">
            <v>1</v>
          </cell>
          <cell r="L1412" t="str">
            <v>M3</v>
          </cell>
          <cell r="M1412">
            <v>609100</v>
          </cell>
          <cell r="N1412">
            <v>609100</v>
          </cell>
        </row>
        <row r="1413">
          <cell r="B1413">
            <v>1406</v>
          </cell>
          <cell r="J1413" t="str">
            <v>Besi beton U.24</v>
          </cell>
          <cell r="K1413">
            <v>175</v>
          </cell>
          <cell r="L1413" t="str">
            <v>KG</v>
          </cell>
          <cell r="M1413">
            <v>10040</v>
          </cell>
          <cell r="N1413">
            <v>1757000</v>
          </cell>
        </row>
        <row r="1414">
          <cell r="B1414">
            <v>1407</v>
          </cell>
          <cell r="J1414" t="str">
            <v xml:space="preserve">Pasang papan begisting </v>
          </cell>
          <cell r="K1414">
            <v>6.6666999999999996</v>
          </cell>
          <cell r="L1414" t="str">
            <v>M2</v>
          </cell>
          <cell r="M1414">
            <v>68120</v>
          </cell>
          <cell r="N1414">
            <v>454135.60399999999</v>
          </cell>
        </row>
        <row r="1415">
          <cell r="B1415">
            <v>1408</v>
          </cell>
          <cell r="M1415" t="str">
            <v>Jumlah</v>
          </cell>
          <cell r="N1415">
            <v>2820235.6039999998</v>
          </cell>
        </row>
        <row r="1416">
          <cell r="B1416">
            <v>1409</v>
          </cell>
          <cell r="M1416" t="str">
            <v>Dibulatkan</v>
          </cell>
          <cell r="N1416">
            <v>2820240</v>
          </cell>
        </row>
        <row r="1417">
          <cell r="B1417">
            <v>1410</v>
          </cell>
        </row>
        <row r="1418">
          <cell r="A1418" t="str">
            <v>A131</v>
          </cell>
          <cell r="B1418">
            <v>1411</v>
          </cell>
          <cell r="H1418" t="str">
            <v>A131</v>
          </cell>
          <cell r="I1418" t="str">
            <v>M³</v>
          </cell>
          <cell r="J1418" t="str">
            <v>SLOOF 30/60 (160 KG / M3 U.24) SITE MIX K - 175 BEKISTING PAPAN</v>
          </cell>
          <cell r="K1418" t="str">
            <v>Harga per 1 M³ ……</v>
          </cell>
          <cell r="M1418" t="str">
            <v>Rp.</v>
          </cell>
          <cell r="N1418">
            <v>2669640</v>
          </cell>
        </row>
        <row r="1419">
          <cell r="B1419">
            <v>1412</v>
          </cell>
          <cell r="J1419" t="str">
            <v>Beton Site Mix K - 175</v>
          </cell>
          <cell r="K1419">
            <v>1</v>
          </cell>
          <cell r="L1419" t="str">
            <v>M3</v>
          </cell>
          <cell r="M1419">
            <v>609100</v>
          </cell>
          <cell r="N1419">
            <v>609100</v>
          </cell>
        </row>
        <row r="1420">
          <cell r="B1420">
            <v>1413</v>
          </cell>
          <cell r="J1420" t="str">
            <v>Besi beton U.24</v>
          </cell>
          <cell r="K1420">
            <v>160</v>
          </cell>
          <cell r="L1420" t="str">
            <v>KG</v>
          </cell>
          <cell r="M1420">
            <v>10040</v>
          </cell>
          <cell r="N1420">
            <v>1606400</v>
          </cell>
        </row>
        <row r="1421">
          <cell r="B1421">
            <v>1414</v>
          </cell>
          <cell r="J1421" t="str">
            <v xml:space="preserve">Pasang papan begisting </v>
          </cell>
          <cell r="K1421">
            <v>6.6666999999999996</v>
          </cell>
          <cell r="L1421" t="str">
            <v>M2</v>
          </cell>
          <cell r="M1421">
            <v>68120</v>
          </cell>
          <cell r="N1421">
            <v>454135.60399999999</v>
          </cell>
        </row>
        <row r="1422">
          <cell r="B1422">
            <v>1415</v>
          </cell>
          <cell r="M1422" t="str">
            <v>Jumlah</v>
          </cell>
          <cell r="N1422">
            <v>2669635.6039999998</v>
          </cell>
        </row>
        <row r="1423">
          <cell r="B1423">
            <v>1416</v>
          </cell>
          <cell r="M1423" t="str">
            <v>Dibulatkan</v>
          </cell>
          <cell r="N1423">
            <v>2669640</v>
          </cell>
        </row>
        <row r="1424">
          <cell r="B1424">
            <v>1417</v>
          </cell>
        </row>
        <row r="1425">
          <cell r="A1425" t="str">
            <v>A132</v>
          </cell>
          <cell r="B1425">
            <v>1418</v>
          </cell>
          <cell r="H1425" t="str">
            <v>A132</v>
          </cell>
          <cell r="I1425" t="str">
            <v>M³</v>
          </cell>
          <cell r="J1425" t="str">
            <v>SLOOF 15/20 (190 KG / M3 U.24) SITE MIX K - 175 BEKISTING PAPAN</v>
          </cell>
          <cell r="K1425" t="str">
            <v>Harga per 1 M³ ……</v>
          </cell>
          <cell r="M1425" t="str">
            <v>Rp.</v>
          </cell>
          <cell r="N1425">
            <v>3424960</v>
          </cell>
        </row>
        <row r="1426">
          <cell r="B1426">
            <v>1419</v>
          </cell>
          <cell r="J1426" t="str">
            <v>Beton Site Mix K - 175</v>
          </cell>
          <cell r="K1426">
            <v>1</v>
          </cell>
          <cell r="L1426" t="str">
            <v>M3</v>
          </cell>
          <cell r="M1426">
            <v>609100</v>
          </cell>
          <cell r="N1426">
            <v>609100</v>
          </cell>
        </row>
        <row r="1427">
          <cell r="B1427">
            <v>1420</v>
          </cell>
          <cell r="J1427" t="str">
            <v>Besi beton U.24</v>
          </cell>
          <cell r="K1427">
            <v>190</v>
          </cell>
          <cell r="L1427" t="str">
            <v>KG</v>
          </cell>
          <cell r="M1427">
            <v>10040</v>
          </cell>
          <cell r="N1427">
            <v>1907600</v>
          </cell>
        </row>
        <row r="1428">
          <cell r="B1428">
            <v>1421</v>
          </cell>
          <cell r="J1428" t="str">
            <v xml:space="preserve">Pasang papan begisting </v>
          </cell>
          <cell r="K1428">
            <v>13.333299999999999</v>
          </cell>
          <cell r="L1428" t="str">
            <v>M2</v>
          </cell>
          <cell r="M1428">
            <v>68120</v>
          </cell>
          <cell r="N1428">
            <v>908264.39599999995</v>
          </cell>
        </row>
        <row r="1429">
          <cell r="B1429">
            <v>1422</v>
          </cell>
          <cell r="M1429" t="str">
            <v>Jumlah</v>
          </cell>
          <cell r="N1429">
            <v>3424964.3959999997</v>
          </cell>
        </row>
        <row r="1430">
          <cell r="B1430">
            <v>1423</v>
          </cell>
          <cell r="M1430" t="str">
            <v>Dibulatkan</v>
          </cell>
          <cell r="N1430">
            <v>3424960</v>
          </cell>
        </row>
        <row r="1431">
          <cell r="B1431">
            <v>1424</v>
          </cell>
        </row>
        <row r="1432">
          <cell r="A1432" t="str">
            <v>A133</v>
          </cell>
          <cell r="B1432">
            <v>1425</v>
          </cell>
          <cell r="H1432" t="str">
            <v>A133</v>
          </cell>
          <cell r="I1432" t="str">
            <v>M³</v>
          </cell>
          <cell r="J1432" t="str">
            <v>SLOOF 20/30 (185 KG / M3 U.24) SITE MIX K - 175 BEKISTING PAPAN</v>
          </cell>
          <cell r="K1432" t="str">
            <v>Harga per 1 M³ ……</v>
          </cell>
          <cell r="M1432" t="str">
            <v>Rp.</v>
          </cell>
          <cell r="N1432">
            <v>2807100</v>
          </cell>
        </row>
        <row r="1433">
          <cell r="B1433">
            <v>1426</v>
          </cell>
          <cell r="J1433" t="str">
            <v>Beton Site Mix K - 175</v>
          </cell>
          <cell r="K1433">
            <v>1</v>
          </cell>
          <cell r="L1433" t="str">
            <v>M3</v>
          </cell>
          <cell r="M1433">
            <v>609100</v>
          </cell>
          <cell r="N1433">
            <v>609100</v>
          </cell>
        </row>
        <row r="1434">
          <cell r="B1434">
            <v>1427</v>
          </cell>
          <cell r="J1434" t="str">
            <v>Besi beton U.24</v>
          </cell>
          <cell r="K1434">
            <v>185</v>
          </cell>
          <cell r="L1434" t="str">
            <v>KG</v>
          </cell>
          <cell r="M1434">
            <v>10040</v>
          </cell>
          <cell r="N1434">
            <v>1857400</v>
          </cell>
        </row>
        <row r="1435">
          <cell r="B1435">
            <v>1428</v>
          </cell>
          <cell r="J1435" t="str">
            <v xml:space="preserve">Pasang papan begisting </v>
          </cell>
          <cell r="K1435">
            <v>10</v>
          </cell>
          <cell r="L1435" t="str">
            <v>M2</v>
          </cell>
          <cell r="M1435">
            <v>34060</v>
          </cell>
          <cell r="N1435">
            <v>340600</v>
          </cell>
        </row>
        <row r="1436">
          <cell r="B1436">
            <v>1429</v>
          </cell>
          <cell r="M1436" t="str">
            <v>Jumlah</v>
          </cell>
          <cell r="N1436">
            <v>2807100</v>
          </cell>
        </row>
        <row r="1437">
          <cell r="B1437">
            <v>1430</v>
          </cell>
          <cell r="M1437" t="str">
            <v>Dibulatkan</v>
          </cell>
          <cell r="N1437">
            <v>2807100</v>
          </cell>
        </row>
        <row r="1438">
          <cell r="B1438">
            <v>1431</v>
          </cell>
        </row>
        <row r="1439">
          <cell r="A1439" t="str">
            <v>A134</v>
          </cell>
          <cell r="B1439">
            <v>1432</v>
          </cell>
          <cell r="H1439" t="str">
            <v>A134</v>
          </cell>
          <cell r="I1439" t="str">
            <v>M³</v>
          </cell>
          <cell r="J1439" t="str">
            <v>KOLOM 35/35 (240 KG / M3 U.24) SITE MIX K - 175 BEKISTING MULTI 9 MM</v>
          </cell>
          <cell r="K1439" t="str">
            <v>Harga per 1 M³ ……</v>
          </cell>
          <cell r="M1439" t="str">
            <v>Rp.</v>
          </cell>
          <cell r="N1439">
            <v>4052240</v>
          </cell>
        </row>
        <row r="1440">
          <cell r="B1440">
            <v>1433</v>
          </cell>
          <cell r="J1440" t="str">
            <v>Beton Site Mix K - 175</v>
          </cell>
          <cell r="K1440">
            <v>1</v>
          </cell>
          <cell r="L1440" t="str">
            <v>M3</v>
          </cell>
          <cell r="M1440">
            <v>609100</v>
          </cell>
          <cell r="N1440">
            <v>609100</v>
          </cell>
        </row>
        <row r="1441">
          <cell r="B1441">
            <v>1434</v>
          </cell>
          <cell r="J1441" t="str">
            <v xml:space="preserve">Besi beton U.24 </v>
          </cell>
          <cell r="K1441">
            <v>240</v>
          </cell>
          <cell r="L1441" t="str">
            <v>KG</v>
          </cell>
          <cell r="M1441">
            <v>10040</v>
          </cell>
          <cell r="N1441">
            <v>2409600</v>
          </cell>
        </row>
        <row r="1442">
          <cell r="B1442">
            <v>1435</v>
          </cell>
          <cell r="J1442" t="str">
            <v>Bekisting Multiplex 9 mm (1 : 0,35 : 0,35) X (0,35 x 4)</v>
          </cell>
          <cell r="K1442">
            <v>11.428599999999999</v>
          </cell>
          <cell r="L1442" t="str">
            <v>M2</v>
          </cell>
          <cell r="M1442">
            <v>74860</v>
          </cell>
          <cell r="N1442">
            <v>855544.99599999993</v>
          </cell>
        </row>
        <row r="1443">
          <cell r="B1443">
            <v>1436</v>
          </cell>
          <cell r="J1443" t="str">
            <v>Stoot Werk 0,25 x (1 : 12)</v>
          </cell>
          <cell r="K1443">
            <v>2.0832999999999999</v>
          </cell>
          <cell r="L1443" t="str">
            <v>M2</v>
          </cell>
          <cell r="M1443">
            <v>85440</v>
          </cell>
          <cell r="N1443">
            <v>177997.152</v>
          </cell>
        </row>
        <row r="1444">
          <cell r="B1444">
            <v>1437</v>
          </cell>
          <cell r="M1444" t="str">
            <v>Jumlah</v>
          </cell>
          <cell r="N1444">
            <v>4052242.148</v>
          </cell>
        </row>
        <row r="1445">
          <cell r="B1445">
            <v>1438</v>
          </cell>
          <cell r="M1445" t="str">
            <v>Dibulatkan</v>
          </cell>
          <cell r="N1445">
            <v>4052240</v>
          </cell>
        </row>
        <row r="1446">
          <cell r="B1446">
            <v>1439</v>
          </cell>
        </row>
        <row r="1447">
          <cell r="A1447" t="str">
            <v>A135</v>
          </cell>
          <cell r="B1447">
            <v>1440</v>
          </cell>
          <cell r="H1447" t="str">
            <v>A135</v>
          </cell>
          <cell r="I1447" t="str">
            <v>M³</v>
          </cell>
          <cell r="J1447" t="str">
            <v>KOLOM 15/15 (190 KG / M3 U.24) SITE MIX K - 175 BEKISTING PAPAN</v>
          </cell>
          <cell r="K1447" t="str">
            <v>Harga per 1 M³ ……</v>
          </cell>
          <cell r="M1447" t="str">
            <v>Rp.</v>
          </cell>
          <cell r="N1447">
            <v>4511230</v>
          </cell>
        </row>
        <row r="1448">
          <cell r="B1448">
            <v>1441</v>
          </cell>
          <cell r="J1448" t="str">
            <v>Beton Site Mix K - 175</v>
          </cell>
          <cell r="K1448">
            <v>1</v>
          </cell>
          <cell r="L1448" t="str">
            <v>M3</v>
          </cell>
          <cell r="M1448">
            <v>609100</v>
          </cell>
          <cell r="N1448">
            <v>609100</v>
          </cell>
        </row>
        <row r="1449">
          <cell r="B1449">
            <v>1442</v>
          </cell>
          <cell r="J1449" t="str">
            <v>Besi beton U.24</v>
          </cell>
          <cell r="K1449">
            <v>190</v>
          </cell>
          <cell r="L1449" t="str">
            <v>KG</v>
          </cell>
          <cell r="M1449">
            <v>10040</v>
          </cell>
          <cell r="N1449">
            <v>1907600</v>
          </cell>
        </row>
        <row r="1450">
          <cell r="B1450">
            <v>1443</v>
          </cell>
          <cell r="J1450" t="str">
            <v xml:space="preserve">Pasang papan begisting </v>
          </cell>
          <cell r="K1450">
            <v>26.666699999999999</v>
          </cell>
          <cell r="L1450" t="str">
            <v>M2</v>
          </cell>
          <cell r="M1450">
            <v>68120</v>
          </cell>
          <cell r="N1450">
            <v>1816535.6039999998</v>
          </cell>
        </row>
        <row r="1451">
          <cell r="B1451">
            <v>1444</v>
          </cell>
          <cell r="J1451" t="str">
            <v>Stoot Werk 0,25 x (1 : 12)</v>
          </cell>
          <cell r="K1451">
            <v>2.0832999999999999</v>
          </cell>
          <cell r="L1451" t="str">
            <v>M2</v>
          </cell>
          <cell r="M1451">
            <v>85440</v>
          </cell>
          <cell r="N1451">
            <v>177997.152</v>
          </cell>
        </row>
        <row r="1452">
          <cell r="B1452">
            <v>1445</v>
          </cell>
          <cell r="M1452" t="str">
            <v>Jumlah</v>
          </cell>
          <cell r="N1452">
            <v>4511232.7560000001</v>
          </cell>
        </row>
        <row r="1453">
          <cell r="B1453">
            <v>1446</v>
          </cell>
          <cell r="M1453" t="str">
            <v>Dibulatkan</v>
          </cell>
          <cell r="N1453">
            <v>4511230</v>
          </cell>
        </row>
        <row r="1454">
          <cell r="B1454">
            <v>1447</v>
          </cell>
        </row>
        <row r="1455">
          <cell r="A1455" t="str">
            <v>A136</v>
          </cell>
          <cell r="B1455">
            <v>1448</v>
          </cell>
          <cell r="H1455" t="str">
            <v>A136</v>
          </cell>
          <cell r="I1455" t="str">
            <v>M³</v>
          </cell>
          <cell r="J1455" t="str">
            <v>KOLOM 11/11 (225 KG / M3 U.24) SITE MIX K - 175 BEKISTING PAPAN</v>
          </cell>
          <cell r="K1455" t="str">
            <v>Harga per 1 M³ ……</v>
          </cell>
          <cell r="M1455" t="str">
            <v>Rp.</v>
          </cell>
          <cell r="N1455">
            <v>3755680</v>
          </cell>
        </row>
        <row r="1456">
          <cell r="B1456">
            <v>1449</v>
          </cell>
          <cell r="J1456" t="str">
            <v>Beton Site Mix K - 175</v>
          </cell>
          <cell r="K1456">
            <v>1</v>
          </cell>
          <cell r="L1456" t="str">
            <v>M3</v>
          </cell>
          <cell r="M1456">
            <v>609100</v>
          </cell>
          <cell r="N1456">
            <v>609100</v>
          </cell>
        </row>
        <row r="1457">
          <cell r="B1457">
            <v>1450</v>
          </cell>
          <cell r="J1457" t="str">
            <v>Besi beton U.24</v>
          </cell>
          <cell r="K1457">
            <v>225</v>
          </cell>
          <cell r="L1457" t="str">
            <v>KG</v>
          </cell>
          <cell r="M1457">
            <v>10040</v>
          </cell>
          <cell r="N1457">
            <v>2259000</v>
          </cell>
        </row>
        <row r="1458">
          <cell r="B1458">
            <v>1451</v>
          </cell>
          <cell r="J1458" t="str">
            <v xml:space="preserve">Pasang papan begisting </v>
          </cell>
          <cell r="K1458">
            <v>20.833300000000001</v>
          </cell>
          <cell r="L1458" t="str">
            <v>M2</v>
          </cell>
          <cell r="M1458">
            <v>34060</v>
          </cell>
          <cell r="N1458">
            <v>709582.19800000009</v>
          </cell>
        </row>
        <row r="1459">
          <cell r="B1459">
            <v>1452</v>
          </cell>
          <cell r="J1459" t="str">
            <v>Stoot Werk 0,25 x (1 : 12)</v>
          </cell>
          <cell r="K1459">
            <v>2.0832999999999999</v>
          </cell>
          <cell r="L1459" t="str">
            <v>M2</v>
          </cell>
          <cell r="M1459">
            <v>85440</v>
          </cell>
          <cell r="N1459">
            <v>177997.152</v>
          </cell>
        </row>
        <row r="1460">
          <cell r="B1460">
            <v>1453</v>
          </cell>
          <cell r="M1460" t="str">
            <v>Jumlah</v>
          </cell>
          <cell r="N1460">
            <v>3755679.3499999996</v>
          </cell>
        </row>
        <row r="1461">
          <cell r="B1461">
            <v>1454</v>
          </cell>
          <cell r="M1461" t="str">
            <v>Dibulatkan</v>
          </cell>
          <cell r="N1461">
            <v>3755680</v>
          </cell>
        </row>
        <row r="1462">
          <cell r="B1462">
            <v>1455</v>
          </cell>
        </row>
        <row r="1463">
          <cell r="A1463" t="str">
            <v>A137</v>
          </cell>
          <cell r="B1463">
            <v>1456</v>
          </cell>
          <cell r="H1463" t="str">
            <v>A137</v>
          </cell>
          <cell r="I1463" t="str">
            <v>M³</v>
          </cell>
          <cell r="J1463" t="str">
            <v>KOLOM 12/12 (220 KG / M3 U.24) SITE MIX K - 175 BEKISTING PAPAN</v>
          </cell>
          <cell r="K1463" t="str">
            <v>Harga per 1 M³ ……</v>
          </cell>
          <cell r="M1463" t="str">
            <v>Rp.</v>
          </cell>
          <cell r="N1463">
            <v>4509670</v>
          </cell>
        </row>
        <row r="1464">
          <cell r="B1464">
            <v>1457</v>
          </cell>
          <cell r="J1464" t="str">
            <v>Beton Site Mix K - 175</v>
          </cell>
          <cell r="K1464">
            <v>1</v>
          </cell>
          <cell r="L1464" t="str">
            <v>M3</v>
          </cell>
          <cell r="M1464">
            <v>609100</v>
          </cell>
          <cell r="N1464">
            <v>609100</v>
          </cell>
        </row>
        <row r="1465">
          <cell r="B1465">
            <v>1458</v>
          </cell>
          <cell r="J1465" t="str">
            <v>Besi beton U.24</v>
          </cell>
          <cell r="K1465">
            <v>220</v>
          </cell>
          <cell r="L1465" t="str">
            <v>KG</v>
          </cell>
          <cell r="M1465">
            <v>10040</v>
          </cell>
          <cell r="N1465">
            <v>2208800</v>
          </cell>
        </row>
        <row r="1466">
          <cell r="B1466">
            <v>1459</v>
          </cell>
          <cell r="J1466" t="str">
            <v xml:space="preserve">Pasang papan begisting </v>
          </cell>
          <cell r="K1466">
            <v>22.222200000000001</v>
          </cell>
          <cell r="L1466" t="str">
            <v>M2</v>
          </cell>
          <cell r="M1466">
            <v>68120</v>
          </cell>
          <cell r="N1466">
            <v>1513776.264</v>
          </cell>
        </row>
        <row r="1467">
          <cell r="B1467">
            <v>1460</v>
          </cell>
          <cell r="J1467" t="str">
            <v>Stoot Werk 0,25 x (1 : 12)</v>
          </cell>
          <cell r="K1467">
            <v>2.0832999999999999</v>
          </cell>
          <cell r="L1467" t="str">
            <v>M2</v>
          </cell>
          <cell r="M1467">
            <v>85440</v>
          </cell>
          <cell r="N1467">
            <v>177997.152</v>
          </cell>
        </row>
        <row r="1468">
          <cell r="B1468">
            <v>1461</v>
          </cell>
          <cell r="M1468" t="str">
            <v>Jumlah</v>
          </cell>
          <cell r="N1468">
            <v>4509673.4160000002</v>
          </cell>
        </row>
        <row r="1469">
          <cell r="B1469">
            <v>1462</v>
          </cell>
          <cell r="M1469" t="str">
            <v>Dibulatkan</v>
          </cell>
          <cell r="N1469">
            <v>4509670</v>
          </cell>
        </row>
        <row r="1470">
          <cell r="B1470">
            <v>1463</v>
          </cell>
        </row>
        <row r="1471">
          <cell r="A1471" t="str">
            <v>A138</v>
          </cell>
          <cell r="B1471">
            <v>1464</v>
          </cell>
          <cell r="H1471" t="str">
            <v>A138</v>
          </cell>
          <cell r="I1471" t="str">
            <v>M³</v>
          </cell>
          <cell r="J1471" t="str">
            <v>KOLOM 50/50 (220 KG / M3 U.24) SITE MIX K - 175 MULTI 9 MM'</v>
          </cell>
          <cell r="K1471" t="str">
            <v>Harga per 1 M³ ……</v>
          </cell>
          <cell r="M1471" t="str">
            <v>Rp.</v>
          </cell>
          <cell r="N1471">
            <v>3644980</v>
          </cell>
        </row>
        <row r="1472">
          <cell r="B1472">
            <v>1465</v>
          </cell>
          <cell r="J1472" t="str">
            <v>Beton Site Mix K - 175</v>
          </cell>
          <cell r="K1472">
            <v>1</v>
          </cell>
          <cell r="L1472" t="str">
            <v>M3</v>
          </cell>
          <cell r="M1472">
            <v>609100</v>
          </cell>
          <cell r="N1472">
            <v>609100</v>
          </cell>
        </row>
        <row r="1473">
          <cell r="B1473">
            <v>1466</v>
          </cell>
          <cell r="J1473" t="str">
            <v>Besi beton U.24</v>
          </cell>
          <cell r="K1473">
            <v>225</v>
          </cell>
          <cell r="L1473" t="str">
            <v>KG</v>
          </cell>
          <cell r="M1473">
            <v>10040</v>
          </cell>
          <cell r="N1473">
            <v>2259000</v>
          </cell>
        </row>
        <row r="1474">
          <cell r="B1474">
            <v>1467</v>
          </cell>
          <cell r="J1474" t="str">
            <v>Bekisting Multiplex 9 mm (1 : 0,5 : 0,5) X (0,5 x 4)</v>
          </cell>
          <cell r="K1474">
            <v>8</v>
          </cell>
          <cell r="L1474" t="str">
            <v>M2</v>
          </cell>
          <cell r="M1474">
            <v>74860</v>
          </cell>
          <cell r="N1474">
            <v>598880</v>
          </cell>
        </row>
        <row r="1475">
          <cell r="B1475">
            <v>1468</v>
          </cell>
          <cell r="J1475" t="str">
            <v>Stoot Werk 0,25 x (1 : 12)</v>
          </cell>
          <cell r="K1475">
            <v>2.0832999999999999</v>
          </cell>
          <cell r="L1475" t="str">
            <v>M2</v>
          </cell>
          <cell r="M1475">
            <v>85440</v>
          </cell>
          <cell r="N1475">
            <v>177997.152</v>
          </cell>
        </row>
        <row r="1476">
          <cell r="B1476">
            <v>1469</v>
          </cell>
          <cell r="M1476" t="str">
            <v>Jumlah</v>
          </cell>
          <cell r="N1476">
            <v>3644977.1519999998</v>
          </cell>
        </row>
        <row r="1477">
          <cell r="B1477">
            <v>1470</v>
          </cell>
          <cell r="M1477" t="str">
            <v>Dibulatkan</v>
          </cell>
          <cell r="N1477">
            <v>3644980</v>
          </cell>
        </row>
        <row r="1478">
          <cell r="B1478">
            <v>1471</v>
          </cell>
        </row>
        <row r="1479">
          <cell r="A1479" t="str">
            <v>A139</v>
          </cell>
          <cell r="B1479">
            <v>1472</v>
          </cell>
          <cell r="H1479" t="str">
            <v>A139</v>
          </cell>
          <cell r="I1479" t="str">
            <v>M³</v>
          </cell>
          <cell r="J1479" t="str">
            <v>KOLOM 45/45 (245 KG / M3 U.24) SITE MIX K - 175 MULTI 9 MM'</v>
          </cell>
          <cell r="K1479" t="str">
            <v>Harga per 1 M³ ……</v>
          </cell>
          <cell r="M1479" t="str">
            <v>Rp.</v>
          </cell>
          <cell r="N1479">
            <v>3811920</v>
          </cell>
        </row>
        <row r="1480">
          <cell r="B1480">
            <v>1473</v>
          </cell>
          <cell r="J1480" t="str">
            <v>Beton Site Mix K - 175</v>
          </cell>
          <cell r="K1480">
            <v>1</v>
          </cell>
          <cell r="L1480" t="str">
            <v>M3</v>
          </cell>
          <cell r="M1480">
            <v>609100</v>
          </cell>
          <cell r="N1480">
            <v>609100</v>
          </cell>
        </row>
        <row r="1481">
          <cell r="B1481">
            <v>1474</v>
          </cell>
          <cell r="J1481" t="str">
            <v>Besi beton U.24</v>
          </cell>
          <cell r="K1481">
            <v>235</v>
          </cell>
          <cell r="L1481" t="str">
            <v>KG</v>
          </cell>
          <cell r="M1481">
            <v>10040</v>
          </cell>
          <cell r="N1481">
            <v>2359400</v>
          </cell>
        </row>
        <row r="1482">
          <cell r="B1482">
            <v>1475</v>
          </cell>
          <cell r="J1482" t="str">
            <v xml:space="preserve">Bekisting Multiplex 9 mm (1 : 0,45 : 0,45) X (0,45 x 4) </v>
          </cell>
          <cell r="K1482">
            <v>8.8888999999999996</v>
          </cell>
          <cell r="L1482" t="str">
            <v>M2</v>
          </cell>
          <cell r="M1482">
            <v>74860</v>
          </cell>
          <cell r="N1482">
            <v>665423.054</v>
          </cell>
        </row>
        <row r="1483">
          <cell r="B1483">
            <v>1476</v>
          </cell>
          <cell r="J1483" t="str">
            <v>Stoot Werk 0,25 x (1 : 12)</v>
          </cell>
          <cell r="K1483">
            <v>2.0832999999999999</v>
          </cell>
          <cell r="L1483" t="str">
            <v>M2</v>
          </cell>
          <cell r="M1483">
            <v>85440</v>
          </cell>
          <cell r="N1483">
            <v>177997.152</v>
          </cell>
        </row>
        <row r="1484">
          <cell r="B1484">
            <v>1477</v>
          </cell>
          <cell r="M1484" t="str">
            <v>Jumlah</v>
          </cell>
          <cell r="N1484">
            <v>3811920.2060000002</v>
          </cell>
        </row>
        <row r="1485">
          <cell r="B1485">
            <v>1478</v>
          </cell>
          <cell r="M1485" t="str">
            <v>Dibulatkan</v>
          </cell>
          <cell r="N1485">
            <v>3811920</v>
          </cell>
        </row>
        <row r="1486">
          <cell r="B1486">
            <v>1479</v>
          </cell>
        </row>
        <row r="1487">
          <cell r="A1487" t="str">
            <v>A140</v>
          </cell>
          <cell r="B1487">
            <v>1480</v>
          </cell>
          <cell r="H1487" t="str">
            <v>A140</v>
          </cell>
          <cell r="I1487" t="str">
            <v>M³</v>
          </cell>
          <cell r="J1487" t="str">
            <v>KOLOM 30/30 (245 KG / M3 U.24) SITE MIX K - 175 MULTI 9 MM'</v>
          </cell>
          <cell r="K1487" t="str">
            <v>Harga per 1 M³ ……</v>
          </cell>
          <cell r="M1487" t="str">
            <v>Rp.</v>
          </cell>
          <cell r="N1487">
            <v>4144630</v>
          </cell>
        </row>
        <row r="1488">
          <cell r="B1488">
            <v>1481</v>
          </cell>
          <cell r="J1488" t="str">
            <v>Beton Site Mix K - 175</v>
          </cell>
          <cell r="K1488">
            <v>1</v>
          </cell>
          <cell r="L1488" t="str">
            <v>M3</v>
          </cell>
          <cell r="M1488">
            <v>609100</v>
          </cell>
          <cell r="N1488">
            <v>609100</v>
          </cell>
        </row>
        <row r="1489">
          <cell r="B1489">
            <v>1482</v>
          </cell>
          <cell r="J1489" t="str">
            <v>Besi beton U.24</v>
          </cell>
          <cell r="K1489">
            <v>235</v>
          </cell>
          <cell r="L1489" t="str">
            <v>KG</v>
          </cell>
          <cell r="M1489">
            <v>10040</v>
          </cell>
          <cell r="N1489">
            <v>2359400</v>
          </cell>
        </row>
        <row r="1490">
          <cell r="B1490">
            <v>1483</v>
          </cell>
          <cell r="J1490" t="str">
            <v>Bekisting Multiplex 9 mm (1 : 0,30 : 0,30) X (0,30 x 4)</v>
          </cell>
          <cell r="K1490">
            <v>13.333299999999999</v>
          </cell>
          <cell r="L1490" t="str">
            <v>M2</v>
          </cell>
          <cell r="M1490">
            <v>74860</v>
          </cell>
          <cell r="N1490">
            <v>998130.83799999999</v>
          </cell>
        </row>
        <row r="1491">
          <cell r="B1491">
            <v>1484</v>
          </cell>
          <cell r="J1491" t="str">
            <v>Stoot Werk 0,25 x (1 : 12)</v>
          </cell>
          <cell r="K1491">
            <v>2.0832999999999999</v>
          </cell>
          <cell r="L1491" t="str">
            <v>M2</v>
          </cell>
          <cell r="M1491">
            <v>85440</v>
          </cell>
          <cell r="N1491">
            <v>177997.152</v>
          </cell>
        </row>
        <row r="1492">
          <cell r="B1492">
            <v>1485</v>
          </cell>
          <cell r="M1492" t="str">
            <v>Jumlah</v>
          </cell>
          <cell r="N1492">
            <v>4144627.99</v>
          </cell>
        </row>
        <row r="1493">
          <cell r="B1493">
            <v>1486</v>
          </cell>
          <cell r="M1493" t="str">
            <v>Dibulatkan</v>
          </cell>
          <cell r="N1493">
            <v>4144630</v>
          </cell>
        </row>
        <row r="1494">
          <cell r="B1494">
            <v>1487</v>
          </cell>
        </row>
        <row r="1495">
          <cell r="A1495" t="str">
            <v>A141</v>
          </cell>
          <cell r="B1495">
            <v>1488</v>
          </cell>
          <cell r="H1495" t="str">
            <v>A141</v>
          </cell>
          <cell r="I1495" t="str">
            <v>M³</v>
          </cell>
          <cell r="J1495" t="str">
            <v>BALOK 30/60 (200 KG / M3 U.24) SITE MIX K - 175 MULTI 9 MM'</v>
          </cell>
          <cell r="K1495" t="str">
            <v>Harga per 1 M³ ……</v>
          </cell>
          <cell r="M1495" t="str">
            <v>Rp.</v>
          </cell>
          <cell r="N1495">
            <v>3525730</v>
          </cell>
        </row>
        <row r="1496">
          <cell r="B1496">
            <v>1489</v>
          </cell>
          <cell r="J1496" t="str">
            <v xml:space="preserve">Beton Site Mix K - 175 </v>
          </cell>
          <cell r="K1496">
            <v>1</v>
          </cell>
          <cell r="L1496" t="str">
            <v>M3</v>
          </cell>
          <cell r="M1496">
            <v>609100</v>
          </cell>
          <cell r="N1496">
            <v>609100</v>
          </cell>
        </row>
        <row r="1497">
          <cell r="B1497">
            <v>1490</v>
          </cell>
          <cell r="J1497" t="str">
            <v>Besi beton U.24</v>
          </cell>
          <cell r="K1497">
            <v>200</v>
          </cell>
          <cell r="L1497" t="str">
            <v>KG</v>
          </cell>
          <cell r="M1497">
            <v>10040</v>
          </cell>
          <cell r="N1497">
            <v>2008000</v>
          </cell>
        </row>
        <row r="1498">
          <cell r="B1498">
            <v>1491</v>
          </cell>
          <cell r="J1498" t="str">
            <v>Bekisting Multiplex 9 mm (1 : 0,30 : 0,60) x (0,60 x 2 + 0.3)</v>
          </cell>
          <cell r="K1498">
            <v>8.3332999999999995</v>
          </cell>
          <cell r="L1498" t="str">
            <v>M2</v>
          </cell>
          <cell r="M1498">
            <v>74860</v>
          </cell>
          <cell r="N1498">
            <v>623830.83799999999</v>
          </cell>
        </row>
        <row r="1499">
          <cell r="B1499">
            <v>1492</v>
          </cell>
          <cell r="J1499" t="str">
            <v>Stoot Werk  (1 : 0,30 : 0.6) x (0.3 + 0.3 )</v>
          </cell>
          <cell r="K1499">
            <v>3.3332999999999999</v>
          </cell>
          <cell r="L1499" t="str">
            <v>M2</v>
          </cell>
          <cell r="M1499">
            <v>85440</v>
          </cell>
          <cell r="N1499">
            <v>284797.152</v>
          </cell>
        </row>
        <row r="1500">
          <cell r="B1500">
            <v>1493</v>
          </cell>
          <cell r="M1500" t="str">
            <v>Jumlah</v>
          </cell>
          <cell r="N1500">
            <v>3525727.99</v>
          </cell>
        </row>
        <row r="1501">
          <cell r="B1501">
            <v>1494</v>
          </cell>
          <cell r="M1501" t="str">
            <v>Dibulatkan</v>
          </cell>
          <cell r="N1501">
            <v>3525730</v>
          </cell>
        </row>
        <row r="1502">
          <cell r="B1502">
            <v>1495</v>
          </cell>
        </row>
        <row r="1503">
          <cell r="A1503" t="str">
            <v>A142</v>
          </cell>
          <cell r="B1503">
            <v>1496</v>
          </cell>
          <cell r="H1503" t="str">
            <v>A142</v>
          </cell>
          <cell r="I1503" t="str">
            <v>M³</v>
          </cell>
          <cell r="J1503" t="str">
            <v>BALOK 30/75 (195 KG / M3 U.24) SITE MIX K - 175 MULTI 9 MM'</v>
          </cell>
          <cell r="K1503" t="str">
            <v>Harga per 1 M³ ……</v>
          </cell>
          <cell r="M1503" t="str">
            <v>Rp.</v>
          </cell>
          <cell r="N1503">
            <v>3393620</v>
          </cell>
        </row>
        <row r="1504">
          <cell r="B1504">
            <v>1497</v>
          </cell>
          <cell r="J1504" t="str">
            <v>Beton Site Mix K - 175</v>
          </cell>
          <cell r="K1504">
            <v>1</v>
          </cell>
          <cell r="L1504" t="str">
            <v>M3</v>
          </cell>
          <cell r="M1504">
            <v>609100</v>
          </cell>
          <cell r="N1504">
            <v>609100</v>
          </cell>
        </row>
        <row r="1505">
          <cell r="B1505">
            <v>1498</v>
          </cell>
          <cell r="J1505" t="str">
            <v>Besi beton U.24</v>
          </cell>
          <cell r="K1505">
            <v>195</v>
          </cell>
          <cell r="L1505" t="str">
            <v>KG</v>
          </cell>
          <cell r="M1505">
            <v>10040</v>
          </cell>
          <cell r="N1505">
            <v>1957800</v>
          </cell>
        </row>
        <row r="1506">
          <cell r="B1506">
            <v>1499</v>
          </cell>
          <cell r="J1506" t="str">
            <v>Bekisting Multiplex 9 mm (1 : 0,3 : 0,75) x (0,75 x 2 + 0.3)</v>
          </cell>
          <cell r="K1506">
            <v>8</v>
          </cell>
          <cell r="L1506" t="str">
            <v>M2</v>
          </cell>
          <cell r="M1506">
            <v>74860</v>
          </cell>
          <cell r="N1506">
            <v>598880</v>
          </cell>
        </row>
        <row r="1507">
          <cell r="B1507">
            <v>1500</v>
          </cell>
          <cell r="J1507" t="str">
            <v>Stoot Werk  (1 : 0,30 : 0.75 x (0.3 + 0.3 )</v>
          </cell>
          <cell r="K1507">
            <v>2.6667000000000001</v>
          </cell>
          <cell r="L1507" t="str">
            <v>M2</v>
          </cell>
          <cell r="M1507">
            <v>85440</v>
          </cell>
          <cell r="N1507">
            <v>227842.848</v>
          </cell>
        </row>
        <row r="1508">
          <cell r="B1508">
            <v>1501</v>
          </cell>
          <cell r="M1508" t="str">
            <v>Jumlah</v>
          </cell>
          <cell r="N1508">
            <v>3393622.8480000002</v>
          </cell>
        </row>
        <row r="1509">
          <cell r="B1509">
            <v>1502</v>
          </cell>
          <cell r="M1509" t="str">
            <v>Dibulatkan</v>
          </cell>
          <cell r="N1509">
            <v>3393620</v>
          </cell>
        </row>
        <row r="1510">
          <cell r="B1510">
            <v>1503</v>
          </cell>
        </row>
        <row r="1511">
          <cell r="A1511" t="str">
            <v>A143</v>
          </cell>
          <cell r="B1511">
            <v>1504</v>
          </cell>
          <cell r="H1511" t="str">
            <v>A143</v>
          </cell>
          <cell r="I1511" t="str">
            <v>M³</v>
          </cell>
          <cell r="J1511" t="str">
            <v>BALOK 30/50 (175 KG / M3 U.24) SITE MIX K - 175 MULTI 9 MM'</v>
          </cell>
          <cell r="K1511" t="str">
            <v>Harga per 1 M³ ……</v>
          </cell>
          <cell r="M1511" t="str">
            <v>Rp.</v>
          </cell>
          <cell r="N1511">
            <v>3356650</v>
          </cell>
        </row>
        <row r="1512">
          <cell r="B1512">
            <v>1505</v>
          </cell>
          <cell r="J1512" t="str">
            <v>Beton Site Mix K - 175</v>
          </cell>
          <cell r="K1512">
            <v>1</v>
          </cell>
          <cell r="L1512" t="str">
            <v>M3</v>
          </cell>
          <cell r="M1512">
            <v>609100</v>
          </cell>
          <cell r="N1512">
            <v>609100</v>
          </cell>
        </row>
        <row r="1513">
          <cell r="B1513">
            <v>1506</v>
          </cell>
          <cell r="J1513" t="str">
            <v>Besi beton U.24 Hasil analisa</v>
          </cell>
          <cell r="K1513">
            <v>175</v>
          </cell>
          <cell r="L1513" t="str">
            <v>KG</v>
          </cell>
          <cell r="M1513">
            <v>10040</v>
          </cell>
          <cell r="N1513">
            <v>1757000</v>
          </cell>
        </row>
        <row r="1514">
          <cell r="B1514">
            <v>1507</v>
          </cell>
          <cell r="J1514" t="str">
            <v>Bekisting Multiplex 9 mm (1 : 0,3 : 0.50 ) x ( 0,50 x 2 + 0.3 )</v>
          </cell>
          <cell r="K1514">
            <v>8.6667000000000005</v>
          </cell>
          <cell r="L1514" t="str">
            <v>M2</v>
          </cell>
          <cell r="M1514">
            <v>74860</v>
          </cell>
          <cell r="N1514">
            <v>648789.16200000001</v>
          </cell>
        </row>
        <row r="1515">
          <cell r="B1515">
            <v>1508</v>
          </cell>
          <cell r="J1515" t="str">
            <v xml:space="preserve">Stoot Werk (1 : 0,30 : 0.50) x (0.3 + 0.3) </v>
          </cell>
          <cell r="K1515">
            <v>4</v>
          </cell>
          <cell r="L1515" t="str">
            <v>M2</v>
          </cell>
          <cell r="M1515">
            <v>85440</v>
          </cell>
          <cell r="N1515">
            <v>341760</v>
          </cell>
        </row>
        <row r="1516">
          <cell r="B1516">
            <v>1509</v>
          </cell>
          <cell r="N1516">
            <v>3356649.162</v>
          </cell>
        </row>
        <row r="1517">
          <cell r="B1517">
            <v>1510</v>
          </cell>
          <cell r="N1517">
            <v>3356650</v>
          </cell>
        </row>
        <row r="1518">
          <cell r="B1518">
            <v>1511</v>
          </cell>
        </row>
        <row r="1519">
          <cell r="A1519" t="str">
            <v>A144</v>
          </cell>
          <cell r="B1519">
            <v>1512</v>
          </cell>
          <cell r="H1519" t="str">
            <v>A144</v>
          </cell>
          <cell r="I1519" t="str">
            <v>M³</v>
          </cell>
          <cell r="J1519" t="str">
            <v>BALOK 30/45 (180 KG / M3 U.24) SITE MIX K - 175 MULTI 9 MM'</v>
          </cell>
          <cell r="K1519" t="str">
            <v>Harga per 1 M³ ……</v>
          </cell>
          <cell r="M1519" t="str">
            <v>Rp.</v>
          </cell>
          <cell r="N1519">
            <v>3461450</v>
          </cell>
        </row>
        <row r="1520">
          <cell r="B1520">
            <v>1513</v>
          </cell>
          <cell r="J1520" t="str">
            <v xml:space="preserve">Beton Site Mix K - 175 </v>
          </cell>
          <cell r="K1520">
            <v>1</v>
          </cell>
          <cell r="L1520" t="str">
            <v>M3</v>
          </cell>
          <cell r="M1520">
            <v>609100</v>
          </cell>
          <cell r="N1520">
            <v>609100</v>
          </cell>
        </row>
        <row r="1521">
          <cell r="B1521">
            <v>1514</v>
          </cell>
          <cell r="J1521" t="str">
            <v>Besi beton U.24</v>
          </cell>
          <cell r="K1521">
            <v>180</v>
          </cell>
          <cell r="L1521" t="str">
            <v>KG</v>
          </cell>
          <cell r="M1521">
            <v>10040</v>
          </cell>
          <cell r="N1521">
            <v>1807200</v>
          </cell>
        </row>
        <row r="1522">
          <cell r="B1522">
            <v>1515</v>
          </cell>
          <cell r="J1522" t="str">
            <v>Bekisting Multiplex 9 mm (1 : 0,3 : 0,45 ) x ( 0,45 x 2 + 0.3 )</v>
          </cell>
          <cell r="K1522">
            <v>8.8888999999999996</v>
          </cell>
          <cell r="L1522" t="str">
            <v>M2</v>
          </cell>
          <cell r="M1522">
            <v>74860</v>
          </cell>
          <cell r="N1522">
            <v>665423.054</v>
          </cell>
        </row>
        <row r="1523">
          <cell r="B1523">
            <v>1516</v>
          </cell>
          <cell r="J1523" t="str">
            <v>Stoot Werk (1 : 0,30 : 0.45 x (0.3 + 0.3)</v>
          </cell>
          <cell r="K1523">
            <v>4.4443999999999999</v>
          </cell>
          <cell r="L1523" t="str">
            <v>M2</v>
          </cell>
          <cell r="M1523">
            <v>85440</v>
          </cell>
          <cell r="N1523">
            <v>379729.53599999996</v>
          </cell>
        </row>
        <row r="1524">
          <cell r="B1524">
            <v>1517</v>
          </cell>
          <cell r="M1524" t="str">
            <v>Jumlah</v>
          </cell>
          <cell r="N1524">
            <v>3461452.59</v>
          </cell>
        </row>
        <row r="1525">
          <cell r="B1525">
            <v>1518</v>
          </cell>
          <cell r="M1525" t="str">
            <v>Dibulatkan</v>
          </cell>
          <cell r="N1525">
            <v>3461450</v>
          </cell>
        </row>
        <row r="1526">
          <cell r="B1526">
            <v>1519</v>
          </cell>
        </row>
        <row r="1527">
          <cell r="A1527" t="str">
            <v>A145</v>
          </cell>
          <cell r="B1527">
            <v>1520</v>
          </cell>
          <cell r="H1527" t="str">
            <v>A145</v>
          </cell>
          <cell r="I1527" t="str">
            <v>M³</v>
          </cell>
          <cell r="J1527" t="str">
            <v>BALOK 20/30 (190 KG / M3 U.24) SITE MIX K - 175 MULTI 9 MM'</v>
          </cell>
          <cell r="K1527" t="str">
            <v>Harga per 1 M³ ……</v>
          </cell>
          <cell r="M1527" t="str">
            <v>Rp.</v>
          </cell>
          <cell r="N1527">
            <v>4494000</v>
          </cell>
        </row>
        <row r="1528">
          <cell r="B1528">
            <v>1521</v>
          </cell>
          <cell r="J1528" t="str">
            <v>Beton Site Mix K - 175</v>
          </cell>
          <cell r="K1528">
            <v>1</v>
          </cell>
          <cell r="L1528" t="str">
            <v>M3</v>
          </cell>
          <cell r="M1528">
            <v>609100</v>
          </cell>
          <cell r="N1528">
            <v>609100</v>
          </cell>
        </row>
        <row r="1529">
          <cell r="B1529">
            <v>1522</v>
          </cell>
          <cell r="J1529" t="str">
            <v>Besi beton U.24</v>
          </cell>
          <cell r="K1529">
            <v>190</v>
          </cell>
          <cell r="L1529" t="str">
            <v>KG</v>
          </cell>
          <cell r="M1529">
            <v>10040</v>
          </cell>
          <cell r="N1529">
            <v>1907600</v>
          </cell>
        </row>
        <row r="1530">
          <cell r="B1530">
            <v>1523</v>
          </cell>
          <cell r="J1530" t="str">
            <v>Bekisting Multiplex 9 mm (1 : 0,2 : 0,3 ) x ( 0,3 x 2 + 0.3 )</v>
          </cell>
          <cell r="K1530">
            <v>15</v>
          </cell>
          <cell r="L1530" t="str">
            <v>M2</v>
          </cell>
          <cell r="M1530">
            <v>74860</v>
          </cell>
          <cell r="N1530">
            <v>1122900</v>
          </cell>
        </row>
        <row r="1531">
          <cell r="B1531">
            <v>1524</v>
          </cell>
          <cell r="J1531" t="str">
            <v xml:space="preserve">Stoot Werk (1 : 0,2 : 0.3 x (0.3 + 0.3) </v>
          </cell>
          <cell r="K1531">
            <v>10</v>
          </cell>
          <cell r="L1531" t="str">
            <v>M2</v>
          </cell>
          <cell r="M1531">
            <v>85440</v>
          </cell>
          <cell r="N1531">
            <v>854400</v>
          </cell>
        </row>
        <row r="1532">
          <cell r="B1532">
            <v>1525</v>
          </cell>
          <cell r="M1532" t="str">
            <v>Jumlah</v>
          </cell>
          <cell r="N1532">
            <v>4494000</v>
          </cell>
        </row>
        <row r="1533">
          <cell r="B1533">
            <v>1526</v>
          </cell>
          <cell r="M1533" t="str">
            <v>Dibulatkan</v>
          </cell>
          <cell r="N1533">
            <v>4494000</v>
          </cell>
        </row>
        <row r="1534">
          <cell r="B1534">
            <v>1527</v>
          </cell>
        </row>
        <row r="1535">
          <cell r="A1535" t="str">
            <v>A146</v>
          </cell>
          <cell r="B1535">
            <v>1528</v>
          </cell>
          <cell r="H1535" t="str">
            <v>A146</v>
          </cell>
          <cell r="I1535" t="str">
            <v>M³</v>
          </cell>
          <cell r="J1535" t="str">
            <v>BALOK 15/20 (215 KG / M3 U.24) SITE MIX K - 175 MULTI 9 MM'</v>
          </cell>
          <cell r="K1535" t="str">
            <v>Harga per 1 M³ ……</v>
          </cell>
          <cell r="M1535" t="str">
            <v>Rp.</v>
          </cell>
          <cell r="N1535">
            <v>5421730</v>
          </cell>
        </row>
        <row r="1536">
          <cell r="B1536">
            <v>1529</v>
          </cell>
          <cell r="J1536" t="str">
            <v>Beton Site Mix K - 175</v>
          </cell>
          <cell r="K1536">
            <v>1</v>
          </cell>
          <cell r="L1536" t="str">
            <v>M3</v>
          </cell>
          <cell r="M1536">
            <v>609100</v>
          </cell>
          <cell r="N1536">
            <v>609100</v>
          </cell>
        </row>
        <row r="1537">
          <cell r="B1537">
            <v>1530</v>
          </cell>
          <cell r="J1537" t="str">
            <v>Besi beton U.24</v>
          </cell>
          <cell r="K1537">
            <v>215</v>
          </cell>
          <cell r="L1537" t="str">
            <v>KG</v>
          </cell>
          <cell r="M1537">
            <v>10040</v>
          </cell>
          <cell r="N1537">
            <v>2158600</v>
          </cell>
        </row>
        <row r="1538">
          <cell r="B1538">
            <v>1531</v>
          </cell>
          <cell r="J1538" t="str">
            <v>Bekisting Multiplex 9 mm (1 : 0,15 : 0,2) x (0,2 x 2 + 0.15)</v>
          </cell>
          <cell r="K1538">
            <v>18.333300000000001</v>
          </cell>
          <cell r="L1538" t="str">
            <v>M2</v>
          </cell>
          <cell r="M1538">
            <v>74860</v>
          </cell>
          <cell r="N1538">
            <v>1372430.838</v>
          </cell>
        </row>
        <row r="1539">
          <cell r="B1539">
            <v>1532</v>
          </cell>
          <cell r="J1539" t="str">
            <v>Stoot Werk (1 : 0,15 : 0.2 x (0.15 + 0.3)</v>
          </cell>
          <cell r="K1539">
            <v>15</v>
          </cell>
          <cell r="L1539" t="str">
            <v>M2</v>
          </cell>
          <cell r="M1539">
            <v>85440</v>
          </cell>
          <cell r="N1539">
            <v>1281600</v>
          </cell>
        </row>
        <row r="1540">
          <cell r="B1540">
            <v>1533</v>
          </cell>
          <cell r="M1540" t="str">
            <v>Jumlah</v>
          </cell>
          <cell r="N1540">
            <v>5421730.8379999995</v>
          </cell>
        </row>
        <row r="1541">
          <cell r="B1541">
            <v>1534</v>
          </cell>
          <cell r="M1541" t="str">
            <v>Dibulatkan</v>
          </cell>
          <cell r="N1541">
            <v>5421730</v>
          </cell>
        </row>
        <row r="1542">
          <cell r="B1542">
            <v>1535</v>
          </cell>
        </row>
        <row r="1543">
          <cell r="A1543" t="str">
            <v>A147</v>
          </cell>
          <cell r="B1543">
            <v>1536</v>
          </cell>
          <cell r="H1543" t="str">
            <v>A147</v>
          </cell>
          <cell r="I1543" t="str">
            <v>M³</v>
          </cell>
          <cell r="J1543" t="str">
            <v>BALOK 20/40 (205 KG / M3 U.24) SITE MIX K - 175 MULTI 9 MM'</v>
          </cell>
          <cell r="K1543" t="str">
            <v>Harga per 1 M³ ……</v>
          </cell>
          <cell r="M1543" t="str">
            <v>Rp.</v>
          </cell>
          <cell r="N1543">
            <v>4331030</v>
          </cell>
        </row>
        <row r="1544">
          <cell r="B1544">
            <v>1537</v>
          </cell>
          <cell r="J1544" t="str">
            <v>Beton Site Mix K - 175</v>
          </cell>
          <cell r="K1544">
            <v>1</v>
          </cell>
          <cell r="L1544" t="str">
            <v>M3</v>
          </cell>
          <cell r="M1544">
            <v>609100</v>
          </cell>
          <cell r="N1544">
            <v>609100</v>
          </cell>
        </row>
        <row r="1545">
          <cell r="B1545">
            <v>1538</v>
          </cell>
          <cell r="J1545" t="str">
            <v>Besi beton U.24</v>
          </cell>
          <cell r="K1545">
            <v>215</v>
          </cell>
          <cell r="L1545" t="str">
            <v>KG</v>
          </cell>
          <cell r="M1545">
            <v>10040</v>
          </cell>
          <cell r="N1545">
            <v>2158600</v>
          </cell>
        </row>
        <row r="1546">
          <cell r="B1546">
            <v>1539</v>
          </cell>
          <cell r="J1546" t="str">
            <v>Bekisting Multiplex 9 mm (1 : 0,2 : 0.4 x (0,4 x 2 + 0.3)</v>
          </cell>
          <cell r="K1546">
            <v>13.75</v>
          </cell>
          <cell r="L1546" t="str">
            <v>M2</v>
          </cell>
          <cell r="M1546">
            <v>74860</v>
          </cell>
          <cell r="N1546">
            <v>1029325</v>
          </cell>
        </row>
        <row r="1547">
          <cell r="B1547">
            <v>1540</v>
          </cell>
          <cell r="J1547" t="str">
            <v>Stoot Werk (1 : 0,2 : 0.4 x (0.2 + 0.3)</v>
          </cell>
          <cell r="K1547">
            <v>6.25</v>
          </cell>
          <cell r="L1547" t="str">
            <v>M2</v>
          </cell>
          <cell r="M1547">
            <v>85440</v>
          </cell>
          <cell r="N1547">
            <v>534000</v>
          </cell>
        </row>
        <row r="1548">
          <cell r="B1548">
            <v>1541</v>
          </cell>
          <cell r="M1548" t="str">
            <v>Jumlah</v>
          </cell>
          <cell r="N1548">
            <v>4331025</v>
          </cell>
        </row>
        <row r="1549">
          <cell r="B1549">
            <v>1542</v>
          </cell>
          <cell r="M1549" t="str">
            <v>Dibulatkan</v>
          </cell>
          <cell r="N1549">
            <v>4331030</v>
          </cell>
        </row>
        <row r="1550">
          <cell r="B1550">
            <v>1543</v>
          </cell>
        </row>
        <row r="1551">
          <cell r="B1551">
            <v>1544</v>
          </cell>
        </row>
        <row r="1552">
          <cell r="A1552" t="str">
            <v>A148</v>
          </cell>
          <cell r="B1552">
            <v>1545</v>
          </cell>
          <cell r="H1552" t="str">
            <v>A148</v>
          </cell>
          <cell r="I1552" t="str">
            <v>M³</v>
          </cell>
          <cell r="J1552" t="str">
            <v>PLAT LANTAI  t = 12 cm ( 130 KG / M3 U. 24 ) SITE MIX K- 175 MULTI 9 MM'</v>
          </cell>
          <cell r="K1552" t="str">
            <v>Harga per 1 M³ ……</v>
          </cell>
          <cell r="M1552" t="str">
            <v>Rp.</v>
          </cell>
          <cell r="N1552">
            <v>3250130</v>
          </cell>
        </row>
        <row r="1553">
          <cell r="B1553">
            <v>1546</v>
          </cell>
          <cell r="J1553" t="str">
            <v xml:space="preserve">Beton Site Mix K - 175 </v>
          </cell>
          <cell r="K1553">
            <v>1</v>
          </cell>
          <cell r="L1553" t="str">
            <v>M3</v>
          </cell>
          <cell r="M1553">
            <v>609100</v>
          </cell>
          <cell r="N1553">
            <v>609100</v>
          </cell>
        </row>
        <row r="1554">
          <cell r="B1554">
            <v>1547</v>
          </cell>
          <cell r="J1554" t="str">
            <v xml:space="preserve">Besi beton U.24 </v>
          </cell>
          <cell r="K1554">
            <v>130</v>
          </cell>
          <cell r="L1554" t="str">
            <v>KG</v>
          </cell>
          <cell r="M1554">
            <v>10040</v>
          </cell>
          <cell r="N1554">
            <v>1305200</v>
          </cell>
        </row>
        <row r="1555">
          <cell r="B1555">
            <v>1548</v>
          </cell>
          <cell r="J1555" t="str">
            <v xml:space="preserve">Bekisting Multiplex 9 mm (1 : 0 : 12 ) </v>
          </cell>
          <cell r="K1555">
            <v>8.3332999999999995</v>
          </cell>
          <cell r="L1555" t="str">
            <v>M2</v>
          </cell>
          <cell r="M1555">
            <v>74860</v>
          </cell>
          <cell r="N1555">
            <v>623830.83799999999</v>
          </cell>
        </row>
        <row r="1556">
          <cell r="B1556">
            <v>1549</v>
          </cell>
          <cell r="J1556" t="str">
            <v>Stoot Werk (1 : 0,12)</v>
          </cell>
          <cell r="K1556">
            <v>8.3332999999999995</v>
          </cell>
          <cell r="L1556" t="str">
            <v>M2</v>
          </cell>
          <cell r="M1556">
            <v>85440</v>
          </cell>
          <cell r="N1556">
            <v>711997.152</v>
          </cell>
        </row>
        <row r="1557">
          <cell r="B1557">
            <v>1550</v>
          </cell>
          <cell r="M1557" t="str">
            <v>Jumlah</v>
          </cell>
          <cell r="N1557">
            <v>3250127.99</v>
          </cell>
        </row>
        <row r="1558">
          <cell r="B1558">
            <v>1551</v>
          </cell>
          <cell r="M1558" t="str">
            <v>Dibulatkan</v>
          </cell>
          <cell r="N1558">
            <v>3250130</v>
          </cell>
        </row>
        <row r="1559">
          <cell r="B1559">
            <v>1552</v>
          </cell>
        </row>
        <row r="1560">
          <cell r="A1560" t="str">
            <v>A149</v>
          </cell>
          <cell r="B1560">
            <v>1553</v>
          </cell>
          <cell r="H1560" t="str">
            <v>A149</v>
          </cell>
          <cell r="I1560" t="str">
            <v>M³</v>
          </cell>
          <cell r="J1560" t="str">
            <v>PLAT LANTAI  t = 15 cm ( 115 KG / M3 U. 24 ) SITE MIX K- 175 MULTI 9 MM'</v>
          </cell>
          <cell r="K1560" t="str">
            <v>Harga per 1 M³ ……</v>
          </cell>
          <cell r="M1560" t="str">
            <v>Rp.</v>
          </cell>
          <cell r="N1560">
            <v>2982970</v>
          </cell>
        </row>
        <row r="1561">
          <cell r="B1561">
            <v>1554</v>
          </cell>
          <cell r="J1561" t="str">
            <v xml:space="preserve">Beton Site Mix K - 175 </v>
          </cell>
          <cell r="K1561">
            <v>1</v>
          </cell>
          <cell r="L1561" t="str">
            <v>M3</v>
          </cell>
          <cell r="M1561">
            <v>609100</v>
          </cell>
          <cell r="N1561">
            <v>609100</v>
          </cell>
        </row>
        <row r="1562">
          <cell r="B1562">
            <v>1555</v>
          </cell>
          <cell r="J1562" t="str">
            <v>Besi beton U.24</v>
          </cell>
          <cell r="K1562">
            <v>130</v>
          </cell>
          <cell r="L1562" t="str">
            <v>KG</v>
          </cell>
          <cell r="M1562">
            <v>10040</v>
          </cell>
          <cell r="N1562">
            <v>1305200</v>
          </cell>
        </row>
        <row r="1563">
          <cell r="B1563">
            <v>1556</v>
          </cell>
          <cell r="J1563" t="str">
            <v xml:space="preserve">Bekisting Multiplex 9 mm (1 : 0 : 15 ) </v>
          </cell>
          <cell r="K1563">
            <v>6.6666999999999996</v>
          </cell>
          <cell r="L1563" t="str">
            <v>M2</v>
          </cell>
          <cell r="M1563">
            <v>74860</v>
          </cell>
          <cell r="N1563">
            <v>499069.16199999995</v>
          </cell>
        </row>
        <row r="1564">
          <cell r="B1564">
            <v>1557</v>
          </cell>
          <cell r="J1564" t="str">
            <v>Stoot Werk (1 : 0,15 )</v>
          </cell>
          <cell r="K1564">
            <v>6.6666999999999996</v>
          </cell>
          <cell r="L1564" t="str">
            <v>M2</v>
          </cell>
          <cell r="M1564">
            <v>85440</v>
          </cell>
          <cell r="N1564">
            <v>569602.848</v>
          </cell>
        </row>
        <row r="1565">
          <cell r="B1565">
            <v>1558</v>
          </cell>
          <cell r="M1565" t="str">
            <v>Jumlah</v>
          </cell>
          <cell r="N1565">
            <v>2982972.01</v>
          </cell>
        </row>
        <row r="1566">
          <cell r="B1566">
            <v>1559</v>
          </cell>
          <cell r="M1566" t="str">
            <v>Dibulatkan</v>
          </cell>
          <cell r="N1566">
            <v>2982970</v>
          </cell>
        </row>
        <row r="1567">
          <cell r="B1567">
            <v>1560</v>
          </cell>
        </row>
        <row r="1568">
          <cell r="A1568" t="str">
            <v>A150</v>
          </cell>
          <cell r="B1568">
            <v>1561</v>
          </cell>
          <cell r="H1568" t="str">
            <v>A150</v>
          </cell>
          <cell r="I1568" t="str">
            <v>M³</v>
          </cell>
          <cell r="J1568" t="str">
            <v>PLAT LANTAI  t = 10 cm ( 120 KG / M3 U. 24 ) SITE MIX K- 175 MULTI 9 MM'</v>
          </cell>
          <cell r="K1568" t="str">
            <v>Harga per 1 M³ ……</v>
          </cell>
          <cell r="M1568" t="str">
            <v>Rp.</v>
          </cell>
          <cell r="N1568">
            <v>3416900</v>
          </cell>
        </row>
        <row r="1569">
          <cell r="B1569">
            <v>1562</v>
          </cell>
          <cell r="J1569" t="str">
            <v>Beton Site Mix K - 175</v>
          </cell>
          <cell r="K1569">
            <v>1</v>
          </cell>
          <cell r="L1569" t="str">
            <v>M3</v>
          </cell>
          <cell r="M1569">
            <v>609100</v>
          </cell>
          <cell r="N1569">
            <v>609100</v>
          </cell>
        </row>
        <row r="1570">
          <cell r="B1570">
            <v>1563</v>
          </cell>
          <cell r="J1570" t="str">
            <v>Besi beton U.24</v>
          </cell>
          <cell r="K1570">
            <v>120</v>
          </cell>
          <cell r="L1570" t="str">
            <v>KG</v>
          </cell>
          <cell r="M1570">
            <v>10040</v>
          </cell>
          <cell r="N1570">
            <v>1204800</v>
          </cell>
        </row>
        <row r="1571">
          <cell r="B1571">
            <v>1564</v>
          </cell>
          <cell r="J1571" t="str">
            <v>Bekisting Multiplex 9 mm (1 : 0 : 10 )</v>
          </cell>
          <cell r="K1571">
            <v>10</v>
          </cell>
          <cell r="L1571" t="str">
            <v>M2</v>
          </cell>
          <cell r="M1571">
            <v>74860</v>
          </cell>
          <cell r="N1571">
            <v>748600</v>
          </cell>
        </row>
        <row r="1572">
          <cell r="B1572">
            <v>1565</v>
          </cell>
          <cell r="J1572" t="str">
            <v>Stoot Werk (1 : 0,10 )</v>
          </cell>
          <cell r="K1572">
            <v>10</v>
          </cell>
          <cell r="L1572" t="str">
            <v>M2</v>
          </cell>
          <cell r="M1572">
            <v>85440</v>
          </cell>
          <cell r="N1572">
            <v>854400</v>
          </cell>
        </row>
        <row r="1573">
          <cell r="B1573">
            <v>1566</v>
          </cell>
          <cell r="M1573" t="str">
            <v>Jumlah</v>
          </cell>
          <cell r="N1573">
            <v>3416900</v>
          </cell>
        </row>
        <row r="1574">
          <cell r="B1574">
            <v>1567</v>
          </cell>
          <cell r="M1574" t="str">
            <v>Dibulatkan</v>
          </cell>
          <cell r="N1574">
            <v>3416900</v>
          </cell>
        </row>
        <row r="1575">
          <cell r="B1575">
            <v>1568</v>
          </cell>
        </row>
        <row r="1576">
          <cell r="A1576" t="str">
            <v>A151</v>
          </cell>
          <cell r="B1576">
            <v>1569</v>
          </cell>
          <cell r="H1576" t="str">
            <v>A151</v>
          </cell>
          <cell r="I1576" t="str">
            <v>M³</v>
          </cell>
          <cell r="J1576" t="str">
            <v>PLAT LANTAI  t = 10 cm ( 75 KG / M3 U. 24 ) SITE MIX K- 175 MULTI 9 MM'</v>
          </cell>
          <cell r="K1576" t="str">
            <v>Harga per 1 M³ ……</v>
          </cell>
          <cell r="M1576" t="str">
            <v>Rp.</v>
          </cell>
          <cell r="N1576">
            <v>2965100</v>
          </cell>
        </row>
        <row r="1577">
          <cell r="B1577">
            <v>1570</v>
          </cell>
          <cell r="J1577" t="str">
            <v>Beton Site Mix K - 175</v>
          </cell>
          <cell r="K1577">
            <v>1</v>
          </cell>
          <cell r="L1577" t="str">
            <v>M3</v>
          </cell>
          <cell r="M1577">
            <v>609100</v>
          </cell>
          <cell r="N1577">
            <v>609100</v>
          </cell>
        </row>
        <row r="1578">
          <cell r="B1578">
            <v>1571</v>
          </cell>
          <cell r="J1578" t="str">
            <v>Besi beton U.24</v>
          </cell>
          <cell r="K1578">
            <v>75</v>
          </cell>
          <cell r="L1578" t="str">
            <v>KG</v>
          </cell>
          <cell r="M1578">
            <v>10040</v>
          </cell>
          <cell r="N1578">
            <v>753000</v>
          </cell>
        </row>
        <row r="1579">
          <cell r="B1579">
            <v>1572</v>
          </cell>
          <cell r="J1579" t="str">
            <v>Bekisting Multiplex 9 mm (1 : 0 :10 )</v>
          </cell>
          <cell r="K1579">
            <v>10</v>
          </cell>
          <cell r="L1579" t="str">
            <v>M2</v>
          </cell>
          <cell r="M1579">
            <v>74860</v>
          </cell>
          <cell r="N1579">
            <v>748600</v>
          </cell>
        </row>
        <row r="1580">
          <cell r="B1580">
            <v>1573</v>
          </cell>
          <cell r="J1580" t="str">
            <v xml:space="preserve">Stoot Werk (1 : 0,10 ) </v>
          </cell>
          <cell r="K1580">
            <v>10</v>
          </cell>
          <cell r="L1580" t="str">
            <v>M2</v>
          </cell>
          <cell r="M1580">
            <v>85440</v>
          </cell>
          <cell r="N1580">
            <v>854400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Sinonoan"/>
      <sheetName val="RINGKAS"/>
      <sheetName val="Surat"/>
      <sheetName val="SCHE"/>
      <sheetName val="SCHE (2)"/>
    </sheetNames>
    <sheetDataSet>
      <sheetData sheetId="0">
        <row r="1792">
          <cell r="A1792" t="str">
            <v>Bangun Purba - Sibanggor Jae</v>
          </cell>
        </row>
        <row r="1793">
          <cell r="A1793" t="str">
            <v>DIREKTORAT JENDERAL BINA MARGA</v>
          </cell>
        </row>
        <row r="1794">
          <cell r="A1794" t="str">
            <v>DIREKTORAT BINA PROGRAM JALAN</v>
          </cell>
          <cell r="G1794" t="str">
            <v>ANALISA  HARGA  SATUAN</v>
          </cell>
          <cell r="K1794" t="str">
            <v>K O D E</v>
          </cell>
        </row>
        <row r="1795">
          <cell r="A1795" t="str">
            <v>SUB DIT. PERENC. JALAN LOKAL &amp;</v>
          </cell>
          <cell r="G1795" t="str">
            <v xml:space="preserve">Lapis Aspal Pelekat </v>
          </cell>
          <cell r="K1795" t="str">
            <v>K 620</v>
          </cell>
        </row>
        <row r="1796">
          <cell r="A1796" t="str">
            <v>KABUPATEN</v>
          </cell>
          <cell r="G1796" t="str">
            <v>( TAEC COAT )</v>
          </cell>
        </row>
        <row r="1797">
          <cell r="A1797" t="str">
            <v>Propinsi</v>
          </cell>
          <cell r="D1797" t="str">
            <v>Kode</v>
          </cell>
          <cell r="E1797" t="str">
            <v>Kabupaten</v>
          </cell>
          <cell r="H1797" t="str">
            <v>Kode</v>
          </cell>
          <cell r="I1797" t="str">
            <v>Disiapkan  Oleh</v>
          </cell>
          <cell r="K1797" t="str">
            <v>Tanggal</v>
          </cell>
        </row>
        <row r="1798">
          <cell r="A1798" t="str">
            <v>Sumatera Utara</v>
          </cell>
          <cell r="D1798" t="str">
            <v>12</v>
          </cell>
          <cell r="E1798" t="str">
            <v>Mandailing Natal</v>
          </cell>
        </row>
        <row r="1800">
          <cell r="A1800" t="str">
            <v xml:space="preserve"> URAIAN  :</v>
          </cell>
          <cell r="G1800" t="str">
            <v xml:space="preserve"> ANGGAPAN / ASUMSI  :</v>
          </cell>
        </row>
        <row r="1801">
          <cell r="A1801" t="str">
            <v xml:space="preserve"> 1. Pekerjaan harus dilaksanakan sesuai Bab 6.2 Spek. Umum</v>
          </cell>
          <cell r="G1801" t="str">
            <v xml:space="preserve"> 1. Harga bahan, prongko ( siap dilokasi )</v>
          </cell>
        </row>
        <row r="1802">
          <cell r="A1802" t="str">
            <v xml:space="preserve">     Jalan Kabupaten B.M Maret 92.</v>
          </cell>
          <cell r="G1802" t="str">
            <v xml:space="preserve"> 2. Perbandingan aspal dengan minyak tanah = 100 bagian aspal </v>
          </cell>
        </row>
        <row r="1803">
          <cell r="A1803" t="str">
            <v xml:space="preserve"> 2. Tingkat penyemprotan 10 km/m2 disemprot mempergunakan</v>
          </cell>
          <cell r="G1803" t="str">
            <v xml:space="preserve">     100 bagian minyak tanah berdasarkan berat.</v>
          </cell>
        </row>
        <row r="1804">
          <cell r="A1804" t="str">
            <v xml:space="preserve">      mesin penyemprot aspal.</v>
          </cell>
          <cell r="G1804" t="str">
            <v xml:space="preserve"> 3. Berat jenis minyak tanah = 0,86</v>
          </cell>
        </row>
        <row r="1812">
          <cell r="B1812" t="str">
            <v>P e k e r j a</v>
          </cell>
          <cell r="E1812" t="str">
            <v>Jumlah</v>
          </cell>
          <cell r="F1812" t="str">
            <v>Hari</v>
          </cell>
          <cell r="G1812" t="str">
            <v>Kode</v>
          </cell>
          <cell r="H1812" t="str">
            <v>Jumlah</v>
          </cell>
          <cell r="I1812" t="str">
            <v>Upah</v>
          </cell>
          <cell r="J1812" t="str">
            <v>Biaya</v>
          </cell>
          <cell r="K1812" t="str">
            <v>Sub Total</v>
          </cell>
        </row>
        <row r="1813">
          <cell r="E1813" t="str">
            <v>Orang</v>
          </cell>
          <cell r="H1813" t="str">
            <v>Hr-Org</v>
          </cell>
          <cell r="I1813" t="str">
            <v>(Rp./Org/Hr)</v>
          </cell>
          <cell r="J1813" t="str">
            <v>(Rp.)</v>
          </cell>
          <cell r="K1813" t="str">
            <v>(Rp.)</v>
          </cell>
        </row>
        <row r="1815">
          <cell r="A1815" t="str">
            <v>P</v>
          </cell>
          <cell r="B1815" t="str">
            <v xml:space="preserve"> Mandor</v>
          </cell>
          <cell r="E1815">
            <v>1</v>
          </cell>
          <cell r="F1815">
            <v>50</v>
          </cell>
          <cell r="G1815" t="str">
            <v>L 061</v>
          </cell>
          <cell r="H1815">
            <v>50</v>
          </cell>
          <cell r="I1815">
            <v>35000</v>
          </cell>
          <cell r="J1815">
            <v>1750000</v>
          </cell>
        </row>
        <row r="1816">
          <cell r="A1816" t="str">
            <v>E</v>
          </cell>
          <cell r="B1816" t="str">
            <v xml:space="preserve"> Operator terampil</v>
          </cell>
          <cell r="E1816">
            <v>1</v>
          </cell>
          <cell r="F1816">
            <v>1</v>
          </cell>
          <cell r="G1816" t="str">
            <v>L 081</v>
          </cell>
          <cell r="H1816">
            <v>1</v>
          </cell>
          <cell r="I1816">
            <v>31000</v>
          </cell>
          <cell r="J1816">
            <v>31000</v>
          </cell>
        </row>
        <row r="1817">
          <cell r="A1817" t="str">
            <v>K</v>
          </cell>
          <cell r="B1817" t="str">
            <v xml:space="preserve"> Pembantu Operator </v>
          </cell>
          <cell r="E1817">
            <v>1</v>
          </cell>
          <cell r="F1817">
            <v>1</v>
          </cell>
          <cell r="G1817" t="str">
            <v>L 083</v>
          </cell>
          <cell r="H1817">
            <v>1</v>
          </cell>
          <cell r="I1817">
            <v>22000</v>
          </cell>
          <cell r="J1817">
            <v>22000</v>
          </cell>
        </row>
        <row r="1818">
          <cell r="A1818" t="str">
            <v>E</v>
          </cell>
          <cell r="B1818" t="str">
            <v xml:space="preserve"> Buruh tak terampil</v>
          </cell>
          <cell r="E1818">
            <v>2</v>
          </cell>
          <cell r="F1818">
            <v>1</v>
          </cell>
          <cell r="G1818" t="str">
            <v>L 101</v>
          </cell>
          <cell r="H1818">
            <v>2</v>
          </cell>
          <cell r="I1818">
            <v>20000</v>
          </cell>
          <cell r="J1818">
            <v>40000</v>
          </cell>
        </row>
        <row r="1819">
          <cell r="A1819" t="str">
            <v>R</v>
          </cell>
        </row>
        <row r="1820">
          <cell r="A1820" t="str">
            <v>J</v>
          </cell>
        </row>
        <row r="1821">
          <cell r="A1821" t="str">
            <v>A</v>
          </cell>
        </row>
        <row r="1824">
          <cell r="J1824" t="str">
            <v>Pekerja</v>
          </cell>
          <cell r="K1824">
            <v>1843000</v>
          </cell>
        </row>
        <row r="1825">
          <cell r="B1825" t="str">
            <v>M a t e r i a l</v>
          </cell>
          <cell r="E1825" t="str">
            <v>Jumlah</v>
          </cell>
          <cell r="F1825" t="str">
            <v>Satuan</v>
          </cell>
          <cell r="G1825" t="str">
            <v>Kode</v>
          </cell>
          <cell r="H1825" t="str">
            <v>Total</v>
          </cell>
          <cell r="I1825" t="str">
            <v>Harga</v>
          </cell>
          <cell r="J1825" t="str">
            <v>Biaya</v>
          </cell>
          <cell r="K1825" t="str">
            <v>Sub Total</v>
          </cell>
        </row>
        <row r="1826">
          <cell r="H1826" t="str">
            <v>Volume</v>
          </cell>
          <cell r="I1826" t="str">
            <v>(Rp./Unit)</v>
          </cell>
          <cell r="J1826" t="str">
            <v>(Rp.)</v>
          </cell>
          <cell r="K1826" t="str">
            <v>(Rp.)</v>
          </cell>
        </row>
        <row r="1828">
          <cell r="A1828" t="str">
            <v>M</v>
          </cell>
          <cell r="B1828" t="str">
            <v xml:space="preserve"> Aspal</v>
          </cell>
          <cell r="F1828" t="str">
            <v>kg</v>
          </cell>
          <cell r="G1828" t="str">
            <v>M 061</v>
          </cell>
          <cell r="H1828">
            <v>98</v>
          </cell>
          <cell r="I1828">
            <v>7100</v>
          </cell>
          <cell r="J1828">
            <v>695800</v>
          </cell>
        </row>
        <row r="1829">
          <cell r="A1829" t="str">
            <v>A</v>
          </cell>
          <cell r="B1829" t="str">
            <v xml:space="preserve"> Minyak pengencer</v>
          </cell>
          <cell r="F1829" t="str">
            <v>ltr</v>
          </cell>
          <cell r="G1829" t="str">
            <v>M 065</v>
          </cell>
          <cell r="H1829">
            <v>29</v>
          </cell>
          <cell r="I1829">
            <v>550</v>
          </cell>
          <cell r="J1829">
            <v>15950</v>
          </cell>
        </row>
        <row r="1830">
          <cell r="A1830" t="str">
            <v>T</v>
          </cell>
          <cell r="B1830" t="str">
            <v xml:space="preserve"> Alat  bantu ( set 3 @ alat )</v>
          </cell>
          <cell r="F1830" t="str">
            <v>set</v>
          </cell>
          <cell r="G1830" t="str">
            <v>M 170</v>
          </cell>
          <cell r="H1830">
            <v>0.08</v>
          </cell>
          <cell r="I1830">
            <v>67500</v>
          </cell>
          <cell r="J1830">
            <v>5400</v>
          </cell>
        </row>
        <row r="1831">
          <cell r="A1831" t="str">
            <v>E</v>
          </cell>
        </row>
        <row r="1832">
          <cell r="A1832" t="str">
            <v>R</v>
          </cell>
        </row>
        <row r="1833">
          <cell r="A1833" t="str">
            <v>I</v>
          </cell>
        </row>
        <row r="1834">
          <cell r="A1834" t="str">
            <v>A</v>
          </cell>
        </row>
        <row r="1835">
          <cell r="A1835" t="str">
            <v>L</v>
          </cell>
        </row>
        <row r="1836">
          <cell r="J1836" t="str">
            <v>Material</v>
          </cell>
          <cell r="K1836">
            <v>717150</v>
          </cell>
        </row>
        <row r="1837">
          <cell r="B1837" t="str">
            <v>P e r a l a t a n</v>
          </cell>
          <cell r="E1837" t="str">
            <v>Jumlah</v>
          </cell>
          <cell r="F1837" t="str">
            <v>Hari</v>
          </cell>
          <cell r="G1837" t="str">
            <v>Kode</v>
          </cell>
          <cell r="H1837" t="str">
            <v>Jam</v>
          </cell>
          <cell r="I1837" t="str">
            <v>Harga</v>
          </cell>
          <cell r="J1837" t="str">
            <v>Biaya</v>
          </cell>
          <cell r="K1837" t="str">
            <v>Sub Total</v>
          </cell>
        </row>
        <row r="1838">
          <cell r="E1838" t="str">
            <v>Alat</v>
          </cell>
          <cell r="F1838" t="str">
            <v>Kerja</v>
          </cell>
          <cell r="H1838" t="str">
            <v>Kerja</v>
          </cell>
          <cell r="I1838" t="str">
            <v>(Rp./Jam)</v>
          </cell>
          <cell r="J1838" t="str">
            <v>(Rp.)</v>
          </cell>
          <cell r="K1838" t="str">
            <v>(Rp.)</v>
          </cell>
        </row>
        <row r="1839">
          <cell r="A1839" t="str">
            <v>P</v>
          </cell>
        </row>
        <row r="1840">
          <cell r="A1840" t="str">
            <v>E</v>
          </cell>
        </row>
        <row r="1841">
          <cell r="A1841" t="str">
            <v>R</v>
          </cell>
          <cell r="B1841" t="str">
            <v xml:space="preserve"> Mesin penyemprot aspal</v>
          </cell>
          <cell r="E1841">
            <v>1</v>
          </cell>
          <cell r="F1841">
            <v>1</v>
          </cell>
          <cell r="G1841" t="str">
            <v xml:space="preserve"> E 153</v>
          </cell>
          <cell r="H1841">
            <v>3</v>
          </cell>
          <cell r="I1841">
            <v>46384</v>
          </cell>
          <cell r="J1841">
            <v>139152</v>
          </cell>
        </row>
        <row r="1842">
          <cell r="A1842" t="str">
            <v>A</v>
          </cell>
          <cell r="B1842" t="str">
            <v xml:space="preserve"> Compresor </v>
          </cell>
          <cell r="E1842">
            <v>1</v>
          </cell>
          <cell r="F1842">
            <v>1</v>
          </cell>
          <cell r="G1842" t="str">
            <v xml:space="preserve"> E 301</v>
          </cell>
          <cell r="H1842">
            <v>1</v>
          </cell>
          <cell r="I1842">
            <v>31846</v>
          </cell>
          <cell r="J1842">
            <v>31846</v>
          </cell>
        </row>
        <row r="1843">
          <cell r="A1843" t="str">
            <v>L</v>
          </cell>
        </row>
        <row r="1844">
          <cell r="A1844" t="str">
            <v>A</v>
          </cell>
        </row>
        <row r="1845">
          <cell r="A1845" t="str">
            <v>T</v>
          </cell>
        </row>
        <row r="1846">
          <cell r="A1846" t="str">
            <v>A</v>
          </cell>
        </row>
        <row r="1847">
          <cell r="A1847" t="str">
            <v>N</v>
          </cell>
        </row>
        <row r="1848">
          <cell r="J1848" t="str">
            <v>Peralatan</v>
          </cell>
          <cell r="K1848">
            <v>170998</v>
          </cell>
        </row>
        <row r="1849">
          <cell r="J1849" t="str">
            <v>TOTAL (Rp.)</v>
          </cell>
          <cell r="K1849">
            <v>2731148</v>
          </cell>
        </row>
        <row r="1851">
          <cell r="B1851" t="str">
            <v>VOLUME  :</v>
          </cell>
          <cell r="D1851">
            <v>600</v>
          </cell>
          <cell r="E1851" t="str">
            <v>m2</v>
          </cell>
          <cell r="H1851" t="str">
            <v>HARGA SATUAN  Rp.</v>
          </cell>
          <cell r="J1851">
            <v>4552</v>
          </cell>
          <cell r="K1851" t="str">
            <v xml:space="preserve">    Per  m2</v>
          </cell>
        </row>
        <row r="2609">
          <cell r="A2609" t="str">
            <v>An, K. 36  (Mengkolter lantai jembatan kayu) / m2 :</v>
          </cell>
        </row>
        <row r="2611">
          <cell r="B2611">
            <v>0.05</v>
          </cell>
          <cell r="C2611" t="str">
            <v xml:space="preserve"> Pekerja</v>
          </cell>
          <cell r="E2611" t="str">
            <v>a  Rp.</v>
          </cell>
          <cell r="F2611">
            <v>26000</v>
          </cell>
          <cell r="H2611" t="str">
            <v xml:space="preserve"> = Rp.</v>
          </cell>
          <cell r="I2611">
            <v>1300</v>
          </cell>
        </row>
        <row r="2612">
          <cell r="B2612">
            <v>2.5000000000000001E-3</v>
          </cell>
          <cell r="C2612" t="str">
            <v xml:space="preserve"> Mandor</v>
          </cell>
          <cell r="E2612" t="str">
            <v>a  Rp.</v>
          </cell>
          <cell r="F2612">
            <v>35000</v>
          </cell>
          <cell r="H2612" t="str">
            <v xml:space="preserve"> = Rp.</v>
          </cell>
          <cell r="I2612">
            <v>87.5</v>
          </cell>
        </row>
        <row r="2613">
          <cell r="B2613">
            <v>0.1</v>
          </cell>
          <cell r="C2613" t="str">
            <v xml:space="preserve"> Kg Kolter</v>
          </cell>
          <cell r="E2613" t="str">
            <v>a  Rp.</v>
          </cell>
          <cell r="F2613">
            <v>22000</v>
          </cell>
          <cell r="H2613" t="str">
            <v xml:space="preserve"> = Rp.</v>
          </cell>
          <cell r="I2613">
            <v>2200</v>
          </cell>
        </row>
        <row r="2614">
          <cell r="H2614" t="str">
            <v xml:space="preserve"> = Rp.</v>
          </cell>
          <cell r="I2614">
            <v>3587.5</v>
          </cell>
        </row>
        <row r="2615">
          <cell r="H2615" t="str">
            <v xml:space="preserve"> = Rp.</v>
          </cell>
          <cell r="I2615">
            <v>3588</v>
          </cell>
        </row>
        <row r="2620">
          <cell r="A2620" t="str">
            <v xml:space="preserve"> An. K. 23  Upah mencat /100   m2  :</v>
          </cell>
          <cell r="F2620" t="str">
            <v>Bangun Purba - Sibanggor Jae</v>
          </cell>
        </row>
        <row r="2622">
          <cell r="B2622">
            <v>7.5</v>
          </cell>
          <cell r="C2622" t="str">
            <v xml:space="preserve"> Tukang C a t</v>
          </cell>
          <cell r="E2622" t="str">
            <v>a  Rp.</v>
          </cell>
          <cell r="F2622">
            <v>30000</v>
          </cell>
          <cell r="H2622" t="str">
            <v xml:space="preserve"> = Rp.</v>
          </cell>
          <cell r="I2622">
            <v>225000</v>
          </cell>
        </row>
        <row r="2623">
          <cell r="B2623">
            <v>0.75</v>
          </cell>
          <cell r="C2623" t="str">
            <v xml:space="preserve"> Kepala Tukang</v>
          </cell>
          <cell r="E2623" t="str">
            <v>a  Rp.</v>
          </cell>
          <cell r="F2623">
            <v>36000</v>
          </cell>
          <cell r="H2623" t="str">
            <v xml:space="preserve"> = Rp.</v>
          </cell>
          <cell r="I2623">
            <v>27000</v>
          </cell>
        </row>
        <row r="2624">
          <cell r="B2624">
            <v>5</v>
          </cell>
          <cell r="C2624" t="str">
            <v xml:space="preserve"> Pekerja</v>
          </cell>
          <cell r="E2624" t="str">
            <v>a  Rp.</v>
          </cell>
          <cell r="F2624">
            <v>26000</v>
          </cell>
          <cell r="H2624" t="str">
            <v xml:space="preserve"> = Rp.</v>
          </cell>
          <cell r="I2624">
            <v>130000</v>
          </cell>
        </row>
        <row r="2625">
          <cell r="B2625">
            <v>0.25</v>
          </cell>
          <cell r="C2625" t="str">
            <v xml:space="preserve"> Mandor</v>
          </cell>
          <cell r="E2625" t="str">
            <v>a  Rp.</v>
          </cell>
          <cell r="F2625">
            <v>35000</v>
          </cell>
          <cell r="H2625" t="str">
            <v xml:space="preserve"> = Rp.</v>
          </cell>
          <cell r="I2625">
            <v>8750</v>
          </cell>
        </row>
        <row r="2626">
          <cell r="H2626" t="str">
            <v xml:space="preserve"> = Rp.</v>
          </cell>
          <cell r="I2626">
            <v>390750</v>
          </cell>
        </row>
        <row r="2627">
          <cell r="A2627" t="str">
            <v xml:space="preserve">   1    m2</v>
          </cell>
          <cell r="C2627" t="str">
            <v xml:space="preserve"> =   1/100</v>
          </cell>
          <cell r="D2627" t="str">
            <v xml:space="preserve">                 x  Rp.</v>
          </cell>
          <cell r="F2627">
            <v>390750</v>
          </cell>
          <cell r="H2627" t="str">
            <v xml:space="preserve"> = Rp.</v>
          </cell>
          <cell r="I2627">
            <v>3907.5</v>
          </cell>
        </row>
        <row r="2628">
          <cell r="H2628" t="str">
            <v xml:space="preserve"> = Rp.</v>
          </cell>
          <cell r="I2628">
            <v>3908</v>
          </cell>
        </row>
        <row r="2632">
          <cell r="A2632" t="str">
            <v xml:space="preserve"> An. K. 2 /10   m2   (Mencat bahan)  :</v>
          </cell>
          <cell r="F2632" t="str">
            <v>Bangun Purba - Sibanggor Jae</v>
          </cell>
        </row>
        <row r="2634">
          <cell r="B2634">
            <v>0.33</v>
          </cell>
          <cell r="C2634" t="str">
            <v xml:space="preserve"> Minyak cat</v>
          </cell>
          <cell r="E2634" t="str">
            <v>a  Rp.</v>
          </cell>
          <cell r="F2634">
            <v>454500</v>
          </cell>
          <cell r="H2634" t="str">
            <v xml:space="preserve"> = Rp.</v>
          </cell>
          <cell r="I2634">
            <v>149985</v>
          </cell>
        </row>
        <row r="2635">
          <cell r="B2635">
            <v>1.5</v>
          </cell>
          <cell r="C2635" t="str">
            <v xml:space="preserve"> Cat Warna</v>
          </cell>
          <cell r="E2635" t="str">
            <v>a  Rp.</v>
          </cell>
          <cell r="F2635">
            <v>0</v>
          </cell>
          <cell r="H2635" t="str">
            <v xml:space="preserve"> = Rp.</v>
          </cell>
          <cell r="I2635">
            <v>0</v>
          </cell>
        </row>
        <row r="2636">
          <cell r="H2636" t="str">
            <v xml:space="preserve"> = Rp.</v>
          </cell>
          <cell r="I2636">
            <v>149985</v>
          </cell>
        </row>
        <row r="2637">
          <cell r="B2637">
            <v>1</v>
          </cell>
          <cell r="C2637" t="str">
            <v>m2</v>
          </cell>
          <cell r="D2637" t="str">
            <v>=   1/10</v>
          </cell>
          <cell r="E2637" t="str">
            <v>x  Rp.</v>
          </cell>
          <cell r="F2637">
            <v>149985</v>
          </cell>
          <cell r="H2637" t="str">
            <v xml:space="preserve"> = Rp.</v>
          </cell>
          <cell r="I2637">
            <v>14998.5</v>
          </cell>
        </row>
        <row r="2638">
          <cell r="B2638">
            <v>3</v>
          </cell>
          <cell r="C2638" t="str">
            <v>x Cat</v>
          </cell>
          <cell r="D2638" t="str">
            <v>=   3  x</v>
          </cell>
          <cell r="E2638" t="str">
            <v>x  Rp.</v>
          </cell>
          <cell r="F2638">
            <v>14998.5</v>
          </cell>
          <cell r="H2638" t="str">
            <v xml:space="preserve"> = Rp.</v>
          </cell>
          <cell r="I2638">
            <v>44995.5</v>
          </cell>
        </row>
        <row r="2642">
          <cell r="A2642" t="str">
            <v xml:space="preserve"> An. K. 3 / m2   = 1 1/2  x</v>
          </cell>
          <cell r="E2642" t="str">
            <v>a  Rp.</v>
          </cell>
          <cell r="F2642">
            <v>44995.5</v>
          </cell>
          <cell r="H2642" t="str">
            <v xml:space="preserve"> = Rp.</v>
          </cell>
          <cell r="I2642">
            <v>67493.25</v>
          </cell>
        </row>
        <row r="2645">
          <cell r="A2645" t="str">
            <v>Untuk mencat perak</v>
          </cell>
          <cell r="D2645" t="str">
            <v>K 3   +   K 23</v>
          </cell>
          <cell r="H2645" t="str">
            <v xml:space="preserve"> = Rp.</v>
          </cell>
          <cell r="I2645">
            <v>67493.25</v>
          </cell>
        </row>
        <row r="2646">
          <cell r="H2646" t="str">
            <v xml:space="preserve"> = Rp.</v>
          </cell>
          <cell r="I2646">
            <v>3908</v>
          </cell>
        </row>
        <row r="2647">
          <cell r="H2647" t="str">
            <v xml:space="preserve"> = Rp.</v>
          </cell>
          <cell r="I2647">
            <v>71401.25</v>
          </cell>
        </row>
        <row r="2648">
          <cell r="H2648" t="str">
            <v xml:space="preserve"> = Rp.</v>
          </cell>
          <cell r="I2648">
            <v>71401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nalisa"/>
      <sheetName val="BATAHAN"/>
      <sheetName val="RINGKAS"/>
      <sheetName val="Surat"/>
      <sheetName val="SCHE"/>
      <sheetName val="SCHE (2)"/>
    </sheetNames>
    <sheetDataSet>
      <sheetData sheetId="0">
        <row r="1792">
          <cell r="A1792" t="str">
            <v>Bangun Purba - Sibanggor Jae</v>
          </cell>
        </row>
        <row r="1793">
          <cell r="A1793" t="str">
            <v>DIREKTORAT JENDERAL BINA MARGA</v>
          </cell>
        </row>
        <row r="1794">
          <cell r="A1794" t="str">
            <v>DIREKTORAT BINA PROGRAM JALAN</v>
          </cell>
          <cell r="G1794" t="str">
            <v>ANALISA  HARGA  SATUAN</v>
          </cell>
          <cell r="K1794" t="str">
            <v>K O D E</v>
          </cell>
        </row>
        <row r="1795">
          <cell r="A1795" t="str">
            <v>SUB DIT. PERENC. JALAN LOKAL &amp;</v>
          </cell>
          <cell r="G1795" t="str">
            <v xml:space="preserve">Lapis Aspal Pelekat </v>
          </cell>
          <cell r="K1795" t="str">
            <v>K 620</v>
          </cell>
        </row>
        <row r="1796">
          <cell r="A1796" t="str">
            <v>KABUPATEN</v>
          </cell>
          <cell r="G1796" t="str">
            <v>( TAEC COAT )</v>
          </cell>
        </row>
        <row r="1797">
          <cell r="A1797" t="str">
            <v>Propinsi</v>
          </cell>
          <cell r="D1797" t="str">
            <v>Kode</v>
          </cell>
          <cell r="E1797" t="str">
            <v>Kabupaten</v>
          </cell>
          <cell r="H1797" t="str">
            <v>Kode</v>
          </cell>
          <cell r="I1797" t="str">
            <v>Disiapkan  Oleh</v>
          </cell>
          <cell r="K1797" t="str">
            <v>Tanggal</v>
          </cell>
        </row>
        <row r="1798">
          <cell r="A1798" t="str">
            <v>Sumatera Utara</v>
          </cell>
          <cell r="D1798" t="str">
            <v>12</v>
          </cell>
          <cell r="E1798" t="str">
            <v>Mandailing Natal</v>
          </cell>
        </row>
        <row r="1800">
          <cell r="A1800" t="str">
            <v xml:space="preserve"> URAIAN  :</v>
          </cell>
          <cell r="G1800" t="str">
            <v xml:space="preserve"> ANGGAPAN / ASUMSI  :</v>
          </cell>
        </row>
        <row r="1801">
          <cell r="A1801" t="str">
            <v xml:space="preserve"> 1. Pekerjaan harus dilaksanakan sesuai Bab 6.2 Spek. Umum</v>
          </cell>
          <cell r="G1801" t="str">
            <v xml:space="preserve"> 1. Harga bahan, prongko ( siap dilokasi )</v>
          </cell>
        </row>
        <row r="1802">
          <cell r="A1802" t="str">
            <v xml:space="preserve">     Jalan Kabupaten B.M Maret 92.</v>
          </cell>
          <cell r="G1802" t="str">
            <v xml:space="preserve"> 2. Perbandingan aspal dengan minyak tanah = 100 bagian aspal </v>
          </cell>
        </row>
        <row r="1803">
          <cell r="A1803" t="str">
            <v xml:space="preserve"> 2. Tingkat penyemprotan 10 km/m2 disemprot mempergunakan</v>
          </cell>
          <cell r="G1803" t="str">
            <v xml:space="preserve">     100 bagian minyak tanah berdasarkan berat.</v>
          </cell>
        </row>
        <row r="1804">
          <cell r="A1804" t="str">
            <v xml:space="preserve">      mesin penyemprot aspal.</v>
          </cell>
          <cell r="G1804" t="str">
            <v xml:space="preserve"> 3. Berat jenis minyak tanah = 0,86</v>
          </cell>
        </row>
        <row r="1812">
          <cell r="B1812" t="str">
            <v>P e k e r j a</v>
          </cell>
          <cell r="E1812" t="str">
            <v>Jumlah</v>
          </cell>
          <cell r="F1812" t="str">
            <v>Hari</v>
          </cell>
          <cell r="G1812" t="str">
            <v>Kode</v>
          </cell>
          <cell r="H1812" t="str">
            <v>Jumlah</v>
          </cell>
          <cell r="I1812" t="str">
            <v>Upah</v>
          </cell>
          <cell r="J1812" t="str">
            <v>Biaya</v>
          </cell>
          <cell r="K1812" t="str">
            <v>Sub Total</v>
          </cell>
        </row>
        <row r="1813">
          <cell r="E1813" t="str">
            <v>Orang</v>
          </cell>
          <cell r="H1813" t="str">
            <v>Hr-Org</v>
          </cell>
          <cell r="I1813" t="str">
            <v>(Rp./Org/Hr)</v>
          </cell>
          <cell r="J1813" t="str">
            <v>(Rp.)</v>
          </cell>
          <cell r="K1813" t="str">
            <v>(Rp.)</v>
          </cell>
        </row>
        <row r="1815">
          <cell r="A1815" t="str">
            <v>P</v>
          </cell>
          <cell r="B1815" t="str">
            <v xml:space="preserve"> Mandor</v>
          </cell>
          <cell r="E1815">
            <v>1</v>
          </cell>
          <cell r="F1815">
            <v>50</v>
          </cell>
          <cell r="G1815" t="str">
            <v>L 061</v>
          </cell>
          <cell r="H1815">
            <v>50</v>
          </cell>
          <cell r="I1815">
            <v>35000</v>
          </cell>
          <cell r="J1815">
            <v>1750000</v>
          </cell>
        </row>
        <row r="1816">
          <cell r="A1816" t="str">
            <v>E</v>
          </cell>
          <cell r="B1816" t="str">
            <v xml:space="preserve"> Operator terampil</v>
          </cell>
          <cell r="E1816">
            <v>1</v>
          </cell>
          <cell r="F1816">
            <v>1</v>
          </cell>
          <cell r="G1816" t="str">
            <v>L 081</v>
          </cell>
          <cell r="H1816">
            <v>1</v>
          </cell>
          <cell r="I1816">
            <v>31000</v>
          </cell>
          <cell r="J1816">
            <v>31000</v>
          </cell>
        </row>
        <row r="1817">
          <cell r="A1817" t="str">
            <v>K</v>
          </cell>
          <cell r="B1817" t="str">
            <v xml:space="preserve"> Pembantu Operator </v>
          </cell>
          <cell r="E1817">
            <v>1</v>
          </cell>
          <cell r="F1817">
            <v>1</v>
          </cell>
          <cell r="G1817" t="str">
            <v>L 083</v>
          </cell>
          <cell r="H1817">
            <v>1</v>
          </cell>
          <cell r="I1817">
            <v>22000</v>
          </cell>
          <cell r="J1817">
            <v>22000</v>
          </cell>
        </row>
        <row r="1818">
          <cell r="A1818" t="str">
            <v>E</v>
          </cell>
          <cell r="B1818" t="str">
            <v xml:space="preserve"> Buruh tak terampil</v>
          </cell>
          <cell r="E1818">
            <v>2</v>
          </cell>
          <cell r="F1818">
            <v>1</v>
          </cell>
          <cell r="G1818" t="str">
            <v>L 101</v>
          </cell>
          <cell r="H1818">
            <v>2</v>
          </cell>
          <cell r="I1818">
            <v>20000</v>
          </cell>
          <cell r="J1818">
            <v>40000</v>
          </cell>
        </row>
        <row r="1819">
          <cell r="A1819" t="str">
            <v>R</v>
          </cell>
        </row>
        <row r="1820">
          <cell r="A1820" t="str">
            <v>J</v>
          </cell>
        </row>
        <row r="1821">
          <cell r="A1821" t="str">
            <v>A</v>
          </cell>
        </row>
        <row r="1824">
          <cell r="J1824" t="str">
            <v>Pekerja</v>
          </cell>
          <cell r="K1824">
            <v>1843000</v>
          </cell>
        </row>
        <row r="1825">
          <cell r="B1825" t="str">
            <v>M a t e r i a l</v>
          </cell>
          <cell r="E1825" t="str">
            <v>Jumlah</v>
          </cell>
          <cell r="F1825" t="str">
            <v>Satuan</v>
          </cell>
          <cell r="G1825" t="str">
            <v>Kode</v>
          </cell>
          <cell r="H1825" t="str">
            <v>Total</v>
          </cell>
          <cell r="I1825" t="str">
            <v>Harga</v>
          </cell>
          <cell r="J1825" t="str">
            <v>Biaya</v>
          </cell>
          <cell r="K1825" t="str">
            <v>Sub Total</v>
          </cell>
        </row>
        <row r="1826">
          <cell r="H1826" t="str">
            <v>Volume</v>
          </cell>
          <cell r="I1826" t="str">
            <v>(Rp./Unit)</v>
          </cell>
          <cell r="J1826" t="str">
            <v>(Rp.)</v>
          </cell>
          <cell r="K1826" t="str">
            <v>(Rp.)</v>
          </cell>
        </row>
        <row r="1828">
          <cell r="A1828" t="str">
            <v>M</v>
          </cell>
          <cell r="B1828" t="str">
            <v xml:space="preserve"> Aspal</v>
          </cell>
          <cell r="F1828" t="str">
            <v>kg</v>
          </cell>
          <cell r="G1828" t="str">
            <v>M 061</v>
          </cell>
          <cell r="H1828">
            <v>98</v>
          </cell>
          <cell r="I1828">
            <v>7100</v>
          </cell>
          <cell r="J1828">
            <v>695800</v>
          </cell>
        </row>
        <row r="1829">
          <cell r="A1829" t="str">
            <v>A</v>
          </cell>
          <cell r="B1829" t="str">
            <v xml:space="preserve"> Minyak pengencer</v>
          </cell>
          <cell r="F1829" t="str">
            <v>ltr</v>
          </cell>
          <cell r="G1829" t="str">
            <v>M 065</v>
          </cell>
          <cell r="H1829">
            <v>29</v>
          </cell>
          <cell r="I1829">
            <v>550</v>
          </cell>
          <cell r="J1829">
            <v>15950</v>
          </cell>
        </row>
        <row r="1830">
          <cell r="A1830" t="str">
            <v>T</v>
          </cell>
          <cell r="B1830" t="str">
            <v xml:space="preserve"> Alat  bantu ( set 3 @ alat )</v>
          </cell>
          <cell r="F1830" t="str">
            <v>set</v>
          </cell>
          <cell r="G1830" t="str">
            <v>M 170</v>
          </cell>
          <cell r="H1830">
            <v>0.08</v>
          </cell>
          <cell r="I1830">
            <v>67500</v>
          </cell>
          <cell r="J1830">
            <v>5400</v>
          </cell>
        </row>
        <row r="1831">
          <cell r="A1831" t="str">
            <v>E</v>
          </cell>
        </row>
        <row r="1832">
          <cell r="A1832" t="str">
            <v>R</v>
          </cell>
        </row>
        <row r="1833">
          <cell r="A1833" t="str">
            <v>I</v>
          </cell>
        </row>
        <row r="1834">
          <cell r="A1834" t="str">
            <v>A</v>
          </cell>
        </row>
        <row r="1835">
          <cell r="A1835" t="str">
            <v>L</v>
          </cell>
        </row>
        <row r="1836">
          <cell r="J1836" t="str">
            <v>Material</v>
          </cell>
          <cell r="K1836">
            <v>717150</v>
          </cell>
        </row>
        <row r="1837">
          <cell r="B1837" t="str">
            <v>P e r a l a t a n</v>
          </cell>
          <cell r="E1837" t="str">
            <v>Jumlah</v>
          </cell>
          <cell r="F1837" t="str">
            <v>Hari</v>
          </cell>
          <cell r="G1837" t="str">
            <v>Kode</v>
          </cell>
          <cell r="H1837" t="str">
            <v>Jam</v>
          </cell>
          <cell r="I1837" t="str">
            <v>Harga</v>
          </cell>
          <cell r="J1837" t="str">
            <v>Biaya</v>
          </cell>
          <cell r="K1837" t="str">
            <v>Sub Total</v>
          </cell>
        </row>
        <row r="1838">
          <cell r="E1838" t="str">
            <v>Alat</v>
          </cell>
          <cell r="F1838" t="str">
            <v>Kerja</v>
          </cell>
          <cell r="H1838" t="str">
            <v>Kerja</v>
          </cell>
          <cell r="I1838" t="str">
            <v>(Rp./Jam)</v>
          </cell>
          <cell r="J1838" t="str">
            <v>(Rp.)</v>
          </cell>
          <cell r="K1838" t="str">
            <v>(Rp.)</v>
          </cell>
        </row>
        <row r="1839">
          <cell r="A1839" t="str">
            <v>P</v>
          </cell>
        </row>
        <row r="1840">
          <cell r="A1840" t="str">
            <v>E</v>
          </cell>
        </row>
        <row r="1841">
          <cell r="A1841" t="str">
            <v>R</v>
          </cell>
          <cell r="B1841" t="str">
            <v xml:space="preserve"> Mesin penyemprot aspal</v>
          </cell>
          <cell r="E1841">
            <v>1</v>
          </cell>
          <cell r="F1841">
            <v>1</v>
          </cell>
          <cell r="G1841" t="str">
            <v xml:space="preserve"> E 153</v>
          </cell>
          <cell r="H1841">
            <v>3</v>
          </cell>
          <cell r="I1841">
            <v>46384</v>
          </cell>
          <cell r="J1841">
            <v>139152</v>
          </cell>
        </row>
        <row r="1842">
          <cell r="A1842" t="str">
            <v>A</v>
          </cell>
          <cell r="B1842" t="str">
            <v xml:space="preserve"> Compresor </v>
          </cell>
          <cell r="E1842">
            <v>1</v>
          </cell>
          <cell r="F1842">
            <v>1</v>
          </cell>
          <cell r="G1842" t="str">
            <v xml:space="preserve"> E 301</v>
          </cell>
          <cell r="H1842">
            <v>1</v>
          </cell>
          <cell r="I1842">
            <v>31846</v>
          </cell>
          <cell r="J1842">
            <v>31846</v>
          </cell>
        </row>
        <row r="1843">
          <cell r="A1843" t="str">
            <v>L</v>
          </cell>
        </row>
        <row r="1844">
          <cell r="A1844" t="str">
            <v>A</v>
          </cell>
        </row>
        <row r="1845">
          <cell r="A1845" t="str">
            <v>T</v>
          </cell>
        </row>
        <row r="1846">
          <cell r="A1846" t="str">
            <v>A</v>
          </cell>
        </row>
        <row r="1847">
          <cell r="A1847" t="str">
            <v>N</v>
          </cell>
        </row>
        <row r="1848">
          <cell r="J1848" t="str">
            <v>Peralatan</v>
          </cell>
          <cell r="K1848">
            <v>170998</v>
          </cell>
        </row>
        <row r="1849">
          <cell r="J1849" t="str">
            <v>TOTAL (Rp.)</v>
          </cell>
          <cell r="K1849">
            <v>2731148</v>
          </cell>
        </row>
        <row r="1851">
          <cell r="B1851" t="str">
            <v>VOLUME  :</v>
          </cell>
          <cell r="D1851">
            <v>600</v>
          </cell>
          <cell r="E1851" t="str">
            <v>m2</v>
          </cell>
          <cell r="H1851" t="str">
            <v>HARGA SATUAN  Rp.</v>
          </cell>
          <cell r="J1851">
            <v>4552</v>
          </cell>
          <cell r="K1851" t="str">
            <v xml:space="preserve">    Per  m2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ek Godang - Tambangan"/>
      <sheetName val="Mompang - Rumbio"/>
      <sheetName val="Pasarakat-Binanga"/>
      <sheetName val="Kp.Baru - Tambiski"/>
      <sheetName val="Simandolam-Mpotan"/>
      <sheetName val="Pungkut-Banyak(1)"/>
      <sheetName val="Pungkut-Banyak(2)"/>
      <sheetName val="Sipalangka"/>
      <sheetName val="Morsip Ht Julu"/>
      <sheetName val="AekPohon"/>
      <sheetName val="BinangapP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615">
          <cell r="BL615" t="str">
            <v>K 641</v>
          </cell>
        </row>
      </sheetData>
      <sheetData sheetId="9"/>
      <sheetData sheetId="1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"/>
      <sheetName val="Analisa"/>
      <sheetName val="Anlisa_BOW"/>
      <sheetName val="S curve pen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mkn cimanggis"/>
      <sheetName val="ANALISA PEK.UMUM"/>
      <sheetName val="ANALISA KONST BTN"/>
      <sheetName val="HIT. BESI"/>
      <sheetName val="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"/>
      <sheetName val="Rekap (2)"/>
      <sheetName val="rab"/>
      <sheetName val="Bahan"/>
      <sheetName val="Upah"/>
      <sheetName val="Harsat Pekerjaan"/>
      <sheetName val="Perhit.Besi"/>
      <sheetName val="Analisa"/>
      <sheetName val="Perhit.Beton"/>
      <sheetName val="ANALISA KONST BT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Material"/>
      <sheetName val="Peralatan"/>
      <sheetName val="AnalisaK(1)"/>
      <sheetName val="AnalisaK (2)"/>
      <sheetName val="AnalisaK"/>
      <sheetName val="tor-banua.raja"/>
      <sheetName val="NOTA"/>
      <sheetName val="KOP"/>
      <sheetName val="K1"/>
      <sheetName val="ANGG"/>
      <sheetName val="vol"/>
      <sheetName val="MPR"/>
      <sheetName val="bbt"/>
      <sheetName val="nor"/>
      <sheetName val="lpa"/>
      <sheetName val="ATB"/>
      <sheetName val="KOP (3)"/>
      <sheetName val="SUMB"/>
      <sheetName val="Sheet2"/>
      <sheetName val="Sheet3"/>
      <sheetName val="UMUM"/>
      <sheetName val="underlag"/>
      <sheetName val="babat"/>
      <sheetName val="Sheet1"/>
    </sheetNames>
    <sheetDataSet>
      <sheetData sheetId="0" refreshError="1">
        <row r="14">
          <cell r="C14" t="str">
            <v>L 061</v>
          </cell>
          <cell r="D14" t="str">
            <v xml:space="preserve">  Mandor</v>
          </cell>
          <cell r="G14">
            <v>40000</v>
          </cell>
        </row>
        <row r="15">
          <cell r="C15" t="str">
            <v>L 073</v>
          </cell>
          <cell r="D15" t="str">
            <v xml:space="preserve">  Kepala Tukang</v>
          </cell>
          <cell r="G15">
            <v>41000</v>
          </cell>
        </row>
        <row r="16">
          <cell r="C16" t="str">
            <v>L 079</v>
          </cell>
          <cell r="D16" t="str">
            <v xml:space="preserve">  Tukang</v>
          </cell>
          <cell r="G16">
            <v>35000</v>
          </cell>
        </row>
        <row r="17">
          <cell r="C17" t="str">
            <v>L 081</v>
          </cell>
          <cell r="D17" t="str">
            <v xml:space="preserve">  Operator - Terlatih</v>
          </cell>
          <cell r="G17">
            <v>32000</v>
          </cell>
        </row>
        <row r="18">
          <cell r="C18" t="str">
            <v>L 082</v>
          </cell>
          <cell r="D18" t="str">
            <v xml:space="preserve">  Operator - Semi Terlatih</v>
          </cell>
          <cell r="G18">
            <v>30000</v>
          </cell>
        </row>
        <row r="19">
          <cell r="C19" t="str">
            <v>L 083</v>
          </cell>
          <cell r="D19" t="str">
            <v xml:space="preserve">  Pembantu Operator</v>
          </cell>
          <cell r="G19">
            <v>26000</v>
          </cell>
        </row>
        <row r="20">
          <cell r="C20" t="str">
            <v>L 091</v>
          </cell>
          <cell r="D20" t="str">
            <v xml:space="preserve">  Sopir  Terampil</v>
          </cell>
          <cell r="G20">
            <v>30000</v>
          </cell>
        </row>
        <row r="21">
          <cell r="C21" t="str">
            <v>L 099</v>
          </cell>
          <cell r="D21" t="str">
            <v xml:space="preserve">  Pembantu Sopir</v>
          </cell>
          <cell r="G21">
            <v>26000</v>
          </cell>
        </row>
        <row r="22">
          <cell r="C22" t="str">
            <v>L 101</v>
          </cell>
          <cell r="D22" t="str">
            <v xml:space="preserve">  Buruh tak Terlatih</v>
          </cell>
          <cell r="G22">
            <v>22000</v>
          </cell>
        </row>
        <row r="23">
          <cell r="C23" t="str">
            <v>L 103</v>
          </cell>
          <cell r="D23" t="str">
            <v xml:space="preserve">  Buruh semi Terlatih</v>
          </cell>
          <cell r="G23">
            <v>25000</v>
          </cell>
        </row>
        <row r="24">
          <cell r="C24" t="str">
            <v>L 106</v>
          </cell>
          <cell r="D24" t="str">
            <v xml:space="preserve">  Buruh Terlatih</v>
          </cell>
          <cell r="G24">
            <v>30000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"/>
      <sheetName val="KAS"/>
      <sheetName val="BRI 1"/>
      <sheetName val="BRI 2"/>
      <sheetName val="BCA"/>
      <sheetName val="MANDIRI"/>
      <sheetName val="JURNAL PENYESUAIAN"/>
      <sheetName val="PERSEDIAAN STOCK"/>
      <sheetName val="ASET"/>
      <sheetName val="LABA RUGI"/>
      <sheetName val="NERACA"/>
      <sheetName val="LPM"/>
      <sheetName val="LABA RUGI PAJAK"/>
      <sheetName val="NERACA PAJAK"/>
      <sheetName val="PEREDARAN BRUTO"/>
      <sheetName val="RASIO KEUANGAN"/>
    </sheetNames>
    <sheetDataSet>
      <sheetData sheetId="0"/>
      <sheetData sheetId="1">
        <row r="3">
          <cell r="B3" t="str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"/>
      <sheetName val="KAS"/>
      <sheetName val="BANK 1"/>
      <sheetName val="BANK 2"/>
      <sheetName val="BANK 3"/>
      <sheetName val="BANK 4"/>
      <sheetName val="JURNAL PENYESUAIAN"/>
      <sheetName val="ASET"/>
      <sheetName val="LABA RUGI"/>
      <sheetName val="NERACA"/>
      <sheetName val="LPM"/>
      <sheetName val="LABA RUGI PAJAK"/>
      <sheetName val="NERACA PAJAK"/>
      <sheetName val="PEREDARAN BRUTO"/>
      <sheetName val="RASIO KEUA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0">
          <cell r="D40" t="str">
            <v>…...................., 31 Desember 2025</v>
          </cell>
        </row>
        <row r="45">
          <cell r="D45" t="str">
            <v>…..............................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 (2)"/>
      <sheetName val="BANK"/>
      <sheetName val="JURNAL"/>
      <sheetName val="IDENTITAS"/>
      <sheetName val="WORKSHEET"/>
      <sheetName val="LR SPT 2023"/>
      <sheetName val="Neraca SPT 2023"/>
      <sheetName val="INFO MODAL AKTA DAN DIREKSI"/>
      <sheetName val="PP25 2022"/>
      <sheetName val="PPH 21 - 2022"/>
      <sheetName val="PPH 25 - 2022"/>
      <sheetName val="PENYUSUTAN 2022"/>
      <sheetName val="SURAT PERNYATAAN NIHIL"/>
    </sheetNames>
    <sheetDataSet>
      <sheetData sheetId="0"/>
      <sheetData sheetId="1"/>
      <sheetData sheetId="2"/>
      <sheetData sheetId="3">
        <row r="20">
          <cell r="B20" t="str">
            <v>DIREKTUR UTAMA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SHBOARD"/>
      <sheetName val="NS"/>
      <sheetName val="KAS"/>
      <sheetName val="BANK 1"/>
      <sheetName val="BANK 2"/>
      <sheetName val="BANK 3"/>
      <sheetName val="BANK 4"/>
      <sheetName val="JURNAL PENYESUAIAN"/>
      <sheetName val="PERSEDIAAN STOK"/>
      <sheetName val="ASET"/>
      <sheetName val="LABA RUGI"/>
      <sheetName val="NERACA"/>
      <sheetName val="LPM"/>
      <sheetName val="LABA RUGI PAJAK"/>
      <sheetName val="NERACA PAJAK"/>
      <sheetName val="RASIO KEUANG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(NAMA PERUSAHAAN)</v>
          </cell>
        </row>
        <row r="3">
          <cell r="A3" t="str">
            <v>2025</v>
          </cell>
        </row>
      </sheetData>
      <sheetData sheetId="14">
        <row r="2">
          <cell r="A2" t="str">
            <v>(NAMA PERUSAHAAN)</v>
          </cell>
        </row>
        <row r="3">
          <cell r="A3" t="str">
            <v>2025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B11" sqref="B11"/>
    </sheetView>
  </sheetViews>
  <sheetFormatPr defaultColWidth="8.90625" defaultRowHeight="23.5" x14ac:dyDescent="0.55000000000000004"/>
  <cols>
    <col min="1" max="16384" width="8.90625" style="63"/>
  </cols>
  <sheetData>
    <row r="1" spans="1:9" x14ac:dyDescent="0.55000000000000004">
      <c r="A1" s="65" t="s">
        <v>294</v>
      </c>
      <c r="B1" s="65"/>
      <c r="C1" s="65"/>
      <c r="D1" s="65"/>
      <c r="E1" s="65"/>
    </row>
    <row r="2" spans="1:9" ht="10.25" customHeight="1" x14ac:dyDescent="0.55000000000000004"/>
    <row r="3" spans="1:9" x14ac:dyDescent="0.55000000000000004">
      <c r="A3" s="64" t="s">
        <v>305</v>
      </c>
      <c r="B3" s="63" t="s">
        <v>301</v>
      </c>
      <c r="H3" s="64" t="s">
        <v>305</v>
      </c>
      <c r="I3" s="63" t="s">
        <v>306</v>
      </c>
    </row>
    <row r="4" spans="1:9" x14ac:dyDescent="0.55000000000000004">
      <c r="A4" s="64" t="s">
        <v>305</v>
      </c>
      <c r="B4" s="63" t="s">
        <v>302</v>
      </c>
      <c r="H4" s="64" t="s">
        <v>305</v>
      </c>
      <c r="I4" s="63" t="s">
        <v>304</v>
      </c>
    </row>
    <row r="5" spans="1:9" x14ac:dyDescent="0.55000000000000004">
      <c r="A5" s="64" t="s">
        <v>305</v>
      </c>
      <c r="B5" s="63" t="s">
        <v>295</v>
      </c>
    </row>
    <row r="6" spans="1:9" x14ac:dyDescent="0.55000000000000004">
      <c r="A6" s="64" t="s">
        <v>305</v>
      </c>
      <c r="B6" s="63" t="s">
        <v>296</v>
      </c>
    </row>
    <row r="7" spans="1:9" x14ac:dyDescent="0.55000000000000004">
      <c r="A7" s="64" t="s">
        <v>305</v>
      </c>
      <c r="B7" s="63" t="s">
        <v>297</v>
      </c>
    </row>
    <row r="8" spans="1:9" x14ac:dyDescent="0.55000000000000004">
      <c r="A8" s="64" t="s">
        <v>305</v>
      </c>
      <c r="B8" s="63" t="s">
        <v>298</v>
      </c>
    </row>
    <row r="9" spans="1:9" x14ac:dyDescent="0.55000000000000004">
      <c r="A9" s="64" t="s">
        <v>305</v>
      </c>
      <c r="B9" s="63" t="s">
        <v>299</v>
      </c>
    </row>
    <row r="10" spans="1:9" x14ac:dyDescent="0.55000000000000004">
      <c r="A10" s="64" t="s">
        <v>305</v>
      </c>
      <c r="B10" s="63" t="s">
        <v>300</v>
      </c>
    </row>
    <row r="11" spans="1:9" x14ac:dyDescent="0.55000000000000004">
      <c r="A11" s="64" t="s">
        <v>305</v>
      </c>
      <c r="B11" s="63" t="s">
        <v>303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42"/>
  <sheetViews>
    <sheetView showGridLines="0" topLeftCell="A13" workbookViewId="0">
      <selection activeCell="C24" sqref="C24"/>
    </sheetView>
  </sheetViews>
  <sheetFormatPr defaultColWidth="8.90625" defaultRowHeight="12.5" x14ac:dyDescent="0.35"/>
  <cols>
    <col min="1" max="1" width="4.453125" style="218" customWidth="1"/>
    <col min="2" max="2" width="19.453125" style="216" customWidth="1"/>
    <col min="3" max="3" width="15.90625" style="217" customWidth="1"/>
    <col min="4" max="16384" width="8.90625" style="216"/>
  </cols>
  <sheetData>
    <row r="2" spans="1:3" x14ac:dyDescent="0.35">
      <c r="A2" s="218">
        <v>1</v>
      </c>
      <c r="B2" s="216" t="s">
        <v>307</v>
      </c>
    </row>
    <row r="3" spans="1:3" x14ac:dyDescent="0.35">
      <c r="B3" s="216" t="s">
        <v>308</v>
      </c>
      <c r="C3" s="217">
        <f>'LABA RUGI'!E8+'LABA RUGI'!D31</f>
        <v>150208916.28</v>
      </c>
    </row>
    <row r="4" spans="1:3" x14ac:dyDescent="0.35">
      <c r="B4" s="216" t="s">
        <v>2</v>
      </c>
      <c r="C4" s="217">
        <f>'LABA RUGI'!E12+'LABA RUGI'!E27+'LABA RUGI'!D32</f>
        <v>13019825.26</v>
      </c>
    </row>
    <row r="6" spans="1:3" x14ac:dyDescent="0.35">
      <c r="A6" s="218">
        <v>2</v>
      </c>
      <c r="B6" s="216" t="s">
        <v>309</v>
      </c>
    </row>
    <row r="7" spans="1:3" x14ac:dyDescent="0.35">
      <c r="B7" s="216" t="s">
        <v>104</v>
      </c>
      <c r="C7" s="217">
        <f>'LABA RUGI'!E12</f>
        <v>6000000</v>
      </c>
    </row>
    <row r="8" spans="1:3" x14ac:dyDescent="0.35">
      <c r="B8" s="216" t="s">
        <v>320</v>
      </c>
      <c r="C8" s="217">
        <f>'LABA RUGI'!D11</f>
        <v>6000000</v>
      </c>
    </row>
    <row r="9" spans="1:3" x14ac:dyDescent="0.35">
      <c r="B9" s="216" t="str">
        <f>'LABA RUGI'!C16</f>
        <v>Gaji</v>
      </c>
      <c r="C9" s="217">
        <f>'LABA RUGI'!D16</f>
        <v>0</v>
      </c>
    </row>
    <row r="10" spans="1:3" x14ac:dyDescent="0.35">
      <c r="B10" s="216" t="str">
        <f>'LABA RUGI'!C17</f>
        <v>Listrik Internet PDAM</v>
      </c>
      <c r="C10" s="217">
        <f>'LABA RUGI'!D17</f>
        <v>1555000</v>
      </c>
    </row>
    <row r="11" spans="1:3" x14ac:dyDescent="0.35">
      <c r="B11" s="216" t="str">
        <f>'LABA RUGI'!C18</f>
        <v>BPJS</v>
      </c>
      <c r="C11" s="217">
        <f>'LABA RUGI'!D18</f>
        <v>5198862</v>
      </c>
    </row>
    <row r="12" spans="1:3" x14ac:dyDescent="0.35">
      <c r="B12" s="216" t="str">
        <f>'LABA RUGI'!C19</f>
        <v>Operasional</v>
      </c>
      <c r="C12" s="217">
        <f>'LABA RUGI'!D19</f>
        <v>0</v>
      </c>
    </row>
    <row r="13" spans="1:3" x14ac:dyDescent="0.35">
      <c r="B13" s="216" t="str">
        <f>'LABA RUGI'!C20</f>
        <v>Pemasaran</v>
      </c>
      <c r="C13" s="217">
        <f>'LABA RUGI'!D20</f>
        <v>0</v>
      </c>
    </row>
    <row r="14" spans="1:3" x14ac:dyDescent="0.35">
      <c r="B14" s="216" t="str">
        <f>'LABA RUGI'!C21</f>
        <v>Transport</v>
      </c>
      <c r="C14" s="217">
        <f>'LABA RUGI'!D21</f>
        <v>0</v>
      </c>
    </row>
    <row r="15" spans="1:3" x14ac:dyDescent="0.35">
      <c r="B15" s="216" t="str">
        <f>'LABA RUGI'!C22</f>
        <v>Pemeliharaan</v>
      </c>
      <c r="C15" s="217">
        <f>'LABA RUGI'!D22</f>
        <v>0</v>
      </c>
    </row>
    <row r="16" spans="1:3" x14ac:dyDescent="0.35">
      <c r="B16" s="216" t="str">
        <f>'LABA RUGI'!C23</f>
        <v>Sewa</v>
      </c>
      <c r="C16" s="217">
        <f>'LABA RUGI'!D23</f>
        <v>0</v>
      </c>
    </row>
    <row r="17" spans="1:3" x14ac:dyDescent="0.35">
      <c r="B17" s="216" t="str">
        <f>'LABA RUGI'!C24</f>
        <v>Administrasi &amp; Umum</v>
      </c>
      <c r="C17" s="217">
        <f>'LABA RUGI'!D24</f>
        <v>32500</v>
      </c>
    </row>
    <row r="18" spans="1:3" x14ac:dyDescent="0.35">
      <c r="B18" s="216" t="s">
        <v>313</v>
      </c>
      <c r="C18" s="217">
        <f>'LABA RUGI'!D25</f>
        <v>0</v>
      </c>
    </row>
    <row r="19" spans="1:3" x14ac:dyDescent="0.35">
      <c r="B19" s="216" t="str">
        <f>'LABA RUGI'!C26</f>
        <v>Pajak</v>
      </c>
      <c r="C19" s="217">
        <f>'LABA RUGI'!D26</f>
        <v>233463.26</v>
      </c>
    </row>
    <row r="20" spans="1:3" x14ac:dyDescent="0.35">
      <c r="B20" s="216" t="s">
        <v>310</v>
      </c>
      <c r="C20" s="217">
        <f>'LABA RUGI'!D32</f>
        <v>0</v>
      </c>
    </row>
    <row r="21" spans="1:3" x14ac:dyDescent="0.35">
      <c r="A21" s="218">
        <v>3</v>
      </c>
      <c r="B21" s="216" t="s">
        <v>311</v>
      </c>
    </row>
    <row r="22" spans="1:3" x14ac:dyDescent="0.35">
      <c r="B22" s="216" t="str">
        <f>NERACA!A7</f>
        <v>Kas dan Bank</v>
      </c>
      <c r="C22" s="217">
        <f>NERACA!B7</f>
        <v>60955611.019999996</v>
      </c>
    </row>
    <row r="23" spans="1:3" x14ac:dyDescent="0.35">
      <c r="B23" s="216" t="str">
        <f>NERACA!A8</f>
        <v>Piutang Usaha</v>
      </c>
      <c r="C23" s="217">
        <f>NERACA!B8</f>
        <v>0</v>
      </c>
    </row>
    <row r="24" spans="1:3" x14ac:dyDescent="0.35">
      <c r="B24" s="216" t="str">
        <f>NERACA!A9</f>
        <v>PPh 23 Dibayar Dimuka</v>
      </c>
      <c r="C24" s="217">
        <f>NERACA!B9</f>
        <v>0</v>
      </c>
    </row>
    <row r="25" spans="1:3" x14ac:dyDescent="0.35">
      <c r="B25" s="216" t="str">
        <f>NERACA!A10</f>
        <v>PPh 22 Dibayar Dimuka</v>
      </c>
      <c r="C25" s="217">
        <f>NERACA!B10</f>
        <v>0</v>
      </c>
    </row>
    <row r="26" spans="1:3" x14ac:dyDescent="0.35">
      <c r="B26" s="216" t="str">
        <f>NERACA!A11</f>
        <v>PPh 25 Dibayar Dimuka</v>
      </c>
      <c r="C26" s="217">
        <f>NERACA!B11</f>
        <v>0</v>
      </c>
    </row>
    <row r="27" spans="1:3" x14ac:dyDescent="0.35">
      <c r="B27" s="216" t="str">
        <f>NERACA!A12</f>
        <v>PPN Masukan</v>
      </c>
      <c r="C27" s="217">
        <f>NERACA!B12</f>
        <v>0</v>
      </c>
    </row>
    <row r="28" spans="1:3" x14ac:dyDescent="0.35">
      <c r="B28" s="216" t="str">
        <f>NERACA!A13</f>
        <v>PPN Dibayar Dimuka (Instansi)</v>
      </c>
      <c r="C28" s="217">
        <f>NERACA!B13</f>
        <v>0</v>
      </c>
    </row>
    <row r="29" spans="1:3" x14ac:dyDescent="0.35">
      <c r="B29" s="216" t="s">
        <v>70</v>
      </c>
      <c r="C29" s="217">
        <f>NERACA!C19</f>
        <v>0</v>
      </c>
    </row>
    <row r="32" spans="1:3" x14ac:dyDescent="0.35">
      <c r="A32" s="218">
        <v>4</v>
      </c>
      <c r="B32" s="216" t="s">
        <v>312</v>
      </c>
    </row>
    <row r="33" spans="1:3" x14ac:dyDescent="0.35">
      <c r="B33" s="216" t="str">
        <f>NERACA!F7</f>
        <v>Hutang Usaha</v>
      </c>
      <c r="C33" s="217">
        <f>NERACA!G7</f>
        <v>0</v>
      </c>
    </row>
    <row r="34" spans="1:3" x14ac:dyDescent="0.35">
      <c r="B34" s="216" t="str">
        <f>NERACA!F8</f>
        <v>PPN Keluaran</v>
      </c>
      <c r="C34" s="217">
        <f>NERACA!G8</f>
        <v>0</v>
      </c>
    </row>
    <row r="35" spans="1:3" x14ac:dyDescent="0.35">
      <c r="B35" s="216">
        <f>NERACA!F9</f>
        <v>0</v>
      </c>
      <c r="C35" s="217">
        <f>NERACA!G9</f>
        <v>0</v>
      </c>
    </row>
    <row r="36" spans="1:3" x14ac:dyDescent="0.35">
      <c r="B36" s="216" t="s">
        <v>21</v>
      </c>
      <c r="C36" s="217">
        <f>NERACA!H18</f>
        <v>137189091.02000001</v>
      </c>
    </row>
    <row r="38" spans="1:3" x14ac:dyDescent="0.35">
      <c r="A38" s="218">
        <v>5</v>
      </c>
      <c r="B38" s="216" t="s">
        <v>311</v>
      </c>
    </row>
    <row r="39" spans="1:3" x14ac:dyDescent="0.35">
      <c r="B39" s="216" t="s">
        <v>243</v>
      </c>
      <c r="C39" s="217">
        <f>ASET!U14</f>
        <v>0</v>
      </c>
    </row>
    <row r="40" spans="1:3" x14ac:dyDescent="0.35">
      <c r="B40" s="216" t="s">
        <v>314</v>
      </c>
      <c r="C40" s="217">
        <f>ASET!U31</f>
        <v>0</v>
      </c>
    </row>
    <row r="41" spans="1:3" x14ac:dyDescent="0.35">
      <c r="B41" s="216" t="s">
        <v>315</v>
      </c>
      <c r="C41" s="217">
        <f>ASET!U42</f>
        <v>0</v>
      </c>
    </row>
    <row r="42" spans="1:3" x14ac:dyDescent="0.35">
      <c r="B42" s="216" t="s">
        <v>316</v>
      </c>
      <c r="C42" s="217">
        <f>ASET!U83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711BA"/>
  </sheetPr>
  <dimension ref="A1:M1007"/>
  <sheetViews>
    <sheetView showGridLines="0" tabSelected="1" topLeftCell="A2" zoomScale="110" zoomScaleNormal="110" workbookViewId="0">
      <selection activeCell="H12" sqref="H12"/>
    </sheetView>
  </sheetViews>
  <sheetFormatPr defaultColWidth="14.453125" defaultRowHeight="15" customHeight="1" x14ac:dyDescent="0.4"/>
  <cols>
    <col min="1" max="1" width="6.6328125" style="66" customWidth="1"/>
    <col min="2" max="2" width="31.90625" style="66" customWidth="1"/>
    <col min="3" max="3" width="13.6328125" style="66" hidden="1" customWidth="1"/>
    <col min="4" max="4" width="8.6328125" style="66" customWidth="1"/>
    <col min="5" max="5" width="7.90625" style="66" customWidth="1"/>
    <col min="6" max="6" width="13.08984375" style="66" customWidth="1"/>
    <col min="7" max="7" width="12.90625" style="66" customWidth="1"/>
    <col min="8" max="8" width="13.90625" style="66" customWidth="1"/>
    <col min="9" max="9" width="14.90625" style="66" customWidth="1"/>
    <col min="10" max="10" width="17.6328125" style="66" customWidth="1"/>
    <col min="11" max="11" width="14.36328125" style="66" customWidth="1"/>
    <col min="12" max="12" width="8.6328125" style="66" customWidth="1"/>
    <col min="13" max="13" width="12.6328125" style="66" customWidth="1"/>
    <col min="14" max="29" width="8.6328125" style="66" customWidth="1"/>
    <col min="30" max="16384" width="14.453125" style="66"/>
  </cols>
  <sheetData>
    <row r="1" spans="1:11" ht="14" hidden="1" x14ac:dyDescent="0.4">
      <c r="A1" s="313"/>
      <c r="B1" s="313"/>
      <c r="C1" s="313"/>
      <c r="D1" s="313"/>
      <c r="E1" s="313"/>
      <c r="F1" s="313"/>
      <c r="G1" s="313"/>
      <c r="H1" s="313"/>
      <c r="I1" s="313"/>
      <c r="J1" s="313"/>
      <c r="K1" s="313"/>
    </row>
    <row r="2" spans="1:11" ht="14" x14ac:dyDescent="0.4">
      <c r="A2" s="314" t="s">
        <v>63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</row>
    <row r="3" spans="1:11" ht="14" x14ac:dyDescent="0.4">
      <c r="A3" s="315" t="s">
        <v>325</v>
      </c>
      <c r="B3" s="314"/>
      <c r="C3" s="314"/>
      <c r="D3" s="314"/>
      <c r="E3" s="314"/>
      <c r="F3" s="314"/>
      <c r="G3" s="314"/>
      <c r="H3" s="314"/>
      <c r="I3" s="314"/>
      <c r="J3" s="314"/>
      <c r="K3" s="314"/>
    </row>
    <row r="4" spans="1:11" ht="5" customHeight="1" x14ac:dyDescent="0.4">
      <c r="A4" s="67"/>
      <c r="B4" s="68"/>
      <c r="C4" s="68"/>
      <c r="D4" s="67"/>
      <c r="E4" s="67"/>
      <c r="F4" s="316"/>
      <c r="G4" s="316"/>
      <c r="H4" s="69"/>
      <c r="I4" s="69"/>
      <c r="J4" s="69"/>
      <c r="K4" s="69"/>
    </row>
    <row r="5" spans="1:11" ht="14" x14ac:dyDescent="0.4">
      <c r="A5" s="311" t="s">
        <v>26</v>
      </c>
      <c r="B5" s="312" t="s">
        <v>27</v>
      </c>
      <c r="C5" s="70"/>
      <c r="D5" s="311" t="s">
        <v>28</v>
      </c>
      <c r="E5" s="311" t="s">
        <v>29</v>
      </c>
      <c r="F5" s="309" t="s">
        <v>25</v>
      </c>
      <c r="G5" s="310"/>
      <c r="H5" s="309" t="s">
        <v>61</v>
      </c>
      <c r="I5" s="310"/>
      <c r="J5" s="309" t="s">
        <v>62</v>
      </c>
      <c r="K5" s="310"/>
    </row>
    <row r="6" spans="1:11" ht="14" x14ac:dyDescent="0.4">
      <c r="A6" s="311"/>
      <c r="B6" s="312"/>
      <c r="C6" s="70"/>
      <c r="D6" s="311"/>
      <c r="E6" s="311"/>
      <c r="F6" s="71" t="s">
        <v>30</v>
      </c>
      <c r="G6" s="71" t="s">
        <v>31</v>
      </c>
      <c r="H6" s="71" t="s">
        <v>30</v>
      </c>
      <c r="I6" s="71" t="s">
        <v>31</v>
      </c>
      <c r="J6" s="71" t="s">
        <v>30</v>
      </c>
      <c r="K6" s="71" t="s">
        <v>31</v>
      </c>
    </row>
    <row r="7" spans="1:11" ht="14" x14ac:dyDescent="0.4">
      <c r="A7" s="72" t="s">
        <v>32</v>
      </c>
      <c r="B7" s="73" t="s">
        <v>192</v>
      </c>
      <c r="C7" s="73"/>
      <c r="D7" s="72" t="s">
        <v>33</v>
      </c>
      <c r="E7" s="72" t="s">
        <v>34</v>
      </c>
      <c r="F7" s="74"/>
      <c r="G7" s="74"/>
      <c r="H7" s="74">
        <f>KAS!F1578</f>
        <v>0</v>
      </c>
      <c r="I7" s="74">
        <f>KAS!G1578</f>
        <v>0</v>
      </c>
      <c r="J7" s="74">
        <f t="shared" ref="J7:J17" si="0">F7+H7-I7</f>
        <v>0</v>
      </c>
      <c r="K7" s="74"/>
    </row>
    <row r="8" spans="1:11" ht="14" x14ac:dyDescent="0.4">
      <c r="A8" s="72" t="s">
        <v>35</v>
      </c>
      <c r="B8" s="73" t="s">
        <v>371</v>
      </c>
      <c r="C8" s="73"/>
      <c r="D8" s="72" t="s">
        <v>33</v>
      </c>
      <c r="E8" s="72" t="s">
        <v>34</v>
      </c>
      <c r="F8" s="74"/>
      <c r="G8" s="74"/>
      <c r="H8" s="74">
        <f>'BANK 1'!F1437</f>
        <v>150208916.28</v>
      </c>
      <c r="I8" s="74">
        <f>'BANK 1'!G1437</f>
        <v>89253305.260000005</v>
      </c>
      <c r="J8" s="74">
        <f t="shared" si="0"/>
        <v>60955611.019999996</v>
      </c>
      <c r="K8" s="74"/>
    </row>
    <row r="9" spans="1:11" ht="14" x14ac:dyDescent="0.4">
      <c r="A9" s="72" t="s">
        <v>36</v>
      </c>
      <c r="B9" s="73" t="s">
        <v>372</v>
      </c>
      <c r="C9" s="73"/>
      <c r="D9" s="72" t="s">
        <v>33</v>
      </c>
      <c r="E9" s="72" t="s">
        <v>34</v>
      </c>
      <c r="F9" s="74"/>
      <c r="G9" s="74"/>
      <c r="H9" s="74">
        <f>'BANK 2'!F796</f>
        <v>0</v>
      </c>
      <c r="I9" s="74">
        <f>'BANK 2'!G796</f>
        <v>0</v>
      </c>
      <c r="J9" s="74">
        <f t="shared" si="0"/>
        <v>0</v>
      </c>
      <c r="K9" s="74"/>
    </row>
    <row r="10" spans="1:11" ht="14" x14ac:dyDescent="0.4">
      <c r="A10" s="72" t="s">
        <v>129</v>
      </c>
      <c r="B10" s="73" t="s">
        <v>373</v>
      </c>
      <c r="C10" s="73"/>
      <c r="D10" s="72" t="s">
        <v>33</v>
      </c>
      <c r="E10" s="72" t="s">
        <v>34</v>
      </c>
      <c r="F10" s="74"/>
      <c r="G10" s="74"/>
      <c r="H10" s="74">
        <f>'BANK 3'!F796</f>
        <v>0</v>
      </c>
      <c r="I10" s="74">
        <f>'BANK 3'!G796</f>
        <v>0</v>
      </c>
      <c r="J10" s="74">
        <f t="shared" si="0"/>
        <v>0</v>
      </c>
      <c r="K10" s="74"/>
    </row>
    <row r="11" spans="1:11" ht="14" x14ac:dyDescent="0.4">
      <c r="A11" s="72" t="s">
        <v>130</v>
      </c>
      <c r="B11" s="73" t="s">
        <v>327</v>
      </c>
      <c r="C11" s="73"/>
      <c r="D11" s="72" t="s">
        <v>33</v>
      </c>
      <c r="E11" s="72" t="s">
        <v>34</v>
      </c>
      <c r="F11" s="74"/>
      <c r="G11" s="74"/>
      <c r="H11" s="74">
        <f>'BANK 4'!F2047</f>
        <v>0</v>
      </c>
      <c r="I11" s="74">
        <f>'BANK 4'!G2047</f>
        <v>0</v>
      </c>
      <c r="J11" s="74">
        <f t="shared" si="0"/>
        <v>0</v>
      </c>
      <c r="K11" s="74"/>
    </row>
    <row r="12" spans="1:11" ht="14" x14ac:dyDescent="0.4">
      <c r="A12" s="72" t="s">
        <v>131</v>
      </c>
      <c r="B12" s="76" t="s">
        <v>82</v>
      </c>
      <c r="C12" s="76"/>
      <c r="D12" s="77" t="s">
        <v>33</v>
      </c>
      <c r="E12" s="77" t="s">
        <v>34</v>
      </c>
      <c r="F12" s="75"/>
      <c r="G12" s="75"/>
      <c r="H12" s="75">
        <f>(SUMIF(KAS!$C$7:$C$1577,VLOOKUP(NS!B12,$B$7:$B$34,1,FALSE),KAS!$G$7:$G$1577))+(SUMIF('BANK 1'!$C$7:$C$1436,VLOOKUP(NS!B12,$B$7:$B$34,1,FALSE),'BANK 1'!$G$7:$G$1436))+(SUMIF('JURNAL PENYESUAIAN'!$C$7:$C$1434,VLOOKUP(NS!B12,$B$7:$B$34,1,FALSE),'JURNAL PENYESUAIAN'!$G$7:$G$1434))+(SUMIF('BANK 4'!$C$7:$C$2046,VLOOKUP(NS!B12,$B$7:$B$34,1,FALSE),'BANK 4'!$G$7:$G$2046))+(SUMIF('BANK 2'!$C$7:$C$2046,VLOOKUP(NS!B12,$B$7:$B$34,1,FALSE),'BANK 2'!$G$7:$G$2046))+(SUMIF('BANK 3'!$C$7:$C$2046,VLOOKUP(NS!B12,$B$7:$B$34,1,FALSE),'BANK 3'!$G$7:$G$2046))</f>
        <v>0</v>
      </c>
      <c r="I12" s="75">
        <f>(SUMIF(KAS!$C$7:$C$1577,VLOOKUP(NS!B12,$B$7:$B$62,1,FALSE),KAS!$F$7:$F$1577))+(SUMIF('BANK 1'!$C$7:$C$1436,VLOOKUP(NS!B12,$B$7:$B$62,1,FALSE),'BANK 1'!$F$7:$F$1436))+(SUMIF('JURNAL PENYESUAIAN'!$C$7:$C$1434,VLOOKUP(NS!B12,$B$7:$B$62,1,FALSE),'JURNAL PENYESUAIAN'!$F$7:$F$1434))+(SUMIF('BANK 4'!$C$7:$C$2046,VLOOKUP(NS!B12,$B$7:$B$62,1,FALSE),'BANK 4'!$F$7:$F$2046))+(SUMIF('BANK 2'!$C$7:$C$2046,VLOOKUP(NS!B12,$B$7:$B$62,1,FALSE),'BANK 2'!$F$7:$F$2046))+(SUMIF('BANK 3'!$C$7:$C$2046,VLOOKUP(NS!B12,$B$7:$B$62,1,FALSE),'BANK 3'!$F$7:$F$2046))</f>
        <v>0</v>
      </c>
      <c r="J12" s="75">
        <f t="shared" si="0"/>
        <v>0</v>
      </c>
      <c r="K12" s="75"/>
    </row>
    <row r="13" spans="1:11" ht="14" x14ac:dyDescent="0.4">
      <c r="A13" s="72" t="s">
        <v>132</v>
      </c>
      <c r="B13" s="76" t="s">
        <v>123</v>
      </c>
      <c r="C13" s="76"/>
      <c r="D13" s="77" t="s">
        <v>33</v>
      </c>
      <c r="E13" s="77" t="s">
        <v>34</v>
      </c>
      <c r="F13" s="75"/>
      <c r="G13" s="75"/>
      <c r="H13" s="75">
        <f>(SUMIF(KAS!$C$7:$C$1577,VLOOKUP(NS!B13,$B$7:$B$34,1,FALSE),KAS!$G$7:$G$1577))+(SUMIF('BANK 1'!$C$7:$C$1436,VLOOKUP(NS!B13,$B$7:$B$34,1,FALSE),'BANK 1'!$G$7:$G$1436))+(SUMIF('JURNAL PENYESUAIAN'!$C$7:$C$1434,VLOOKUP(NS!B13,$B$7:$B$34,1,FALSE),'JURNAL PENYESUAIAN'!$G$7:$G$1434))+(SUMIF('BANK 4'!$C$7:$C$2046,VLOOKUP(NS!B13,$B$7:$B$34,1,FALSE),'BANK 4'!$G$7:$G$2046))+(SUMIF('BANK 2'!$C$7:$C$2046,VLOOKUP(NS!B13,$B$7:$B$34,1,FALSE),'BANK 2'!$G$7:$G$2046))+(SUMIF('BANK 3'!$C$7:$C$2046,VLOOKUP(NS!B13,$B$7:$B$34,1,FALSE),'BANK 3'!$G$7:$G$2046))</f>
        <v>0</v>
      </c>
      <c r="I13" s="75">
        <f>(SUMIF(KAS!$C$7:$C$1577,VLOOKUP(NS!B13,$B$7:$B$62,1,FALSE),KAS!$F$7:$F$1577))+(SUMIF('BANK 1'!$C$7:$C$1436,VLOOKUP(NS!B13,$B$7:$B$62,1,FALSE),'BANK 1'!$F$7:$F$1436))+(SUMIF('JURNAL PENYESUAIAN'!$C$7:$C$1434,VLOOKUP(NS!B13,$B$7:$B$62,1,FALSE),'JURNAL PENYESUAIAN'!$F$7:$F$1434))+(SUMIF('BANK 4'!$C$7:$C$2046,VLOOKUP(NS!B13,$B$7:$B$62,1,FALSE),'BANK 4'!$F$7:$F$2046))+(SUMIF('BANK 2'!$C$7:$C$2046,VLOOKUP(NS!B13,$B$7:$B$62,1,FALSE),'BANK 2'!$F$7:$F$2046))+(SUMIF('BANK 3'!$C$7:$C$2046,VLOOKUP(NS!B13,$B$7:$B$62,1,FALSE),'BANK 3'!$F$7:$F$2046))</f>
        <v>0</v>
      </c>
      <c r="J13" s="75">
        <f t="shared" si="0"/>
        <v>0</v>
      </c>
      <c r="K13" s="75"/>
    </row>
    <row r="14" spans="1:11" ht="14" x14ac:dyDescent="0.4">
      <c r="A14" s="72" t="s">
        <v>133</v>
      </c>
      <c r="B14" s="76" t="s">
        <v>124</v>
      </c>
      <c r="C14" s="76"/>
      <c r="D14" s="77" t="s">
        <v>33</v>
      </c>
      <c r="E14" s="77" t="s">
        <v>34</v>
      </c>
      <c r="F14" s="75"/>
      <c r="G14" s="75"/>
      <c r="H14" s="75">
        <f>(SUMIF(KAS!$C$7:$C$1577,VLOOKUP(NS!B14,$B$7:$B$34,1,FALSE),KAS!$G$7:$G$1577))+(SUMIF('BANK 1'!$C$7:$C$1436,VLOOKUP(NS!B14,$B$7:$B$34,1,FALSE),'BANK 1'!$G$7:$G$1436))+(SUMIF('JURNAL PENYESUAIAN'!$C$7:$C$1434,VLOOKUP(NS!B14,$B$7:$B$34,1,FALSE),'JURNAL PENYESUAIAN'!$G$7:$G$1434))+(SUMIF('BANK 4'!$C$7:$C$2046,VLOOKUP(NS!B14,$B$7:$B$34,1,FALSE),'BANK 4'!$G$7:$G$2046))+(SUMIF('BANK 2'!$C$7:$C$2046,VLOOKUP(NS!B14,$B$7:$B$34,1,FALSE),'BANK 2'!$G$7:$G$2046))+(SUMIF('BANK 3'!$C$7:$C$2046,VLOOKUP(NS!B14,$B$7:$B$34,1,FALSE),'BANK 3'!$G$7:$G$2046))</f>
        <v>0</v>
      </c>
      <c r="I14" s="75">
        <f>(SUMIF(KAS!$C$7:$C$1577,VLOOKUP(NS!B14,$B$7:$B$62,1,FALSE),KAS!$F$7:$F$1577))+(SUMIF('BANK 1'!$C$7:$C$1436,VLOOKUP(NS!B14,$B$7:$B$62,1,FALSE),'BANK 1'!$F$7:$F$1436))+(SUMIF('JURNAL PENYESUAIAN'!$C$7:$C$1434,VLOOKUP(NS!B14,$B$7:$B$62,1,FALSE),'JURNAL PENYESUAIAN'!$F$7:$F$1434))+(SUMIF('BANK 4'!$C$7:$C$2046,VLOOKUP(NS!B14,$B$7:$B$62,1,FALSE),'BANK 4'!$F$7:$F$2046))+(SUMIF('BANK 2'!$C$7:$C$2046,VLOOKUP(NS!B14,$B$7:$B$62,1,FALSE),'BANK 2'!$F$7:$F$2046))+(SUMIF('BANK 3'!$C$7:$C$2046,VLOOKUP(NS!B14,$B$7:$B$62,1,FALSE),'BANK 3'!$F$7:$F$2046))</f>
        <v>0</v>
      </c>
      <c r="J14" s="75">
        <f t="shared" si="0"/>
        <v>0</v>
      </c>
      <c r="K14" s="75"/>
    </row>
    <row r="15" spans="1:11" ht="14" x14ac:dyDescent="0.4">
      <c r="A15" s="72" t="s">
        <v>158</v>
      </c>
      <c r="B15" s="76" t="s">
        <v>155</v>
      </c>
      <c r="C15" s="76"/>
      <c r="D15" s="77" t="s">
        <v>33</v>
      </c>
      <c r="E15" s="77" t="s">
        <v>34</v>
      </c>
      <c r="F15" s="75"/>
      <c r="G15" s="75"/>
      <c r="H15" s="75">
        <f>(SUMIF(KAS!$C$7:$C$1577,VLOOKUP(NS!B15,$B$7:$B$34,1,FALSE),KAS!$G$7:$G$1577))+(SUMIF('BANK 1'!$C$7:$C$1436,VLOOKUP(NS!B15,$B$7:$B$34,1,FALSE),'BANK 1'!$G$7:$G$1436))+(SUMIF('JURNAL PENYESUAIAN'!$C$7:$C$1434,VLOOKUP(NS!B15,$B$7:$B$34,1,FALSE),'JURNAL PENYESUAIAN'!$G$7:$G$1434))+(SUMIF('BANK 4'!$C$7:$C$2046,VLOOKUP(NS!B15,$B$7:$B$34,1,FALSE),'BANK 4'!$G$7:$G$2046))+(SUMIF('BANK 2'!$C$7:$C$2046,VLOOKUP(NS!B15,$B$7:$B$34,1,FALSE),'BANK 2'!$G$7:$G$2046))+(SUMIF('BANK 3'!$C$7:$C$2046,VLOOKUP(NS!B15,$B$7:$B$34,1,FALSE),'BANK 3'!$G$7:$G$2046))</f>
        <v>0</v>
      </c>
      <c r="I15" s="75">
        <f>(SUMIF(KAS!$C$7:$C$1577,VLOOKUP(NS!B15,$B$7:$B$62,1,FALSE),KAS!$F$7:$F$1577))+(SUMIF('BANK 1'!$C$7:$C$1436,VLOOKUP(NS!B15,$B$7:$B$62,1,FALSE),'BANK 1'!$F$7:$F$1436))+(SUMIF('JURNAL PENYESUAIAN'!$C$7:$C$1434,VLOOKUP(NS!B15,$B$7:$B$62,1,FALSE),'JURNAL PENYESUAIAN'!$F$7:$F$1434))+(SUMIF('BANK 4'!$C$7:$C$2046,VLOOKUP(NS!B15,$B$7:$B$62,1,FALSE),'BANK 4'!$F$7:$F$2046))+(SUMIF('BANK 2'!$C$7:$C$2046,VLOOKUP(NS!B15,$B$7:$B$62,1,FALSE),'BANK 2'!$F$7:$F$2046))+(SUMIF('BANK 3'!$C$7:$C$2046,VLOOKUP(NS!B15,$B$7:$B$62,1,FALSE),'BANK 3'!$F$7:$F$2046))</f>
        <v>0</v>
      </c>
      <c r="J15" s="75">
        <f t="shared" si="0"/>
        <v>0</v>
      </c>
      <c r="K15" s="75"/>
    </row>
    <row r="16" spans="1:11" ht="14" x14ac:dyDescent="0.4">
      <c r="A16" s="72" t="s">
        <v>189</v>
      </c>
      <c r="B16" s="76" t="s">
        <v>120</v>
      </c>
      <c r="C16" s="76"/>
      <c r="D16" s="77" t="s">
        <v>33</v>
      </c>
      <c r="E16" s="77" t="s">
        <v>34</v>
      </c>
      <c r="F16" s="75"/>
      <c r="G16" s="75"/>
      <c r="H16" s="75">
        <f>(SUMIF(KAS!$C$7:$C$1577,VLOOKUP(NS!B16,$B$7:$B$34,1,FALSE),KAS!$G$7:$G$1577))+(SUMIF('BANK 1'!$C$7:$C$1436,VLOOKUP(NS!B16,$B$7:$B$34,1,FALSE),'BANK 1'!$G$7:$G$1436))+(SUMIF('JURNAL PENYESUAIAN'!$C$7:$C$1434,VLOOKUP(NS!B16,$B$7:$B$34,1,FALSE),'JURNAL PENYESUAIAN'!$G$7:$G$1434))+(SUMIF('BANK 4'!$C$7:$C$2046,VLOOKUP(NS!B16,$B$7:$B$34,1,FALSE),'BANK 4'!$G$7:$G$2046))+(SUMIF('BANK 2'!$C$7:$C$2046,VLOOKUP(NS!B16,$B$7:$B$34,1,FALSE),'BANK 2'!$G$7:$G$2046))+(SUMIF('BANK 3'!$C$7:$C$2046,VLOOKUP(NS!B16,$B$7:$B$34,1,FALSE),'BANK 3'!$G$7:$G$2046))</f>
        <v>0</v>
      </c>
      <c r="I16" s="75">
        <f>(SUMIF(KAS!$C$7:$C$1577,VLOOKUP(NS!B16,$B$7:$B$62,1,FALSE),KAS!$F$7:$F$1577))+(SUMIF('BANK 1'!$C$7:$C$1436,VLOOKUP(NS!B16,$B$7:$B$62,1,FALSE),'BANK 1'!$F$7:$F$1436))+(SUMIF('JURNAL PENYESUAIAN'!$C$7:$C$1434,VLOOKUP(NS!B16,$B$7:$B$62,1,FALSE),'JURNAL PENYESUAIAN'!$F$7:$F$1434))+(SUMIF('BANK 4'!$C$7:$C$2046,VLOOKUP(NS!B16,$B$7:$B$62,1,FALSE),'BANK 4'!$F$7:$F$2046))+(SUMIF('BANK 2'!$C$7:$C$2046,VLOOKUP(NS!B16,$B$7:$B$62,1,FALSE),'BANK 2'!$F$7:$F$2046))+(SUMIF('BANK 3'!$C$7:$C$2046,VLOOKUP(NS!B16,$B$7:$B$62,1,FALSE),'BANK 3'!$F$7:$F$2046))</f>
        <v>0</v>
      </c>
      <c r="J16" s="75">
        <f t="shared" si="0"/>
        <v>0</v>
      </c>
      <c r="K16" s="75"/>
    </row>
    <row r="17" spans="1:13" ht="14" x14ac:dyDescent="0.4">
      <c r="A17" s="72" t="s">
        <v>190</v>
      </c>
      <c r="B17" s="76" t="s">
        <v>128</v>
      </c>
      <c r="C17" s="76"/>
      <c r="D17" s="77" t="s">
        <v>33</v>
      </c>
      <c r="E17" s="77" t="s">
        <v>34</v>
      </c>
      <c r="F17" s="75"/>
      <c r="G17" s="75"/>
      <c r="H17" s="75">
        <f>(SUMIF(KAS!$C$7:$C$1577,VLOOKUP(NS!B17,$B$7:$B$34,1,FALSE),KAS!$G$7:$G$1577))+(SUMIF('BANK 1'!$C$7:$C$1436,VLOOKUP(NS!B17,$B$7:$B$34,1,FALSE),'BANK 1'!$G$7:$G$1436))+(SUMIF('JURNAL PENYESUAIAN'!$C$7:$C$1434,VLOOKUP(NS!B17,$B$7:$B$34,1,FALSE),'JURNAL PENYESUAIAN'!$G$7:$G$1434))+(SUMIF('BANK 4'!$C$7:$C$2046,VLOOKUP(NS!B17,$B$7:$B$34,1,FALSE),'BANK 4'!$G$7:$G$2046))+(SUMIF('BANK 2'!$C$7:$C$2046,VLOOKUP(NS!B17,$B$7:$B$34,1,FALSE),'BANK 2'!$G$7:$G$2046))+(SUMIF('BANK 3'!$C$7:$C$2046,VLOOKUP(NS!B17,$B$7:$B$34,1,FALSE),'BANK 3'!$G$7:$G$2046))</f>
        <v>0</v>
      </c>
      <c r="I17" s="75">
        <f>(SUMIF(KAS!$C$7:$C$1577,VLOOKUP(NS!B17,$B$7:$B$62,1,FALSE),KAS!$F$7:$F$1577))+(SUMIF('BANK 1'!$C$7:$C$1436,VLOOKUP(NS!B17,$B$7:$B$62,1,FALSE),'BANK 1'!$F$7:$F$1436))+(SUMIF('JURNAL PENYESUAIAN'!$C$7:$C$1434,VLOOKUP(NS!B17,$B$7:$B$62,1,FALSE),'JURNAL PENYESUAIAN'!$F$7:$F$1434))+(SUMIF('BANK 4'!$C$7:$C$2046,VLOOKUP(NS!B17,$B$7:$B$62,1,FALSE),'BANK 4'!$F$7:$F$2046))+(SUMIF('BANK 2'!$C$7:$C$2046,VLOOKUP(NS!B17,$B$7:$B$62,1,FALSE),'BANK 2'!$F$7:$F$2046))+(SUMIF('BANK 3'!$C$7:$C$2046,VLOOKUP(NS!B17,$B$7:$B$62,1,FALSE),'BANK 3'!$F$7:$F$2046))</f>
        <v>0</v>
      </c>
      <c r="J17" s="75">
        <f t="shared" si="0"/>
        <v>0</v>
      </c>
      <c r="K17" s="75"/>
    </row>
    <row r="18" spans="1:13" ht="14" x14ac:dyDescent="0.4">
      <c r="A18" s="72" t="s">
        <v>191</v>
      </c>
      <c r="B18" s="76" t="s">
        <v>122</v>
      </c>
      <c r="C18" s="76"/>
      <c r="D18" s="77" t="s">
        <v>39</v>
      </c>
      <c r="E18" s="77" t="s">
        <v>34</v>
      </c>
      <c r="F18" s="75"/>
      <c r="G18" s="75"/>
      <c r="H18" s="75">
        <f>(SUMIF(KAS!$C$7:$C$1577,VLOOKUP(NS!B18,$B$7:$B$34,1,FALSE),KAS!$G$7:$G$1577))+(SUMIF('BANK 1'!$C$7:$C$1436,VLOOKUP(NS!B18,$B$7:$B$34,1,FALSE),'BANK 1'!$G$7:$G$1436))+(SUMIF('JURNAL PENYESUAIAN'!$C$7:$C$1434,VLOOKUP(NS!B18,$B$7:$B$34,1,FALSE),'JURNAL PENYESUAIAN'!$G$7:$G$1434))+(SUMIF('BANK 4'!$C$7:$C$2046,VLOOKUP(NS!B18,$B$7:$B$34,1,FALSE),'BANK 4'!$G$7:$G$2046))+(SUMIF('BANK 2'!$C$7:$C$2046,VLOOKUP(NS!B18,$B$7:$B$34,1,FALSE),'BANK 2'!$G$7:$G$2046))+(SUMIF('BANK 3'!$C$7:$C$2046,VLOOKUP(NS!B18,$B$7:$B$34,1,FALSE),'BANK 3'!$G$7:$G$2046))</f>
        <v>0</v>
      </c>
      <c r="I18" s="75">
        <f>(SUMIF(KAS!$C$7:$C$1577,VLOOKUP(NS!B18,$B$7:$B$62,1,FALSE),KAS!$F$7:$F$1577))+(SUMIF('BANK 1'!$C$7:$C$1436,VLOOKUP(NS!B18,$B$7:$B$62,1,FALSE),'BANK 1'!$F$7:$F$1436))+(SUMIF('JURNAL PENYESUAIAN'!$C$7:$C$1434,VLOOKUP(NS!B18,$B$7:$B$62,1,FALSE),'JURNAL PENYESUAIAN'!$F$7:$F$1434))+(SUMIF('BANK 4'!$C$7:$C$2046,VLOOKUP(NS!B18,$B$7:$B$62,1,FALSE),'BANK 4'!$F$7:$F$2046))+(SUMIF('BANK 2'!$C$7:$C$2046,VLOOKUP(NS!B18,$B$7:$B$62,1,FALSE),'BANK 2'!$F$7:$F$2046))+(SUMIF('BANK 3'!$C$7:$C$2046,VLOOKUP(NS!B18,$B$7:$B$62,1,FALSE),'BANK 3'!$F$7:$F$2046))</f>
        <v>0</v>
      </c>
      <c r="J18" s="75"/>
      <c r="K18" s="75">
        <f>G18+I18-H18</f>
        <v>0</v>
      </c>
      <c r="M18" s="78"/>
    </row>
    <row r="19" spans="1:13" ht="14" x14ac:dyDescent="0.4">
      <c r="A19" s="77" t="s">
        <v>37</v>
      </c>
      <c r="B19" s="76" t="s">
        <v>70</v>
      </c>
      <c r="C19" s="76"/>
      <c r="D19" s="77" t="s">
        <v>33</v>
      </c>
      <c r="E19" s="77" t="s">
        <v>34</v>
      </c>
      <c r="F19" s="75"/>
      <c r="G19" s="75"/>
      <c r="H19" s="75">
        <f>(SUMIF(KAS!$C$7:$C$1577,VLOOKUP(NS!B19,$B$7:$B$34,1,FALSE),KAS!$G$7:$G$1577))+(SUMIF('BANK 1'!$C$7:$C$1436,VLOOKUP(NS!B19,$B$7:$B$34,1,FALSE),'BANK 1'!$G$7:$G$1436))+(SUMIF('JURNAL PENYESUAIAN'!$C$7:$C$1434,VLOOKUP(NS!B19,$B$7:$B$34,1,FALSE),'JURNAL PENYESUAIAN'!$G$7:$G$1434))+(SUMIF('BANK 4'!$C$7:$C$2046,VLOOKUP(NS!B19,$B$7:$B$34,1,FALSE),'BANK 4'!$G$7:$G$2046))+(SUMIF('BANK 2'!$C$7:$C$2046,VLOOKUP(NS!B19,$B$7:$B$34,1,FALSE),'BANK 2'!$G$7:$G$2046))+(SUMIF('BANK 3'!$C$7:$C$2046,VLOOKUP(NS!B19,$B$7:$B$34,1,FALSE),'BANK 3'!$G$7:$G$2046))</f>
        <v>0</v>
      </c>
      <c r="I19" s="75"/>
      <c r="J19" s="75">
        <f>F19+H19</f>
        <v>0</v>
      </c>
      <c r="K19" s="75"/>
    </row>
    <row r="20" spans="1:13" ht="14" x14ac:dyDescent="0.4">
      <c r="A20" s="77" t="s">
        <v>38</v>
      </c>
      <c r="B20" s="76" t="s">
        <v>96</v>
      </c>
      <c r="C20" s="76"/>
      <c r="D20" s="77" t="s">
        <v>39</v>
      </c>
      <c r="E20" s="77" t="s">
        <v>34</v>
      </c>
      <c r="F20" s="75"/>
      <c r="G20" s="75"/>
      <c r="H20" s="75"/>
      <c r="I20" s="75"/>
      <c r="J20" s="75"/>
      <c r="K20" s="75">
        <f>ASET!T86</f>
        <v>0</v>
      </c>
    </row>
    <row r="21" spans="1:13" ht="14" x14ac:dyDescent="0.4">
      <c r="A21" s="77" t="s">
        <v>40</v>
      </c>
      <c r="B21" s="76" t="s">
        <v>83</v>
      </c>
      <c r="C21" s="76"/>
      <c r="D21" s="77" t="s">
        <v>39</v>
      </c>
      <c r="E21" s="77" t="s">
        <v>34</v>
      </c>
      <c r="F21" s="75"/>
      <c r="G21" s="75"/>
      <c r="H21" s="75">
        <f>(SUMIF(KAS!$C$7:$C$1577,VLOOKUP(NS!B21,$B$7:$B$34,1,FALSE),KAS!$G$7:$G$1577))+(SUMIF('BANK 1'!$C$7:$C$1436,VLOOKUP(NS!B21,$B$7:$B$34,1,FALSE),'BANK 1'!$G$7:$G$1436))+(SUMIF('JURNAL PENYESUAIAN'!$C$7:$C$1434,VLOOKUP(NS!B21,$B$7:$B$34,1,FALSE),'JURNAL PENYESUAIAN'!$G$7:$G$1434))+(SUMIF('BANK 4'!$C$7:$C$2046,VLOOKUP(NS!B21,$B$7:$B$34,1,FALSE),'BANK 4'!$G$7:$G$2046))+(SUMIF('BANK 2'!$C$7:$C$2046,VLOOKUP(NS!B21,$B$7:$B$34,1,FALSE),'BANK 2'!$G$7:$G$2046))+(SUMIF('BANK 3'!$C$7:$C$2046,VLOOKUP(NS!B21,$B$7:$B$34,1,FALSE),'BANK 3'!$G$7:$G$2046))</f>
        <v>0</v>
      </c>
      <c r="I21" s="75">
        <f>(SUMIF(KAS!$C$7:$C$1577,VLOOKUP(NS!B21,$B$7:$B$62,1,FALSE),KAS!$F$7:$F$1577))+(SUMIF('BANK 1'!$C$7:$C$1436,VLOOKUP(NS!B21,$B$7:$B$62,1,FALSE),'BANK 1'!$F$7:$F$1436))+(SUMIF('JURNAL PENYESUAIAN'!$C$7:$C$1434,VLOOKUP(NS!B21,$B$7:$B$62,1,FALSE),'JURNAL PENYESUAIAN'!$F$7:$F$1434))+(SUMIF('BANK 4'!$C$7:$C$2046,VLOOKUP(NS!B21,$B$7:$B$62,1,FALSE),'BANK 4'!$F$7:$F$2046))+(SUMIF('BANK 2'!$C$7:$C$2046,VLOOKUP(NS!B21,$B$7:$B$62,1,FALSE),'BANK 2'!$F$7:$F$2046))+(SUMIF('BANK 3'!$C$7:$C$2046,VLOOKUP(NS!B21,$B$7:$B$62,1,FALSE),'BANK 3'!$F$7:$F$2046))</f>
        <v>0</v>
      </c>
      <c r="J21" s="75"/>
      <c r="K21" s="75">
        <f>G21+I21-H21</f>
        <v>0</v>
      </c>
    </row>
    <row r="22" spans="1:13" ht="14" x14ac:dyDescent="0.4">
      <c r="A22" s="77" t="s">
        <v>41</v>
      </c>
      <c r="B22" s="76" t="s">
        <v>84</v>
      </c>
      <c r="C22" s="76"/>
      <c r="D22" s="77" t="s">
        <v>39</v>
      </c>
      <c r="E22" s="77" t="s">
        <v>34</v>
      </c>
      <c r="F22" s="75"/>
      <c r="G22" s="75"/>
      <c r="H22" s="75"/>
      <c r="I22" s="75">
        <f>(SUMIF(KAS!$C$7:$C$1577,VLOOKUP(NS!B22,$B$7:$B$62,1,FALSE),KAS!$F$7:$F$1577))+(SUMIF('BANK 1'!$C$7:$C$1436,VLOOKUP(NS!B22,$B$7:$B$62,1,FALSE),'BANK 1'!$F$7:$F$1436))+(SUMIF('JURNAL PENYESUAIAN'!$C$7:$C$1434,VLOOKUP(NS!B22,$B$7:$B$62,1,FALSE),'JURNAL PENYESUAIAN'!$F$7:$F$1434))+(SUMIF('BANK 4'!$C$7:$C$2046,VLOOKUP(NS!B22,$B$7:$B$62,1,FALSE),'BANK 4'!$F$7:$F$2046))+(SUMIF('BANK 2'!$C$7:$C$2046,VLOOKUP(NS!B22,$B$7:$B$62,1,FALSE),'BANK 2'!$F$7:$F$2046))+(SUMIF('BANK 3'!$C$7:$C$2046,VLOOKUP(NS!B22,$B$7:$B$62,1,FALSE),'BANK 3'!$F$7:$F$2046))</f>
        <v>0</v>
      </c>
      <c r="J22" s="75"/>
      <c r="K22" s="75">
        <f>G22+I22-H22</f>
        <v>0</v>
      </c>
    </row>
    <row r="23" spans="1:13" ht="14" x14ac:dyDescent="0.4">
      <c r="A23" s="77" t="s">
        <v>42</v>
      </c>
      <c r="B23" s="76" t="s">
        <v>152</v>
      </c>
      <c r="C23" s="76"/>
      <c r="D23" s="77" t="s">
        <v>33</v>
      </c>
      <c r="E23" s="77" t="s">
        <v>34</v>
      </c>
      <c r="F23" s="75"/>
      <c r="G23" s="79"/>
      <c r="H23" s="75">
        <f>(SUMIF(KAS!$C$7:$C$1577,VLOOKUP(NS!B23,$B$7:$B$34,1,FALSE),KAS!$G$7:$G$1577))+(SUMIF('BANK 1'!$C$7:$C$1436,VLOOKUP(NS!B23,$B$7:$B$34,1,FALSE),'BANK 1'!$G$7:$G$1436))+(SUMIF('JURNAL PENYESUAIAN'!$C$7:$C$1434,VLOOKUP(NS!B23,$B$7:$B$34,1,FALSE),'JURNAL PENYESUAIAN'!$G$7:$G$1434))+(SUMIF('BANK 4'!$C$7:$C$2046,VLOOKUP(NS!B23,$B$7:$B$34,1,FALSE),'BANK 4'!$G$7:$G$2046))+(SUMIF('BANK 2'!$C$7:$C$2046,VLOOKUP(NS!B23,$B$7:$B$34,1,FALSE),'BANK 2'!$G$7:$G$2046))+(SUMIF('BANK 3'!$C$7:$C$2046,VLOOKUP(NS!B23,$B$7:$B$34,1,FALSE),'BANK 3'!$G$7:$G$2046))</f>
        <v>0</v>
      </c>
      <c r="I23" s="79"/>
      <c r="J23" s="75"/>
      <c r="K23" s="75">
        <f>G23+H23-I23</f>
        <v>0</v>
      </c>
    </row>
    <row r="24" spans="1:13" ht="14" x14ac:dyDescent="0.4">
      <c r="A24" s="77" t="s">
        <v>43</v>
      </c>
      <c r="B24" s="76" t="s">
        <v>44</v>
      </c>
      <c r="C24" s="76"/>
      <c r="D24" s="77" t="s">
        <v>39</v>
      </c>
      <c r="E24" s="77" t="s">
        <v>34</v>
      </c>
      <c r="F24" s="80"/>
      <c r="G24" s="81"/>
      <c r="H24" s="81"/>
      <c r="I24" s="81">
        <v>0</v>
      </c>
      <c r="J24" s="82"/>
      <c r="K24" s="75">
        <f>G24+I24-H24</f>
        <v>0</v>
      </c>
    </row>
    <row r="25" spans="1:13" ht="15.75" customHeight="1" x14ac:dyDescent="0.4">
      <c r="A25" s="77" t="s">
        <v>64</v>
      </c>
      <c r="B25" s="76" t="s">
        <v>17</v>
      </c>
      <c r="C25" s="76"/>
      <c r="D25" s="77" t="s">
        <v>39</v>
      </c>
      <c r="E25" s="77" t="s">
        <v>45</v>
      </c>
      <c r="F25" s="80"/>
      <c r="G25" s="81"/>
      <c r="H25" s="83"/>
      <c r="I25" s="81">
        <f>'LABA RUGI'!D7</f>
        <v>150208916.28</v>
      </c>
      <c r="J25" s="82"/>
      <c r="K25" s="75">
        <f t="shared" ref="K25" si="1">G25+I25-H25</f>
        <v>150208916.28</v>
      </c>
    </row>
    <row r="26" spans="1:13" ht="15.75" customHeight="1" x14ac:dyDescent="0.4">
      <c r="A26" s="77" t="s">
        <v>321</v>
      </c>
      <c r="B26" s="76" t="s">
        <v>319</v>
      </c>
      <c r="C26" s="76"/>
      <c r="D26" s="77" t="s">
        <v>33</v>
      </c>
      <c r="E26" s="77" t="s">
        <v>45</v>
      </c>
      <c r="F26" s="75"/>
      <c r="G26" s="75"/>
      <c r="H26" s="75">
        <f>'LABA RUGI'!D11</f>
        <v>6000000</v>
      </c>
      <c r="I26" s="75"/>
      <c r="J26" s="75">
        <f>F26+H26-I26</f>
        <v>6000000</v>
      </c>
      <c r="K26" s="75"/>
    </row>
    <row r="27" spans="1:13" ht="15.75" customHeight="1" x14ac:dyDescent="0.4">
      <c r="A27" s="77" t="s">
        <v>322</v>
      </c>
      <c r="B27" s="76" t="s">
        <v>116</v>
      </c>
      <c r="C27" s="76"/>
      <c r="D27" s="77" t="s">
        <v>33</v>
      </c>
      <c r="E27" s="77" t="s">
        <v>45</v>
      </c>
      <c r="F27" s="75"/>
      <c r="G27" s="75"/>
      <c r="H27" s="75">
        <f>'LABA RUGI'!D16</f>
        <v>0</v>
      </c>
      <c r="I27" s="75"/>
      <c r="J27" s="75">
        <f t="shared" ref="J27:J37" si="2">F27+H27-I27</f>
        <v>0</v>
      </c>
      <c r="K27" s="75"/>
    </row>
    <row r="28" spans="1:13" ht="15.75" customHeight="1" x14ac:dyDescent="0.4">
      <c r="A28" s="77" t="s">
        <v>323</v>
      </c>
      <c r="B28" s="76" t="s">
        <v>57</v>
      </c>
      <c r="C28" s="76"/>
      <c r="D28" s="77" t="s">
        <v>33</v>
      </c>
      <c r="E28" s="77" t="s">
        <v>45</v>
      </c>
      <c r="F28" s="75"/>
      <c r="G28" s="75"/>
      <c r="H28" s="75">
        <f>'LABA RUGI'!D17</f>
        <v>1555000</v>
      </c>
      <c r="I28" s="75"/>
      <c r="J28" s="75">
        <f t="shared" si="2"/>
        <v>1555000</v>
      </c>
      <c r="K28" s="75"/>
    </row>
    <row r="29" spans="1:13" ht="15.75" customHeight="1" x14ac:dyDescent="0.4">
      <c r="A29" s="77" t="s">
        <v>46</v>
      </c>
      <c r="B29" s="76" t="s">
        <v>147</v>
      </c>
      <c r="C29" s="76"/>
      <c r="D29" s="77" t="s">
        <v>33</v>
      </c>
      <c r="E29" s="77" t="s">
        <v>45</v>
      </c>
      <c r="F29" s="75"/>
      <c r="G29" s="75"/>
      <c r="H29" s="75">
        <f>'LABA RUGI'!D18</f>
        <v>5198862</v>
      </c>
      <c r="I29" s="75"/>
      <c r="J29" s="75">
        <f t="shared" si="2"/>
        <v>5198862</v>
      </c>
      <c r="K29" s="75"/>
    </row>
    <row r="30" spans="1:13" ht="15.75" customHeight="1" x14ac:dyDescent="0.4">
      <c r="A30" s="77" t="s">
        <v>47</v>
      </c>
      <c r="B30" s="76" t="s">
        <v>54</v>
      </c>
      <c r="C30" s="76"/>
      <c r="D30" s="77" t="s">
        <v>33</v>
      </c>
      <c r="E30" s="77" t="s">
        <v>45</v>
      </c>
      <c r="F30" s="75"/>
      <c r="G30" s="75"/>
      <c r="H30" s="75">
        <f>'LABA RUGI'!D19</f>
        <v>0</v>
      </c>
      <c r="I30" s="75"/>
      <c r="J30" s="75">
        <f t="shared" si="2"/>
        <v>0</v>
      </c>
      <c r="K30" s="75"/>
    </row>
    <row r="31" spans="1:13" ht="15.75" customHeight="1" x14ac:dyDescent="0.4">
      <c r="A31" s="77" t="s">
        <v>48</v>
      </c>
      <c r="B31" s="76" t="s">
        <v>20</v>
      </c>
      <c r="C31" s="76"/>
      <c r="D31" s="77" t="s">
        <v>33</v>
      </c>
      <c r="E31" s="77" t="s">
        <v>45</v>
      </c>
      <c r="F31" s="75"/>
      <c r="G31" s="75"/>
      <c r="H31" s="75">
        <f>'LABA RUGI'!D20</f>
        <v>0</v>
      </c>
      <c r="I31" s="75"/>
      <c r="J31" s="75">
        <f t="shared" si="2"/>
        <v>0</v>
      </c>
      <c r="K31" s="75"/>
    </row>
    <row r="32" spans="1:13" ht="15.75" customHeight="1" x14ac:dyDescent="0.4">
      <c r="A32" s="77" t="s">
        <v>65</v>
      </c>
      <c r="B32" s="76" t="s">
        <v>58</v>
      </c>
      <c r="C32" s="76"/>
      <c r="D32" s="77" t="s">
        <v>33</v>
      </c>
      <c r="E32" s="77" t="s">
        <v>45</v>
      </c>
      <c r="F32" s="75"/>
      <c r="G32" s="75"/>
      <c r="H32" s="75">
        <f>'LABA RUGI'!D21</f>
        <v>0</v>
      </c>
      <c r="I32" s="75"/>
      <c r="J32" s="75">
        <f t="shared" si="2"/>
        <v>0</v>
      </c>
      <c r="K32" s="75"/>
    </row>
    <row r="33" spans="1:11" ht="15.75" customHeight="1" x14ac:dyDescent="0.4">
      <c r="A33" s="77" t="s">
        <v>66</v>
      </c>
      <c r="B33" s="76" t="s">
        <v>101</v>
      </c>
      <c r="C33" s="76"/>
      <c r="D33" s="77" t="s">
        <v>33</v>
      </c>
      <c r="E33" s="77" t="s">
        <v>45</v>
      </c>
      <c r="F33" s="75"/>
      <c r="G33" s="75"/>
      <c r="H33" s="75">
        <f>'LABA RUGI'!D22</f>
        <v>0</v>
      </c>
      <c r="I33" s="75"/>
      <c r="J33" s="75">
        <f t="shared" si="2"/>
        <v>0</v>
      </c>
      <c r="K33" s="75"/>
    </row>
    <row r="34" spans="1:11" ht="15.75" customHeight="1" x14ac:dyDescent="0.4">
      <c r="A34" s="77" t="s">
        <v>67</v>
      </c>
      <c r="B34" s="76" t="s">
        <v>59</v>
      </c>
      <c r="C34" s="76"/>
      <c r="D34" s="77" t="s">
        <v>33</v>
      </c>
      <c r="E34" s="77" t="s">
        <v>45</v>
      </c>
      <c r="F34" s="75"/>
      <c r="G34" s="75"/>
      <c r="H34" s="75">
        <f>'LABA RUGI'!D23</f>
        <v>0</v>
      </c>
      <c r="I34" s="75"/>
      <c r="J34" s="75">
        <f t="shared" si="2"/>
        <v>0</v>
      </c>
      <c r="K34" s="75"/>
    </row>
    <row r="35" spans="1:11" ht="15.75" customHeight="1" x14ac:dyDescent="0.4">
      <c r="A35" s="77" t="s">
        <v>68</v>
      </c>
      <c r="B35" s="76" t="s">
        <v>60</v>
      </c>
      <c r="C35" s="76"/>
      <c r="D35" s="77" t="s">
        <v>33</v>
      </c>
      <c r="E35" s="77" t="s">
        <v>45</v>
      </c>
      <c r="F35" s="75"/>
      <c r="G35" s="75"/>
      <c r="H35" s="75">
        <f>'LABA RUGI'!D24</f>
        <v>32500</v>
      </c>
      <c r="I35" s="75"/>
      <c r="J35" s="75">
        <f t="shared" si="2"/>
        <v>32500</v>
      </c>
      <c r="K35" s="75"/>
    </row>
    <row r="36" spans="1:11" ht="15.75" customHeight="1" x14ac:dyDescent="0.4">
      <c r="A36" s="77" t="s">
        <v>69</v>
      </c>
      <c r="B36" s="76" t="s">
        <v>92</v>
      </c>
      <c r="C36" s="76"/>
      <c r="D36" s="77" t="s">
        <v>33</v>
      </c>
      <c r="E36" s="77" t="s">
        <v>45</v>
      </c>
      <c r="F36" s="75"/>
      <c r="G36" s="75"/>
      <c r="H36" s="75">
        <f>'LABA RUGI'!D25</f>
        <v>0</v>
      </c>
      <c r="I36" s="75"/>
      <c r="J36" s="75">
        <f t="shared" si="2"/>
        <v>0</v>
      </c>
      <c r="K36" s="75"/>
    </row>
    <row r="37" spans="1:11" ht="15.75" customHeight="1" x14ac:dyDescent="0.4">
      <c r="A37" s="77" t="s">
        <v>151</v>
      </c>
      <c r="B37" s="76" t="s">
        <v>105</v>
      </c>
      <c r="C37" s="76"/>
      <c r="D37" s="77" t="s">
        <v>33</v>
      </c>
      <c r="E37" s="77" t="s">
        <v>45</v>
      </c>
      <c r="F37" s="75"/>
      <c r="G37" s="75"/>
      <c r="H37" s="75">
        <f>'LABA RUGI'!D26</f>
        <v>233463.26</v>
      </c>
      <c r="I37" s="75"/>
      <c r="J37" s="75">
        <f t="shared" si="2"/>
        <v>233463.26</v>
      </c>
      <c r="K37" s="75"/>
    </row>
    <row r="38" spans="1:11" s="86" customFormat="1" ht="15.75" customHeight="1" x14ac:dyDescent="0.4">
      <c r="A38" s="84"/>
      <c r="B38" s="305" t="s">
        <v>49</v>
      </c>
      <c r="C38" s="306"/>
      <c r="D38" s="307"/>
      <c r="E38" s="308"/>
      <c r="F38" s="85">
        <f t="shared" ref="F38:K38" si="3">SUM(F7:F37)</f>
        <v>0</v>
      </c>
      <c r="G38" s="85">
        <f t="shared" si="3"/>
        <v>0</v>
      </c>
      <c r="H38" s="85">
        <f t="shared" si="3"/>
        <v>163228741.53999999</v>
      </c>
      <c r="I38" s="85">
        <f t="shared" si="3"/>
        <v>239462221.54000002</v>
      </c>
      <c r="J38" s="85">
        <f t="shared" si="3"/>
        <v>73975436.280000001</v>
      </c>
      <c r="K38" s="85">
        <f t="shared" si="3"/>
        <v>150208916.28</v>
      </c>
    </row>
    <row r="39" spans="1:11" ht="15.75" customHeight="1" x14ac:dyDescent="0.4">
      <c r="A39" s="67"/>
      <c r="B39" s="68"/>
      <c r="C39" s="68"/>
      <c r="D39" s="67"/>
      <c r="E39" s="67"/>
      <c r="F39" s="69"/>
      <c r="G39" s="69"/>
      <c r="H39" s="69"/>
      <c r="I39" s="69"/>
      <c r="J39" s="69"/>
      <c r="K39" s="69"/>
    </row>
    <row r="40" spans="1:11" ht="15.75" customHeight="1" x14ac:dyDescent="0.4">
      <c r="A40" s="67"/>
      <c r="B40" s="68"/>
      <c r="C40" s="68"/>
      <c r="D40" s="67"/>
      <c r="E40" s="67"/>
      <c r="F40" s="69"/>
      <c r="G40" s="69"/>
      <c r="H40" s="69"/>
      <c r="I40" s="69"/>
      <c r="J40" s="69"/>
      <c r="K40" s="69"/>
    </row>
    <row r="41" spans="1:11" ht="15.75" customHeight="1" x14ac:dyDescent="0.4">
      <c r="A41" s="67"/>
      <c r="B41" s="68"/>
      <c r="C41" s="68"/>
      <c r="D41" s="67"/>
      <c r="E41" s="67"/>
      <c r="F41" s="69"/>
      <c r="G41" s="69"/>
      <c r="H41" s="69"/>
      <c r="I41" s="69"/>
      <c r="J41" s="69"/>
      <c r="K41" s="69"/>
    </row>
    <row r="42" spans="1:11" ht="15.75" customHeight="1" x14ac:dyDescent="0.4">
      <c r="A42" s="67"/>
      <c r="B42" s="68"/>
      <c r="C42" s="68"/>
      <c r="D42" s="67"/>
      <c r="E42" s="67"/>
      <c r="F42" s="69"/>
      <c r="G42" s="69"/>
      <c r="H42" s="69"/>
      <c r="I42" s="69"/>
      <c r="J42" s="69"/>
      <c r="K42" s="69"/>
    </row>
    <row r="43" spans="1:11" ht="15.75" customHeight="1" x14ac:dyDescent="0.4">
      <c r="A43" s="67"/>
      <c r="B43" s="68"/>
      <c r="C43" s="68"/>
      <c r="D43" s="67"/>
      <c r="E43" s="67"/>
      <c r="F43" s="69"/>
      <c r="G43" s="69"/>
      <c r="H43" s="69"/>
      <c r="I43" s="69"/>
      <c r="J43" s="69"/>
      <c r="K43" s="69"/>
    </row>
    <row r="44" spans="1:11" ht="15.75" customHeight="1" x14ac:dyDescent="0.4">
      <c r="A44" s="67"/>
      <c r="B44" s="68"/>
      <c r="C44" s="68"/>
      <c r="D44" s="67"/>
      <c r="E44" s="67"/>
      <c r="F44" s="69"/>
      <c r="G44" s="69"/>
      <c r="H44" s="69"/>
      <c r="I44" s="69"/>
      <c r="J44" s="69"/>
      <c r="K44" s="69"/>
    </row>
    <row r="45" spans="1:11" ht="15.75" customHeight="1" x14ac:dyDescent="0.4">
      <c r="A45" s="67"/>
      <c r="B45" s="68"/>
      <c r="C45" s="68"/>
      <c r="D45" s="67"/>
      <c r="E45" s="67"/>
      <c r="F45" s="69"/>
      <c r="G45" s="69"/>
      <c r="H45" s="69"/>
      <c r="I45" s="69"/>
      <c r="J45" s="69"/>
      <c r="K45" s="69"/>
    </row>
    <row r="46" spans="1:11" ht="15.75" customHeight="1" x14ac:dyDescent="0.4">
      <c r="A46" s="67"/>
      <c r="B46" s="68"/>
      <c r="C46" s="68"/>
      <c r="D46" s="67"/>
      <c r="E46" s="67"/>
      <c r="F46" s="69"/>
      <c r="G46" s="69"/>
      <c r="H46" s="69"/>
      <c r="I46" s="69"/>
      <c r="J46" s="69"/>
      <c r="K46" s="69"/>
    </row>
    <row r="47" spans="1:11" ht="15.75" customHeight="1" x14ac:dyDescent="0.4">
      <c r="A47" s="67"/>
      <c r="B47" s="68"/>
      <c r="C47" s="68"/>
      <c r="D47" s="67"/>
      <c r="E47" s="67"/>
      <c r="F47" s="69"/>
      <c r="G47" s="69"/>
      <c r="H47" s="69"/>
      <c r="I47" s="69"/>
      <c r="J47" s="69"/>
      <c r="K47" s="69"/>
    </row>
    <row r="48" spans="1:11" ht="15.75" customHeight="1" x14ac:dyDescent="0.4">
      <c r="A48" s="67"/>
      <c r="B48" s="68"/>
      <c r="C48" s="68"/>
      <c r="D48" s="67"/>
      <c r="E48" s="67"/>
      <c r="F48" s="69"/>
      <c r="G48" s="69"/>
      <c r="H48" s="69"/>
      <c r="I48" s="69"/>
      <c r="J48" s="69"/>
      <c r="K48" s="69"/>
    </row>
    <row r="49" spans="1:11" ht="15.75" customHeight="1" x14ac:dyDescent="0.4">
      <c r="A49" s="67"/>
      <c r="B49" s="68"/>
      <c r="C49" s="68"/>
      <c r="D49" s="67"/>
      <c r="E49" s="67"/>
      <c r="F49" s="69"/>
      <c r="G49" s="69"/>
      <c r="H49" s="69"/>
      <c r="I49" s="69"/>
      <c r="J49" s="69"/>
      <c r="K49" s="69"/>
    </row>
    <row r="50" spans="1:11" ht="15.75" customHeight="1" x14ac:dyDescent="0.4">
      <c r="A50" s="67"/>
      <c r="B50" s="68"/>
      <c r="C50" s="68"/>
      <c r="D50" s="67"/>
      <c r="E50" s="67"/>
      <c r="F50" s="69"/>
      <c r="G50" s="69"/>
      <c r="H50" s="69"/>
      <c r="I50" s="69"/>
      <c r="J50" s="69"/>
      <c r="K50" s="69"/>
    </row>
    <row r="51" spans="1:11" ht="15.75" customHeight="1" x14ac:dyDescent="0.4">
      <c r="A51" s="67"/>
      <c r="B51" s="68"/>
      <c r="C51" s="68"/>
      <c r="D51" s="67"/>
      <c r="E51" s="67"/>
      <c r="F51" s="69"/>
      <c r="G51" s="69"/>
      <c r="H51" s="69"/>
      <c r="I51" s="69"/>
      <c r="J51" s="69"/>
      <c r="K51" s="69"/>
    </row>
    <row r="52" spans="1:11" ht="15.75" customHeight="1" x14ac:dyDescent="0.4">
      <c r="A52" s="67"/>
      <c r="B52" s="68"/>
      <c r="C52" s="68"/>
      <c r="D52" s="67"/>
      <c r="E52" s="67"/>
      <c r="F52" s="69"/>
      <c r="G52" s="69"/>
      <c r="H52" s="69"/>
      <c r="I52" s="69"/>
      <c r="J52" s="69"/>
      <c r="K52" s="69"/>
    </row>
    <row r="53" spans="1:11" ht="15.75" customHeight="1" x14ac:dyDescent="0.4">
      <c r="A53" s="67"/>
      <c r="B53" s="68"/>
      <c r="C53" s="68"/>
      <c r="D53" s="67"/>
      <c r="E53" s="67"/>
      <c r="F53" s="69"/>
      <c r="G53" s="69"/>
      <c r="H53" s="69"/>
      <c r="I53" s="69"/>
      <c r="J53" s="69"/>
      <c r="K53" s="69"/>
    </row>
    <row r="54" spans="1:11" ht="15.75" customHeight="1" x14ac:dyDescent="0.4">
      <c r="A54" s="67"/>
      <c r="B54" s="68"/>
      <c r="C54" s="68"/>
      <c r="D54" s="67"/>
      <c r="E54" s="67"/>
      <c r="F54" s="69"/>
      <c r="G54" s="69"/>
      <c r="H54" s="69"/>
      <c r="I54" s="69"/>
      <c r="J54" s="69"/>
      <c r="K54" s="69"/>
    </row>
    <row r="55" spans="1:11" ht="15.75" customHeight="1" x14ac:dyDescent="0.4">
      <c r="A55" s="67"/>
      <c r="B55" s="68"/>
      <c r="C55" s="68"/>
      <c r="D55" s="67"/>
      <c r="E55" s="67"/>
      <c r="F55" s="69"/>
      <c r="G55" s="69"/>
      <c r="H55" s="69"/>
      <c r="I55" s="69"/>
      <c r="J55" s="69"/>
      <c r="K55" s="69"/>
    </row>
    <row r="56" spans="1:11" ht="15.75" customHeight="1" x14ac:dyDescent="0.4">
      <c r="A56" s="67"/>
      <c r="B56" s="68"/>
      <c r="C56" s="68"/>
      <c r="D56" s="67"/>
      <c r="E56" s="67"/>
      <c r="F56" s="69"/>
      <c r="G56" s="69"/>
      <c r="H56" s="69"/>
      <c r="I56" s="69"/>
      <c r="J56" s="69"/>
      <c r="K56" s="69"/>
    </row>
    <row r="57" spans="1:11" ht="15.75" customHeight="1" x14ac:dyDescent="0.4">
      <c r="A57" s="67"/>
      <c r="B57" s="68"/>
      <c r="C57" s="68"/>
      <c r="D57" s="67"/>
      <c r="E57" s="67"/>
      <c r="F57" s="69"/>
      <c r="G57" s="69"/>
      <c r="H57" s="69"/>
      <c r="I57" s="69"/>
      <c r="J57" s="69"/>
      <c r="K57" s="69"/>
    </row>
    <row r="58" spans="1:11" ht="15.75" customHeight="1" x14ac:dyDescent="0.4">
      <c r="A58" s="67"/>
      <c r="B58" s="68"/>
      <c r="C58" s="68"/>
      <c r="D58" s="67"/>
      <c r="E58" s="67"/>
      <c r="F58" s="69"/>
      <c r="G58" s="69"/>
      <c r="H58" s="69"/>
      <c r="I58" s="69"/>
      <c r="J58" s="69"/>
      <c r="K58" s="69"/>
    </row>
    <row r="59" spans="1:11" ht="15.75" customHeight="1" x14ac:dyDescent="0.4">
      <c r="A59" s="67"/>
      <c r="B59" s="68"/>
      <c r="C59" s="68"/>
      <c r="D59" s="67"/>
      <c r="E59" s="67"/>
      <c r="F59" s="69"/>
      <c r="G59" s="69"/>
      <c r="H59" s="69"/>
      <c r="I59" s="69"/>
      <c r="J59" s="69"/>
      <c r="K59" s="69"/>
    </row>
    <row r="60" spans="1:11" ht="15.75" customHeight="1" x14ac:dyDescent="0.4">
      <c r="A60" s="67"/>
      <c r="B60" s="68"/>
      <c r="C60" s="68"/>
      <c r="D60" s="67"/>
      <c r="E60" s="67"/>
      <c r="F60" s="69"/>
      <c r="G60" s="69"/>
      <c r="H60" s="69"/>
      <c r="I60" s="69"/>
      <c r="J60" s="69"/>
      <c r="K60" s="69"/>
    </row>
    <row r="61" spans="1:11" ht="15.75" customHeight="1" x14ac:dyDescent="0.4">
      <c r="A61" s="67"/>
      <c r="B61" s="68"/>
      <c r="C61" s="68"/>
      <c r="D61" s="67"/>
      <c r="E61" s="67"/>
      <c r="F61" s="69"/>
      <c r="G61" s="69"/>
      <c r="H61" s="69"/>
      <c r="I61" s="69"/>
      <c r="J61" s="69"/>
      <c r="K61" s="69"/>
    </row>
    <row r="62" spans="1:11" ht="15.75" customHeight="1" x14ac:dyDescent="0.4">
      <c r="A62" s="67"/>
      <c r="B62" s="68"/>
      <c r="C62" s="68"/>
      <c r="D62" s="67"/>
      <c r="E62" s="67"/>
      <c r="F62" s="69"/>
      <c r="G62" s="69"/>
      <c r="H62" s="69"/>
      <c r="I62" s="69"/>
      <c r="J62" s="69"/>
      <c r="K62" s="69"/>
    </row>
    <row r="63" spans="1:11" ht="15.75" customHeight="1" x14ac:dyDescent="0.4">
      <c r="A63" s="67"/>
      <c r="B63" s="68"/>
      <c r="C63" s="68"/>
      <c r="D63" s="67"/>
      <c r="E63" s="67"/>
      <c r="F63" s="69"/>
      <c r="G63" s="69"/>
      <c r="H63" s="69"/>
      <c r="I63" s="69"/>
      <c r="J63" s="69"/>
      <c r="K63" s="69"/>
    </row>
    <row r="64" spans="1:11" ht="15.75" customHeight="1" x14ac:dyDescent="0.4">
      <c r="A64" s="67"/>
      <c r="B64" s="68"/>
      <c r="C64" s="68"/>
      <c r="D64" s="67"/>
      <c r="E64" s="67"/>
      <c r="F64" s="69"/>
      <c r="G64" s="69"/>
      <c r="H64" s="69"/>
      <c r="I64" s="69"/>
      <c r="J64" s="69"/>
      <c r="K64" s="69"/>
    </row>
    <row r="65" spans="1:11" ht="15.75" customHeight="1" x14ac:dyDescent="0.4">
      <c r="A65" s="67"/>
      <c r="B65" s="68"/>
      <c r="C65" s="68"/>
      <c r="D65" s="67"/>
      <c r="E65" s="67"/>
      <c r="F65" s="69"/>
      <c r="G65" s="69"/>
      <c r="H65" s="69"/>
      <c r="I65" s="69"/>
      <c r="J65" s="69"/>
      <c r="K65" s="69"/>
    </row>
    <row r="66" spans="1:11" ht="15.75" customHeight="1" x14ac:dyDescent="0.4">
      <c r="A66" s="67"/>
      <c r="B66" s="68"/>
      <c r="C66" s="68"/>
      <c r="D66" s="67"/>
      <c r="E66" s="67"/>
      <c r="F66" s="69"/>
      <c r="G66" s="69"/>
      <c r="H66" s="69"/>
      <c r="I66" s="69"/>
      <c r="J66" s="69"/>
      <c r="K66" s="69"/>
    </row>
    <row r="67" spans="1:11" ht="15.75" customHeight="1" x14ac:dyDescent="0.4">
      <c r="A67" s="67"/>
      <c r="B67" s="68"/>
      <c r="C67" s="68"/>
      <c r="D67" s="67"/>
      <c r="E67" s="67"/>
      <c r="F67" s="69"/>
      <c r="G67" s="69"/>
      <c r="H67" s="69"/>
      <c r="I67" s="69"/>
      <c r="J67" s="69"/>
      <c r="K67" s="69"/>
    </row>
    <row r="68" spans="1:11" ht="15.75" customHeight="1" x14ac:dyDescent="0.4">
      <c r="A68" s="67"/>
      <c r="B68" s="68"/>
      <c r="C68" s="68"/>
      <c r="D68" s="67"/>
      <c r="E68" s="67"/>
      <c r="F68" s="69"/>
      <c r="G68" s="69"/>
      <c r="H68" s="69"/>
      <c r="I68" s="69"/>
      <c r="J68" s="69"/>
      <c r="K68" s="69"/>
    </row>
    <row r="69" spans="1:11" ht="15.75" customHeight="1" x14ac:dyDescent="0.4">
      <c r="A69" s="67"/>
      <c r="B69" s="68"/>
      <c r="C69" s="68"/>
      <c r="D69" s="67"/>
      <c r="E69" s="67"/>
      <c r="F69" s="69"/>
      <c r="G69" s="69"/>
      <c r="H69" s="69"/>
      <c r="I69" s="69"/>
      <c r="J69" s="69"/>
      <c r="K69" s="69"/>
    </row>
    <row r="70" spans="1:11" ht="15.75" customHeight="1" x14ac:dyDescent="0.4">
      <c r="A70" s="67"/>
      <c r="B70" s="68"/>
      <c r="C70" s="68"/>
      <c r="D70" s="67"/>
      <c r="E70" s="67"/>
      <c r="F70" s="69"/>
      <c r="G70" s="69"/>
      <c r="H70" s="69"/>
      <c r="I70" s="69"/>
      <c r="J70" s="69"/>
      <c r="K70" s="69"/>
    </row>
    <row r="71" spans="1:11" ht="15.75" customHeight="1" x14ac:dyDescent="0.4">
      <c r="A71" s="67"/>
      <c r="B71" s="68"/>
      <c r="C71" s="68"/>
      <c r="D71" s="67"/>
      <c r="E71" s="67"/>
      <c r="F71" s="69"/>
      <c r="G71" s="69"/>
      <c r="H71" s="69"/>
      <c r="I71" s="69"/>
      <c r="J71" s="69"/>
      <c r="K71" s="69"/>
    </row>
    <row r="72" spans="1:11" ht="15.75" customHeight="1" x14ac:dyDescent="0.4">
      <c r="A72" s="67"/>
      <c r="B72" s="68"/>
      <c r="C72" s="68"/>
      <c r="D72" s="67"/>
      <c r="E72" s="67"/>
      <c r="F72" s="69"/>
      <c r="G72" s="69"/>
      <c r="H72" s="69"/>
      <c r="I72" s="69"/>
      <c r="J72" s="69"/>
      <c r="K72" s="69"/>
    </row>
    <row r="73" spans="1:11" ht="15.75" customHeight="1" x14ac:dyDescent="0.4">
      <c r="A73" s="67"/>
      <c r="B73" s="68"/>
      <c r="C73" s="68"/>
      <c r="D73" s="67"/>
      <c r="E73" s="67"/>
      <c r="F73" s="69"/>
      <c r="G73" s="69"/>
      <c r="H73" s="69"/>
      <c r="I73" s="69"/>
      <c r="J73" s="69"/>
      <c r="K73" s="69"/>
    </row>
    <row r="74" spans="1:11" ht="15.75" customHeight="1" x14ac:dyDescent="0.4">
      <c r="A74" s="67"/>
      <c r="B74" s="68"/>
      <c r="C74" s="68"/>
      <c r="D74" s="67"/>
      <c r="E74" s="67"/>
      <c r="F74" s="69"/>
      <c r="G74" s="69"/>
      <c r="H74" s="69"/>
      <c r="I74" s="69"/>
      <c r="J74" s="69"/>
      <c r="K74" s="69"/>
    </row>
    <row r="75" spans="1:11" ht="15.75" customHeight="1" x14ac:dyDescent="0.4">
      <c r="A75" s="67"/>
      <c r="B75" s="68"/>
      <c r="C75" s="68"/>
      <c r="D75" s="67"/>
      <c r="E75" s="67"/>
      <c r="F75" s="69"/>
      <c r="G75" s="69"/>
      <c r="H75" s="69"/>
      <c r="I75" s="69"/>
      <c r="J75" s="69"/>
      <c r="K75" s="69"/>
    </row>
    <row r="76" spans="1:11" ht="15.75" customHeight="1" x14ac:dyDescent="0.4">
      <c r="A76" s="67"/>
      <c r="B76" s="68"/>
      <c r="C76" s="68"/>
      <c r="D76" s="67"/>
      <c r="E76" s="67"/>
      <c r="F76" s="69"/>
      <c r="G76" s="69"/>
      <c r="H76" s="69"/>
      <c r="I76" s="69"/>
      <c r="J76" s="69"/>
      <c r="K76" s="69"/>
    </row>
    <row r="77" spans="1:11" ht="15.75" customHeight="1" x14ac:dyDescent="0.4">
      <c r="A77" s="67"/>
      <c r="B77" s="68"/>
      <c r="C77" s="68"/>
      <c r="D77" s="67"/>
      <c r="E77" s="67"/>
      <c r="F77" s="69"/>
      <c r="G77" s="69"/>
      <c r="H77" s="69"/>
      <c r="I77" s="69"/>
      <c r="J77" s="69"/>
      <c r="K77" s="69"/>
    </row>
    <row r="78" spans="1:11" ht="15.75" customHeight="1" x14ac:dyDescent="0.4">
      <c r="A78" s="67"/>
      <c r="B78" s="68"/>
      <c r="C78" s="68"/>
      <c r="D78" s="67"/>
      <c r="E78" s="67"/>
      <c r="F78" s="69"/>
      <c r="G78" s="69"/>
      <c r="H78" s="69"/>
      <c r="I78" s="69"/>
      <c r="J78" s="69"/>
      <c r="K78" s="69"/>
    </row>
    <row r="79" spans="1:11" ht="15.75" customHeight="1" x14ac:dyDescent="0.4">
      <c r="A79" s="67"/>
      <c r="B79" s="68"/>
      <c r="C79" s="68"/>
      <c r="D79" s="67"/>
      <c r="E79" s="67"/>
      <c r="F79" s="69"/>
      <c r="G79" s="69"/>
      <c r="H79" s="69"/>
      <c r="I79" s="69"/>
      <c r="J79" s="69"/>
      <c r="K79" s="69"/>
    </row>
    <row r="80" spans="1:11" ht="15.75" customHeight="1" x14ac:dyDescent="0.4">
      <c r="A80" s="67"/>
      <c r="B80" s="68"/>
      <c r="C80" s="68"/>
      <c r="D80" s="67"/>
      <c r="E80" s="67"/>
      <c r="F80" s="69"/>
      <c r="G80" s="69"/>
      <c r="H80" s="69"/>
      <c r="I80" s="69"/>
      <c r="J80" s="69"/>
      <c r="K80" s="69"/>
    </row>
    <row r="81" spans="1:11" ht="15.75" customHeight="1" x14ac:dyDescent="0.4">
      <c r="A81" s="67"/>
      <c r="B81" s="68"/>
      <c r="C81" s="68"/>
      <c r="D81" s="67"/>
      <c r="E81" s="67"/>
      <c r="F81" s="69"/>
      <c r="G81" s="69"/>
      <c r="H81" s="69"/>
      <c r="I81" s="69"/>
      <c r="J81" s="69"/>
      <c r="K81" s="69"/>
    </row>
    <row r="82" spans="1:11" ht="15.75" customHeight="1" x14ac:dyDescent="0.4">
      <c r="A82" s="67"/>
      <c r="B82" s="68"/>
      <c r="C82" s="68"/>
      <c r="D82" s="67"/>
      <c r="E82" s="67"/>
      <c r="F82" s="69"/>
      <c r="G82" s="69"/>
      <c r="H82" s="69"/>
      <c r="I82" s="69"/>
      <c r="J82" s="69"/>
      <c r="K82" s="69"/>
    </row>
    <row r="83" spans="1:11" ht="15.75" customHeight="1" x14ac:dyDescent="0.4">
      <c r="A83" s="67"/>
      <c r="B83" s="68"/>
      <c r="C83" s="68"/>
      <c r="D83" s="67"/>
      <c r="E83" s="67"/>
      <c r="F83" s="69"/>
      <c r="G83" s="69"/>
      <c r="H83" s="69"/>
      <c r="I83" s="69"/>
      <c r="J83" s="69"/>
      <c r="K83" s="69"/>
    </row>
    <row r="84" spans="1:11" ht="15.75" customHeight="1" x14ac:dyDescent="0.4">
      <c r="A84" s="67"/>
      <c r="B84" s="68"/>
      <c r="C84" s="68"/>
      <c r="D84" s="67"/>
      <c r="E84" s="67"/>
      <c r="F84" s="69"/>
      <c r="G84" s="69"/>
      <c r="H84" s="69"/>
      <c r="I84" s="69"/>
      <c r="J84" s="69"/>
      <c r="K84" s="69"/>
    </row>
    <row r="85" spans="1:11" ht="15.75" customHeight="1" x14ac:dyDescent="0.4">
      <c r="A85" s="67"/>
      <c r="B85" s="68"/>
      <c r="C85" s="68"/>
      <c r="D85" s="67"/>
      <c r="E85" s="67"/>
      <c r="F85" s="69"/>
      <c r="G85" s="69"/>
      <c r="H85" s="69"/>
      <c r="I85" s="69"/>
      <c r="J85" s="69"/>
      <c r="K85" s="69"/>
    </row>
    <row r="86" spans="1:11" ht="15.75" customHeight="1" x14ac:dyDescent="0.4">
      <c r="A86" s="67"/>
      <c r="B86" s="68"/>
      <c r="C86" s="68"/>
      <c r="D86" s="67"/>
      <c r="E86" s="67"/>
      <c r="F86" s="69"/>
      <c r="G86" s="69"/>
      <c r="H86" s="69"/>
      <c r="I86" s="69"/>
      <c r="J86" s="69"/>
      <c r="K86" s="69"/>
    </row>
    <row r="87" spans="1:11" ht="15.75" customHeight="1" x14ac:dyDescent="0.4">
      <c r="A87" s="67"/>
      <c r="B87" s="68"/>
      <c r="C87" s="68"/>
      <c r="D87" s="67"/>
      <c r="E87" s="67"/>
      <c r="F87" s="69"/>
      <c r="G87" s="69"/>
      <c r="H87" s="69"/>
      <c r="I87" s="69"/>
      <c r="J87" s="69"/>
      <c r="K87" s="69"/>
    </row>
    <row r="88" spans="1:11" ht="15.75" customHeight="1" x14ac:dyDescent="0.4">
      <c r="A88" s="67"/>
      <c r="B88" s="68"/>
      <c r="C88" s="68"/>
      <c r="D88" s="67"/>
      <c r="E88" s="67"/>
      <c r="F88" s="69"/>
      <c r="G88" s="69"/>
      <c r="H88" s="69"/>
      <c r="I88" s="69"/>
      <c r="J88" s="69"/>
      <c r="K88" s="69"/>
    </row>
    <row r="89" spans="1:11" ht="15.75" customHeight="1" x14ac:dyDescent="0.4">
      <c r="A89" s="67"/>
      <c r="B89" s="68"/>
      <c r="C89" s="68"/>
      <c r="D89" s="67"/>
      <c r="E89" s="67"/>
      <c r="F89" s="69"/>
      <c r="G89" s="69"/>
      <c r="H89" s="69"/>
      <c r="I89" s="69"/>
      <c r="J89" s="69"/>
      <c r="K89" s="69"/>
    </row>
    <row r="90" spans="1:11" ht="15.75" customHeight="1" x14ac:dyDescent="0.4">
      <c r="A90" s="67"/>
      <c r="B90" s="68"/>
      <c r="C90" s="68"/>
      <c r="D90" s="67"/>
      <c r="E90" s="67"/>
      <c r="F90" s="69"/>
      <c r="G90" s="69"/>
      <c r="H90" s="69"/>
      <c r="I90" s="69"/>
      <c r="J90" s="69"/>
      <c r="K90" s="69"/>
    </row>
    <row r="91" spans="1:11" ht="15.75" customHeight="1" x14ac:dyDescent="0.4">
      <c r="A91" s="67"/>
      <c r="B91" s="68"/>
      <c r="C91" s="68"/>
      <c r="D91" s="67"/>
      <c r="E91" s="67"/>
      <c r="F91" s="69"/>
      <c r="G91" s="69"/>
      <c r="H91" s="69"/>
      <c r="I91" s="69"/>
      <c r="J91" s="69"/>
      <c r="K91" s="69"/>
    </row>
    <row r="92" spans="1:11" ht="15.75" customHeight="1" x14ac:dyDescent="0.4">
      <c r="A92" s="67"/>
      <c r="B92" s="68"/>
      <c r="C92" s="68"/>
      <c r="D92" s="67"/>
      <c r="E92" s="67"/>
      <c r="F92" s="69"/>
      <c r="G92" s="69"/>
      <c r="H92" s="69"/>
      <c r="I92" s="69"/>
      <c r="J92" s="69"/>
      <c r="K92" s="69"/>
    </row>
    <row r="93" spans="1:11" ht="15.75" customHeight="1" x14ac:dyDescent="0.4">
      <c r="A93" s="67"/>
      <c r="B93" s="68"/>
      <c r="C93" s="68"/>
      <c r="D93" s="67"/>
      <c r="E93" s="67"/>
      <c r="F93" s="69"/>
      <c r="G93" s="69"/>
      <c r="H93" s="69"/>
      <c r="I93" s="69"/>
      <c r="J93" s="69"/>
      <c r="K93" s="69"/>
    </row>
    <row r="94" spans="1:11" ht="15.75" customHeight="1" x14ac:dyDescent="0.4">
      <c r="A94" s="67"/>
      <c r="B94" s="68"/>
      <c r="C94" s="68"/>
      <c r="D94" s="67"/>
      <c r="E94" s="67"/>
      <c r="F94" s="69"/>
      <c r="G94" s="69"/>
      <c r="H94" s="69"/>
      <c r="I94" s="69"/>
      <c r="J94" s="69"/>
      <c r="K94" s="69"/>
    </row>
    <row r="95" spans="1:11" ht="15.75" customHeight="1" x14ac:dyDescent="0.4">
      <c r="A95" s="67"/>
      <c r="B95" s="68"/>
      <c r="C95" s="68"/>
      <c r="D95" s="67"/>
      <c r="E95" s="67"/>
      <c r="F95" s="69"/>
      <c r="G95" s="69"/>
      <c r="H95" s="69"/>
      <c r="I95" s="69"/>
      <c r="J95" s="69"/>
      <c r="K95" s="69"/>
    </row>
    <row r="96" spans="1:11" ht="15.75" customHeight="1" x14ac:dyDescent="0.4">
      <c r="A96" s="67"/>
      <c r="B96" s="68"/>
      <c r="C96" s="68"/>
      <c r="D96" s="67"/>
      <c r="E96" s="67"/>
      <c r="F96" s="69"/>
      <c r="G96" s="69"/>
      <c r="H96" s="69"/>
      <c r="I96" s="69"/>
      <c r="J96" s="69"/>
      <c r="K96" s="69"/>
    </row>
    <row r="97" spans="1:11" ht="15.75" customHeight="1" x14ac:dyDescent="0.4">
      <c r="A97" s="67"/>
      <c r="B97" s="68"/>
      <c r="C97" s="68"/>
      <c r="D97" s="67"/>
      <c r="E97" s="67"/>
      <c r="F97" s="69"/>
      <c r="G97" s="69"/>
      <c r="H97" s="69"/>
      <c r="I97" s="69"/>
      <c r="J97" s="69"/>
      <c r="K97" s="69"/>
    </row>
    <row r="98" spans="1:11" ht="15.75" customHeight="1" x14ac:dyDescent="0.4">
      <c r="A98" s="67"/>
      <c r="B98" s="68"/>
      <c r="C98" s="68"/>
      <c r="D98" s="67"/>
      <c r="E98" s="67"/>
      <c r="F98" s="69"/>
      <c r="G98" s="69"/>
      <c r="H98" s="69"/>
      <c r="I98" s="69"/>
      <c r="J98" s="69"/>
      <c r="K98" s="69"/>
    </row>
    <row r="99" spans="1:11" ht="15.75" customHeight="1" x14ac:dyDescent="0.4">
      <c r="A99" s="67"/>
      <c r="B99" s="68"/>
      <c r="C99" s="68"/>
      <c r="D99" s="67"/>
      <c r="E99" s="67"/>
      <c r="F99" s="69"/>
      <c r="G99" s="69"/>
      <c r="H99" s="69"/>
      <c r="I99" s="69"/>
      <c r="J99" s="69"/>
      <c r="K99" s="69"/>
    </row>
    <row r="100" spans="1:11" ht="15.75" customHeight="1" x14ac:dyDescent="0.4">
      <c r="A100" s="67"/>
      <c r="B100" s="68"/>
      <c r="C100" s="68"/>
      <c r="D100" s="67"/>
      <c r="E100" s="67"/>
      <c r="F100" s="69"/>
      <c r="G100" s="69"/>
      <c r="H100" s="69"/>
      <c r="I100" s="69"/>
      <c r="J100" s="69"/>
      <c r="K100" s="69"/>
    </row>
    <row r="101" spans="1:11" ht="15.75" customHeight="1" x14ac:dyDescent="0.4">
      <c r="A101" s="67"/>
      <c r="B101" s="68"/>
      <c r="C101" s="68"/>
      <c r="D101" s="67"/>
      <c r="E101" s="67"/>
      <c r="F101" s="69"/>
      <c r="G101" s="69"/>
      <c r="H101" s="69"/>
      <c r="I101" s="69"/>
      <c r="J101" s="69"/>
      <c r="K101" s="69"/>
    </row>
    <row r="102" spans="1:11" ht="15.75" customHeight="1" x14ac:dyDescent="0.4">
      <c r="A102" s="67"/>
      <c r="B102" s="68"/>
      <c r="C102" s="68"/>
      <c r="D102" s="67"/>
      <c r="E102" s="67"/>
      <c r="F102" s="69"/>
      <c r="G102" s="69"/>
      <c r="H102" s="69"/>
      <c r="I102" s="69"/>
      <c r="J102" s="69"/>
      <c r="K102" s="69"/>
    </row>
    <row r="103" spans="1:11" ht="15.75" customHeight="1" x14ac:dyDescent="0.4">
      <c r="A103" s="67"/>
      <c r="B103" s="68"/>
      <c r="C103" s="68"/>
      <c r="D103" s="67"/>
      <c r="E103" s="67"/>
      <c r="F103" s="69"/>
      <c r="G103" s="69"/>
      <c r="H103" s="69"/>
      <c r="I103" s="69"/>
      <c r="J103" s="69"/>
      <c r="K103" s="69"/>
    </row>
    <row r="104" spans="1:11" ht="15.75" customHeight="1" x14ac:dyDescent="0.4">
      <c r="A104" s="67"/>
      <c r="B104" s="68"/>
      <c r="C104" s="68"/>
      <c r="D104" s="67"/>
      <c r="E104" s="67"/>
      <c r="F104" s="69"/>
      <c r="G104" s="69"/>
      <c r="H104" s="69"/>
      <c r="I104" s="69"/>
      <c r="J104" s="69"/>
      <c r="K104" s="69"/>
    </row>
    <row r="105" spans="1:11" ht="15.75" customHeight="1" x14ac:dyDescent="0.4">
      <c r="A105" s="67"/>
      <c r="B105" s="68"/>
      <c r="C105" s="68"/>
      <c r="D105" s="67"/>
      <c r="E105" s="67"/>
      <c r="F105" s="69"/>
      <c r="G105" s="69"/>
      <c r="H105" s="69"/>
      <c r="I105" s="69"/>
      <c r="J105" s="69"/>
      <c r="K105" s="69"/>
    </row>
    <row r="106" spans="1:11" ht="15.75" customHeight="1" x14ac:dyDescent="0.4">
      <c r="A106" s="67"/>
      <c r="B106" s="68"/>
      <c r="C106" s="68"/>
      <c r="D106" s="67"/>
      <c r="E106" s="67"/>
      <c r="F106" s="69"/>
      <c r="G106" s="69"/>
      <c r="H106" s="69"/>
      <c r="I106" s="69"/>
      <c r="J106" s="69"/>
      <c r="K106" s="69"/>
    </row>
    <row r="107" spans="1:11" ht="15.75" customHeight="1" x14ac:dyDescent="0.4">
      <c r="A107" s="67"/>
      <c r="B107" s="68"/>
      <c r="C107" s="68"/>
      <c r="D107" s="67"/>
      <c r="E107" s="67"/>
      <c r="F107" s="69"/>
      <c r="G107" s="69"/>
      <c r="H107" s="69"/>
      <c r="I107" s="69"/>
      <c r="J107" s="69"/>
      <c r="K107" s="69"/>
    </row>
    <row r="108" spans="1:11" ht="15.75" customHeight="1" x14ac:dyDescent="0.4">
      <c r="A108" s="67"/>
      <c r="B108" s="68"/>
      <c r="C108" s="68"/>
      <c r="D108" s="67"/>
      <c r="E108" s="67"/>
      <c r="F108" s="69"/>
      <c r="G108" s="69"/>
      <c r="H108" s="69"/>
      <c r="I108" s="69"/>
      <c r="J108" s="69"/>
      <c r="K108" s="69"/>
    </row>
    <row r="109" spans="1:11" ht="15.75" customHeight="1" x14ac:dyDescent="0.4">
      <c r="A109" s="67"/>
      <c r="B109" s="68"/>
      <c r="C109" s="68"/>
      <c r="D109" s="67"/>
      <c r="E109" s="67"/>
      <c r="F109" s="69"/>
      <c r="G109" s="69"/>
      <c r="H109" s="69"/>
      <c r="I109" s="69"/>
      <c r="J109" s="69"/>
      <c r="K109" s="69"/>
    </row>
    <row r="110" spans="1:11" ht="15.75" customHeight="1" x14ac:dyDescent="0.4">
      <c r="A110" s="67"/>
      <c r="B110" s="68"/>
      <c r="C110" s="68"/>
      <c r="D110" s="67"/>
      <c r="E110" s="67"/>
      <c r="F110" s="69"/>
      <c r="G110" s="69"/>
      <c r="H110" s="69"/>
      <c r="I110" s="69"/>
      <c r="J110" s="69"/>
      <c r="K110" s="69"/>
    </row>
    <row r="111" spans="1:11" ht="15.75" customHeight="1" x14ac:dyDescent="0.4">
      <c r="A111" s="67"/>
      <c r="B111" s="68"/>
      <c r="C111" s="68"/>
      <c r="D111" s="67"/>
      <c r="E111" s="67"/>
      <c r="F111" s="69"/>
      <c r="G111" s="69"/>
      <c r="H111" s="69"/>
      <c r="I111" s="69"/>
      <c r="J111" s="69"/>
      <c r="K111" s="69"/>
    </row>
    <row r="112" spans="1:11" ht="15.75" customHeight="1" x14ac:dyDescent="0.4">
      <c r="A112" s="67"/>
      <c r="B112" s="68"/>
      <c r="C112" s="68"/>
      <c r="D112" s="67"/>
      <c r="E112" s="67"/>
      <c r="F112" s="69"/>
      <c r="G112" s="69"/>
      <c r="H112" s="69"/>
      <c r="I112" s="69"/>
      <c r="J112" s="69"/>
      <c r="K112" s="69"/>
    </row>
    <row r="113" spans="1:11" ht="15.75" customHeight="1" x14ac:dyDescent="0.4">
      <c r="A113" s="67"/>
      <c r="B113" s="68"/>
      <c r="C113" s="68"/>
      <c r="D113" s="67"/>
      <c r="E113" s="67"/>
      <c r="F113" s="69"/>
      <c r="G113" s="69"/>
      <c r="H113" s="69"/>
      <c r="I113" s="69"/>
      <c r="J113" s="69"/>
      <c r="K113" s="69"/>
    </row>
    <row r="114" spans="1:11" ht="15.75" customHeight="1" x14ac:dyDescent="0.4">
      <c r="A114" s="67"/>
      <c r="B114" s="68"/>
      <c r="C114" s="68"/>
      <c r="D114" s="67"/>
      <c r="E114" s="67"/>
      <c r="F114" s="69"/>
      <c r="G114" s="69"/>
      <c r="H114" s="69"/>
      <c r="I114" s="69"/>
      <c r="J114" s="69"/>
      <c r="K114" s="69"/>
    </row>
    <row r="115" spans="1:11" ht="15.75" customHeight="1" x14ac:dyDescent="0.4">
      <c r="A115" s="67"/>
      <c r="B115" s="68"/>
      <c r="C115" s="68"/>
      <c r="D115" s="67"/>
      <c r="E115" s="67"/>
      <c r="F115" s="69"/>
      <c r="G115" s="69"/>
      <c r="H115" s="69"/>
      <c r="I115" s="69"/>
      <c r="J115" s="69"/>
      <c r="K115" s="69"/>
    </row>
    <row r="116" spans="1:11" ht="15.75" customHeight="1" x14ac:dyDescent="0.4">
      <c r="A116" s="67"/>
      <c r="B116" s="68"/>
      <c r="C116" s="68"/>
      <c r="D116" s="67"/>
      <c r="E116" s="67"/>
      <c r="F116" s="69"/>
      <c r="G116" s="69"/>
      <c r="H116" s="69"/>
      <c r="I116" s="69"/>
      <c r="J116" s="69"/>
      <c r="K116" s="69"/>
    </row>
    <row r="117" spans="1:11" ht="15.75" customHeight="1" x14ac:dyDescent="0.4">
      <c r="A117" s="67"/>
      <c r="B117" s="68"/>
      <c r="C117" s="68"/>
      <c r="D117" s="67"/>
      <c r="E117" s="67"/>
      <c r="F117" s="69"/>
      <c r="G117" s="69"/>
      <c r="H117" s="69"/>
      <c r="I117" s="69"/>
      <c r="J117" s="69"/>
      <c r="K117" s="69"/>
    </row>
    <row r="118" spans="1:11" ht="15.75" customHeight="1" x14ac:dyDescent="0.4">
      <c r="A118" s="67"/>
      <c r="B118" s="68"/>
      <c r="C118" s="68"/>
      <c r="D118" s="67"/>
      <c r="E118" s="67"/>
      <c r="F118" s="69"/>
      <c r="G118" s="69"/>
      <c r="H118" s="69"/>
      <c r="I118" s="69"/>
      <c r="J118" s="69"/>
      <c r="K118" s="69"/>
    </row>
    <row r="119" spans="1:11" ht="15.75" customHeight="1" x14ac:dyDescent="0.4">
      <c r="A119" s="67"/>
      <c r="B119" s="68"/>
      <c r="C119" s="68"/>
      <c r="D119" s="67"/>
      <c r="E119" s="67"/>
      <c r="F119" s="69"/>
      <c r="G119" s="69"/>
      <c r="H119" s="69"/>
      <c r="I119" s="69"/>
      <c r="J119" s="69"/>
      <c r="K119" s="69"/>
    </row>
    <row r="120" spans="1:11" ht="15.75" customHeight="1" x14ac:dyDescent="0.4">
      <c r="A120" s="67"/>
      <c r="B120" s="68"/>
      <c r="C120" s="68"/>
      <c r="D120" s="67"/>
      <c r="E120" s="67"/>
      <c r="F120" s="69"/>
      <c r="G120" s="69"/>
      <c r="H120" s="69"/>
      <c r="I120" s="69"/>
      <c r="J120" s="69"/>
      <c r="K120" s="69"/>
    </row>
    <row r="121" spans="1:11" ht="15.75" customHeight="1" x14ac:dyDescent="0.4">
      <c r="A121" s="67"/>
      <c r="B121" s="68"/>
      <c r="C121" s="68"/>
      <c r="D121" s="67"/>
      <c r="E121" s="67"/>
      <c r="F121" s="69"/>
      <c r="G121" s="69"/>
      <c r="H121" s="69"/>
      <c r="I121" s="69"/>
      <c r="J121" s="69"/>
      <c r="K121" s="69"/>
    </row>
    <row r="122" spans="1:11" ht="15.75" customHeight="1" x14ac:dyDescent="0.4">
      <c r="A122" s="67"/>
      <c r="B122" s="68"/>
      <c r="C122" s="68"/>
      <c r="D122" s="67"/>
      <c r="E122" s="67"/>
      <c r="F122" s="69"/>
      <c r="G122" s="69"/>
      <c r="H122" s="69"/>
      <c r="I122" s="69"/>
      <c r="J122" s="69"/>
      <c r="K122" s="69"/>
    </row>
    <row r="123" spans="1:11" ht="15.75" customHeight="1" x14ac:dyDescent="0.4">
      <c r="A123" s="67"/>
      <c r="B123" s="68"/>
      <c r="C123" s="68"/>
      <c r="D123" s="67"/>
      <c r="E123" s="67"/>
      <c r="F123" s="69"/>
      <c r="G123" s="69"/>
      <c r="H123" s="69"/>
      <c r="I123" s="69"/>
      <c r="J123" s="69"/>
      <c r="K123" s="69"/>
    </row>
    <row r="124" spans="1:11" ht="15.75" customHeight="1" x14ac:dyDescent="0.4">
      <c r="A124" s="67"/>
      <c r="B124" s="68"/>
      <c r="C124" s="68"/>
      <c r="D124" s="67"/>
      <c r="E124" s="67"/>
      <c r="F124" s="69"/>
      <c r="G124" s="69"/>
      <c r="H124" s="69"/>
      <c r="I124" s="69"/>
      <c r="J124" s="69"/>
      <c r="K124" s="69"/>
    </row>
    <row r="125" spans="1:11" ht="15.75" customHeight="1" x14ac:dyDescent="0.4">
      <c r="A125" s="67"/>
      <c r="B125" s="68"/>
      <c r="C125" s="68"/>
      <c r="D125" s="67"/>
      <c r="E125" s="67"/>
      <c r="F125" s="69"/>
      <c r="G125" s="69"/>
      <c r="H125" s="69"/>
      <c r="I125" s="69"/>
      <c r="J125" s="69"/>
      <c r="K125" s="69"/>
    </row>
    <row r="126" spans="1:11" ht="15.75" customHeight="1" x14ac:dyDescent="0.4">
      <c r="A126" s="67"/>
      <c r="B126" s="68"/>
      <c r="C126" s="68"/>
      <c r="D126" s="67"/>
      <c r="E126" s="67"/>
      <c r="F126" s="69"/>
      <c r="G126" s="69"/>
      <c r="H126" s="69"/>
      <c r="I126" s="69"/>
      <c r="J126" s="69"/>
      <c r="K126" s="69"/>
    </row>
    <row r="127" spans="1:11" ht="15.75" customHeight="1" x14ac:dyDescent="0.4">
      <c r="A127" s="67"/>
      <c r="B127" s="68"/>
      <c r="C127" s="68"/>
      <c r="D127" s="67"/>
      <c r="E127" s="67"/>
      <c r="F127" s="69"/>
      <c r="G127" s="69"/>
      <c r="H127" s="69"/>
      <c r="I127" s="69"/>
      <c r="J127" s="69"/>
      <c r="K127" s="69"/>
    </row>
    <row r="128" spans="1:11" ht="15.75" customHeight="1" x14ac:dyDescent="0.4">
      <c r="A128" s="67"/>
      <c r="B128" s="68"/>
      <c r="C128" s="68"/>
      <c r="D128" s="67"/>
      <c r="E128" s="67"/>
      <c r="F128" s="69"/>
      <c r="G128" s="69"/>
      <c r="H128" s="69"/>
      <c r="I128" s="69"/>
      <c r="J128" s="69"/>
      <c r="K128" s="69"/>
    </row>
    <row r="129" spans="1:11" ht="15.75" customHeight="1" x14ac:dyDescent="0.4">
      <c r="A129" s="67"/>
      <c r="B129" s="68"/>
      <c r="C129" s="68"/>
      <c r="D129" s="67"/>
      <c r="E129" s="67"/>
      <c r="F129" s="69"/>
      <c r="G129" s="69"/>
      <c r="H129" s="69"/>
      <c r="I129" s="69"/>
      <c r="J129" s="69"/>
      <c r="K129" s="69"/>
    </row>
    <row r="130" spans="1:11" ht="15.75" customHeight="1" x14ac:dyDescent="0.4">
      <c r="A130" s="67"/>
      <c r="B130" s="68"/>
      <c r="C130" s="68"/>
      <c r="D130" s="67"/>
      <c r="E130" s="67"/>
      <c r="F130" s="69"/>
      <c r="G130" s="69"/>
      <c r="H130" s="69"/>
      <c r="I130" s="69"/>
      <c r="J130" s="69"/>
      <c r="K130" s="69"/>
    </row>
    <row r="131" spans="1:11" ht="15.75" customHeight="1" x14ac:dyDescent="0.4">
      <c r="A131" s="67"/>
      <c r="B131" s="68"/>
      <c r="C131" s="68"/>
      <c r="D131" s="67"/>
      <c r="E131" s="67"/>
      <c r="F131" s="69"/>
      <c r="G131" s="69"/>
      <c r="H131" s="69"/>
      <c r="I131" s="69"/>
      <c r="J131" s="69"/>
      <c r="K131" s="69"/>
    </row>
    <row r="132" spans="1:11" ht="15.75" customHeight="1" x14ac:dyDescent="0.4">
      <c r="A132" s="67"/>
      <c r="B132" s="68"/>
      <c r="C132" s="68"/>
      <c r="D132" s="67"/>
      <c r="E132" s="67"/>
      <c r="F132" s="69"/>
      <c r="G132" s="69"/>
      <c r="H132" s="69"/>
      <c r="I132" s="69"/>
      <c r="J132" s="69"/>
      <c r="K132" s="69"/>
    </row>
    <row r="133" spans="1:11" ht="15.75" customHeight="1" x14ac:dyDescent="0.4">
      <c r="A133" s="67"/>
      <c r="B133" s="68"/>
      <c r="C133" s="68"/>
      <c r="D133" s="67"/>
      <c r="E133" s="67"/>
      <c r="F133" s="69"/>
      <c r="G133" s="69"/>
      <c r="H133" s="69"/>
      <c r="I133" s="69"/>
      <c r="J133" s="69"/>
      <c r="K133" s="69"/>
    </row>
    <row r="134" spans="1:11" ht="15.75" customHeight="1" x14ac:dyDescent="0.4">
      <c r="A134" s="67"/>
      <c r="B134" s="68"/>
      <c r="C134" s="68"/>
      <c r="D134" s="67"/>
      <c r="E134" s="67"/>
      <c r="F134" s="69"/>
      <c r="G134" s="69"/>
      <c r="H134" s="69"/>
      <c r="I134" s="69"/>
      <c r="J134" s="69"/>
      <c r="K134" s="69"/>
    </row>
    <row r="135" spans="1:11" ht="15.75" customHeight="1" x14ac:dyDescent="0.4">
      <c r="A135" s="67"/>
      <c r="B135" s="68"/>
      <c r="C135" s="68"/>
      <c r="D135" s="67"/>
      <c r="E135" s="67"/>
      <c r="F135" s="69"/>
      <c r="G135" s="69"/>
      <c r="H135" s="69"/>
      <c r="I135" s="69"/>
      <c r="J135" s="69"/>
      <c r="K135" s="69"/>
    </row>
    <row r="136" spans="1:11" ht="15.75" customHeight="1" x14ac:dyDescent="0.4">
      <c r="A136" s="67"/>
      <c r="B136" s="68"/>
      <c r="C136" s="68"/>
      <c r="D136" s="67"/>
      <c r="E136" s="67"/>
      <c r="F136" s="69"/>
      <c r="G136" s="69"/>
      <c r="H136" s="69"/>
      <c r="I136" s="69"/>
      <c r="J136" s="69"/>
      <c r="K136" s="69"/>
    </row>
    <row r="137" spans="1:11" ht="15.75" customHeight="1" x14ac:dyDescent="0.4">
      <c r="A137" s="67"/>
      <c r="B137" s="68"/>
      <c r="C137" s="68"/>
      <c r="D137" s="67"/>
      <c r="E137" s="67"/>
      <c r="F137" s="69"/>
      <c r="G137" s="69"/>
      <c r="H137" s="69"/>
      <c r="I137" s="69"/>
      <c r="J137" s="69"/>
      <c r="K137" s="69"/>
    </row>
    <row r="138" spans="1:11" ht="15.75" customHeight="1" x14ac:dyDescent="0.4">
      <c r="A138" s="67"/>
      <c r="B138" s="68"/>
      <c r="C138" s="68"/>
      <c r="D138" s="67"/>
      <c r="E138" s="67"/>
      <c r="F138" s="69"/>
      <c r="G138" s="69"/>
      <c r="H138" s="69"/>
      <c r="I138" s="69"/>
      <c r="J138" s="69"/>
      <c r="K138" s="69"/>
    </row>
    <row r="139" spans="1:11" ht="15.75" customHeight="1" x14ac:dyDescent="0.4">
      <c r="A139" s="67"/>
      <c r="B139" s="68"/>
      <c r="C139" s="68"/>
      <c r="D139" s="67"/>
      <c r="E139" s="67"/>
      <c r="F139" s="69"/>
      <c r="G139" s="69"/>
      <c r="H139" s="69"/>
      <c r="I139" s="69"/>
      <c r="J139" s="69"/>
      <c r="K139" s="69"/>
    </row>
    <row r="140" spans="1:11" ht="15.75" customHeight="1" x14ac:dyDescent="0.4">
      <c r="A140" s="67"/>
      <c r="B140" s="68"/>
      <c r="C140" s="68"/>
      <c r="D140" s="67"/>
      <c r="E140" s="67"/>
      <c r="F140" s="69"/>
      <c r="G140" s="69"/>
      <c r="H140" s="69"/>
      <c r="I140" s="69"/>
      <c r="J140" s="69"/>
      <c r="K140" s="69"/>
    </row>
    <row r="141" spans="1:11" ht="15.75" customHeight="1" x14ac:dyDescent="0.4">
      <c r="A141" s="67"/>
      <c r="B141" s="68"/>
      <c r="C141" s="68"/>
      <c r="D141" s="67"/>
      <c r="E141" s="67"/>
      <c r="F141" s="69"/>
      <c r="G141" s="69"/>
      <c r="H141" s="69"/>
      <c r="I141" s="69"/>
      <c r="J141" s="69"/>
      <c r="K141" s="69"/>
    </row>
    <row r="142" spans="1:11" ht="15.75" customHeight="1" x14ac:dyDescent="0.4">
      <c r="A142" s="67"/>
      <c r="B142" s="68"/>
      <c r="C142" s="68"/>
      <c r="D142" s="67"/>
      <c r="E142" s="67"/>
      <c r="F142" s="69"/>
      <c r="G142" s="69"/>
      <c r="H142" s="69"/>
      <c r="I142" s="69"/>
      <c r="J142" s="69"/>
      <c r="K142" s="69"/>
    </row>
    <row r="143" spans="1:11" ht="15.75" customHeight="1" x14ac:dyDescent="0.4">
      <c r="A143" s="67"/>
      <c r="B143" s="68"/>
      <c r="C143" s="68"/>
      <c r="D143" s="67"/>
      <c r="E143" s="67"/>
      <c r="F143" s="69"/>
      <c r="G143" s="69"/>
      <c r="H143" s="69"/>
      <c r="I143" s="69"/>
      <c r="J143" s="69"/>
      <c r="K143" s="69"/>
    </row>
    <row r="144" spans="1:11" ht="15.75" customHeight="1" x14ac:dyDescent="0.4">
      <c r="A144" s="67"/>
      <c r="B144" s="68"/>
      <c r="C144" s="68"/>
      <c r="D144" s="67"/>
      <c r="E144" s="67"/>
      <c r="F144" s="69"/>
      <c r="G144" s="69"/>
      <c r="H144" s="69"/>
      <c r="I144" s="69"/>
      <c r="J144" s="69"/>
      <c r="K144" s="69"/>
    </row>
    <row r="145" spans="1:11" ht="15.75" customHeight="1" x14ac:dyDescent="0.4">
      <c r="A145" s="67"/>
      <c r="B145" s="68"/>
      <c r="C145" s="68"/>
      <c r="D145" s="67"/>
      <c r="E145" s="67"/>
      <c r="F145" s="69"/>
      <c r="G145" s="69"/>
      <c r="H145" s="69"/>
      <c r="I145" s="69"/>
      <c r="J145" s="69"/>
      <c r="K145" s="69"/>
    </row>
    <row r="146" spans="1:11" ht="15.75" customHeight="1" x14ac:dyDescent="0.4">
      <c r="A146" s="67"/>
      <c r="B146" s="68"/>
      <c r="C146" s="68"/>
      <c r="D146" s="67"/>
      <c r="E146" s="67"/>
      <c r="F146" s="69"/>
      <c r="G146" s="69"/>
      <c r="H146" s="69"/>
      <c r="I146" s="69"/>
      <c r="J146" s="69"/>
      <c r="K146" s="69"/>
    </row>
    <row r="147" spans="1:11" ht="15.75" customHeight="1" x14ac:dyDescent="0.4">
      <c r="A147" s="67"/>
      <c r="B147" s="68"/>
      <c r="C147" s="68"/>
      <c r="D147" s="67"/>
      <c r="E147" s="67"/>
      <c r="F147" s="69"/>
      <c r="G147" s="69"/>
      <c r="H147" s="69"/>
      <c r="I147" s="69"/>
      <c r="J147" s="69"/>
      <c r="K147" s="69"/>
    </row>
    <row r="148" spans="1:11" ht="15.75" customHeight="1" x14ac:dyDescent="0.4">
      <c r="A148" s="67"/>
      <c r="B148" s="68"/>
      <c r="C148" s="68"/>
      <c r="D148" s="67"/>
      <c r="E148" s="67"/>
      <c r="F148" s="69"/>
      <c r="G148" s="69"/>
      <c r="H148" s="69"/>
      <c r="I148" s="69"/>
      <c r="J148" s="69"/>
      <c r="K148" s="69"/>
    </row>
    <row r="149" spans="1:11" ht="15.75" customHeight="1" x14ac:dyDescent="0.4">
      <c r="A149" s="67"/>
      <c r="B149" s="68"/>
      <c r="C149" s="68"/>
      <c r="D149" s="67"/>
      <c r="E149" s="67"/>
      <c r="F149" s="69"/>
      <c r="G149" s="69"/>
      <c r="H149" s="69"/>
      <c r="I149" s="69"/>
      <c r="J149" s="69"/>
      <c r="K149" s="69"/>
    </row>
    <row r="150" spans="1:11" ht="15.75" customHeight="1" x14ac:dyDescent="0.4">
      <c r="A150" s="67"/>
      <c r="B150" s="68"/>
      <c r="C150" s="68"/>
      <c r="D150" s="67"/>
      <c r="E150" s="67"/>
      <c r="F150" s="69"/>
      <c r="G150" s="69"/>
      <c r="H150" s="69"/>
      <c r="I150" s="69"/>
      <c r="J150" s="69"/>
      <c r="K150" s="69"/>
    </row>
    <row r="151" spans="1:11" ht="15.75" customHeight="1" x14ac:dyDescent="0.4">
      <c r="A151" s="67"/>
      <c r="B151" s="68"/>
      <c r="C151" s="68"/>
      <c r="D151" s="67"/>
      <c r="E151" s="67"/>
      <c r="F151" s="69"/>
      <c r="G151" s="69"/>
      <c r="H151" s="69"/>
      <c r="I151" s="69"/>
      <c r="J151" s="69"/>
      <c r="K151" s="69"/>
    </row>
    <row r="152" spans="1:11" ht="15.75" customHeight="1" x14ac:dyDescent="0.4">
      <c r="A152" s="67"/>
      <c r="B152" s="68"/>
      <c r="C152" s="68"/>
      <c r="D152" s="67"/>
      <c r="E152" s="67"/>
      <c r="F152" s="69"/>
      <c r="G152" s="69"/>
      <c r="H152" s="69"/>
      <c r="I152" s="69"/>
      <c r="J152" s="69"/>
      <c r="K152" s="69"/>
    </row>
    <row r="153" spans="1:11" ht="15.75" customHeight="1" x14ac:dyDescent="0.4">
      <c r="A153" s="67"/>
      <c r="B153" s="68"/>
      <c r="C153" s="68"/>
      <c r="D153" s="67"/>
      <c r="E153" s="67"/>
      <c r="F153" s="69"/>
      <c r="G153" s="69"/>
      <c r="H153" s="69"/>
      <c r="I153" s="69"/>
      <c r="J153" s="69"/>
      <c r="K153" s="69"/>
    </row>
    <row r="154" spans="1:11" ht="15.75" customHeight="1" x14ac:dyDescent="0.4">
      <c r="A154" s="67"/>
      <c r="B154" s="68"/>
      <c r="C154" s="68"/>
      <c r="D154" s="67"/>
      <c r="E154" s="67"/>
      <c r="F154" s="69"/>
      <c r="G154" s="69"/>
      <c r="H154" s="69"/>
      <c r="I154" s="69"/>
      <c r="J154" s="69"/>
      <c r="K154" s="69"/>
    </row>
    <row r="155" spans="1:11" ht="15.75" customHeight="1" x14ac:dyDescent="0.4">
      <c r="A155" s="67"/>
      <c r="B155" s="68"/>
      <c r="C155" s="68"/>
      <c r="D155" s="67"/>
      <c r="E155" s="67"/>
      <c r="F155" s="69"/>
      <c r="G155" s="69"/>
      <c r="H155" s="69"/>
      <c r="I155" s="69"/>
      <c r="J155" s="69"/>
      <c r="K155" s="69"/>
    </row>
    <row r="156" spans="1:11" ht="15.75" customHeight="1" x14ac:dyDescent="0.4">
      <c r="A156" s="67"/>
      <c r="B156" s="68"/>
      <c r="C156" s="68"/>
      <c r="D156" s="67"/>
      <c r="E156" s="67"/>
      <c r="F156" s="69"/>
      <c r="G156" s="69"/>
      <c r="H156" s="69"/>
      <c r="I156" s="69"/>
      <c r="J156" s="69"/>
      <c r="K156" s="69"/>
    </row>
    <row r="157" spans="1:11" ht="15.75" customHeight="1" x14ac:dyDescent="0.4">
      <c r="A157" s="67"/>
      <c r="B157" s="68"/>
      <c r="C157" s="68"/>
      <c r="D157" s="67"/>
      <c r="E157" s="67"/>
      <c r="F157" s="69"/>
      <c r="G157" s="69"/>
      <c r="H157" s="69"/>
      <c r="I157" s="69"/>
      <c r="J157" s="69"/>
      <c r="K157" s="69"/>
    </row>
    <row r="158" spans="1:11" ht="15.75" customHeight="1" x14ac:dyDescent="0.4">
      <c r="A158" s="67"/>
      <c r="B158" s="68"/>
      <c r="C158" s="68"/>
      <c r="D158" s="67"/>
      <c r="E158" s="67"/>
      <c r="F158" s="69"/>
      <c r="G158" s="69"/>
      <c r="H158" s="69"/>
      <c r="I158" s="69"/>
      <c r="J158" s="69"/>
      <c r="K158" s="69"/>
    </row>
    <row r="159" spans="1:11" ht="15.75" customHeight="1" x14ac:dyDescent="0.4">
      <c r="A159" s="67"/>
      <c r="B159" s="68"/>
      <c r="C159" s="68"/>
      <c r="D159" s="67"/>
      <c r="E159" s="67"/>
      <c r="F159" s="69"/>
      <c r="G159" s="69"/>
      <c r="H159" s="69"/>
      <c r="I159" s="69"/>
      <c r="J159" s="69"/>
      <c r="K159" s="69"/>
    </row>
    <row r="160" spans="1:11" ht="15.75" customHeight="1" x14ac:dyDescent="0.4">
      <c r="A160" s="67"/>
      <c r="B160" s="68"/>
      <c r="C160" s="68"/>
      <c r="D160" s="67"/>
      <c r="E160" s="67"/>
      <c r="F160" s="69"/>
      <c r="G160" s="69"/>
      <c r="H160" s="69"/>
      <c r="I160" s="69"/>
      <c r="J160" s="69"/>
      <c r="K160" s="69"/>
    </row>
    <row r="161" spans="1:11" ht="15.75" customHeight="1" x14ac:dyDescent="0.4">
      <c r="A161" s="67"/>
      <c r="B161" s="68"/>
      <c r="C161" s="68"/>
      <c r="D161" s="67"/>
      <c r="E161" s="67"/>
      <c r="F161" s="69"/>
      <c r="G161" s="69"/>
      <c r="H161" s="69"/>
      <c r="I161" s="69"/>
      <c r="J161" s="69"/>
      <c r="K161" s="69"/>
    </row>
    <row r="162" spans="1:11" ht="15.75" customHeight="1" x14ac:dyDescent="0.4">
      <c r="A162" s="67"/>
      <c r="B162" s="68"/>
      <c r="C162" s="68"/>
      <c r="D162" s="67"/>
      <c r="E162" s="67"/>
      <c r="F162" s="69"/>
      <c r="G162" s="69"/>
      <c r="H162" s="69"/>
      <c r="I162" s="69"/>
      <c r="J162" s="69"/>
      <c r="K162" s="69"/>
    </row>
    <row r="163" spans="1:11" ht="15.75" customHeight="1" x14ac:dyDescent="0.4">
      <c r="A163" s="67"/>
      <c r="B163" s="68"/>
      <c r="C163" s="68"/>
      <c r="D163" s="67"/>
      <c r="E163" s="67"/>
      <c r="F163" s="69"/>
      <c r="G163" s="69"/>
      <c r="H163" s="69"/>
      <c r="I163" s="69"/>
      <c r="J163" s="69"/>
      <c r="K163" s="69"/>
    </row>
    <row r="164" spans="1:11" ht="15.75" customHeight="1" x14ac:dyDescent="0.4">
      <c r="A164" s="67"/>
      <c r="B164" s="68"/>
      <c r="C164" s="68"/>
      <c r="D164" s="67"/>
      <c r="E164" s="67"/>
      <c r="F164" s="69"/>
      <c r="G164" s="69"/>
      <c r="H164" s="69"/>
      <c r="I164" s="69"/>
      <c r="J164" s="69"/>
      <c r="K164" s="69"/>
    </row>
    <row r="165" spans="1:11" ht="15.75" customHeight="1" x14ac:dyDescent="0.4">
      <c r="A165" s="67"/>
      <c r="B165" s="68"/>
      <c r="C165" s="68"/>
      <c r="D165" s="67"/>
      <c r="E165" s="67"/>
      <c r="F165" s="69"/>
      <c r="G165" s="69"/>
      <c r="H165" s="69"/>
      <c r="I165" s="69"/>
      <c r="J165" s="69"/>
      <c r="K165" s="69"/>
    </row>
    <row r="166" spans="1:11" ht="15.75" customHeight="1" x14ac:dyDescent="0.4">
      <c r="A166" s="67"/>
      <c r="B166" s="68"/>
      <c r="C166" s="68"/>
      <c r="D166" s="67"/>
      <c r="E166" s="67"/>
      <c r="F166" s="69"/>
      <c r="G166" s="69"/>
      <c r="H166" s="69"/>
      <c r="I166" s="69"/>
      <c r="J166" s="69"/>
      <c r="K166" s="69"/>
    </row>
    <row r="167" spans="1:11" ht="15.75" customHeight="1" x14ac:dyDescent="0.4">
      <c r="A167" s="67"/>
      <c r="B167" s="68"/>
      <c r="C167" s="68"/>
      <c r="D167" s="67"/>
      <c r="E167" s="67"/>
      <c r="F167" s="69"/>
      <c r="G167" s="69"/>
      <c r="H167" s="69"/>
      <c r="I167" s="69"/>
      <c r="J167" s="69"/>
      <c r="K167" s="69"/>
    </row>
    <row r="168" spans="1:11" ht="15.75" customHeight="1" x14ac:dyDescent="0.4">
      <c r="A168" s="67"/>
      <c r="B168" s="68"/>
      <c r="C168" s="68"/>
      <c r="D168" s="67"/>
      <c r="E168" s="67"/>
      <c r="F168" s="69"/>
      <c r="G168" s="69"/>
      <c r="H168" s="69"/>
      <c r="I168" s="69"/>
      <c r="J168" s="69"/>
      <c r="K168" s="69"/>
    </row>
    <row r="169" spans="1:11" ht="15.75" customHeight="1" x14ac:dyDescent="0.4">
      <c r="A169" s="67"/>
      <c r="B169" s="68"/>
      <c r="C169" s="68"/>
      <c r="D169" s="67"/>
      <c r="E169" s="67"/>
      <c r="F169" s="69"/>
      <c r="G169" s="69"/>
      <c r="H169" s="69"/>
      <c r="I169" s="69"/>
      <c r="J169" s="69"/>
      <c r="K169" s="69"/>
    </row>
    <row r="170" spans="1:11" ht="15.75" customHeight="1" x14ac:dyDescent="0.4">
      <c r="A170" s="67"/>
      <c r="B170" s="68"/>
      <c r="C170" s="68"/>
      <c r="D170" s="67"/>
      <c r="E170" s="67"/>
      <c r="F170" s="69"/>
      <c r="G170" s="69"/>
      <c r="H170" s="69"/>
      <c r="I170" s="69"/>
      <c r="J170" s="69"/>
      <c r="K170" s="69"/>
    </row>
    <row r="171" spans="1:11" ht="15.75" customHeight="1" x14ac:dyDescent="0.4">
      <c r="A171" s="67"/>
      <c r="B171" s="68"/>
      <c r="C171" s="68"/>
      <c r="D171" s="67"/>
      <c r="E171" s="67"/>
      <c r="F171" s="69"/>
      <c r="G171" s="69"/>
      <c r="H171" s="69"/>
      <c r="I171" s="69"/>
      <c r="J171" s="69"/>
      <c r="K171" s="69"/>
    </row>
    <row r="172" spans="1:11" ht="15.75" customHeight="1" x14ac:dyDescent="0.4">
      <c r="A172" s="67"/>
      <c r="B172" s="68"/>
      <c r="C172" s="68"/>
      <c r="D172" s="67"/>
      <c r="E172" s="67"/>
      <c r="F172" s="69"/>
      <c r="G172" s="69"/>
      <c r="H172" s="69"/>
      <c r="I172" s="69"/>
      <c r="J172" s="69"/>
      <c r="K172" s="69"/>
    </row>
    <row r="173" spans="1:11" ht="15.75" customHeight="1" x14ac:dyDescent="0.4">
      <c r="A173" s="67"/>
      <c r="B173" s="68"/>
      <c r="C173" s="68"/>
      <c r="D173" s="67"/>
      <c r="E173" s="67"/>
      <c r="F173" s="69"/>
      <c r="G173" s="69"/>
      <c r="H173" s="69"/>
      <c r="I173" s="69"/>
      <c r="J173" s="69"/>
      <c r="K173" s="69"/>
    </row>
    <row r="174" spans="1:11" ht="15.75" customHeight="1" x14ac:dyDescent="0.4">
      <c r="A174" s="67"/>
      <c r="B174" s="68"/>
      <c r="C174" s="68"/>
      <c r="D174" s="67"/>
      <c r="E174" s="67"/>
      <c r="F174" s="69"/>
      <c r="G174" s="69"/>
      <c r="H174" s="69"/>
      <c r="I174" s="69"/>
      <c r="J174" s="69"/>
      <c r="K174" s="69"/>
    </row>
    <row r="175" spans="1:11" ht="15.75" customHeight="1" x14ac:dyDescent="0.4">
      <c r="A175" s="67"/>
      <c r="B175" s="68"/>
      <c r="C175" s="68"/>
      <c r="D175" s="67"/>
      <c r="E175" s="67"/>
      <c r="F175" s="69"/>
      <c r="G175" s="69"/>
      <c r="H175" s="69"/>
      <c r="I175" s="69"/>
      <c r="J175" s="69"/>
      <c r="K175" s="69"/>
    </row>
    <row r="176" spans="1:11" ht="15.75" customHeight="1" x14ac:dyDescent="0.4">
      <c r="A176" s="67"/>
      <c r="B176" s="68"/>
      <c r="C176" s="68"/>
      <c r="D176" s="67"/>
      <c r="E176" s="67"/>
      <c r="F176" s="69"/>
      <c r="G176" s="69"/>
      <c r="H176" s="69"/>
      <c r="I176" s="69"/>
      <c r="J176" s="69"/>
      <c r="K176" s="69"/>
    </row>
    <row r="177" spans="1:11" ht="15.75" customHeight="1" x14ac:dyDescent="0.4">
      <c r="A177" s="67"/>
      <c r="B177" s="68"/>
      <c r="C177" s="68"/>
      <c r="D177" s="67"/>
      <c r="E177" s="67"/>
      <c r="F177" s="69"/>
      <c r="G177" s="69"/>
      <c r="H177" s="69"/>
      <c r="I177" s="69"/>
      <c r="J177" s="69"/>
      <c r="K177" s="69"/>
    </row>
    <row r="178" spans="1:11" ht="15.75" customHeight="1" x14ac:dyDescent="0.4">
      <c r="A178" s="67"/>
      <c r="B178" s="68"/>
      <c r="C178" s="68"/>
      <c r="D178" s="67"/>
      <c r="E178" s="67"/>
      <c r="F178" s="69"/>
      <c r="G178" s="69"/>
      <c r="H178" s="69"/>
      <c r="I178" s="69"/>
      <c r="J178" s="69"/>
      <c r="K178" s="69"/>
    </row>
    <row r="179" spans="1:11" ht="15.75" customHeight="1" x14ac:dyDescent="0.4">
      <c r="A179" s="67"/>
      <c r="B179" s="68"/>
      <c r="C179" s="68"/>
      <c r="D179" s="67"/>
      <c r="E179" s="67"/>
      <c r="F179" s="69"/>
      <c r="G179" s="69"/>
      <c r="H179" s="69"/>
      <c r="I179" s="69"/>
      <c r="J179" s="69"/>
      <c r="K179" s="69"/>
    </row>
    <row r="180" spans="1:11" ht="15.75" customHeight="1" x14ac:dyDescent="0.4">
      <c r="A180" s="67"/>
      <c r="B180" s="68"/>
      <c r="C180" s="68"/>
      <c r="D180" s="67"/>
      <c r="E180" s="67"/>
      <c r="F180" s="69"/>
      <c r="G180" s="69"/>
      <c r="H180" s="69"/>
      <c r="I180" s="69"/>
      <c r="J180" s="69"/>
      <c r="K180" s="69"/>
    </row>
    <row r="181" spans="1:11" ht="15.75" customHeight="1" x14ac:dyDescent="0.4">
      <c r="A181" s="67"/>
      <c r="B181" s="68"/>
      <c r="C181" s="68"/>
      <c r="D181" s="67"/>
      <c r="E181" s="67"/>
      <c r="F181" s="69"/>
      <c r="G181" s="69"/>
      <c r="H181" s="69"/>
      <c r="I181" s="69"/>
      <c r="J181" s="69"/>
      <c r="K181" s="69"/>
    </row>
    <row r="182" spans="1:11" ht="15.75" customHeight="1" x14ac:dyDescent="0.4">
      <c r="A182" s="67"/>
      <c r="B182" s="68"/>
      <c r="C182" s="68"/>
      <c r="D182" s="67"/>
      <c r="E182" s="67"/>
      <c r="F182" s="69"/>
      <c r="G182" s="69"/>
      <c r="H182" s="69"/>
      <c r="I182" s="69"/>
      <c r="J182" s="69"/>
      <c r="K182" s="69"/>
    </row>
    <row r="183" spans="1:11" ht="15.75" customHeight="1" x14ac:dyDescent="0.4">
      <c r="A183" s="67"/>
      <c r="B183" s="68"/>
      <c r="C183" s="68"/>
      <c r="D183" s="67"/>
      <c r="E183" s="67"/>
      <c r="F183" s="69"/>
      <c r="G183" s="69"/>
      <c r="H183" s="69"/>
      <c r="I183" s="69"/>
      <c r="J183" s="69"/>
      <c r="K183" s="69"/>
    </row>
    <row r="184" spans="1:11" ht="15.75" customHeight="1" x14ac:dyDescent="0.4">
      <c r="A184" s="67"/>
      <c r="B184" s="68"/>
      <c r="C184" s="68"/>
      <c r="D184" s="67"/>
      <c r="E184" s="67"/>
      <c r="F184" s="69"/>
      <c r="G184" s="69"/>
      <c r="H184" s="69"/>
      <c r="I184" s="69"/>
      <c r="J184" s="69"/>
      <c r="K184" s="69"/>
    </row>
    <row r="185" spans="1:11" ht="15.75" customHeight="1" x14ac:dyDescent="0.4">
      <c r="A185" s="67"/>
      <c r="B185" s="68"/>
      <c r="C185" s="68"/>
      <c r="D185" s="67"/>
      <c r="E185" s="67"/>
      <c r="F185" s="69"/>
      <c r="G185" s="69"/>
      <c r="H185" s="69"/>
      <c r="I185" s="69"/>
      <c r="J185" s="69"/>
      <c r="K185" s="69"/>
    </row>
    <row r="186" spans="1:11" ht="15.75" customHeight="1" x14ac:dyDescent="0.4">
      <c r="A186" s="67"/>
      <c r="B186" s="68"/>
      <c r="C186" s="68"/>
      <c r="D186" s="67"/>
      <c r="E186" s="67"/>
      <c r="F186" s="69"/>
      <c r="G186" s="69"/>
      <c r="H186" s="69"/>
      <c r="I186" s="69"/>
      <c r="J186" s="69"/>
      <c r="K186" s="69"/>
    </row>
    <row r="187" spans="1:11" ht="15.75" customHeight="1" x14ac:dyDescent="0.4">
      <c r="A187" s="67"/>
      <c r="B187" s="68"/>
      <c r="C187" s="68"/>
      <c r="D187" s="67"/>
      <c r="E187" s="67"/>
      <c r="F187" s="69"/>
      <c r="G187" s="69"/>
      <c r="H187" s="69"/>
      <c r="I187" s="69"/>
      <c r="J187" s="69"/>
      <c r="K187" s="69"/>
    </row>
    <row r="188" spans="1:11" ht="15.75" customHeight="1" x14ac:dyDescent="0.4">
      <c r="A188" s="67"/>
      <c r="B188" s="68"/>
      <c r="C188" s="68"/>
      <c r="D188" s="67"/>
      <c r="E188" s="67"/>
      <c r="F188" s="69"/>
      <c r="G188" s="69"/>
      <c r="H188" s="69"/>
      <c r="I188" s="69"/>
      <c r="J188" s="69"/>
      <c r="K188" s="69"/>
    </row>
    <row r="189" spans="1:11" ht="15.75" customHeight="1" x14ac:dyDescent="0.4">
      <c r="A189" s="67"/>
      <c r="B189" s="68"/>
      <c r="C189" s="68"/>
      <c r="D189" s="67"/>
      <c r="E189" s="67"/>
      <c r="F189" s="69"/>
      <c r="G189" s="69"/>
      <c r="H189" s="69"/>
      <c r="I189" s="69"/>
      <c r="J189" s="69"/>
      <c r="K189" s="69"/>
    </row>
    <row r="190" spans="1:11" ht="15.75" customHeight="1" x14ac:dyDescent="0.4">
      <c r="A190" s="67"/>
      <c r="B190" s="68"/>
      <c r="C190" s="68"/>
      <c r="D190" s="67"/>
      <c r="E190" s="67"/>
      <c r="F190" s="69"/>
      <c r="G190" s="69"/>
      <c r="H190" s="69"/>
      <c r="I190" s="69"/>
      <c r="J190" s="69"/>
      <c r="K190" s="69"/>
    </row>
    <row r="191" spans="1:11" ht="15.75" customHeight="1" x14ac:dyDescent="0.4">
      <c r="A191" s="67"/>
      <c r="B191" s="68"/>
      <c r="C191" s="68"/>
      <c r="D191" s="67"/>
      <c r="E191" s="67"/>
      <c r="F191" s="69"/>
      <c r="G191" s="69"/>
      <c r="H191" s="69"/>
      <c r="I191" s="69"/>
      <c r="J191" s="69"/>
      <c r="K191" s="69"/>
    </row>
    <row r="192" spans="1:11" ht="15.75" customHeight="1" x14ac:dyDescent="0.4">
      <c r="A192" s="67"/>
      <c r="B192" s="68"/>
      <c r="C192" s="68"/>
      <c r="D192" s="67"/>
      <c r="E192" s="67"/>
      <c r="F192" s="69"/>
      <c r="G192" s="69"/>
      <c r="H192" s="69"/>
      <c r="I192" s="69"/>
      <c r="J192" s="69"/>
      <c r="K192" s="69"/>
    </row>
    <row r="193" spans="1:11" ht="15.75" customHeight="1" x14ac:dyDescent="0.4">
      <c r="A193" s="67"/>
      <c r="B193" s="68"/>
      <c r="C193" s="68"/>
      <c r="D193" s="67"/>
      <c r="E193" s="67"/>
      <c r="F193" s="69"/>
      <c r="G193" s="69"/>
      <c r="H193" s="69"/>
      <c r="I193" s="69"/>
      <c r="J193" s="69"/>
      <c r="K193" s="69"/>
    </row>
    <row r="194" spans="1:11" ht="15.75" customHeight="1" x14ac:dyDescent="0.4">
      <c r="A194" s="67"/>
      <c r="B194" s="68"/>
      <c r="C194" s="68"/>
      <c r="D194" s="67"/>
      <c r="E194" s="67"/>
      <c r="F194" s="69"/>
      <c r="G194" s="69"/>
      <c r="H194" s="69"/>
      <c r="I194" s="69"/>
      <c r="J194" s="69"/>
      <c r="K194" s="69"/>
    </row>
    <row r="195" spans="1:11" ht="15.75" customHeight="1" x14ac:dyDescent="0.4">
      <c r="A195" s="67"/>
      <c r="B195" s="68"/>
      <c r="C195" s="68"/>
      <c r="D195" s="67"/>
      <c r="E195" s="67"/>
      <c r="F195" s="69"/>
      <c r="G195" s="69"/>
      <c r="H195" s="69"/>
      <c r="I195" s="69"/>
      <c r="J195" s="69"/>
      <c r="K195" s="69"/>
    </row>
    <row r="196" spans="1:11" ht="15.75" customHeight="1" x14ac:dyDescent="0.4">
      <c r="A196" s="67"/>
      <c r="B196" s="68"/>
      <c r="C196" s="68"/>
      <c r="D196" s="67"/>
      <c r="E196" s="67"/>
      <c r="F196" s="69"/>
      <c r="G196" s="69"/>
      <c r="H196" s="69"/>
      <c r="I196" s="69"/>
      <c r="J196" s="69"/>
      <c r="K196" s="69"/>
    </row>
    <row r="197" spans="1:11" ht="15.75" customHeight="1" x14ac:dyDescent="0.4">
      <c r="A197" s="67"/>
      <c r="B197" s="68"/>
      <c r="C197" s="68"/>
      <c r="D197" s="67"/>
      <c r="E197" s="67"/>
      <c r="F197" s="69"/>
      <c r="G197" s="69"/>
      <c r="H197" s="69"/>
      <c r="I197" s="69"/>
      <c r="J197" s="69"/>
      <c r="K197" s="69"/>
    </row>
    <row r="198" spans="1:11" ht="15.75" customHeight="1" x14ac:dyDescent="0.4">
      <c r="A198" s="67"/>
      <c r="B198" s="68"/>
      <c r="C198" s="68"/>
      <c r="D198" s="67"/>
      <c r="E198" s="67"/>
      <c r="F198" s="69"/>
      <c r="G198" s="69"/>
      <c r="H198" s="69"/>
      <c r="I198" s="69"/>
      <c r="J198" s="69"/>
      <c r="K198" s="69"/>
    </row>
    <row r="199" spans="1:11" ht="15.75" customHeight="1" x14ac:dyDescent="0.4">
      <c r="A199" s="67"/>
      <c r="B199" s="68"/>
      <c r="C199" s="68"/>
      <c r="D199" s="67"/>
      <c r="E199" s="67"/>
      <c r="F199" s="69"/>
      <c r="G199" s="69"/>
      <c r="H199" s="69"/>
      <c r="I199" s="69"/>
      <c r="J199" s="69"/>
      <c r="K199" s="69"/>
    </row>
    <row r="200" spans="1:11" ht="15.75" customHeight="1" x14ac:dyDescent="0.4">
      <c r="A200" s="67"/>
      <c r="B200" s="68"/>
      <c r="C200" s="68"/>
      <c r="D200" s="67"/>
      <c r="E200" s="67"/>
      <c r="F200" s="69"/>
      <c r="G200" s="69"/>
      <c r="H200" s="69"/>
      <c r="I200" s="69"/>
      <c r="J200" s="69"/>
      <c r="K200" s="69"/>
    </row>
    <row r="201" spans="1:11" ht="15.75" customHeight="1" x14ac:dyDescent="0.4">
      <c r="A201" s="67"/>
      <c r="B201" s="68"/>
      <c r="C201" s="68"/>
      <c r="D201" s="67"/>
      <c r="E201" s="67"/>
      <c r="F201" s="69"/>
      <c r="G201" s="69"/>
      <c r="H201" s="69"/>
      <c r="I201" s="69"/>
      <c r="J201" s="69"/>
      <c r="K201" s="69"/>
    </row>
    <row r="202" spans="1:11" ht="15.75" customHeight="1" x14ac:dyDescent="0.4">
      <c r="A202" s="67"/>
      <c r="B202" s="68"/>
      <c r="C202" s="68"/>
      <c r="D202" s="67"/>
      <c r="E202" s="67"/>
      <c r="F202" s="69"/>
      <c r="G202" s="69"/>
      <c r="H202" s="69"/>
      <c r="I202" s="69"/>
      <c r="J202" s="69"/>
      <c r="K202" s="69"/>
    </row>
    <row r="203" spans="1:11" ht="15.75" customHeight="1" x14ac:dyDescent="0.4">
      <c r="A203" s="67"/>
      <c r="B203" s="68"/>
      <c r="C203" s="68"/>
      <c r="D203" s="67"/>
      <c r="E203" s="67"/>
      <c r="F203" s="69"/>
      <c r="G203" s="69"/>
      <c r="H203" s="69"/>
      <c r="I203" s="69"/>
      <c r="J203" s="69"/>
      <c r="K203" s="69"/>
    </row>
    <row r="204" spans="1:11" ht="15.75" customHeight="1" x14ac:dyDescent="0.4">
      <c r="A204" s="67"/>
      <c r="B204" s="68"/>
      <c r="C204" s="68"/>
      <c r="D204" s="67"/>
      <c r="E204" s="67"/>
      <c r="F204" s="69"/>
      <c r="G204" s="69"/>
      <c r="H204" s="69"/>
      <c r="I204" s="69"/>
      <c r="J204" s="69"/>
      <c r="K204" s="69"/>
    </row>
    <row r="205" spans="1:11" ht="15.75" customHeight="1" x14ac:dyDescent="0.4">
      <c r="A205" s="67"/>
      <c r="B205" s="68"/>
      <c r="C205" s="68"/>
      <c r="D205" s="67"/>
      <c r="E205" s="67"/>
      <c r="F205" s="69"/>
      <c r="G205" s="69"/>
      <c r="H205" s="69"/>
      <c r="I205" s="69"/>
      <c r="J205" s="69"/>
      <c r="K205" s="69"/>
    </row>
    <row r="206" spans="1:11" ht="15.75" customHeight="1" x14ac:dyDescent="0.4">
      <c r="A206" s="67"/>
      <c r="B206" s="68"/>
      <c r="C206" s="68"/>
      <c r="D206" s="67"/>
      <c r="E206" s="67"/>
      <c r="F206" s="69"/>
      <c r="G206" s="69"/>
      <c r="H206" s="69"/>
      <c r="I206" s="69"/>
      <c r="J206" s="69"/>
      <c r="K206" s="69"/>
    </row>
    <row r="207" spans="1:11" ht="15.75" customHeight="1" x14ac:dyDescent="0.4">
      <c r="A207" s="67"/>
      <c r="B207" s="68"/>
      <c r="C207" s="68"/>
      <c r="D207" s="67"/>
      <c r="E207" s="67"/>
      <c r="F207" s="69"/>
      <c r="G207" s="69"/>
      <c r="H207" s="69"/>
      <c r="I207" s="69"/>
      <c r="J207" s="69"/>
      <c r="K207" s="69"/>
    </row>
    <row r="208" spans="1:11" ht="15.75" customHeight="1" x14ac:dyDescent="0.4">
      <c r="A208" s="67"/>
      <c r="B208" s="68"/>
      <c r="C208" s="68"/>
      <c r="D208" s="67"/>
      <c r="E208" s="67"/>
      <c r="F208" s="69"/>
      <c r="G208" s="69"/>
      <c r="H208" s="69"/>
      <c r="I208" s="69"/>
      <c r="J208" s="69"/>
      <c r="K208" s="69"/>
    </row>
    <row r="209" spans="1:11" ht="15.75" customHeight="1" x14ac:dyDescent="0.4">
      <c r="A209" s="67"/>
      <c r="B209" s="68"/>
      <c r="C209" s="68"/>
      <c r="D209" s="67"/>
      <c r="E209" s="67"/>
      <c r="F209" s="69"/>
      <c r="G209" s="69"/>
      <c r="H209" s="69"/>
      <c r="I209" s="69"/>
      <c r="J209" s="69"/>
      <c r="K209" s="69"/>
    </row>
    <row r="210" spans="1:11" ht="15.75" customHeight="1" x14ac:dyDescent="0.4">
      <c r="A210" s="67"/>
      <c r="B210" s="68"/>
      <c r="C210" s="68"/>
      <c r="D210" s="67"/>
      <c r="E210" s="67"/>
      <c r="F210" s="69"/>
      <c r="G210" s="69"/>
      <c r="H210" s="69"/>
      <c r="I210" s="69"/>
      <c r="J210" s="69"/>
      <c r="K210" s="69"/>
    </row>
    <row r="211" spans="1:11" ht="15.75" customHeight="1" x14ac:dyDescent="0.4">
      <c r="A211" s="67"/>
      <c r="B211" s="68"/>
      <c r="C211" s="68"/>
      <c r="D211" s="67"/>
      <c r="E211" s="67"/>
      <c r="F211" s="69"/>
      <c r="G211" s="69"/>
      <c r="H211" s="69"/>
      <c r="I211" s="69"/>
      <c r="J211" s="69"/>
      <c r="K211" s="69"/>
    </row>
    <row r="212" spans="1:11" ht="15.75" customHeight="1" x14ac:dyDescent="0.4">
      <c r="A212" s="67"/>
      <c r="B212" s="68"/>
      <c r="C212" s="68"/>
      <c r="D212" s="67"/>
      <c r="E212" s="67"/>
      <c r="F212" s="69"/>
      <c r="G212" s="69"/>
      <c r="H212" s="69"/>
      <c r="I212" s="69"/>
      <c r="J212" s="69"/>
      <c r="K212" s="69"/>
    </row>
    <row r="213" spans="1:11" ht="15.75" customHeight="1" x14ac:dyDescent="0.4">
      <c r="A213" s="67"/>
      <c r="B213" s="68"/>
      <c r="C213" s="68"/>
      <c r="D213" s="67"/>
      <c r="E213" s="67"/>
      <c r="F213" s="69"/>
      <c r="G213" s="69"/>
      <c r="H213" s="69"/>
      <c r="I213" s="69"/>
      <c r="J213" s="69"/>
      <c r="K213" s="69"/>
    </row>
    <row r="214" spans="1:11" ht="15.75" customHeight="1" x14ac:dyDescent="0.4">
      <c r="A214" s="67"/>
      <c r="B214" s="68"/>
      <c r="C214" s="68"/>
      <c r="D214" s="67"/>
      <c r="E214" s="67"/>
      <c r="F214" s="69"/>
      <c r="G214" s="69"/>
      <c r="H214" s="69"/>
      <c r="I214" s="69"/>
      <c r="J214" s="69"/>
      <c r="K214" s="69"/>
    </row>
    <row r="215" spans="1:11" ht="15.75" customHeight="1" x14ac:dyDescent="0.4">
      <c r="A215" s="67"/>
      <c r="B215" s="68"/>
      <c r="C215" s="68"/>
      <c r="D215" s="67"/>
      <c r="E215" s="67"/>
      <c r="F215" s="69"/>
      <c r="G215" s="69"/>
      <c r="H215" s="69"/>
      <c r="I215" s="69"/>
      <c r="J215" s="69"/>
      <c r="K215" s="69"/>
    </row>
    <row r="216" spans="1:11" ht="15.75" customHeight="1" x14ac:dyDescent="0.4">
      <c r="A216" s="67"/>
      <c r="B216" s="68"/>
      <c r="C216" s="68"/>
      <c r="D216" s="67"/>
      <c r="E216" s="67"/>
      <c r="F216" s="69"/>
      <c r="G216" s="69"/>
      <c r="H216" s="69"/>
      <c r="I216" s="69"/>
      <c r="J216" s="69"/>
      <c r="K216" s="69"/>
    </row>
    <row r="217" spans="1:11" ht="15.75" customHeight="1" x14ac:dyDescent="0.4">
      <c r="A217" s="67"/>
      <c r="B217" s="68"/>
      <c r="C217" s="68"/>
      <c r="D217" s="67"/>
      <c r="E217" s="67"/>
      <c r="F217" s="69"/>
      <c r="G217" s="69"/>
      <c r="H217" s="69"/>
      <c r="I217" s="69"/>
      <c r="J217" s="69"/>
      <c r="K217" s="69"/>
    </row>
    <row r="218" spans="1:11" ht="15.75" customHeight="1" x14ac:dyDescent="0.4">
      <c r="A218" s="67"/>
      <c r="B218" s="68"/>
      <c r="C218" s="68"/>
      <c r="D218" s="67"/>
      <c r="E218" s="67"/>
      <c r="F218" s="69"/>
      <c r="G218" s="69"/>
      <c r="H218" s="69"/>
      <c r="I218" s="69"/>
      <c r="J218" s="69"/>
      <c r="K218" s="69"/>
    </row>
    <row r="219" spans="1:11" ht="15.75" customHeight="1" x14ac:dyDescent="0.4">
      <c r="A219" s="67"/>
      <c r="B219" s="68"/>
      <c r="C219" s="68"/>
      <c r="D219" s="67"/>
      <c r="E219" s="67"/>
      <c r="F219" s="69"/>
      <c r="G219" s="69"/>
      <c r="H219" s="69"/>
      <c r="I219" s="69"/>
      <c r="J219" s="69"/>
      <c r="K219" s="69"/>
    </row>
    <row r="220" spans="1:11" ht="15.75" customHeight="1" x14ac:dyDescent="0.4">
      <c r="A220" s="67"/>
      <c r="B220" s="68"/>
      <c r="C220" s="68"/>
      <c r="D220" s="67"/>
      <c r="E220" s="67"/>
      <c r="F220" s="69"/>
      <c r="G220" s="69"/>
      <c r="H220" s="69"/>
      <c r="I220" s="69"/>
      <c r="J220" s="69"/>
      <c r="K220" s="69"/>
    </row>
    <row r="221" spans="1:11" ht="15.75" customHeight="1" x14ac:dyDescent="0.4">
      <c r="A221" s="67"/>
      <c r="B221" s="68"/>
      <c r="C221" s="68"/>
      <c r="D221" s="67"/>
      <c r="E221" s="67"/>
      <c r="F221" s="69"/>
      <c r="G221" s="69"/>
      <c r="H221" s="69"/>
      <c r="I221" s="69"/>
      <c r="J221" s="69"/>
      <c r="K221" s="69"/>
    </row>
    <row r="222" spans="1:11" ht="15.75" customHeight="1" x14ac:dyDescent="0.4">
      <c r="A222" s="67"/>
      <c r="B222" s="68"/>
      <c r="C222" s="68"/>
      <c r="D222" s="67"/>
      <c r="E222" s="67"/>
      <c r="F222" s="69"/>
      <c r="G222" s="69"/>
      <c r="H222" s="69"/>
      <c r="I222" s="69"/>
      <c r="J222" s="69"/>
      <c r="K222" s="69"/>
    </row>
    <row r="223" spans="1:11" ht="15.75" customHeight="1" x14ac:dyDescent="0.4">
      <c r="A223" s="67"/>
      <c r="B223" s="68"/>
      <c r="C223" s="68"/>
      <c r="D223" s="67"/>
      <c r="E223" s="67"/>
      <c r="F223" s="69"/>
      <c r="G223" s="69"/>
      <c r="H223" s="69"/>
      <c r="I223" s="69"/>
      <c r="J223" s="69"/>
      <c r="K223" s="69"/>
    </row>
    <row r="224" spans="1:11" ht="15.75" customHeight="1" x14ac:dyDescent="0.4">
      <c r="A224" s="67"/>
      <c r="B224" s="68"/>
      <c r="C224" s="68"/>
      <c r="D224" s="67"/>
      <c r="E224" s="67"/>
      <c r="F224" s="69"/>
      <c r="G224" s="69"/>
      <c r="H224" s="69"/>
      <c r="I224" s="69"/>
      <c r="J224" s="69"/>
      <c r="K224" s="69"/>
    </row>
    <row r="225" spans="1:11" ht="15.75" customHeight="1" x14ac:dyDescent="0.4">
      <c r="A225" s="67"/>
      <c r="B225" s="68"/>
      <c r="C225" s="68"/>
      <c r="D225" s="67"/>
      <c r="E225" s="67"/>
      <c r="F225" s="69"/>
      <c r="G225" s="69"/>
      <c r="H225" s="69"/>
      <c r="I225" s="69"/>
      <c r="J225" s="69"/>
      <c r="K225" s="69"/>
    </row>
    <row r="226" spans="1:11" ht="15.75" customHeight="1" x14ac:dyDescent="0.4">
      <c r="A226" s="67"/>
      <c r="B226" s="68"/>
      <c r="C226" s="68"/>
      <c r="D226" s="67"/>
      <c r="E226" s="67"/>
      <c r="F226" s="69"/>
      <c r="G226" s="69"/>
      <c r="H226" s="69"/>
      <c r="I226" s="69"/>
      <c r="J226" s="69"/>
      <c r="K226" s="69"/>
    </row>
    <row r="227" spans="1:11" ht="15.75" customHeight="1" x14ac:dyDescent="0.4">
      <c r="A227" s="67"/>
      <c r="B227" s="68"/>
      <c r="C227" s="68"/>
      <c r="D227" s="67"/>
      <c r="E227" s="67"/>
      <c r="F227" s="69"/>
      <c r="G227" s="69"/>
      <c r="H227" s="69"/>
      <c r="I227" s="69"/>
      <c r="J227" s="69"/>
      <c r="K227" s="69"/>
    </row>
    <row r="228" spans="1:11" ht="15.75" customHeight="1" x14ac:dyDescent="0.4">
      <c r="A228" s="67"/>
      <c r="B228" s="68"/>
      <c r="C228" s="68"/>
      <c r="D228" s="67"/>
      <c r="E228" s="67"/>
      <c r="F228" s="69"/>
      <c r="G228" s="69"/>
      <c r="H228" s="69"/>
      <c r="I228" s="69"/>
      <c r="J228" s="69"/>
      <c r="K228" s="69"/>
    </row>
    <row r="229" spans="1:11" ht="15.75" customHeight="1" x14ac:dyDescent="0.4">
      <c r="A229" s="67"/>
      <c r="B229" s="68"/>
      <c r="C229" s="68"/>
      <c r="D229" s="67"/>
      <c r="E229" s="67"/>
      <c r="F229" s="69"/>
      <c r="G229" s="69"/>
      <c r="H229" s="69"/>
      <c r="I229" s="69"/>
      <c r="J229" s="69"/>
      <c r="K229" s="69"/>
    </row>
    <row r="230" spans="1:11" ht="15.75" customHeight="1" x14ac:dyDescent="0.4">
      <c r="A230" s="67"/>
      <c r="B230" s="68"/>
      <c r="C230" s="68"/>
      <c r="D230" s="67"/>
      <c r="E230" s="67"/>
      <c r="F230" s="69"/>
      <c r="G230" s="69"/>
      <c r="H230" s="69"/>
      <c r="I230" s="69"/>
      <c r="J230" s="69"/>
      <c r="K230" s="69"/>
    </row>
    <row r="231" spans="1:11" ht="15.75" customHeight="1" x14ac:dyDescent="0.4">
      <c r="A231" s="67"/>
      <c r="B231" s="68"/>
      <c r="C231" s="68"/>
      <c r="D231" s="67"/>
      <c r="E231" s="67"/>
      <c r="F231" s="69"/>
      <c r="G231" s="69"/>
      <c r="H231" s="69"/>
      <c r="I231" s="69"/>
      <c r="J231" s="69"/>
      <c r="K231" s="69"/>
    </row>
    <row r="232" spans="1:11" ht="15.75" customHeight="1" x14ac:dyDescent="0.4">
      <c r="A232" s="67"/>
      <c r="B232" s="68"/>
      <c r="C232" s="68"/>
      <c r="D232" s="67"/>
      <c r="E232" s="67"/>
      <c r="F232" s="69"/>
      <c r="G232" s="69"/>
      <c r="H232" s="69"/>
      <c r="I232" s="69"/>
      <c r="J232" s="69"/>
      <c r="K232" s="69"/>
    </row>
    <row r="233" spans="1:11" ht="15.75" customHeight="1" x14ac:dyDescent="0.4">
      <c r="A233" s="67"/>
      <c r="B233" s="68"/>
      <c r="C233" s="68"/>
      <c r="D233" s="67"/>
      <c r="E233" s="67"/>
      <c r="F233" s="69"/>
      <c r="G233" s="69"/>
      <c r="H233" s="69"/>
      <c r="I233" s="69"/>
      <c r="J233" s="69"/>
      <c r="K233" s="69"/>
    </row>
    <row r="234" spans="1:11" ht="15.75" customHeight="1" x14ac:dyDescent="0.4">
      <c r="A234" s="67"/>
      <c r="B234" s="68"/>
      <c r="C234" s="68"/>
      <c r="D234" s="67"/>
      <c r="E234" s="67"/>
      <c r="F234" s="69"/>
      <c r="G234" s="69"/>
      <c r="H234" s="69"/>
      <c r="I234" s="69"/>
      <c r="J234" s="69"/>
      <c r="K234" s="69"/>
    </row>
    <row r="235" spans="1:11" ht="15.75" customHeight="1" x14ac:dyDescent="0.4">
      <c r="A235" s="67"/>
      <c r="B235" s="68"/>
      <c r="C235" s="68"/>
      <c r="D235" s="67"/>
      <c r="E235" s="67"/>
      <c r="F235" s="69"/>
      <c r="G235" s="69"/>
      <c r="H235" s="69"/>
      <c r="I235" s="69"/>
      <c r="J235" s="69"/>
      <c r="K235" s="69"/>
    </row>
    <row r="236" spans="1:11" ht="15.75" customHeight="1" x14ac:dyDescent="0.4">
      <c r="A236" s="67"/>
      <c r="B236" s="68"/>
      <c r="C236" s="68"/>
      <c r="D236" s="67"/>
      <c r="E236" s="67"/>
      <c r="F236" s="69"/>
      <c r="G236" s="69"/>
      <c r="H236" s="69"/>
      <c r="I236" s="69"/>
      <c r="J236" s="69"/>
      <c r="K236" s="69"/>
    </row>
    <row r="237" spans="1:11" ht="15.75" customHeight="1" x14ac:dyDescent="0.4">
      <c r="A237" s="67"/>
      <c r="B237" s="68"/>
      <c r="C237" s="68"/>
      <c r="D237" s="67"/>
      <c r="E237" s="67"/>
      <c r="F237" s="69"/>
      <c r="G237" s="69"/>
      <c r="H237" s="69"/>
      <c r="I237" s="69"/>
      <c r="J237" s="69"/>
      <c r="K237" s="69"/>
    </row>
    <row r="238" spans="1:11" ht="15.75" customHeight="1" x14ac:dyDescent="0.4">
      <c r="A238" s="67"/>
      <c r="B238" s="68"/>
      <c r="C238" s="68"/>
      <c r="D238" s="67"/>
      <c r="E238" s="67"/>
      <c r="F238" s="69"/>
      <c r="G238" s="69"/>
      <c r="H238" s="69"/>
      <c r="I238" s="69"/>
      <c r="J238" s="69"/>
      <c r="K238" s="69"/>
    </row>
    <row r="239" spans="1:11" ht="15.75" customHeight="1" x14ac:dyDescent="0.4">
      <c r="A239" s="67"/>
      <c r="B239" s="68"/>
      <c r="C239" s="68"/>
      <c r="D239" s="67"/>
      <c r="E239" s="67"/>
      <c r="F239" s="69"/>
      <c r="G239" s="69"/>
      <c r="H239" s="69"/>
      <c r="I239" s="69"/>
      <c r="J239" s="69"/>
      <c r="K239" s="69"/>
    </row>
    <row r="240" spans="1:11" ht="15.75" customHeight="1" x14ac:dyDescent="0.4">
      <c r="A240" s="67"/>
      <c r="B240" s="68"/>
      <c r="C240" s="68"/>
      <c r="D240" s="67"/>
      <c r="E240" s="67"/>
      <c r="F240" s="69"/>
      <c r="G240" s="69"/>
      <c r="H240" s="69"/>
      <c r="I240" s="69"/>
      <c r="J240" s="69"/>
      <c r="K240" s="69"/>
    </row>
    <row r="241" spans="1:11" ht="15.75" customHeight="1" x14ac:dyDescent="0.4">
      <c r="A241" s="67"/>
      <c r="B241" s="68"/>
      <c r="C241" s="68"/>
      <c r="D241" s="67"/>
      <c r="E241" s="67"/>
      <c r="F241" s="69"/>
      <c r="G241" s="69"/>
      <c r="H241" s="69"/>
      <c r="I241" s="69"/>
      <c r="J241" s="69"/>
      <c r="K241" s="69"/>
    </row>
    <row r="242" spans="1:11" ht="15.75" customHeight="1" x14ac:dyDescent="0.4">
      <c r="A242" s="67"/>
      <c r="B242" s="68"/>
      <c r="C242" s="68"/>
      <c r="D242" s="67"/>
      <c r="E242" s="67"/>
      <c r="F242" s="69"/>
      <c r="G242" s="69"/>
      <c r="H242" s="69"/>
      <c r="I242" s="69"/>
      <c r="J242" s="69"/>
      <c r="K242" s="69"/>
    </row>
    <row r="243" spans="1:11" ht="15.75" customHeight="1" x14ac:dyDescent="0.4">
      <c r="A243" s="67"/>
      <c r="B243" s="68"/>
      <c r="C243" s="68"/>
      <c r="D243" s="67"/>
      <c r="E243" s="67"/>
      <c r="F243" s="69"/>
      <c r="G243" s="69"/>
      <c r="H243" s="69"/>
      <c r="I243" s="69"/>
      <c r="J243" s="69"/>
      <c r="K243" s="69"/>
    </row>
    <row r="244" spans="1:11" ht="15.75" customHeight="1" x14ac:dyDescent="0.4">
      <c r="A244" s="67"/>
      <c r="B244" s="68"/>
      <c r="C244" s="68"/>
      <c r="D244" s="67"/>
      <c r="E244" s="67"/>
      <c r="F244" s="69"/>
      <c r="G244" s="69"/>
      <c r="H244" s="69"/>
      <c r="I244" s="69"/>
      <c r="J244" s="69"/>
      <c r="K244" s="69"/>
    </row>
    <row r="245" spans="1:11" ht="15.75" customHeight="1" x14ac:dyDescent="0.4">
      <c r="A245" s="67"/>
      <c r="B245" s="68"/>
      <c r="C245" s="68"/>
      <c r="D245" s="67"/>
      <c r="E245" s="67"/>
      <c r="F245" s="69"/>
      <c r="G245" s="69"/>
      <c r="H245" s="69"/>
      <c r="I245" s="69"/>
      <c r="J245" s="69"/>
      <c r="K245" s="69"/>
    </row>
    <row r="246" spans="1:11" ht="15.75" customHeight="1" x14ac:dyDescent="0.4">
      <c r="A246" s="67"/>
      <c r="B246" s="68"/>
      <c r="C246" s="68"/>
      <c r="D246" s="67"/>
      <c r="E246" s="67"/>
      <c r="F246" s="69"/>
      <c r="G246" s="69"/>
      <c r="H246" s="69"/>
      <c r="I246" s="69"/>
      <c r="J246" s="69"/>
      <c r="K246" s="69"/>
    </row>
    <row r="247" spans="1:11" ht="15.75" customHeight="1" x14ac:dyDescent="0.4">
      <c r="A247" s="67"/>
      <c r="B247" s="68"/>
      <c r="C247" s="68"/>
      <c r="D247" s="67"/>
      <c r="E247" s="67"/>
      <c r="F247" s="69"/>
      <c r="G247" s="69"/>
      <c r="H247" s="69"/>
      <c r="I247" s="69"/>
      <c r="J247" s="69"/>
      <c r="K247" s="69"/>
    </row>
    <row r="248" spans="1:11" ht="15.75" customHeight="1" x14ac:dyDescent="0.4">
      <c r="A248" s="67"/>
      <c r="B248" s="68"/>
      <c r="C248" s="68"/>
      <c r="D248" s="67"/>
      <c r="E248" s="67"/>
      <c r="F248" s="69"/>
      <c r="G248" s="69"/>
      <c r="H248" s="69"/>
      <c r="I248" s="69"/>
      <c r="J248" s="69"/>
      <c r="K248" s="69"/>
    </row>
    <row r="249" spans="1:11" ht="15.75" customHeight="1" x14ac:dyDescent="0.4">
      <c r="A249" s="67"/>
      <c r="B249" s="68"/>
      <c r="C249" s="68"/>
      <c r="D249" s="67"/>
      <c r="E249" s="67"/>
      <c r="F249" s="69"/>
      <c r="G249" s="69"/>
      <c r="H249" s="69"/>
      <c r="I249" s="69"/>
      <c r="J249" s="69"/>
      <c r="K249" s="69"/>
    </row>
    <row r="250" spans="1:11" ht="15.75" customHeight="1" x14ac:dyDescent="0.4">
      <c r="A250" s="67"/>
      <c r="B250" s="68"/>
      <c r="C250" s="68"/>
      <c r="D250" s="67"/>
      <c r="E250" s="67"/>
      <c r="F250" s="69"/>
      <c r="G250" s="69"/>
      <c r="H250" s="69"/>
      <c r="I250" s="69"/>
      <c r="J250" s="69"/>
      <c r="K250" s="69"/>
    </row>
    <row r="251" spans="1:11" ht="15.75" customHeight="1" x14ac:dyDescent="0.4">
      <c r="A251" s="67"/>
      <c r="B251" s="68"/>
      <c r="C251" s="68"/>
      <c r="D251" s="67"/>
      <c r="E251" s="67"/>
      <c r="F251" s="69"/>
      <c r="G251" s="69"/>
      <c r="H251" s="69"/>
      <c r="I251" s="69"/>
      <c r="J251" s="69"/>
      <c r="K251" s="69"/>
    </row>
    <row r="252" spans="1:11" ht="15.75" customHeight="1" x14ac:dyDescent="0.4">
      <c r="A252" s="67"/>
      <c r="B252" s="68"/>
      <c r="C252" s="68"/>
      <c r="D252" s="67"/>
      <c r="E252" s="67"/>
      <c r="F252" s="69"/>
      <c r="G252" s="69"/>
      <c r="H252" s="69"/>
      <c r="I252" s="69"/>
      <c r="J252" s="69"/>
      <c r="K252" s="69"/>
    </row>
    <row r="253" spans="1:11" ht="15.75" customHeight="1" x14ac:dyDescent="0.4">
      <c r="A253" s="67"/>
      <c r="B253" s="68"/>
      <c r="C253" s="68"/>
      <c r="D253" s="67"/>
      <c r="E253" s="67"/>
      <c r="F253" s="69"/>
      <c r="G253" s="69"/>
      <c r="H253" s="69"/>
      <c r="I253" s="69"/>
      <c r="J253" s="69"/>
      <c r="K253" s="69"/>
    </row>
    <row r="254" spans="1:11" ht="15.75" customHeight="1" x14ac:dyDescent="0.4">
      <c r="A254" s="67"/>
      <c r="B254" s="68"/>
      <c r="C254" s="68"/>
      <c r="D254" s="67"/>
      <c r="E254" s="67"/>
      <c r="F254" s="69"/>
      <c r="G254" s="69"/>
      <c r="H254" s="69"/>
      <c r="I254" s="69"/>
      <c r="J254" s="69"/>
      <c r="K254" s="69"/>
    </row>
    <row r="255" spans="1:11" ht="15.75" customHeight="1" x14ac:dyDescent="0.4">
      <c r="A255" s="67"/>
      <c r="B255" s="68"/>
      <c r="C255" s="68"/>
      <c r="D255" s="67"/>
      <c r="E255" s="67"/>
      <c r="F255" s="69"/>
      <c r="G255" s="69"/>
      <c r="H255" s="69"/>
      <c r="I255" s="69"/>
      <c r="J255" s="69"/>
      <c r="K255" s="69"/>
    </row>
    <row r="256" spans="1:11" ht="15.75" customHeight="1" x14ac:dyDescent="0.4">
      <c r="A256" s="67"/>
      <c r="B256" s="68"/>
      <c r="C256" s="68"/>
      <c r="D256" s="67"/>
      <c r="E256" s="67"/>
      <c r="F256" s="69"/>
      <c r="G256" s="69"/>
      <c r="H256" s="69"/>
      <c r="I256" s="69"/>
      <c r="J256" s="69"/>
      <c r="K256" s="69"/>
    </row>
    <row r="257" spans="1:11" ht="15.75" customHeight="1" x14ac:dyDescent="0.4">
      <c r="A257" s="67"/>
      <c r="B257" s="68"/>
      <c r="C257" s="68"/>
      <c r="D257" s="67"/>
      <c r="E257" s="67"/>
      <c r="F257" s="69"/>
      <c r="G257" s="69"/>
      <c r="H257" s="69"/>
      <c r="I257" s="69"/>
      <c r="J257" s="69"/>
      <c r="K257" s="69"/>
    </row>
    <row r="258" spans="1:11" ht="15.75" customHeight="1" x14ac:dyDescent="0.4">
      <c r="A258" s="67"/>
      <c r="B258" s="68"/>
      <c r="C258" s="68"/>
      <c r="D258" s="67"/>
      <c r="E258" s="67"/>
      <c r="F258" s="69"/>
      <c r="G258" s="69"/>
      <c r="H258" s="69"/>
      <c r="I258" s="69"/>
      <c r="J258" s="69"/>
      <c r="K258" s="69"/>
    </row>
    <row r="259" spans="1:11" ht="15.75" customHeight="1" x14ac:dyDescent="0.4">
      <c r="A259" s="67"/>
      <c r="B259" s="68"/>
      <c r="C259" s="68"/>
      <c r="D259" s="67"/>
      <c r="E259" s="67"/>
      <c r="F259" s="69"/>
      <c r="G259" s="69"/>
      <c r="H259" s="69"/>
      <c r="I259" s="69"/>
      <c r="J259" s="69"/>
      <c r="K259" s="69"/>
    </row>
    <row r="260" spans="1:11" ht="15.75" customHeight="1" x14ac:dyDescent="0.4">
      <c r="A260" s="67"/>
      <c r="B260" s="68"/>
      <c r="C260" s="68"/>
      <c r="D260" s="67"/>
      <c r="E260" s="67"/>
      <c r="F260" s="69"/>
      <c r="G260" s="69"/>
      <c r="H260" s="69"/>
      <c r="I260" s="69"/>
      <c r="J260" s="69"/>
      <c r="K260" s="69"/>
    </row>
    <row r="261" spans="1:11" ht="15.75" customHeight="1" x14ac:dyDescent="0.4">
      <c r="A261" s="67"/>
      <c r="B261" s="68"/>
      <c r="C261" s="68"/>
      <c r="D261" s="67"/>
      <c r="E261" s="67"/>
      <c r="F261" s="69"/>
      <c r="G261" s="69"/>
      <c r="H261" s="69"/>
      <c r="I261" s="69"/>
      <c r="J261" s="69"/>
      <c r="K261" s="69"/>
    </row>
    <row r="262" spans="1:11" ht="15.75" customHeight="1" x14ac:dyDescent="0.4">
      <c r="A262" s="67"/>
      <c r="B262" s="68"/>
      <c r="C262" s="68"/>
      <c r="D262" s="67"/>
      <c r="E262" s="67"/>
      <c r="F262" s="69"/>
      <c r="G262" s="69"/>
      <c r="H262" s="69"/>
      <c r="I262" s="69"/>
      <c r="J262" s="69"/>
      <c r="K262" s="69"/>
    </row>
    <row r="263" spans="1:11" ht="15.75" customHeight="1" x14ac:dyDescent="0.4">
      <c r="A263" s="67"/>
      <c r="B263" s="68"/>
      <c r="C263" s="68"/>
      <c r="D263" s="67"/>
      <c r="E263" s="67"/>
      <c r="F263" s="69"/>
      <c r="G263" s="69"/>
      <c r="H263" s="69"/>
      <c r="I263" s="69"/>
      <c r="J263" s="69"/>
      <c r="K263" s="69"/>
    </row>
    <row r="264" spans="1:11" ht="15.75" customHeight="1" x14ac:dyDescent="0.4">
      <c r="A264" s="67"/>
      <c r="B264" s="68"/>
      <c r="C264" s="68"/>
      <c r="D264" s="67"/>
      <c r="E264" s="67"/>
      <c r="F264" s="69"/>
      <c r="G264" s="69"/>
      <c r="H264" s="69"/>
      <c r="I264" s="69"/>
      <c r="J264" s="69"/>
      <c r="K264" s="69"/>
    </row>
    <row r="265" spans="1:11" ht="15.75" customHeight="1" x14ac:dyDescent="0.4">
      <c r="A265" s="67"/>
      <c r="B265" s="68"/>
      <c r="C265" s="68"/>
      <c r="D265" s="67"/>
      <c r="E265" s="67"/>
      <c r="F265" s="69"/>
      <c r="G265" s="69"/>
      <c r="H265" s="69"/>
      <c r="I265" s="69"/>
      <c r="J265" s="69"/>
      <c r="K265" s="69"/>
    </row>
    <row r="266" spans="1:11" ht="15.75" customHeight="1" x14ac:dyDescent="0.4">
      <c r="A266" s="67"/>
      <c r="B266" s="68"/>
      <c r="C266" s="68"/>
      <c r="D266" s="67"/>
      <c r="E266" s="67"/>
      <c r="F266" s="69"/>
      <c r="G266" s="69"/>
      <c r="H266" s="69"/>
      <c r="I266" s="69"/>
      <c r="J266" s="69"/>
      <c r="K266" s="69"/>
    </row>
    <row r="267" spans="1:11" ht="15.75" customHeight="1" x14ac:dyDescent="0.4">
      <c r="A267" s="67"/>
      <c r="B267" s="68"/>
      <c r="C267" s="68"/>
      <c r="D267" s="67"/>
      <c r="E267" s="67"/>
      <c r="F267" s="69"/>
      <c r="G267" s="69"/>
      <c r="H267" s="69"/>
      <c r="I267" s="69"/>
      <c r="J267" s="69"/>
      <c r="K267" s="69"/>
    </row>
    <row r="268" spans="1:11" ht="15.75" customHeight="1" x14ac:dyDescent="0.4">
      <c r="A268" s="67"/>
      <c r="B268" s="68"/>
      <c r="C268" s="68"/>
      <c r="D268" s="67"/>
      <c r="E268" s="67"/>
      <c r="F268" s="69"/>
      <c r="G268" s="69"/>
      <c r="H268" s="69"/>
      <c r="I268" s="69"/>
      <c r="J268" s="69"/>
      <c r="K268" s="69"/>
    </row>
    <row r="269" spans="1:11" ht="15.75" customHeight="1" x14ac:dyDescent="0.4">
      <c r="A269" s="67"/>
      <c r="B269" s="68"/>
      <c r="C269" s="68"/>
      <c r="D269" s="67"/>
      <c r="E269" s="67"/>
      <c r="F269" s="69"/>
      <c r="G269" s="69"/>
      <c r="H269" s="69"/>
      <c r="I269" s="69"/>
      <c r="J269" s="69"/>
      <c r="K269" s="69"/>
    </row>
    <row r="270" spans="1:11" ht="15.75" customHeight="1" x14ac:dyDescent="0.4">
      <c r="A270" s="67"/>
      <c r="B270" s="68"/>
      <c r="C270" s="68"/>
      <c r="D270" s="67"/>
      <c r="E270" s="67"/>
      <c r="F270" s="69"/>
      <c r="G270" s="69"/>
      <c r="H270" s="69"/>
      <c r="I270" s="69"/>
      <c r="J270" s="69"/>
      <c r="K270" s="69"/>
    </row>
    <row r="271" spans="1:11" ht="15.75" customHeight="1" x14ac:dyDescent="0.4">
      <c r="A271" s="67"/>
      <c r="B271" s="68"/>
      <c r="C271" s="68"/>
      <c r="D271" s="67"/>
      <c r="E271" s="67"/>
      <c r="F271" s="69"/>
      <c r="G271" s="69"/>
      <c r="H271" s="69"/>
      <c r="I271" s="69"/>
      <c r="J271" s="69"/>
      <c r="K271" s="69"/>
    </row>
    <row r="272" spans="1:11" ht="15.75" customHeight="1" x14ac:dyDescent="0.4">
      <c r="A272" s="67"/>
      <c r="B272" s="68"/>
      <c r="C272" s="68"/>
      <c r="D272" s="67"/>
      <c r="E272" s="67"/>
      <c r="F272" s="69"/>
      <c r="G272" s="69"/>
      <c r="H272" s="69"/>
      <c r="I272" s="69"/>
      <c r="J272" s="69"/>
      <c r="K272" s="69"/>
    </row>
    <row r="273" spans="1:11" ht="15.75" customHeight="1" x14ac:dyDescent="0.4">
      <c r="A273" s="67"/>
      <c r="B273" s="68"/>
      <c r="C273" s="68"/>
      <c r="D273" s="67"/>
      <c r="E273" s="67"/>
      <c r="F273" s="69"/>
      <c r="G273" s="69"/>
      <c r="H273" s="69"/>
      <c r="I273" s="69"/>
      <c r="J273" s="69"/>
      <c r="K273" s="69"/>
    </row>
    <row r="274" spans="1:11" ht="15.75" customHeight="1" x14ac:dyDescent="0.4">
      <c r="A274" s="67"/>
      <c r="B274" s="68"/>
      <c r="C274" s="68"/>
      <c r="D274" s="67"/>
      <c r="E274" s="67"/>
      <c r="F274" s="69"/>
      <c r="G274" s="69"/>
      <c r="H274" s="69"/>
      <c r="I274" s="69"/>
      <c r="J274" s="69"/>
      <c r="K274" s="69"/>
    </row>
    <row r="275" spans="1:11" ht="15.75" customHeight="1" x14ac:dyDescent="0.4">
      <c r="A275" s="67"/>
      <c r="B275" s="68"/>
      <c r="C275" s="68"/>
      <c r="D275" s="67"/>
      <c r="E275" s="67"/>
      <c r="F275" s="69"/>
      <c r="G275" s="69"/>
      <c r="H275" s="69"/>
      <c r="I275" s="69"/>
      <c r="J275" s="69"/>
      <c r="K275" s="69"/>
    </row>
    <row r="276" spans="1:11" ht="15.75" customHeight="1" x14ac:dyDescent="0.4">
      <c r="A276" s="67"/>
      <c r="B276" s="68"/>
      <c r="C276" s="68"/>
      <c r="D276" s="67"/>
      <c r="E276" s="67"/>
      <c r="F276" s="69"/>
      <c r="G276" s="69"/>
      <c r="H276" s="69"/>
      <c r="I276" s="69"/>
      <c r="J276" s="69"/>
      <c r="K276" s="69"/>
    </row>
    <row r="277" spans="1:11" ht="15.75" customHeight="1" x14ac:dyDescent="0.4">
      <c r="A277" s="67"/>
      <c r="B277" s="68"/>
      <c r="C277" s="68"/>
      <c r="D277" s="67"/>
      <c r="E277" s="67"/>
      <c r="F277" s="69"/>
      <c r="G277" s="69"/>
      <c r="H277" s="69"/>
      <c r="I277" s="69"/>
      <c r="J277" s="69"/>
      <c r="K277" s="69"/>
    </row>
    <row r="278" spans="1:11" ht="15.75" customHeight="1" x14ac:dyDescent="0.4">
      <c r="A278" s="67"/>
      <c r="B278" s="68"/>
      <c r="C278" s="68"/>
      <c r="D278" s="67"/>
      <c r="E278" s="67"/>
      <c r="F278" s="69"/>
      <c r="G278" s="69"/>
      <c r="H278" s="69"/>
      <c r="I278" s="69"/>
      <c r="J278" s="69"/>
      <c r="K278" s="69"/>
    </row>
    <row r="279" spans="1:11" ht="15.75" customHeight="1" x14ac:dyDescent="0.4">
      <c r="A279" s="67"/>
      <c r="B279" s="68"/>
      <c r="C279" s="68"/>
      <c r="D279" s="67"/>
      <c r="E279" s="67"/>
      <c r="F279" s="69"/>
      <c r="G279" s="69"/>
      <c r="H279" s="69"/>
      <c r="I279" s="69"/>
      <c r="J279" s="69"/>
      <c r="K279" s="69"/>
    </row>
    <row r="280" spans="1:11" ht="15.75" customHeight="1" x14ac:dyDescent="0.4">
      <c r="A280" s="67"/>
      <c r="B280" s="68"/>
      <c r="C280" s="68"/>
      <c r="D280" s="67"/>
      <c r="E280" s="67"/>
      <c r="F280" s="69"/>
      <c r="G280" s="69"/>
      <c r="H280" s="69"/>
      <c r="I280" s="69"/>
      <c r="J280" s="69"/>
      <c r="K280" s="69"/>
    </row>
    <row r="281" spans="1:11" ht="15.75" customHeight="1" x14ac:dyDescent="0.4">
      <c r="A281" s="67"/>
      <c r="B281" s="68"/>
      <c r="C281" s="68"/>
      <c r="D281" s="67"/>
      <c r="E281" s="67"/>
      <c r="F281" s="69"/>
      <c r="G281" s="69"/>
      <c r="H281" s="69"/>
      <c r="I281" s="69"/>
      <c r="J281" s="69"/>
      <c r="K281" s="69"/>
    </row>
    <row r="282" spans="1:11" ht="15.75" customHeight="1" x14ac:dyDescent="0.4">
      <c r="A282" s="67"/>
      <c r="B282" s="68"/>
      <c r="C282" s="68"/>
      <c r="D282" s="67"/>
      <c r="E282" s="67"/>
      <c r="F282" s="69"/>
      <c r="G282" s="69"/>
      <c r="H282" s="69"/>
      <c r="I282" s="69"/>
      <c r="J282" s="69"/>
      <c r="K282" s="69"/>
    </row>
    <row r="283" spans="1:11" ht="15.75" customHeight="1" x14ac:dyDescent="0.4">
      <c r="A283" s="67"/>
      <c r="B283" s="68"/>
      <c r="C283" s="68"/>
      <c r="D283" s="67"/>
      <c r="E283" s="67"/>
      <c r="F283" s="69"/>
      <c r="G283" s="69"/>
      <c r="H283" s="69"/>
      <c r="I283" s="69"/>
      <c r="J283" s="69"/>
      <c r="K283" s="69"/>
    </row>
    <row r="284" spans="1:11" ht="15.75" customHeight="1" x14ac:dyDescent="0.4">
      <c r="A284" s="67"/>
      <c r="B284" s="68"/>
      <c r="C284" s="68"/>
      <c r="D284" s="67"/>
      <c r="E284" s="67"/>
      <c r="F284" s="69"/>
      <c r="G284" s="69"/>
      <c r="H284" s="69"/>
      <c r="I284" s="69"/>
      <c r="J284" s="69"/>
      <c r="K284" s="69"/>
    </row>
    <row r="285" spans="1:11" ht="15.75" customHeight="1" x14ac:dyDescent="0.4">
      <c r="A285" s="67"/>
      <c r="B285" s="68"/>
      <c r="C285" s="68"/>
      <c r="D285" s="67"/>
      <c r="E285" s="67"/>
      <c r="F285" s="69"/>
      <c r="G285" s="69"/>
      <c r="H285" s="69"/>
      <c r="I285" s="69"/>
      <c r="J285" s="69"/>
      <c r="K285" s="69"/>
    </row>
    <row r="286" spans="1:11" ht="15.75" customHeight="1" x14ac:dyDescent="0.4">
      <c r="A286" s="67"/>
      <c r="B286" s="68"/>
      <c r="C286" s="68"/>
      <c r="D286" s="67"/>
      <c r="E286" s="67"/>
      <c r="F286" s="69"/>
      <c r="G286" s="69"/>
      <c r="H286" s="69"/>
      <c r="I286" s="69"/>
      <c r="J286" s="69"/>
      <c r="K286" s="69"/>
    </row>
    <row r="287" spans="1:11" ht="15.75" customHeight="1" x14ac:dyDescent="0.4">
      <c r="A287" s="67"/>
      <c r="B287" s="68"/>
      <c r="C287" s="68"/>
      <c r="D287" s="67"/>
      <c r="E287" s="67"/>
      <c r="F287" s="69"/>
      <c r="G287" s="69"/>
      <c r="H287" s="69"/>
      <c r="I287" s="69"/>
      <c r="J287" s="69"/>
      <c r="K287" s="69"/>
    </row>
    <row r="288" spans="1:11" ht="15.75" customHeight="1" x14ac:dyDescent="0.4">
      <c r="A288" s="67"/>
      <c r="B288" s="68"/>
      <c r="C288" s="68"/>
      <c r="D288" s="67"/>
      <c r="E288" s="67"/>
      <c r="F288" s="69"/>
      <c r="G288" s="69"/>
      <c r="H288" s="69"/>
      <c r="I288" s="69"/>
      <c r="J288" s="69"/>
      <c r="K288" s="69"/>
    </row>
    <row r="289" spans="1:11" ht="15.75" customHeight="1" x14ac:dyDescent="0.4">
      <c r="A289" s="67"/>
      <c r="B289" s="68"/>
      <c r="C289" s="68"/>
      <c r="D289" s="67"/>
      <c r="E289" s="67"/>
      <c r="F289" s="69"/>
      <c r="G289" s="69"/>
      <c r="H289" s="69"/>
      <c r="I289" s="69"/>
      <c r="J289" s="69"/>
      <c r="K289" s="69"/>
    </row>
    <row r="290" spans="1:11" ht="15.75" customHeight="1" x14ac:dyDescent="0.4">
      <c r="A290" s="67"/>
      <c r="B290" s="68"/>
      <c r="C290" s="68"/>
      <c r="D290" s="67"/>
      <c r="E290" s="67"/>
      <c r="F290" s="69"/>
      <c r="G290" s="69"/>
      <c r="H290" s="69"/>
      <c r="I290" s="69"/>
      <c r="J290" s="69"/>
      <c r="K290" s="69"/>
    </row>
    <row r="291" spans="1:11" ht="15.75" customHeight="1" x14ac:dyDescent="0.4">
      <c r="A291" s="67"/>
      <c r="B291" s="68"/>
      <c r="C291" s="68"/>
      <c r="D291" s="67"/>
      <c r="E291" s="67"/>
      <c r="F291" s="69"/>
      <c r="G291" s="69"/>
      <c r="H291" s="69"/>
      <c r="I291" s="69"/>
      <c r="J291" s="69"/>
      <c r="K291" s="69"/>
    </row>
    <row r="292" spans="1:11" ht="15.75" customHeight="1" x14ac:dyDescent="0.4">
      <c r="A292" s="67"/>
      <c r="B292" s="68"/>
      <c r="C292" s="68"/>
      <c r="D292" s="67"/>
      <c r="E292" s="67"/>
      <c r="F292" s="69"/>
      <c r="G292" s="69"/>
      <c r="H292" s="69"/>
      <c r="I292" s="69"/>
      <c r="J292" s="69"/>
      <c r="K292" s="69"/>
    </row>
    <row r="293" spans="1:11" ht="15.75" customHeight="1" x14ac:dyDescent="0.4">
      <c r="A293" s="67"/>
      <c r="B293" s="68"/>
      <c r="C293" s="68"/>
      <c r="D293" s="67"/>
      <c r="E293" s="67"/>
      <c r="F293" s="69"/>
      <c r="G293" s="69"/>
      <c r="H293" s="69"/>
      <c r="I293" s="69"/>
      <c r="J293" s="69"/>
      <c r="K293" s="69"/>
    </row>
    <row r="294" spans="1:11" ht="15.75" customHeight="1" x14ac:dyDescent="0.4">
      <c r="A294" s="67"/>
      <c r="B294" s="68"/>
      <c r="C294" s="68"/>
      <c r="D294" s="67"/>
      <c r="E294" s="67"/>
      <c r="F294" s="69"/>
      <c r="G294" s="69"/>
      <c r="H294" s="69"/>
      <c r="I294" s="69"/>
      <c r="J294" s="69"/>
      <c r="K294" s="69"/>
    </row>
    <row r="295" spans="1:11" ht="15.75" customHeight="1" x14ac:dyDescent="0.4">
      <c r="A295" s="67"/>
      <c r="B295" s="68"/>
      <c r="C295" s="68"/>
      <c r="D295" s="67"/>
      <c r="E295" s="67"/>
      <c r="F295" s="69"/>
      <c r="G295" s="69"/>
      <c r="H295" s="69"/>
      <c r="I295" s="69"/>
      <c r="J295" s="69"/>
      <c r="K295" s="69"/>
    </row>
    <row r="296" spans="1:11" ht="15.75" customHeight="1" x14ac:dyDescent="0.4">
      <c r="A296" s="67"/>
      <c r="B296" s="68"/>
      <c r="C296" s="68"/>
      <c r="D296" s="67"/>
      <c r="E296" s="67"/>
      <c r="F296" s="69"/>
      <c r="G296" s="69"/>
      <c r="H296" s="69"/>
      <c r="I296" s="69"/>
      <c r="J296" s="69"/>
      <c r="K296" s="69"/>
    </row>
    <row r="297" spans="1:11" ht="15.75" customHeight="1" x14ac:dyDescent="0.4">
      <c r="A297" s="67"/>
      <c r="B297" s="68"/>
      <c r="C297" s="68"/>
      <c r="D297" s="67"/>
      <c r="E297" s="67"/>
      <c r="F297" s="69"/>
      <c r="G297" s="69"/>
      <c r="H297" s="69"/>
      <c r="I297" s="69"/>
      <c r="J297" s="69"/>
      <c r="K297" s="69"/>
    </row>
    <row r="298" spans="1:11" ht="15.75" customHeight="1" x14ac:dyDescent="0.4">
      <c r="A298" s="67"/>
      <c r="B298" s="68"/>
      <c r="C298" s="68"/>
      <c r="D298" s="67"/>
      <c r="E298" s="67"/>
      <c r="F298" s="69"/>
      <c r="G298" s="69"/>
      <c r="H298" s="69"/>
      <c r="I298" s="69"/>
      <c r="J298" s="69"/>
      <c r="K298" s="69"/>
    </row>
    <row r="299" spans="1:11" ht="15.75" customHeight="1" x14ac:dyDescent="0.4">
      <c r="A299" s="67"/>
      <c r="B299" s="68"/>
      <c r="C299" s="68"/>
      <c r="D299" s="67"/>
      <c r="E299" s="67"/>
      <c r="F299" s="69"/>
      <c r="G299" s="69"/>
      <c r="H299" s="69"/>
      <c r="I299" s="69"/>
      <c r="J299" s="69"/>
      <c r="K299" s="69"/>
    </row>
    <row r="300" spans="1:11" ht="15.75" customHeight="1" x14ac:dyDescent="0.4">
      <c r="A300" s="67"/>
      <c r="B300" s="68"/>
      <c r="C300" s="68"/>
      <c r="D300" s="67"/>
      <c r="E300" s="67"/>
      <c r="F300" s="69"/>
      <c r="G300" s="69"/>
      <c r="H300" s="69"/>
      <c r="I300" s="69"/>
      <c r="J300" s="69"/>
      <c r="K300" s="69"/>
    </row>
    <row r="301" spans="1:11" ht="15.75" customHeight="1" x14ac:dyDescent="0.4">
      <c r="A301" s="67"/>
      <c r="B301" s="68"/>
      <c r="C301" s="68"/>
      <c r="D301" s="67"/>
      <c r="E301" s="67"/>
      <c r="F301" s="69"/>
      <c r="G301" s="69"/>
      <c r="H301" s="69"/>
      <c r="I301" s="69"/>
      <c r="J301" s="69"/>
      <c r="K301" s="69"/>
    </row>
    <row r="302" spans="1:11" ht="15.75" customHeight="1" x14ac:dyDescent="0.4">
      <c r="A302" s="67"/>
      <c r="B302" s="68"/>
      <c r="C302" s="68"/>
      <c r="D302" s="67"/>
      <c r="E302" s="67"/>
      <c r="F302" s="69"/>
      <c r="G302" s="69"/>
      <c r="H302" s="69"/>
      <c r="I302" s="69"/>
      <c r="J302" s="69"/>
      <c r="K302" s="69"/>
    </row>
    <row r="303" spans="1:11" ht="15.75" customHeight="1" x14ac:dyDescent="0.4">
      <c r="A303" s="67"/>
      <c r="B303" s="68"/>
      <c r="C303" s="68"/>
      <c r="D303" s="67"/>
      <c r="E303" s="67"/>
      <c r="F303" s="69"/>
      <c r="G303" s="69"/>
      <c r="H303" s="69"/>
      <c r="I303" s="69"/>
      <c r="J303" s="69"/>
      <c r="K303" s="69"/>
    </row>
    <row r="304" spans="1:11" ht="15.75" customHeight="1" x14ac:dyDescent="0.4">
      <c r="A304" s="67"/>
      <c r="B304" s="68"/>
      <c r="C304" s="68"/>
      <c r="D304" s="67"/>
      <c r="E304" s="67"/>
      <c r="F304" s="69"/>
      <c r="G304" s="69"/>
      <c r="H304" s="69"/>
      <c r="I304" s="69"/>
      <c r="J304" s="69"/>
      <c r="K304" s="69"/>
    </row>
    <row r="305" spans="1:11" ht="15.75" customHeight="1" x14ac:dyDescent="0.4">
      <c r="A305" s="67"/>
      <c r="B305" s="68"/>
      <c r="C305" s="68"/>
      <c r="D305" s="67"/>
      <c r="E305" s="67"/>
      <c r="F305" s="69"/>
      <c r="G305" s="69"/>
      <c r="H305" s="69"/>
      <c r="I305" s="69"/>
      <c r="J305" s="69"/>
      <c r="K305" s="69"/>
    </row>
    <row r="306" spans="1:11" ht="15.75" customHeight="1" x14ac:dyDescent="0.4">
      <c r="A306" s="67"/>
      <c r="B306" s="68"/>
      <c r="C306" s="68"/>
      <c r="D306" s="67"/>
      <c r="E306" s="67"/>
      <c r="F306" s="69"/>
      <c r="G306" s="69"/>
      <c r="H306" s="69"/>
      <c r="I306" s="69"/>
      <c r="J306" s="69"/>
      <c r="K306" s="69"/>
    </row>
    <row r="307" spans="1:11" ht="15.75" customHeight="1" x14ac:dyDescent="0.4">
      <c r="A307" s="67"/>
      <c r="B307" s="68"/>
      <c r="C307" s="68"/>
      <c r="D307" s="67"/>
      <c r="E307" s="67"/>
      <c r="F307" s="69"/>
      <c r="G307" s="69"/>
      <c r="H307" s="69"/>
      <c r="I307" s="69"/>
      <c r="J307" s="69"/>
      <c r="K307" s="69"/>
    </row>
    <row r="308" spans="1:11" ht="15.75" customHeight="1" x14ac:dyDescent="0.4">
      <c r="A308" s="67"/>
      <c r="B308" s="68"/>
      <c r="C308" s="68"/>
      <c r="D308" s="67"/>
      <c r="E308" s="67"/>
      <c r="F308" s="69"/>
      <c r="G308" s="69"/>
      <c r="H308" s="69"/>
      <c r="I308" s="69"/>
      <c r="J308" s="69"/>
      <c r="K308" s="69"/>
    </row>
    <row r="309" spans="1:11" ht="15.75" customHeight="1" x14ac:dyDescent="0.4">
      <c r="A309" s="67"/>
      <c r="B309" s="68"/>
      <c r="C309" s="68"/>
      <c r="D309" s="67"/>
      <c r="E309" s="67"/>
      <c r="F309" s="69"/>
      <c r="G309" s="69"/>
      <c r="H309" s="69"/>
      <c r="I309" s="69"/>
      <c r="J309" s="69"/>
      <c r="K309" s="69"/>
    </row>
    <row r="310" spans="1:11" ht="15.75" customHeight="1" x14ac:dyDescent="0.4">
      <c r="A310" s="67"/>
      <c r="B310" s="68"/>
      <c r="C310" s="68"/>
      <c r="D310" s="67"/>
      <c r="E310" s="67"/>
      <c r="F310" s="69"/>
      <c r="G310" s="69"/>
      <c r="H310" s="69"/>
      <c r="I310" s="69"/>
      <c r="J310" s="69"/>
      <c r="K310" s="69"/>
    </row>
    <row r="311" spans="1:11" ht="15.75" customHeight="1" x14ac:dyDescent="0.4">
      <c r="A311" s="67"/>
      <c r="B311" s="68"/>
      <c r="C311" s="68"/>
      <c r="D311" s="67"/>
      <c r="E311" s="67"/>
      <c r="F311" s="69"/>
      <c r="G311" s="69"/>
      <c r="H311" s="69"/>
      <c r="I311" s="69"/>
      <c r="J311" s="69"/>
      <c r="K311" s="69"/>
    </row>
    <row r="312" spans="1:11" ht="15.75" customHeight="1" x14ac:dyDescent="0.4">
      <c r="A312" s="67"/>
      <c r="B312" s="68"/>
      <c r="C312" s="68"/>
      <c r="D312" s="67"/>
      <c r="E312" s="67"/>
      <c r="F312" s="69"/>
      <c r="G312" s="69"/>
      <c r="H312" s="69"/>
      <c r="I312" s="69"/>
      <c r="J312" s="69"/>
      <c r="K312" s="69"/>
    </row>
    <row r="313" spans="1:11" ht="15.75" customHeight="1" x14ac:dyDescent="0.4">
      <c r="A313" s="67"/>
      <c r="B313" s="68"/>
      <c r="C313" s="68"/>
      <c r="D313" s="67"/>
      <c r="E313" s="67"/>
      <c r="F313" s="69"/>
      <c r="G313" s="69"/>
      <c r="H313" s="69"/>
      <c r="I313" s="69"/>
      <c r="J313" s="69"/>
      <c r="K313" s="69"/>
    </row>
    <row r="314" spans="1:11" ht="15.75" customHeight="1" x14ac:dyDescent="0.4">
      <c r="A314" s="67"/>
      <c r="B314" s="68"/>
      <c r="C314" s="68"/>
      <c r="D314" s="67"/>
      <c r="E314" s="67"/>
      <c r="F314" s="69"/>
      <c r="G314" s="69"/>
      <c r="H314" s="69"/>
      <c r="I314" s="69"/>
      <c r="J314" s="69"/>
      <c r="K314" s="69"/>
    </row>
    <row r="315" spans="1:11" ht="15.75" customHeight="1" x14ac:dyDescent="0.4">
      <c r="A315" s="67"/>
      <c r="B315" s="68"/>
      <c r="C315" s="68"/>
      <c r="D315" s="67"/>
      <c r="E315" s="67"/>
      <c r="F315" s="69"/>
      <c r="G315" s="69"/>
      <c r="H315" s="69"/>
      <c r="I315" s="69"/>
      <c r="J315" s="69"/>
      <c r="K315" s="69"/>
    </row>
    <row r="316" spans="1:11" ht="15.75" customHeight="1" x14ac:dyDescent="0.4">
      <c r="A316" s="67"/>
      <c r="B316" s="68"/>
      <c r="C316" s="68"/>
      <c r="D316" s="67"/>
      <c r="E316" s="67"/>
      <c r="F316" s="69"/>
      <c r="G316" s="69"/>
      <c r="H316" s="69"/>
      <c r="I316" s="69"/>
      <c r="J316" s="69"/>
      <c r="K316" s="69"/>
    </row>
    <row r="317" spans="1:11" ht="15.75" customHeight="1" x14ac:dyDescent="0.4">
      <c r="A317" s="67"/>
      <c r="B317" s="68"/>
      <c r="C317" s="68"/>
      <c r="D317" s="67"/>
      <c r="E317" s="67"/>
      <c r="F317" s="69"/>
      <c r="G317" s="69"/>
      <c r="H317" s="69"/>
      <c r="I317" s="69"/>
      <c r="J317" s="69"/>
      <c r="K317" s="69"/>
    </row>
    <row r="318" spans="1:11" ht="15.75" customHeight="1" x14ac:dyDescent="0.4">
      <c r="A318" s="67"/>
      <c r="B318" s="68"/>
      <c r="C318" s="68"/>
      <c r="D318" s="67"/>
      <c r="E318" s="67"/>
      <c r="F318" s="69"/>
      <c r="G318" s="69"/>
      <c r="H318" s="69"/>
      <c r="I318" s="69"/>
      <c r="J318" s="69"/>
      <c r="K318" s="69"/>
    </row>
    <row r="319" spans="1:11" ht="15.75" customHeight="1" x14ac:dyDescent="0.4">
      <c r="A319" s="67"/>
      <c r="B319" s="68"/>
      <c r="C319" s="68"/>
      <c r="D319" s="67"/>
      <c r="E319" s="67"/>
      <c r="F319" s="69"/>
      <c r="G319" s="69"/>
      <c r="H319" s="69"/>
      <c r="I319" s="69"/>
      <c r="J319" s="69"/>
      <c r="K319" s="69"/>
    </row>
    <row r="320" spans="1:11" ht="15.75" customHeight="1" x14ac:dyDescent="0.4">
      <c r="A320" s="67"/>
      <c r="B320" s="68"/>
      <c r="C320" s="68"/>
      <c r="D320" s="67"/>
      <c r="E320" s="67"/>
      <c r="F320" s="69"/>
      <c r="G320" s="69"/>
      <c r="H320" s="69"/>
      <c r="I320" s="69"/>
      <c r="J320" s="69"/>
      <c r="K320" s="69"/>
    </row>
    <row r="321" spans="1:11" ht="15.75" customHeight="1" x14ac:dyDescent="0.4">
      <c r="A321" s="67"/>
      <c r="B321" s="68"/>
      <c r="C321" s="68"/>
      <c r="D321" s="67"/>
      <c r="E321" s="67"/>
      <c r="F321" s="69"/>
      <c r="G321" s="69"/>
      <c r="H321" s="69"/>
      <c r="I321" s="69"/>
      <c r="J321" s="69"/>
      <c r="K321" s="69"/>
    </row>
    <row r="322" spans="1:11" ht="15.75" customHeight="1" x14ac:dyDescent="0.4">
      <c r="A322" s="67"/>
      <c r="B322" s="68"/>
      <c r="C322" s="68"/>
      <c r="D322" s="67"/>
      <c r="E322" s="67"/>
      <c r="F322" s="69"/>
      <c r="G322" s="69"/>
      <c r="H322" s="69"/>
      <c r="I322" s="69"/>
      <c r="J322" s="69"/>
      <c r="K322" s="69"/>
    </row>
    <row r="323" spans="1:11" ht="15.75" customHeight="1" x14ac:dyDescent="0.4">
      <c r="A323" s="67"/>
      <c r="B323" s="68"/>
      <c r="C323" s="68"/>
      <c r="D323" s="67"/>
      <c r="E323" s="67"/>
      <c r="F323" s="69"/>
      <c r="G323" s="69"/>
      <c r="H323" s="69"/>
      <c r="I323" s="69"/>
      <c r="J323" s="69"/>
      <c r="K323" s="69"/>
    </row>
    <row r="324" spans="1:11" ht="15.75" customHeight="1" x14ac:dyDescent="0.4">
      <c r="A324" s="67"/>
      <c r="B324" s="68"/>
      <c r="C324" s="68"/>
      <c r="D324" s="67"/>
      <c r="E324" s="67"/>
      <c r="F324" s="69"/>
      <c r="G324" s="69"/>
      <c r="H324" s="69"/>
      <c r="I324" s="69"/>
      <c r="J324" s="69"/>
      <c r="K324" s="69"/>
    </row>
    <row r="325" spans="1:11" ht="15.75" customHeight="1" x14ac:dyDescent="0.4">
      <c r="A325" s="67"/>
      <c r="B325" s="68"/>
      <c r="C325" s="68"/>
      <c r="D325" s="67"/>
      <c r="E325" s="67"/>
      <c r="F325" s="69"/>
      <c r="G325" s="69"/>
      <c r="H325" s="69"/>
      <c r="I325" s="69"/>
      <c r="J325" s="69"/>
      <c r="K325" s="69"/>
    </row>
    <row r="326" spans="1:11" ht="15.75" customHeight="1" x14ac:dyDescent="0.4">
      <c r="A326" s="67"/>
      <c r="B326" s="68"/>
      <c r="C326" s="68"/>
      <c r="D326" s="67"/>
      <c r="E326" s="67"/>
      <c r="F326" s="69"/>
      <c r="G326" s="69"/>
      <c r="H326" s="69"/>
      <c r="I326" s="69"/>
      <c r="J326" s="69"/>
      <c r="K326" s="69"/>
    </row>
    <row r="327" spans="1:11" ht="15.75" customHeight="1" x14ac:dyDescent="0.4">
      <c r="A327" s="67"/>
      <c r="B327" s="68"/>
      <c r="C327" s="68"/>
      <c r="D327" s="67"/>
      <c r="E327" s="67"/>
      <c r="F327" s="69"/>
      <c r="G327" s="69"/>
      <c r="H327" s="69"/>
      <c r="I327" s="69"/>
      <c r="J327" s="69"/>
      <c r="K327" s="69"/>
    </row>
    <row r="328" spans="1:11" ht="15.75" customHeight="1" x14ac:dyDescent="0.4">
      <c r="A328" s="67"/>
      <c r="B328" s="68"/>
      <c r="C328" s="68"/>
      <c r="D328" s="67"/>
      <c r="E328" s="67"/>
      <c r="F328" s="69"/>
      <c r="G328" s="69"/>
      <c r="H328" s="69"/>
      <c r="I328" s="69"/>
      <c r="J328" s="69"/>
      <c r="K328" s="69"/>
    </row>
    <row r="329" spans="1:11" ht="15.75" customHeight="1" x14ac:dyDescent="0.4">
      <c r="A329" s="67"/>
      <c r="B329" s="68"/>
      <c r="C329" s="68"/>
      <c r="D329" s="67"/>
      <c r="E329" s="67"/>
      <c r="F329" s="69"/>
      <c r="G329" s="69"/>
      <c r="H329" s="69"/>
      <c r="I329" s="69"/>
      <c r="J329" s="69"/>
      <c r="K329" s="69"/>
    </row>
    <row r="330" spans="1:11" ht="15.75" customHeight="1" x14ac:dyDescent="0.4">
      <c r="A330" s="67"/>
      <c r="B330" s="68"/>
      <c r="C330" s="68"/>
      <c r="D330" s="67"/>
      <c r="E330" s="67"/>
      <c r="F330" s="69"/>
      <c r="G330" s="69"/>
      <c r="H330" s="69"/>
      <c r="I330" s="69"/>
      <c r="J330" s="69"/>
      <c r="K330" s="69"/>
    </row>
    <row r="331" spans="1:11" ht="15.75" customHeight="1" x14ac:dyDescent="0.4">
      <c r="A331" s="67"/>
      <c r="B331" s="68"/>
      <c r="C331" s="68"/>
      <c r="D331" s="67"/>
      <c r="E331" s="67"/>
      <c r="F331" s="69"/>
      <c r="G331" s="69"/>
      <c r="H331" s="69"/>
      <c r="I331" s="69"/>
      <c r="J331" s="69"/>
      <c r="K331" s="69"/>
    </row>
    <row r="332" spans="1:11" ht="15.75" customHeight="1" x14ac:dyDescent="0.4">
      <c r="A332" s="67"/>
      <c r="B332" s="68"/>
      <c r="C332" s="68"/>
      <c r="D332" s="67"/>
      <c r="E332" s="67"/>
      <c r="F332" s="69"/>
      <c r="G332" s="69"/>
      <c r="H332" s="69"/>
      <c r="I332" s="69"/>
      <c r="J332" s="69"/>
      <c r="K332" s="69"/>
    </row>
    <row r="333" spans="1:11" ht="15.75" customHeight="1" x14ac:dyDescent="0.4">
      <c r="A333" s="67"/>
      <c r="B333" s="68"/>
      <c r="C333" s="68"/>
      <c r="D333" s="67"/>
      <c r="E333" s="67"/>
      <c r="F333" s="69"/>
      <c r="G333" s="69"/>
      <c r="H333" s="69"/>
      <c r="I333" s="69"/>
      <c r="J333" s="69"/>
      <c r="K333" s="69"/>
    </row>
    <row r="334" spans="1:11" ht="15.75" customHeight="1" x14ac:dyDescent="0.4">
      <c r="A334" s="67"/>
      <c r="B334" s="68"/>
      <c r="C334" s="68"/>
      <c r="D334" s="67"/>
      <c r="E334" s="67"/>
      <c r="F334" s="69"/>
      <c r="G334" s="69"/>
      <c r="H334" s="69"/>
      <c r="I334" s="69"/>
      <c r="J334" s="69"/>
      <c r="K334" s="69"/>
    </row>
    <row r="335" spans="1:11" ht="15.75" customHeight="1" x14ac:dyDescent="0.4">
      <c r="A335" s="67"/>
      <c r="B335" s="68"/>
      <c r="C335" s="68"/>
      <c r="D335" s="67"/>
      <c r="E335" s="67"/>
      <c r="F335" s="69"/>
      <c r="G335" s="69"/>
      <c r="H335" s="69"/>
      <c r="I335" s="69"/>
      <c r="J335" s="69"/>
      <c r="K335" s="69"/>
    </row>
    <row r="336" spans="1:11" ht="15.75" customHeight="1" x14ac:dyDescent="0.4">
      <c r="A336" s="67"/>
      <c r="B336" s="68"/>
      <c r="C336" s="68"/>
      <c r="D336" s="67"/>
      <c r="E336" s="67"/>
      <c r="F336" s="69"/>
      <c r="G336" s="69"/>
      <c r="H336" s="69"/>
      <c r="I336" s="69"/>
      <c r="J336" s="69"/>
      <c r="K336" s="69"/>
    </row>
    <row r="337" spans="1:11" ht="15.75" customHeight="1" x14ac:dyDescent="0.4">
      <c r="A337" s="67"/>
      <c r="B337" s="68"/>
      <c r="C337" s="68"/>
      <c r="D337" s="67"/>
      <c r="E337" s="67"/>
      <c r="F337" s="69"/>
      <c r="G337" s="69"/>
      <c r="H337" s="69"/>
      <c r="I337" s="69"/>
      <c r="J337" s="69"/>
      <c r="K337" s="69"/>
    </row>
    <row r="338" spans="1:11" ht="15.75" customHeight="1" x14ac:dyDescent="0.4">
      <c r="A338" s="67"/>
      <c r="B338" s="68"/>
      <c r="C338" s="68"/>
      <c r="D338" s="67"/>
      <c r="E338" s="67"/>
      <c r="F338" s="69"/>
      <c r="G338" s="69"/>
      <c r="H338" s="69"/>
      <c r="I338" s="69"/>
      <c r="J338" s="69"/>
      <c r="K338" s="69"/>
    </row>
    <row r="339" spans="1:11" ht="15.75" customHeight="1" x14ac:dyDescent="0.4">
      <c r="A339" s="67"/>
      <c r="B339" s="68"/>
      <c r="C339" s="68"/>
      <c r="D339" s="67"/>
      <c r="E339" s="67"/>
      <c r="F339" s="69"/>
      <c r="G339" s="69"/>
      <c r="H339" s="69"/>
      <c r="I339" s="69"/>
      <c r="J339" s="69"/>
      <c r="K339" s="69"/>
    </row>
    <row r="340" spans="1:11" ht="15.75" customHeight="1" x14ac:dyDescent="0.4">
      <c r="A340" s="67"/>
      <c r="B340" s="68"/>
      <c r="C340" s="68"/>
      <c r="D340" s="67"/>
      <c r="E340" s="67"/>
      <c r="F340" s="69"/>
      <c r="G340" s="69"/>
      <c r="H340" s="69"/>
      <c r="I340" s="69"/>
      <c r="J340" s="69"/>
      <c r="K340" s="69"/>
    </row>
    <row r="341" spans="1:11" ht="15.75" customHeight="1" x14ac:dyDescent="0.4">
      <c r="A341" s="67"/>
      <c r="B341" s="68"/>
      <c r="C341" s="68"/>
      <c r="D341" s="67"/>
      <c r="E341" s="67"/>
      <c r="F341" s="69"/>
      <c r="G341" s="69"/>
      <c r="H341" s="69"/>
      <c r="I341" s="69"/>
      <c r="J341" s="69"/>
      <c r="K341" s="69"/>
    </row>
    <row r="342" spans="1:11" ht="15.75" customHeight="1" x14ac:dyDescent="0.4">
      <c r="A342" s="67"/>
      <c r="B342" s="68"/>
      <c r="C342" s="68"/>
      <c r="D342" s="67"/>
      <c r="E342" s="67"/>
      <c r="F342" s="69"/>
      <c r="G342" s="69"/>
      <c r="H342" s="69"/>
      <c r="I342" s="69"/>
      <c r="J342" s="69"/>
      <c r="K342" s="69"/>
    </row>
    <row r="343" spans="1:11" ht="15.75" customHeight="1" x14ac:dyDescent="0.4">
      <c r="A343" s="67"/>
      <c r="B343" s="68"/>
      <c r="C343" s="68"/>
      <c r="D343" s="67"/>
      <c r="E343" s="67"/>
      <c r="F343" s="69"/>
      <c r="G343" s="69"/>
      <c r="H343" s="69"/>
      <c r="I343" s="69"/>
      <c r="J343" s="69"/>
      <c r="K343" s="69"/>
    </row>
    <row r="344" spans="1:11" ht="15.75" customHeight="1" x14ac:dyDescent="0.4">
      <c r="A344" s="67"/>
      <c r="B344" s="68"/>
      <c r="C344" s="68"/>
      <c r="D344" s="67"/>
      <c r="E344" s="67"/>
      <c r="F344" s="69"/>
      <c r="G344" s="69"/>
      <c r="H344" s="69"/>
      <c r="I344" s="69"/>
      <c r="J344" s="69"/>
      <c r="K344" s="69"/>
    </row>
    <row r="345" spans="1:11" ht="15.75" customHeight="1" x14ac:dyDescent="0.4">
      <c r="A345" s="67"/>
      <c r="B345" s="68"/>
      <c r="C345" s="68"/>
      <c r="D345" s="67"/>
      <c r="E345" s="67"/>
      <c r="F345" s="69"/>
      <c r="G345" s="69"/>
      <c r="H345" s="69"/>
      <c r="I345" s="69"/>
      <c r="J345" s="69"/>
      <c r="K345" s="69"/>
    </row>
    <row r="346" spans="1:11" ht="15.75" customHeight="1" x14ac:dyDescent="0.4">
      <c r="A346" s="67"/>
      <c r="B346" s="68"/>
      <c r="C346" s="68"/>
      <c r="D346" s="67"/>
      <c r="E346" s="67"/>
      <c r="F346" s="69"/>
      <c r="G346" s="69"/>
      <c r="H346" s="69"/>
      <c r="I346" s="69"/>
      <c r="J346" s="69"/>
      <c r="K346" s="69"/>
    </row>
    <row r="347" spans="1:11" ht="15.75" customHeight="1" x14ac:dyDescent="0.4">
      <c r="A347" s="67"/>
      <c r="B347" s="68"/>
      <c r="C347" s="68"/>
      <c r="D347" s="67"/>
      <c r="E347" s="67"/>
      <c r="F347" s="69"/>
      <c r="G347" s="69"/>
      <c r="H347" s="69"/>
      <c r="I347" s="69"/>
      <c r="J347" s="69"/>
      <c r="K347" s="69"/>
    </row>
    <row r="348" spans="1:11" ht="15.75" customHeight="1" x14ac:dyDescent="0.4">
      <c r="A348" s="67"/>
      <c r="B348" s="68"/>
      <c r="C348" s="68"/>
      <c r="D348" s="67"/>
      <c r="E348" s="67"/>
      <c r="F348" s="69"/>
      <c r="G348" s="69"/>
      <c r="H348" s="69"/>
      <c r="I348" s="69"/>
      <c r="J348" s="69"/>
      <c r="K348" s="69"/>
    </row>
    <row r="349" spans="1:11" ht="15.75" customHeight="1" x14ac:dyDescent="0.4">
      <c r="A349" s="67"/>
      <c r="B349" s="68"/>
      <c r="C349" s="68"/>
      <c r="D349" s="67"/>
      <c r="E349" s="67"/>
      <c r="F349" s="69"/>
      <c r="G349" s="69"/>
      <c r="H349" s="69"/>
      <c r="I349" s="69"/>
      <c r="J349" s="69"/>
      <c r="K349" s="69"/>
    </row>
    <row r="350" spans="1:11" ht="15.75" customHeight="1" x14ac:dyDescent="0.4">
      <c r="A350" s="67"/>
      <c r="B350" s="68"/>
      <c r="C350" s="68"/>
      <c r="D350" s="67"/>
      <c r="E350" s="67"/>
      <c r="F350" s="69"/>
      <c r="G350" s="69"/>
      <c r="H350" s="69"/>
      <c r="I350" s="69"/>
      <c r="J350" s="69"/>
      <c r="K350" s="69"/>
    </row>
    <row r="351" spans="1:11" ht="15.75" customHeight="1" x14ac:dyDescent="0.4">
      <c r="A351" s="67"/>
      <c r="B351" s="68"/>
      <c r="C351" s="68"/>
      <c r="D351" s="67"/>
      <c r="E351" s="67"/>
      <c r="F351" s="69"/>
      <c r="G351" s="69"/>
      <c r="H351" s="69"/>
      <c r="I351" s="69"/>
      <c r="J351" s="69"/>
      <c r="K351" s="69"/>
    </row>
    <row r="352" spans="1:11" ht="15.75" customHeight="1" x14ac:dyDescent="0.4">
      <c r="A352" s="67"/>
      <c r="B352" s="68"/>
      <c r="C352" s="68"/>
      <c r="D352" s="67"/>
      <c r="E352" s="67"/>
      <c r="F352" s="69"/>
      <c r="G352" s="69"/>
      <c r="H352" s="69"/>
      <c r="I352" s="69"/>
      <c r="J352" s="69"/>
      <c r="K352" s="69"/>
    </row>
    <row r="353" spans="1:11" ht="15.75" customHeight="1" x14ac:dyDescent="0.4">
      <c r="A353" s="67"/>
      <c r="B353" s="68"/>
      <c r="C353" s="68"/>
      <c r="D353" s="67"/>
      <c r="E353" s="67"/>
      <c r="F353" s="69"/>
      <c r="G353" s="69"/>
      <c r="H353" s="69"/>
      <c r="I353" s="69"/>
      <c r="J353" s="69"/>
      <c r="K353" s="69"/>
    </row>
    <row r="354" spans="1:11" ht="15.75" customHeight="1" x14ac:dyDescent="0.4">
      <c r="A354" s="67"/>
      <c r="B354" s="68"/>
      <c r="C354" s="68"/>
      <c r="D354" s="67"/>
      <c r="E354" s="67"/>
      <c r="F354" s="69"/>
      <c r="G354" s="69"/>
      <c r="H354" s="69"/>
      <c r="I354" s="69"/>
      <c r="J354" s="69"/>
      <c r="K354" s="69"/>
    </row>
    <row r="355" spans="1:11" ht="15.75" customHeight="1" x14ac:dyDescent="0.4">
      <c r="A355" s="67"/>
      <c r="B355" s="68"/>
      <c r="C355" s="68"/>
      <c r="D355" s="67"/>
      <c r="E355" s="67"/>
      <c r="F355" s="69"/>
      <c r="G355" s="69"/>
      <c r="H355" s="69"/>
      <c r="I355" s="69"/>
      <c r="J355" s="69"/>
      <c r="K355" s="69"/>
    </row>
    <row r="356" spans="1:11" ht="15.75" customHeight="1" x14ac:dyDescent="0.4">
      <c r="A356" s="67"/>
      <c r="B356" s="68"/>
      <c r="C356" s="68"/>
      <c r="D356" s="67"/>
      <c r="E356" s="67"/>
      <c r="F356" s="69"/>
      <c r="G356" s="69"/>
      <c r="H356" s="69"/>
      <c r="I356" s="69"/>
      <c r="J356" s="69"/>
      <c r="K356" s="69"/>
    </row>
    <row r="357" spans="1:11" ht="15.75" customHeight="1" x14ac:dyDescent="0.4">
      <c r="A357" s="67"/>
      <c r="B357" s="68"/>
      <c r="C357" s="68"/>
      <c r="D357" s="67"/>
      <c r="E357" s="67"/>
      <c r="F357" s="69"/>
      <c r="G357" s="69"/>
      <c r="H357" s="69"/>
      <c r="I357" s="69"/>
      <c r="J357" s="69"/>
      <c r="K357" s="69"/>
    </row>
    <row r="358" spans="1:11" ht="15.75" customHeight="1" x14ac:dyDescent="0.4">
      <c r="A358" s="67"/>
      <c r="B358" s="68"/>
      <c r="C358" s="68"/>
      <c r="D358" s="67"/>
      <c r="E358" s="67"/>
      <c r="F358" s="69"/>
      <c r="G358" s="69"/>
      <c r="H358" s="69"/>
      <c r="I358" s="69"/>
      <c r="J358" s="69"/>
      <c r="K358" s="69"/>
    </row>
    <row r="359" spans="1:11" ht="15.75" customHeight="1" x14ac:dyDescent="0.4">
      <c r="A359" s="67"/>
      <c r="B359" s="68"/>
      <c r="C359" s="68"/>
      <c r="D359" s="67"/>
      <c r="E359" s="67"/>
      <c r="F359" s="69"/>
      <c r="G359" s="69"/>
      <c r="H359" s="69"/>
      <c r="I359" s="69"/>
      <c r="J359" s="69"/>
      <c r="K359" s="69"/>
    </row>
    <row r="360" spans="1:11" ht="15.75" customHeight="1" x14ac:dyDescent="0.4">
      <c r="A360" s="67"/>
      <c r="B360" s="68"/>
      <c r="C360" s="68"/>
      <c r="D360" s="67"/>
      <c r="E360" s="67"/>
      <c r="F360" s="69"/>
      <c r="G360" s="69"/>
      <c r="H360" s="69"/>
      <c r="I360" s="69"/>
      <c r="J360" s="69"/>
      <c r="K360" s="69"/>
    </row>
    <row r="361" spans="1:11" ht="15.75" customHeight="1" x14ac:dyDescent="0.4">
      <c r="A361" s="67"/>
      <c r="B361" s="68"/>
      <c r="C361" s="68"/>
      <c r="D361" s="67"/>
      <c r="E361" s="67"/>
      <c r="F361" s="69"/>
      <c r="G361" s="69"/>
      <c r="H361" s="69"/>
      <c r="I361" s="69"/>
      <c r="J361" s="69"/>
      <c r="K361" s="69"/>
    </row>
    <row r="362" spans="1:11" ht="15.75" customHeight="1" x14ac:dyDescent="0.4">
      <c r="A362" s="67"/>
      <c r="B362" s="68"/>
      <c r="C362" s="68"/>
      <c r="D362" s="67"/>
      <c r="E362" s="67"/>
      <c r="F362" s="69"/>
      <c r="G362" s="69"/>
      <c r="H362" s="69"/>
      <c r="I362" s="69"/>
      <c r="J362" s="69"/>
      <c r="K362" s="69"/>
    </row>
    <row r="363" spans="1:11" ht="15.75" customHeight="1" x14ac:dyDescent="0.4">
      <c r="A363" s="67"/>
      <c r="B363" s="68"/>
      <c r="C363" s="68"/>
      <c r="D363" s="67"/>
      <c r="E363" s="67"/>
      <c r="F363" s="69"/>
      <c r="G363" s="69"/>
      <c r="H363" s="69"/>
      <c r="I363" s="69"/>
      <c r="J363" s="69"/>
      <c r="K363" s="69"/>
    </row>
    <row r="364" spans="1:11" ht="15.75" customHeight="1" x14ac:dyDescent="0.4">
      <c r="A364" s="67"/>
      <c r="B364" s="68"/>
      <c r="C364" s="68"/>
      <c r="D364" s="67"/>
      <c r="E364" s="67"/>
      <c r="F364" s="69"/>
      <c r="G364" s="69"/>
      <c r="H364" s="69"/>
      <c r="I364" s="69"/>
      <c r="J364" s="69"/>
      <c r="K364" s="69"/>
    </row>
    <row r="365" spans="1:11" ht="15.75" customHeight="1" x14ac:dyDescent="0.4">
      <c r="A365" s="67"/>
      <c r="B365" s="68"/>
      <c r="C365" s="68"/>
      <c r="D365" s="67"/>
      <c r="E365" s="67"/>
      <c r="F365" s="69"/>
      <c r="G365" s="69"/>
      <c r="H365" s="69"/>
      <c r="I365" s="69"/>
      <c r="J365" s="69"/>
      <c r="K365" s="69"/>
    </row>
    <row r="366" spans="1:11" ht="15.75" customHeight="1" x14ac:dyDescent="0.4">
      <c r="A366" s="67"/>
      <c r="B366" s="68"/>
      <c r="C366" s="68"/>
      <c r="D366" s="67"/>
      <c r="E366" s="67"/>
      <c r="F366" s="69"/>
      <c r="G366" s="69"/>
      <c r="H366" s="69"/>
      <c r="I366" s="69"/>
      <c r="J366" s="69"/>
      <c r="K366" s="69"/>
    </row>
    <row r="367" spans="1:11" ht="15.75" customHeight="1" x14ac:dyDescent="0.4">
      <c r="A367" s="67"/>
      <c r="B367" s="68"/>
      <c r="C367" s="68"/>
      <c r="D367" s="67"/>
      <c r="E367" s="67"/>
      <c r="F367" s="69"/>
      <c r="G367" s="69"/>
      <c r="H367" s="69"/>
      <c r="I367" s="69"/>
      <c r="J367" s="69"/>
      <c r="K367" s="69"/>
    </row>
    <row r="368" spans="1:11" ht="15.75" customHeight="1" x14ac:dyDescent="0.4">
      <c r="A368" s="67"/>
      <c r="B368" s="68"/>
      <c r="C368" s="68"/>
      <c r="D368" s="67"/>
      <c r="E368" s="67"/>
      <c r="F368" s="69"/>
      <c r="G368" s="69"/>
      <c r="H368" s="69"/>
      <c r="I368" s="69"/>
      <c r="J368" s="69"/>
      <c r="K368" s="69"/>
    </row>
    <row r="369" spans="1:11" ht="15.75" customHeight="1" x14ac:dyDescent="0.4">
      <c r="A369" s="67"/>
      <c r="B369" s="68"/>
      <c r="C369" s="68"/>
      <c r="D369" s="67"/>
      <c r="E369" s="67"/>
      <c r="F369" s="69"/>
      <c r="G369" s="69"/>
      <c r="H369" s="69"/>
      <c r="I369" s="69"/>
      <c r="J369" s="69"/>
      <c r="K369" s="69"/>
    </row>
    <row r="370" spans="1:11" ht="15.75" customHeight="1" x14ac:dyDescent="0.4">
      <c r="A370" s="67"/>
      <c r="B370" s="68"/>
      <c r="C370" s="68"/>
      <c r="D370" s="67"/>
      <c r="E370" s="67"/>
      <c r="F370" s="69"/>
      <c r="G370" s="69"/>
      <c r="H370" s="69"/>
      <c r="I370" s="69"/>
      <c r="J370" s="69"/>
      <c r="K370" s="69"/>
    </row>
    <row r="371" spans="1:11" ht="15.75" customHeight="1" x14ac:dyDescent="0.4">
      <c r="A371" s="67"/>
      <c r="B371" s="68"/>
      <c r="C371" s="68"/>
      <c r="D371" s="67"/>
      <c r="E371" s="67"/>
      <c r="F371" s="69"/>
      <c r="G371" s="69"/>
      <c r="H371" s="69"/>
      <c r="I371" s="69"/>
      <c r="J371" s="69"/>
      <c r="K371" s="69"/>
    </row>
    <row r="372" spans="1:11" ht="15.75" customHeight="1" x14ac:dyDescent="0.4">
      <c r="A372" s="67"/>
      <c r="B372" s="68"/>
      <c r="C372" s="68"/>
      <c r="D372" s="67"/>
      <c r="E372" s="67"/>
      <c r="F372" s="69"/>
      <c r="G372" s="69"/>
      <c r="H372" s="69"/>
      <c r="I372" s="69"/>
      <c r="J372" s="69"/>
      <c r="K372" s="69"/>
    </row>
    <row r="373" spans="1:11" ht="15.75" customHeight="1" x14ac:dyDescent="0.4">
      <c r="A373" s="67"/>
      <c r="B373" s="68"/>
      <c r="C373" s="68"/>
      <c r="D373" s="67"/>
      <c r="E373" s="67"/>
      <c r="F373" s="69"/>
      <c r="G373" s="69"/>
      <c r="H373" s="69"/>
      <c r="I373" s="69"/>
      <c r="J373" s="69"/>
      <c r="K373" s="69"/>
    </row>
    <row r="374" spans="1:11" ht="15.75" customHeight="1" x14ac:dyDescent="0.4">
      <c r="A374" s="67"/>
      <c r="B374" s="68"/>
      <c r="C374" s="68"/>
      <c r="D374" s="67"/>
      <c r="E374" s="67"/>
      <c r="F374" s="69"/>
      <c r="G374" s="69"/>
      <c r="H374" s="69"/>
      <c r="I374" s="69"/>
      <c r="J374" s="69"/>
      <c r="K374" s="69"/>
    </row>
    <row r="375" spans="1:11" ht="15.75" customHeight="1" x14ac:dyDescent="0.4">
      <c r="A375" s="67"/>
      <c r="B375" s="68"/>
      <c r="C375" s="68"/>
      <c r="D375" s="67"/>
      <c r="E375" s="67"/>
      <c r="F375" s="69"/>
      <c r="G375" s="69"/>
      <c r="H375" s="69"/>
      <c r="I375" s="69"/>
      <c r="J375" s="69"/>
      <c r="K375" s="69"/>
    </row>
    <row r="376" spans="1:11" ht="15.75" customHeight="1" x14ac:dyDescent="0.4">
      <c r="A376" s="67"/>
      <c r="B376" s="68"/>
      <c r="C376" s="68"/>
      <c r="D376" s="67"/>
      <c r="E376" s="67"/>
      <c r="F376" s="69"/>
      <c r="G376" s="69"/>
      <c r="H376" s="69"/>
      <c r="I376" s="69"/>
      <c r="J376" s="69"/>
      <c r="K376" s="69"/>
    </row>
    <row r="377" spans="1:11" ht="15.75" customHeight="1" x14ac:dyDescent="0.4">
      <c r="A377" s="67"/>
      <c r="B377" s="68"/>
      <c r="C377" s="68"/>
      <c r="D377" s="67"/>
      <c r="E377" s="67"/>
      <c r="F377" s="69"/>
      <c r="G377" s="69"/>
      <c r="H377" s="69"/>
      <c r="I377" s="69"/>
      <c r="J377" s="69"/>
      <c r="K377" s="69"/>
    </row>
    <row r="378" spans="1:11" ht="15.75" customHeight="1" x14ac:dyDescent="0.4">
      <c r="A378" s="67"/>
      <c r="B378" s="68"/>
      <c r="C378" s="68"/>
      <c r="D378" s="67"/>
      <c r="E378" s="67"/>
      <c r="F378" s="69"/>
      <c r="G378" s="69"/>
      <c r="H378" s="69"/>
      <c r="I378" s="69"/>
      <c r="J378" s="69"/>
      <c r="K378" s="69"/>
    </row>
    <row r="379" spans="1:11" ht="15.75" customHeight="1" x14ac:dyDescent="0.4">
      <c r="A379" s="67"/>
      <c r="B379" s="68"/>
      <c r="C379" s="68"/>
      <c r="D379" s="67"/>
      <c r="E379" s="67"/>
      <c r="F379" s="69"/>
      <c r="G379" s="69"/>
      <c r="H379" s="69"/>
      <c r="I379" s="69"/>
      <c r="J379" s="69"/>
      <c r="K379" s="69"/>
    </row>
    <row r="380" spans="1:11" ht="15.75" customHeight="1" x14ac:dyDescent="0.4">
      <c r="A380" s="67"/>
      <c r="B380" s="68"/>
      <c r="C380" s="68"/>
      <c r="D380" s="67"/>
      <c r="E380" s="67"/>
      <c r="F380" s="69"/>
      <c r="G380" s="69"/>
      <c r="H380" s="69"/>
      <c r="I380" s="69"/>
      <c r="J380" s="69"/>
      <c r="K380" s="69"/>
    </row>
    <row r="381" spans="1:11" ht="15.75" customHeight="1" x14ac:dyDescent="0.4">
      <c r="A381" s="67"/>
      <c r="B381" s="68"/>
      <c r="C381" s="68"/>
      <c r="D381" s="67"/>
      <c r="E381" s="67"/>
      <c r="F381" s="69"/>
      <c r="G381" s="69"/>
      <c r="H381" s="69"/>
      <c r="I381" s="69"/>
      <c r="J381" s="69"/>
      <c r="K381" s="69"/>
    </row>
    <row r="382" spans="1:11" ht="15.75" customHeight="1" x14ac:dyDescent="0.4">
      <c r="A382" s="67"/>
      <c r="B382" s="68"/>
      <c r="C382" s="68"/>
      <c r="D382" s="67"/>
      <c r="E382" s="67"/>
      <c r="F382" s="69"/>
      <c r="G382" s="69"/>
      <c r="H382" s="69"/>
      <c r="I382" s="69"/>
      <c r="J382" s="69"/>
      <c r="K382" s="69"/>
    </row>
    <row r="383" spans="1:11" ht="15.75" customHeight="1" x14ac:dyDescent="0.4">
      <c r="A383" s="67"/>
      <c r="B383" s="68"/>
      <c r="C383" s="68"/>
      <c r="D383" s="67"/>
      <c r="E383" s="67"/>
      <c r="F383" s="69"/>
      <c r="G383" s="69"/>
      <c r="H383" s="69"/>
      <c r="I383" s="69"/>
      <c r="J383" s="69"/>
      <c r="K383" s="69"/>
    </row>
    <row r="384" spans="1:11" ht="15.75" customHeight="1" x14ac:dyDescent="0.4">
      <c r="A384" s="67"/>
      <c r="B384" s="68"/>
      <c r="C384" s="68"/>
      <c r="D384" s="67"/>
      <c r="E384" s="67"/>
      <c r="F384" s="69"/>
      <c r="G384" s="69"/>
      <c r="H384" s="69"/>
      <c r="I384" s="69"/>
      <c r="J384" s="69"/>
      <c r="K384" s="69"/>
    </row>
    <row r="385" spans="1:11" ht="15.75" customHeight="1" x14ac:dyDescent="0.4">
      <c r="A385" s="67"/>
      <c r="B385" s="68"/>
      <c r="C385" s="68"/>
      <c r="D385" s="67"/>
      <c r="E385" s="67"/>
      <c r="F385" s="69"/>
      <c r="G385" s="69"/>
      <c r="H385" s="69"/>
      <c r="I385" s="69"/>
      <c r="J385" s="69"/>
      <c r="K385" s="69"/>
    </row>
    <row r="386" spans="1:11" ht="15.75" customHeight="1" x14ac:dyDescent="0.4">
      <c r="A386" s="67"/>
      <c r="B386" s="68"/>
      <c r="C386" s="68"/>
      <c r="D386" s="67"/>
      <c r="E386" s="67"/>
      <c r="F386" s="69"/>
      <c r="G386" s="69"/>
      <c r="H386" s="69"/>
      <c r="I386" s="69"/>
      <c r="J386" s="69"/>
      <c r="K386" s="69"/>
    </row>
    <row r="387" spans="1:11" ht="15.75" customHeight="1" x14ac:dyDescent="0.4">
      <c r="A387" s="67"/>
      <c r="B387" s="68"/>
      <c r="C387" s="68"/>
      <c r="D387" s="67"/>
      <c r="E387" s="67"/>
      <c r="F387" s="69"/>
      <c r="G387" s="69"/>
      <c r="H387" s="69"/>
      <c r="I387" s="69"/>
      <c r="J387" s="69"/>
      <c r="K387" s="69"/>
    </row>
    <row r="388" spans="1:11" ht="15.75" customHeight="1" x14ac:dyDescent="0.4">
      <c r="A388" s="67"/>
      <c r="B388" s="68"/>
      <c r="C388" s="68"/>
      <c r="D388" s="67"/>
      <c r="E388" s="67"/>
      <c r="F388" s="69"/>
      <c r="G388" s="69"/>
      <c r="H388" s="69"/>
      <c r="I388" s="69"/>
      <c r="J388" s="69"/>
      <c r="K388" s="69"/>
    </row>
    <row r="389" spans="1:11" ht="15.75" customHeight="1" x14ac:dyDescent="0.4">
      <c r="A389" s="67"/>
      <c r="B389" s="68"/>
      <c r="C389" s="68"/>
      <c r="D389" s="67"/>
      <c r="E389" s="67"/>
      <c r="F389" s="69"/>
      <c r="G389" s="69"/>
      <c r="H389" s="69"/>
      <c r="I389" s="69"/>
      <c r="J389" s="69"/>
      <c r="K389" s="69"/>
    </row>
    <row r="390" spans="1:11" ht="15.75" customHeight="1" x14ac:dyDescent="0.4">
      <c r="A390" s="67"/>
      <c r="B390" s="68"/>
      <c r="C390" s="68"/>
      <c r="D390" s="67"/>
      <c r="E390" s="67"/>
      <c r="F390" s="69"/>
      <c r="G390" s="69"/>
      <c r="H390" s="69"/>
      <c r="I390" s="69"/>
      <c r="J390" s="69"/>
      <c r="K390" s="69"/>
    </row>
    <row r="391" spans="1:11" ht="15.75" customHeight="1" x14ac:dyDescent="0.4">
      <c r="A391" s="67"/>
      <c r="B391" s="68"/>
      <c r="C391" s="68"/>
      <c r="D391" s="67"/>
      <c r="E391" s="67"/>
      <c r="F391" s="69"/>
      <c r="G391" s="69"/>
      <c r="H391" s="69"/>
      <c r="I391" s="69"/>
      <c r="J391" s="69"/>
      <c r="K391" s="69"/>
    </row>
    <row r="392" spans="1:11" ht="15.75" customHeight="1" x14ac:dyDescent="0.4">
      <c r="A392" s="67"/>
      <c r="B392" s="68"/>
      <c r="C392" s="68"/>
      <c r="D392" s="67"/>
      <c r="E392" s="67"/>
      <c r="F392" s="69"/>
      <c r="G392" s="69"/>
      <c r="H392" s="69"/>
      <c r="I392" s="69"/>
      <c r="J392" s="69"/>
      <c r="K392" s="69"/>
    </row>
    <row r="393" spans="1:11" ht="15.75" customHeight="1" x14ac:dyDescent="0.4">
      <c r="A393" s="67"/>
      <c r="B393" s="68"/>
      <c r="C393" s="68"/>
      <c r="D393" s="67"/>
      <c r="E393" s="67"/>
      <c r="F393" s="69"/>
      <c r="G393" s="69"/>
      <c r="H393" s="69"/>
      <c r="I393" s="69"/>
      <c r="J393" s="69"/>
      <c r="K393" s="69"/>
    </row>
    <row r="394" spans="1:11" ht="15.75" customHeight="1" x14ac:dyDescent="0.4">
      <c r="A394" s="67"/>
      <c r="B394" s="68"/>
      <c r="C394" s="68"/>
      <c r="D394" s="67"/>
      <c r="E394" s="67"/>
      <c r="F394" s="69"/>
      <c r="G394" s="69"/>
      <c r="H394" s="69"/>
      <c r="I394" s="69"/>
      <c r="J394" s="69"/>
      <c r="K394" s="69"/>
    </row>
    <row r="395" spans="1:11" ht="15.75" customHeight="1" x14ac:dyDescent="0.4">
      <c r="A395" s="67"/>
      <c r="B395" s="68"/>
      <c r="C395" s="68"/>
      <c r="D395" s="67"/>
      <c r="E395" s="67"/>
      <c r="F395" s="69"/>
      <c r="G395" s="69"/>
      <c r="H395" s="69"/>
      <c r="I395" s="69"/>
      <c r="J395" s="69"/>
      <c r="K395" s="69"/>
    </row>
    <row r="396" spans="1:11" ht="15.75" customHeight="1" x14ac:dyDescent="0.4">
      <c r="A396" s="67"/>
      <c r="B396" s="68"/>
      <c r="C396" s="68"/>
      <c r="D396" s="67"/>
      <c r="E396" s="67"/>
      <c r="F396" s="69"/>
      <c r="G396" s="69"/>
      <c r="H396" s="69"/>
      <c r="I396" s="69"/>
      <c r="J396" s="69"/>
      <c r="K396" s="69"/>
    </row>
    <row r="397" spans="1:11" ht="15.75" customHeight="1" x14ac:dyDescent="0.4">
      <c r="A397" s="67"/>
      <c r="B397" s="68"/>
      <c r="C397" s="68"/>
      <c r="D397" s="67"/>
      <c r="E397" s="67"/>
      <c r="F397" s="69"/>
      <c r="G397" s="69"/>
      <c r="H397" s="69"/>
      <c r="I397" s="69"/>
      <c r="J397" s="69"/>
      <c r="K397" s="69"/>
    </row>
    <row r="398" spans="1:11" ht="15.75" customHeight="1" x14ac:dyDescent="0.4">
      <c r="A398" s="67"/>
      <c r="B398" s="68"/>
      <c r="C398" s="68"/>
      <c r="D398" s="67"/>
      <c r="E398" s="67"/>
      <c r="F398" s="69"/>
      <c r="G398" s="69"/>
      <c r="H398" s="69"/>
      <c r="I398" s="69"/>
      <c r="J398" s="69"/>
      <c r="K398" s="69"/>
    </row>
    <row r="399" spans="1:11" ht="15.75" customHeight="1" x14ac:dyDescent="0.4">
      <c r="A399" s="67"/>
      <c r="B399" s="68"/>
      <c r="C399" s="68"/>
      <c r="D399" s="67"/>
      <c r="E399" s="67"/>
      <c r="F399" s="69"/>
      <c r="G399" s="69"/>
      <c r="H399" s="69"/>
      <c r="I399" s="69"/>
      <c r="J399" s="69"/>
      <c r="K399" s="69"/>
    </row>
    <row r="400" spans="1:11" ht="15.75" customHeight="1" x14ac:dyDescent="0.4">
      <c r="A400" s="67"/>
      <c r="B400" s="68"/>
      <c r="C400" s="68"/>
      <c r="D400" s="67"/>
      <c r="E400" s="67"/>
      <c r="F400" s="69"/>
      <c r="G400" s="69"/>
      <c r="H400" s="69"/>
      <c r="I400" s="69"/>
      <c r="J400" s="69"/>
      <c r="K400" s="69"/>
    </row>
    <row r="401" spans="1:11" ht="15.75" customHeight="1" x14ac:dyDescent="0.4">
      <c r="A401" s="67"/>
      <c r="B401" s="68"/>
      <c r="C401" s="68"/>
      <c r="D401" s="67"/>
      <c r="E401" s="67"/>
      <c r="F401" s="69"/>
      <c r="G401" s="69"/>
      <c r="H401" s="69"/>
      <c r="I401" s="69"/>
      <c r="J401" s="69"/>
      <c r="K401" s="69"/>
    </row>
    <row r="402" spans="1:11" ht="15.75" customHeight="1" x14ac:dyDescent="0.4">
      <c r="A402" s="67"/>
      <c r="B402" s="68"/>
      <c r="C402" s="68"/>
      <c r="D402" s="67"/>
      <c r="E402" s="67"/>
      <c r="F402" s="69"/>
      <c r="G402" s="69"/>
      <c r="H402" s="69"/>
      <c r="I402" s="69"/>
      <c r="J402" s="69"/>
      <c r="K402" s="69"/>
    </row>
    <row r="403" spans="1:11" ht="15.75" customHeight="1" x14ac:dyDescent="0.4">
      <c r="A403" s="67"/>
      <c r="B403" s="68"/>
      <c r="C403" s="68"/>
      <c r="D403" s="67"/>
      <c r="E403" s="67"/>
      <c r="F403" s="69"/>
      <c r="G403" s="69"/>
      <c r="H403" s="69"/>
      <c r="I403" s="69"/>
      <c r="J403" s="69"/>
      <c r="K403" s="69"/>
    </row>
    <row r="404" spans="1:11" ht="15.75" customHeight="1" x14ac:dyDescent="0.4">
      <c r="A404" s="67"/>
      <c r="B404" s="68"/>
      <c r="C404" s="68"/>
      <c r="D404" s="67"/>
      <c r="E404" s="67"/>
      <c r="F404" s="69"/>
      <c r="G404" s="69"/>
      <c r="H404" s="69"/>
      <c r="I404" s="69"/>
      <c r="J404" s="69"/>
      <c r="K404" s="69"/>
    </row>
    <row r="405" spans="1:11" ht="15.75" customHeight="1" x14ac:dyDescent="0.4">
      <c r="A405" s="67"/>
      <c r="B405" s="68"/>
      <c r="C405" s="68"/>
      <c r="D405" s="67"/>
      <c r="E405" s="67"/>
      <c r="F405" s="69"/>
      <c r="G405" s="69"/>
      <c r="H405" s="69"/>
      <c r="I405" s="69"/>
      <c r="J405" s="69"/>
      <c r="K405" s="69"/>
    </row>
    <row r="406" spans="1:11" ht="15.75" customHeight="1" x14ac:dyDescent="0.4">
      <c r="A406" s="67"/>
      <c r="B406" s="68"/>
      <c r="C406" s="68"/>
      <c r="D406" s="67"/>
      <c r="E406" s="67"/>
      <c r="F406" s="69"/>
      <c r="G406" s="69"/>
      <c r="H406" s="69"/>
      <c r="I406" s="69"/>
      <c r="J406" s="69"/>
      <c r="K406" s="69"/>
    </row>
    <row r="407" spans="1:11" ht="15.75" customHeight="1" x14ac:dyDescent="0.4">
      <c r="A407" s="67"/>
      <c r="B407" s="68"/>
      <c r="C407" s="68"/>
      <c r="D407" s="67"/>
      <c r="E407" s="67"/>
      <c r="F407" s="69"/>
      <c r="G407" s="69"/>
      <c r="H407" s="69"/>
      <c r="I407" s="69"/>
      <c r="J407" s="69"/>
      <c r="K407" s="69"/>
    </row>
    <row r="408" spans="1:11" ht="15.75" customHeight="1" x14ac:dyDescent="0.4">
      <c r="A408" s="67"/>
      <c r="B408" s="68"/>
      <c r="C408" s="68"/>
      <c r="D408" s="67"/>
      <c r="E408" s="67"/>
      <c r="F408" s="69"/>
      <c r="G408" s="69"/>
      <c r="H408" s="69"/>
      <c r="I408" s="69"/>
      <c r="J408" s="69"/>
      <c r="K408" s="69"/>
    </row>
    <row r="409" spans="1:11" ht="15.75" customHeight="1" x14ac:dyDescent="0.4">
      <c r="A409" s="67"/>
      <c r="B409" s="68"/>
      <c r="C409" s="68"/>
      <c r="D409" s="67"/>
      <c r="E409" s="67"/>
      <c r="F409" s="69"/>
      <c r="G409" s="69"/>
      <c r="H409" s="69"/>
      <c r="I409" s="69"/>
      <c r="J409" s="69"/>
      <c r="K409" s="69"/>
    </row>
    <row r="410" spans="1:11" ht="15.75" customHeight="1" x14ac:dyDescent="0.4">
      <c r="A410" s="67"/>
      <c r="B410" s="68"/>
      <c r="C410" s="68"/>
      <c r="D410" s="67"/>
      <c r="E410" s="67"/>
      <c r="F410" s="69"/>
      <c r="G410" s="69"/>
      <c r="H410" s="69"/>
      <c r="I410" s="69"/>
      <c r="J410" s="69"/>
      <c r="K410" s="69"/>
    </row>
    <row r="411" spans="1:11" ht="15.75" customHeight="1" x14ac:dyDescent="0.4">
      <c r="A411" s="67"/>
      <c r="B411" s="68"/>
      <c r="C411" s="68"/>
      <c r="D411" s="67"/>
      <c r="E411" s="67"/>
      <c r="F411" s="69"/>
      <c r="G411" s="69"/>
      <c r="H411" s="69"/>
      <c r="I411" s="69"/>
      <c r="J411" s="69"/>
      <c r="K411" s="69"/>
    </row>
    <row r="412" spans="1:11" ht="15.75" customHeight="1" x14ac:dyDescent="0.4">
      <c r="A412" s="67"/>
      <c r="B412" s="68"/>
      <c r="C412" s="68"/>
      <c r="D412" s="67"/>
      <c r="E412" s="67"/>
      <c r="F412" s="69"/>
      <c r="G412" s="69"/>
      <c r="H412" s="69"/>
      <c r="I412" s="69"/>
      <c r="J412" s="69"/>
      <c r="K412" s="69"/>
    </row>
    <row r="413" spans="1:11" ht="15.75" customHeight="1" x14ac:dyDescent="0.4">
      <c r="A413" s="67"/>
      <c r="B413" s="68"/>
      <c r="C413" s="68"/>
      <c r="D413" s="67"/>
      <c r="E413" s="67"/>
      <c r="F413" s="69"/>
      <c r="G413" s="69"/>
      <c r="H413" s="69"/>
      <c r="I413" s="69"/>
      <c r="J413" s="69"/>
      <c r="K413" s="69"/>
    </row>
    <row r="414" spans="1:11" ht="15.75" customHeight="1" x14ac:dyDescent="0.4">
      <c r="A414" s="67"/>
      <c r="B414" s="68"/>
      <c r="C414" s="68"/>
      <c r="D414" s="67"/>
      <c r="E414" s="67"/>
      <c r="F414" s="69"/>
      <c r="G414" s="69"/>
      <c r="H414" s="69"/>
      <c r="I414" s="69"/>
      <c r="J414" s="69"/>
      <c r="K414" s="69"/>
    </row>
    <row r="415" spans="1:11" ht="15.75" customHeight="1" x14ac:dyDescent="0.4">
      <c r="A415" s="67"/>
      <c r="B415" s="68"/>
      <c r="C415" s="68"/>
      <c r="D415" s="67"/>
      <c r="E415" s="67"/>
      <c r="F415" s="69"/>
      <c r="G415" s="69"/>
      <c r="H415" s="69"/>
      <c r="I415" s="69"/>
      <c r="J415" s="69"/>
      <c r="K415" s="69"/>
    </row>
    <row r="416" spans="1:11" ht="15.75" customHeight="1" x14ac:dyDescent="0.4">
      <c r="A416" s="67"/>
      <c r="B416" s="68"/>
      <c r="C416" s="68"/>
      <c r="D416" s="67"/>
      <c r="E416" s="67"/>
      <c r="F416" s="69"/>
      <c r="G416" s="69"/>
      <c r="H416" s="69"/>
      <c r="I416" s="69"/>
      <c r="J416" s="69"/>
      <c r="K416" s="69"/>
    </row>
    <row r="417" spans="1:11" ht="15.75" customHeight="1" x14ac:dyDescent="0.4">
      <c r="A417" s="67"/>
      <c r="B417" s="68"/>
      <c r="C417" s="68"/>
      <c r="D417" s="67"/>
      <c r="E417" s="67"/>
      <c r="F417" s="69"/>
      <c r="G417" s="69"/>
      <c r="H417" s="69"/>
      <c r="I417" s="69"/>
      <c r="J417" s="69"/>
      <c r="K417" s="69"/>
    </row>
    <row r="418" spans="1:11" ht="15.75" customHeight="1" x14ac:dyDescent="0.4">
      <c r="A418" s="67"/>
      <c r="B418" s="68"/>
      <c r="C418" s="68"/>
      <c r="D418" s="67"/>
      <c r="E418" s="67"/>
      <c r="F418" s="69"/>
      <c r="G418" s="69"/>
      <c r="H418" s="69"/>
      <c r="I418" s="69"/>
      <c r="J418" s="69"/>
      <c r="K418" s="69"/>
    </row>
    <row r="419" spans="1:11" ht="15.75" customHeight="1" x14ac:dyDescent="0.4">
      <c r="A419" s="67"/>
      <c r="B419" s="68"/>
      <c r="C419" s="68"/>
      <c r="D419" s="67"/>
      <c r="E419" s="67"/>
      <c r="F419" s="69"/>
      <c r="G419" s="69"/>
      <c r="H419" s="69"/>
      <c r="I419" s="69"/>
      <c r="J419" s="69"/>
      <c r="K419" s="69"/>
    </row>
    <row r="420" spans="1:11" ht="15.75" customHeight="1" x14ac:dyDescent="0.4">
      <c r="A420" s="67"/>
      <c r="B420" s="68"/>
      <c r="C420" s="68"/>
      <c r="D420" s="67"/>
      <c r="E420" s="67"/>
      <c r="F420" s="69"/>
      <c r="G420" s="69"/>
      <c r="H420" s="69"/>
      <c r="I420" s="69"/>
      <c r="J420" s="69"/>
      <c r="K420" s="69"/>
    </row>
    <row r="421" spans="1:11" ht="15.75" customHeight="1" x14ac:dyDescent="0.4">
      <c r="A421" s="67"/>
      <c r="B421" s="68"/>
      <c r="C421" s="68"/>
      <c r="D421" s="67"/>
      <c r="E421" s="67"/>
      <c r="F421" s="69"/>
      <c r="G421" s="69"/>
      <c r="H421" s="69"/>
      <c r="I421" s="69"/>
      <c r="J421" s="69"/>
      <c r="K421" s="69"/>
    </row>
    <row r="422" spans="1:11" ht="15.75" customHeight="1" x14ac:dyDescent="0.4">
      <c r="A422" s="67"/>
      <c r="B422" s="68"/>
      <c r="C422" s="68"/>
      <c r="D422" s="67"/>
      <c r="E422" s="67"/>
      <c r="F422" s="69"/>
      <c r="G422" s="69"/>
      <c r="H422" s="69"/>
      <c r="I422" s="69"/>
      <c r="J422" s="69"/>
      <c r="K422" s="69"/>
    </row>
    <row r="423" spans="1:11" ht="15.75" customHeight="1" x14ac:dyDescent="0.4">
      <c r="A423" s="67"/>
      <c r="B423" s="68"/>
      <c r="C423" s="68"/>
      <c r="D423" s="67"/>
      <c r="E423" s="67"/>
      <c r="F423" s="69"/>
      <c r="G423" s="69"/>
      <c r="H423" s="69"/>
      <c r="I423" s="69"/>
      <c r="J423" s="69"/>
      <c r="K423" s="69"/>
    </row>
    <row r="424" spans="1:11" ht="15.75" customHeight="1" x14ac:dyDescent="0.4">
      <c r="A424" s="67"/>
      <c r="B424" s="68"/>
      <c r="C424" s="68"/>
      <c r="D424" s="67"/>
      <c r="E424" s="67"/>
      <c r="F424" s="69"/>
      <c r="G424" s="69"/>
      <c r="H424" s="69"/>
      <c r="I424" s="69"/>
      <c r="J424" s="69"/>
      <c r="K424" s="69"/>
    </row>
    <row r="425" spans="1:11" ht="15.75" customHeight="1" x14ac:dyDescent="0.4">
      <c r="A425" s="67"/>
      <c r="B425" s="68"/>
      <c r="C425" s="68"/>
      <c r="D425" s="67"/>
      <c r="E425" s="67"/>
      <c r="F425" s="69"/>
      <c r="G425" s="69"/>
      <c r="H425" s="69"/>
      <c r="I425" s="69"/>
      <c r="J425" s="69"/>
      <c r="K425" s="69"/>
    </row>
    <row r="426" spans="1:11" ht="15.75" customHeight="1" x14ac:dyDescent="0.4">
      <c r="A426" s="67"/>
      <c r="B426" s="68"/>
      <c r="C426" s="68"/>
      <c r="D426" s="67"/>
      <c r="E426" s="67"/>
      <c r="F426" s="69"/>
      <c r="G426" s="69"/>
      <c r="H426" s="69"/>
      <c r="I426" s="69"/>
      <c r="J426" s="69"/>
      <c r="K426" s="69"/>
    </row>
    <row r="427" spans="1:11" ht="15.75" customHeight="1" x14ac:dyDescent="0.4">
      <c r="A427" s="67"/>
      <c r="B427" s="68"/>
      <c r="C427" s="68"/>
      <c r="D427" s="67"/>
      <c r="E427" s="67"/>
      <c r="F427" s="69"/>
      <c r="G427" s="69"/>
      <c r="H427" s="69"/>
      <c r="I427" s="69"/>
      <c r="J427" s="69"/>
      <c r="K427" s="69"/>
    </row>
    <row r="428" spans="1:11" ht="15.75" customHeight="1" x14ac:dyDescent="0.4">
      <c r="A428" s="67"/>
      <c r="B428" s="68"/>
      <c r="C428" s="68"/>
      <c r="D428" s="67"/>
      <c r="E428" s="67"/>
      <c r="F428" s="69"/>
      <c r="G428" s="69"/>
      <c r="H428" s="69"/>
      <c r="I428" s="69"/>
      <c r="J428" s="69"/>
      <c r="K428" s="69"/>
    </row>
    <row r="429" spans="1:11" ht="15.75" customHeight="1" x14ac:dyDescent="0.4">
      <c r="A429" s="67"/>
      <c r="B429" s="68"/>
      <c r="C429" s="68"/>
      <c r="D429" s="67"/>
      <c r="E429" s="67"/>
      <c r="F429" s="69"/>
      <c r="G429" s="69"/>
      <c r="H429" s="69"/>
      <c r="I429" s="69"/>
      <c r="J429" s="69"/>
      <c r="K429" s="69"/>
    </row>
    <row r="430" spans="1:11" ht="15.75" customHeight="1" x14ac:dyDescent="0.4">
      <c r="A430" s="67"/>
      <c r="B430" s="68"/>
      <c r="C430" s="68"/>
      <c r="D430" s="67"/>
      <c r="E430" s="67"/>
      <c r="F430" s="69"/>
      <c r="G430" s="69"/>
      <c r="H430" s="69"/>
      <c r="I430" s="69"/>
      <c r="J430" s="69"/>
      <c r="K430" s="69"/>
    </row>
    <row r="431" spans="1:11" ht="15.75" customHeight="1" x14ac:dyDescent="0.4">
      <c r="A431" s="67"/>
      <c r="B431" s="68"/>
      <c r="C431" s="68"/>
      <c r="D431" s="67"/>
      <c r="E431" s="67"/>
      <c r="F431" s="69"/>
      <c r="G431" s="69"/>
      <c r="H431" s="69"/>
      <c r="I431" s="69"/>
      <c r="J431" s="69"/>
      <c r="K431" s="69"/>
    </row>
    <row r="432" spans="1:11" ht="15.75" customHeight="1" x14ac:dyDescent="0.4">
      <c r="A432" s="67"/>
      <c r="B432" s="68"/>
      <c r="C432" s="68"/>
      <c r="D432" s="67"/>
      <c r="E432" s="67"/>
      <c r="F432" s="69"/>
      <c r="G432" s="69"/>
      <c r="H432" s="69"/>
      <c r="I432" s="69"/>
      <c r="J432" s="69"/>
      <c r="K432" s="69"/>
    </row>
    <row r="433" spans="1:11" ht="15.75" customHeight="1" x14ac:dyDescent="0.4">
      <c r="A433" s="67"/>
      <c r="B433" s="68"/>
      <c r="C433" s="68"/>
      <c r="D433" s="67"/>
      <c r="E433" s="67"/>
      <c r="F433" s="69"/>
      <c r="G433" s="69"/>
      <c r="H433" s="69"/>
      <c r="I433" s="69"/>
      <c r="J433" s="69"/>
      <c r="K433" s="69"/>
    </row>
    <row r="434" spans="1:11" ht="15.75" customHeight="1" x14ac:dyDescent="0.4">
      <c r="A434" s="67"/>
      <c r="B434" s="68"/>
      <c r="C434" s="68"/>
      <c r="D434" s="67"/>
      <c r="E434" s="67"/>
      <c r="F434" s="69"/>
      <c r="G434" s="69"/>
      <c r="H434" s="69"/>
      <c r="I434" s="69"/>
      <c r="J434" s="69"/>
      <c r="K434" s="69"/>
    </row>
    <row r="435" spans="1:11" ht="15.75" customHeight="1" x14ac:dyDescent="0.4">
      <c r="A435" s="67"/>
      <c r="B435" s="68"/>
      <c r="C435" s="68"/>
      <c r="D435" s="67"/>
      <c r="E435" s="67"/>
      <c r="F435" s="69"/>
      <c r="G435" s="69"/>
      <c r="H435" s="69"/>
      <c r="I435" s="69"/>
      <c r="J435" s="69"/>
      <c r="K435" s="69"/>
    </row>
    <row r="436" spans="1:11" ht="15.75" customHeight="1" x14ac:dyDescent="0.4">
      <c r="A436" s="67"/>
      <c r="B436" s="68"/>
      <c r="C436" s="68"/>
      <c r="D436" s="67"/>
      <c r="E436" s="67"/>
      <c r="F436" s="69"/>
      <c r="G436" s="69"/>
      <c r="H436" s="69"/>
      <c r="I436" s="69"/>
      <c r="J436" s="69"/>
      <c r="K436" s="69"/>
    </row>
    <row r="437" spans="1:11" ht="15.75" customHeight="1" x14ac:dyDescent="0.4">
      <c r="A437" s="67"/>
      <c r="B437" s="68"/>
      <c r="C437" s="68"/>
      <c r="D437" s="67"/>
      <c r="E437" s="67"/>
      <c r="F437" s="69"/>
      <c r="G437" s="69"/>
      <c r="H437" s="69"/>
      <c r="I437" s="69"/>
      <c r="J437" s="69"/>
      <c r="K437" s="69"/>
    </row>
    <row r="438" spans="1:11" ht="15.75" customHeight="1" x14ac:dyDescent="0.4">
      <c r="A438" s="67"/>
      <c r="B438" s="68"/>
      <c r="C438" s="68"/>
      <c r="D438" s="67"/>
      <c r="E438" s="67"/>
      <c r="F438" s="69"/>
      <c r="G438" s="69"/>
      <c r="H438" s="69"/>
      <c r="I438" s="69"/>
      <c r="J438" s="69"/>
      <c r="K438" s="69"/>
    </row>
    <row r="439" spans="1:11" ht="15.75" customHeight="1" x14ac:dyDescent="0.4">
      <c r="A439" s="67"/>
      <c r="B439" s="68"/>
      <c r="C439" s="68"/>
      <c r="D439" s="67"/>
      <c r="E439" s="67"/>
      <c r="F439" s="69"/>
      <c r="G439" s="69"/>
      <c r="H439" s="69"/>
      <c r="I439" s="69"/>
      <c r="J439" s="69"/>
      <c r="K439" s="69"/>
    </row>
    <row r="440" spans="1:11" ht="15.75" customHeight="1" x14ac:dyDescent="0.4">
      <c r="A440" s="67"/>
      <c r="B440" s="68"/>
      <c r="C440" s="68"/>
      <c r="D440" s="67"/>
      <c r="E440" s="67"/>
      <c r="F440" s="69"/>
      <c r="G440" s="69"/>
      <c r="H440" s="69"/>
      <c r="I440" s="69"/>
      <c r="J440" s="69"/>
      <c r="K440" s="69"/>
    </row>
    <row r="441" spans="1:11" ht="15.75" customHeight="1" x14ac:dyDescent="0.4">
      <c r="A441" s="67"/>
      <c r="B441" s="68"/>
      <c r="C441" s="68"/>
      <c r="D441" s="67"/>
      <c r="E441" s="67"/>
      <c r="F441" s="69"/>
      <c r="G441" s="69"/>
      <c r="H441" s="69"/>
      <c r="I441" s="69"/>
      <c r="J441" s="69"/>
      <c r="K441" s="69"/>
    </row>
    <row r="442" spans="1:11" ht="15.75" customHeight="1" x14ac:dyDescent="0.4">
      <c r="A442" s="67"/>
      <c r="B442" s="68"/>
      <c r="C442" s="68"/>
      <c r="D442" s="67"/>
      <c r="E442" s="67"/>
      <c r="F442" s="69"/>
      <c r="G442" s="69"/>
      <c r="H442" s="69"/>
      <c r="I442" s="69"/>
      <c r="J442" s="69"/>
      <c r="K442" s="69"/>
    </row>
    <row r="443" spans="1:11" ht="15.75" customHeight="1" x14ac:dyDescent="0.4">
      <c r="A443" s="67"/>
      <c r="B443" s="68"/>
      <c r="C443" s="68"/>
      <c r="D443" s="67"/>
      <c r="E443" s="67"/>
      <c r="F443" s="69"/>
      <c r="G443" s="69"/>
      <c r="H443" s="69"/>
      <c r="I443" s="69"/>
      <c r="J443" s="69"/>
      <c r="K443" s="69"/>
    </row>
    <row r="444" spans="1:11" ht="15.75" customHeight="1" x14ac:dyDescent="0.4">
      <c r="A444" s="67"/>
      <c r="B444" s="68"/>
      <c r="C444" s="68"/>
      <c r="D444" s="67"/>
      <c r="E444" s="67"/>
      <c r="F444" s="69"/>
      <c r="G444" s="69"/>
      <c r="H444" s="69"/>
      <c r="I444" s="69"/>
      <c r="J444" s="69"/>
      <c r="K444" s="69"/>
    </row>
    <row r="445" spans="1:11" ht="15.75" customHeight="1" x14ac:dyDescent="0.4">
      <c r="A445" s="67"/>
      <c r="B445" s="68"/>
      <c r="C445" s="68"/>
      <c r="D445" s="67"/>
      <c r="E445" s="67"/>
      <c r="F445" s="69"/>
      <c r="G445" s="69"/>
      <c r="H445" s="69"/>
      <c r="I445" s="69"/>
      <c r="J445" s="69"/>
      <c r="K445" s="69"/>
    </row>
    <row r="446" spans="1:11" ht="15.75" customHeight="1" x14ac:dyDescent="0.4">
      <c r="A446" s="67"/>
      <c r="B446" s="68"/>
      <c r="C446" s="68"/>
      <c r="D446" s="67"/>
      <c r="E446" s="67"/>
      <c r="F446" s="69"/>
      <c r="G446" s="69"/>
      <c r="H446" s="69"/>
      <c r="I446" s="69"/>
      <c r="J446" s="69"/>
      <c r="K446" s="69"/>
    </row>
    <row r="447" spans="1:11" ht="15.75" customHeight="1" x14ac:dyDescent="0.4">
      <c r="A447" s="67"/>
      <c r="B447" s="68"/>
      <c r="C447" s="68"/>
      <c r="D447" s="67"/>
      <c r="E447" s="67"/>
      <c r="F447" s="69"/>
      <c r="G447" s="69"/>
      <c r="H447" s="69"/>
      <c r="I447" s="69"/>
      <c r="J447" s="69"/>
      <c r="K447" s="69"/>
    </row>
    <row r="448" spans="1:11" ht="15.75" customHeight="1" x14ac:dyDescent="0.4">
      <c r="A448" s="67"/>
      <c r="B448" s="68"/>
      <c r="C448" s="68"/>
      <c r="D448" s="67"/>
      <c r="E448" s="67"/>
      <c r="F448" s="69"/>
      <c r="G448" s="69"/>
      <c r="H448" s="69"/>
      <c r="I448" s="69"/>
      <c r="J448" s="69"/>
      <c r="K448" s="69"/>
    </row>
    <row r="449" spans="1:11" ht="15.75" customHeight="1" x14ac:dyDescent="0.4">
      <c r="A449" s="67"/>
      <c r="B449" s="68"/>
      <c r="C449" s="68"/>
      <c r="D449" s="67"/>
      <c r="E449" s="67"/>
      <c r="F449" s="69"/>
      <c r="G449" s="69"/>
      <c r="H449" s="69"/>
      <c r="I449" s="69"/>
      <c r="J449" s="69"/>
      <c r="K449" s="69"/>
    </row>
    <row r="450" spans="1:11" ht="15.75" customHeight="1" x14ac:dyDescent="0.4">
      <c r="A450" s="67"/>
      <c r="B450" s="68"/>
      <c r="C450" s="68"/>
      <c r="D450" s="67"/>
      <c r="E450" s="67"/>
      <c r="F450" s="69"/>
      <c r="G450" s="69"/>
      <c r="H450" s="69"/>
      <c r="I450" s="69"/>
      <c r="J450" s="69"/>
      <c r="K450" s="69"/>
    </row>
    <row r="451" spans="1:11" ht="15.75" customHeight="1" x14ac:dyDescent="0.4">
      <c r="A451" s="67"/>
      <c r="B451" s="68"/>
      <c r="C451" s="68"/>
      <c r="D451" s="67"/>
      <c r="E451" s="67"/>
      <c r="F451" s="69"/>
      <c r="G451" s="69"/>
      <c r="H451" s="69"/>
      <c r="I451" s="69"/>
      <c r="J451" s="69"/>
      <c r="K451" s="69"/>
    </row>
    <row r="452" spans="1:11" ht="15.75" customHeight="1" x14ac:dyDescent="0.4">
      <c r="A452" s="67"/>
      <c r="B452" s="68"/>
      <c r="C452" s="68"/>
      <c r="D452" s="67"/>
      <c r="E452" s="67"/>
      <c r="F452" s="69"/>
      <c r="G452" s="69"/>
      <c r="H452" s="69"/>
      <c r="I452" s="69"/>
      <c r="J452" s="69"/>
      <c r="K452" s="69"/>
    </row>
    <row r="453" spans="1:11" ht="15.75" customHeight="1" x14ac:dyDescent="0.4">
      <c r="A453" s="67"/>
      <c r="B453" s="68"/>
      <c r="C453" s="68"/>
      <c r="D453" s="67"/>
      <c r="E453" s="67"/>
      <c r="F453" s="69"/>
      <c r="G453" s="69"/>
      <c r="H453" s="69"/>
      <c r="I453" s="69"/>
      <c r="J453" s="69"/>
      <c r="K453" s="69"/>
    </row>
    <row r="454" spans="1:11" ht="15.75" customHeight="1" x14ac:dyDescent="0.4">
      <c r="A454" s="67"/>
      <c r="B454" s="68"/>
      <c r="C454" s="68"/>
      <c r="D454" s="67"/>
      <c r="E454" s="67"/>
      <c r="F454" s="69"/>
      <c r="G454" s="69"/>
      <c r="H454" s="69"/>
      <c r="I454" s="69"/>
      <c r="J454" s="69"/>
      <c r="K454" s="69"/>
    </row>
    <row r="455" spans="1:11" ht="15.75" customHeight="1" x14ac:dyDescent="0.4">
      <c r="A455" s="67"/>
      <c r="B455" s="68"/>
      <c r="C455" s="68"/>
      <c r="D455" s="67"/>
      <c r="E455" s="67"/>
      <c r="F455" s="69"/>
      <c r="G455" s="69"/>
      <c r="H455" s="69"/>
      <c r="I455" s="69"/>
      <c r="J455" s="69"/>
      <c r="K455" s="69"/>
    </row>
    <row r="456" spans="1:11" ht="15.75" customHeight="1" x14ac:dyDescent="0.4">
      <c r="A456" s="67"/>
      <c r="B456" s="68"/>
      <c r="C456" s="68"/>
      <c r="D456" s="67"/>
      <c r="E456" s="67"/>
      <c r="F456" s="69"/>
      <c r="G456" s="69"/>
      <c r="H456" s="69"/>
      <c r="I456" s="69"/>
      <c r="J456" s="69"/>
      <c r="K456" s="69"/>
    </row>
    <row r="457" spans="1:11" ht="15.75" customHeight="1" x14ac:dyDescent="0.4">
      <c r="A457" s="67"/>
      <c r="B457" s="68"/>
      <c r="C457" s="68"/>
      <c r="D457" s="67"/>
      <c r="E457" s="67"/>
      <c r="F457" s="69"/>
      <c r="G457" s="69"/>
      <c r="H457" s="69"/>
      <c r="I457" s="69"/>
      <c r="J457" s="69"/>
      <c r="K457" s="69"/>
    </row>
    <row r="458" spans="1:11" ht="15.75" customHeight="1" x14ac:dyDescent="0.4">
      <c r="A458" s="67"/>
      <c r="B458" s="68"/>
      <c r="C458" s="68"/>
      <c r="D458" s="67"/>
      <c r="E458" s="67"/>
      <c r="F458" s="69"/>
      <c r="G458" s="69"/>
      <c r="H458" s="69"/>
      <c r="I458" s="69"/>
      <c r="J458" s="69"/>
      <c r="K458" s="69"/>
    </row>
    <row r="459" spans="1:11" ht="15.75" customHeight="1" x14ac:dyDescent="0.4">
      <c r="A459" s="67"/>
      <c r="B459" s="68"/>
      <c r="C459" s="68"/>
      <c r="D459" s="67"/>
      <c r="E459" s="67"/>
      <c r="F459" s="69"/>
      <c r="G459" s="69"/>
      <c r="H459" s="69"/>
      <c r="I459" s="69"/>
      <c r="J459" s="69"/>
      <c r="K459" s="69"/>
    </row>
    <row r="460" spans="1:11" ht="15.75" customHeight="1" x14ac:dyDescent="0.4">
      <c r="A460" s="67"/>
      <c r="B460" s="68"/>
      <c r="C460" s="68"/>
      <c r="D460" s="67"/>
      <c r="E460" s="67"/>
      <c r="F460" s="69"/>
      <c r="G460" s="69"/>
      <c r="H460" s="69"/>
      <c r="I460" s="69"/>
      <c r="J460" s="69"/>
      <c r="K460" s="69"/>
    </row>
    <row r="461" spans="1:11" ht="15.75" customHeight="1" x14ac:dyDescent="0.4">
      <c r="A461" s="67"/>
      <c r="B461" s="68"/>
      <c r="C461" s="68"/>
      <c r="D461" s="67"/>
      <c r="E461" s="67"/>
      <c r="F461" s="69"/>
      <c r="G461" s="69"/>
      <c r="H461" s="69"/>
      <c r="I461" s="69"/>
      <c r="J461" s="69"/>
      <c r="K461" s="69"/>
    </row>
    <row r="462" spans="1:11" ht="15.75" customHeight="1" x14ac:dyDescent="0.4">
      <c r="A462" s="67"/>
      <c r="B462" s="68"/>
      <c r="C462" s="68"/>
      <c r="D462" s="67"/>
      <c r="E462" s="67"/>
      <c r="F462" s="69"/>
      <c r="G462" s="69"/>
      <c r="H462" s="69"/>
      <c r="I462" s="69"/>
      <c r="J462" s="69"/>
      <c r="K462" s="69"/>
    </row>
    <row r="463" spans="1:11" ht="15.75" customHeight="1" x14ac:dyDescent="0.4">
      <c r="A463" s="67"/>
      <c r="B463" s="68"/>
      <c r="C463" s="68"/>
      <c r="D463" s="67"/>
      <c r="E463" s="67"/>
      <c r="F463" s="69"/>
      <c r="G463" s="69"/>
      <c r="H463" s="69"/>
      <c r="I463" s="69"/>
      <c r="J463" s="69"/>
      <c r="K463" s="69"/>
    </row>
    <row r="464" spans="1:11" ht="15.75" customHeight="1" x14ac:dyDescent="0.4">
      <c r="A464" s="67"/>
      <c r="B464" s="68"/>
      <c r="C464" s="68"/>
      <c r="D464" s="67"/>
      <c r="E464" s="67"/>
      <c r="F464" s="69"/>
      <c r="G464" s="69"/>
      <c r="H464" s="69"/>
      <c r="I464" s="69"/>
      <c r="J464" s="69"/>
      <c r="K464" s="69"/>
    </row>
    <row r="465" spans="1:11" ht="15.75" customHeight="1" x14ac:dyDescent="0.4">
      <c r="A465" s="67"/>
      <c r="B465" s="68"/>
      <c r="C465" s="68"/>
      <c r="D465" s="67"/>
      <c r="E465" s="67"/>
      <c r="F465" s="69"/>
      <c r="G465" s="69"/>
      <c r="H465" s="69"/>
      <c r="I465" s="69"/>
      <c r="J465" s="69"/>
      <c r="K465" s="69"/>
    </row>
    <row r="466" spans="1:11" ht="15.75" customHeight="1" x14ac:dyDescent="0.4">
      <c r="A466" s="67"/>
      <c r="B466" s="68"/>
      <c r="C466" s="68"/>
      <c r="D466" s="67"/>
      <c r="E466" s="67"/>
      <c r="F466" s="69"/>
      <c r="G466" s="69"/>
      <c r="H466" s="69"/>
      <c r="I466" s="69"/>
      <c r="J466" s="69"/>
      <c r="K466" s="69"/>
    </row>
    <row r="467" spans="1:11" ht="15.75" customHeight="1" x14ac:dyDescent="0.4">
      <c r="A467" s="67"/>
      <c r="B467" s="68"/>
      <c r="C467" s="68"/>
      <c r="D467" s="67"/>
      <c r="E467" s="67"/>
      <c r="F467" s="69"/>
      <c r="G467" s="69"/>
      <c r="H467" s="69"/>
      <c r="I467" s="69"/>
      <c r="J467" s="69"/>
      <c r="K467" s="69"/>
    </row>
    <row r="468" spans="1:11" ht="15.75" customHeight="1" x14ac:dyDescent="0.4">
      <c r="A468" s="67"/>
      <c r="B468" s="68"/>
      <c r="C468" s="68"/>
      <c r="D468" s="67"/>
      <c r="E468" s="67"/>
      <c r="F468" s="69"/>
      <c r="G468" s="69"/>
      <c r="H468" s="69"/>
      <c r="I468" s="69"/>
      <c r="J468" s="69"/>
      <c r="K468" s="69"/>
    </row>
    <row r="469" spans="1:11" ht="15.75" customHeight="1" x14ac:dyDescent="0.4">
      <c r="A469" s="67"/>
      <c r="B469" s="68"/>
      <c r="C469" s="68"/>
      <c r="D469" s="67"/>
      <c r="E469" s="67"/>
      <c r="F469" s="69"/>
      <c r="G469" s="69"/>
      <c r="H469" s="69"/>
      <c r="I469" s="69"/>
      <c r="J469" s="69"/>
      <c r="K469" s="69"/>
    </row>
    <row r="470" spans="1:11" ht="15.75" customHeight="1" x14ac:dyDescent="0.4">
      <c r="A470" s="67"/>
      <c r="B470" s="68"/>
      <c r="C470" s="68"/>
      <c r="D470" s="67"/>
      <c r="E470" s="67"/>
      <c r="F470" s="69"/>
      <c r="G470" s="69"/>
      <c r="H470" s="69"/>
      <c r="I470" s="69"/>
      <c r="J470" s="69"/>
      <c r="K470" s="69"/>
    </row>
    <row r="471" spans="1:11" ht="15.75" customHeight="1" x14ac:dyDescent="0.4">
      <c r="A471" s="67"/>
      <c r="B471" s="68"/>
      <c r="C471" s="68"/>
      <c r="D471" s="67"/>
      <c r="E471" s="67"/>
      <c r="F471" s="69"/>
      <c r="G471" s="69"/>
      <c r="H471" s="69"/>
      <c r="I471" s="69"/>
      <c r="J471" s="69"/>
      <c r="K471" s="69"/>
    </row>
    <row r="472" spans="1:11" ht="15.75" customHeight="1" x14ac:dyDescent="0.4">
      <c r="A472" s="67"/>
      <c r="B472" s="68"/>
      <c r="C472" s="68"/>
      <c r="D472" s="67"/>
      <c r="E472" s="67"/>
      <c r="F472" s="69"/>
      <c r="G472" s="69"/>
      <c r="H472" s="69"/>
      <c r="I472" s="69"/>
      <c r="J472" s="69"/>
      <c r="K472" s="69"/>
    </row>
    <row r="473" spans="1:11" ht="15.75" customHeight="1" x14ac:dyDescent="0.4">
      <c r="A473" s="67"/>
      <c r="B473" s="68"/>
      <c r="C473" s="68"/>
      <c r="D473" s="67"/>
      <c r="E473" s="67"/>
      <c r="F473" s="69"/>
      <c r="G473" s="69"/>
      <c r="H473" s="69"/>
      <c r="I473" s="69"/>
      <c r="J473" s="69"/>
      <c r="K473" s="69"/>
    </row>
    <row r="474" spans="1:11" ht="15.75" customHeight="1" x14ac:dyDescent="0.4">
      <c r="A474" s="67"/>
      <c r="B474" s="68"/>
      <c r="C474" s="68"/>
      <c r="D474" s="67"/>
      <c r="E474" s="67"/>
      <c r="F474" s="69"/>
      <c r="G474" s="69"/>
      <c r="H474" s="69"/>
      <c r="I474" s="69"/>
      <c r="J474" s="69"/>
      <c r="K474" s="69"/>
    </row>
    <row r="475" spans="1:11" ht="15.75" customHeight="1" x14ac:dyDescent="0.4">
      <c r="A475" s="67"/>
      <c r="B475" s="68"/>
      <c r="C475" s="68"/>
      <c r="D475" s="67"/>
      <c r="E475" s="67"/>
      <c r="F475" s="69"/>
      <c r="G475" s="69"/>
      <c r="H475" s="69"/>
      <c r="I475" s="69"/>
      <c r="J475" s="69"/>
      <c r="K475" s="69"/>
    </row>
    <row r="476" spans="1:11" ht="15.75" customHeight="1" x14ac:dyDescent="0.4">
      <c r="A476" s="67"/>
      <c r="B476" s="68"/>
      <c r="C476" s="68"/>
      <c r="D476" s="67"/>
      <c r="E476" s="67"/>
      <c r="F476" s="69"/>
      <c r="G476" s="69"/>
      <c r="H476" s="69"/>
      <c r="I476" s="69"/>
      <c r="J476" s="69"/>
      <c r="K476" s="69"/>
    </row>
    <row r="477" spans="1:11" ht="15.75" customHeight="1" x14ac:dyDescent="0.4">
      <c r="A477" s="67"/>
      <c r="B477" s="68"/>
      <c r="C477" s="68"/>
      <c r="D477" s="67"/>
      <c r="E477" s="67"/>
      <c r="F477" s="69"/>
      <c r="G477" s="69"/>
      <c r="H477" s="69"/>
      <c r="I477" s="69"/>
      <c r="J477" s="69"/>
      <c r="K477" s="69"/>
    </row>
    <row r="478" spans="1:11" ht="15.75" customHeight="1" x14ac:dyDescent="0.4">
      <c r="A478" s="67"/>
      <c r="B478" s="68"/>
      <c r="C478" s="68"/>
      <c r="D478" s="67"/>
      <c r="E478" s="67"/>
      <c r="F478" s="69"/>
      <c r="G478" s="69"/>
      <c r="H478" s="69"/>
      <c r="I478" s="69"/>
      <c r="J478" s="69"/>
      <c r="K478" s="69"/>
    </row>
    <row r="479" spans="1:11" ht="15.75" customHeight="1" x14ac:dyDescent="0.4">
      <c r="A479" s="67"/>
      <c r="B479" s="68"/>
      <c r="C479" s="68"/>
      <c r="D479" s="67"/>
      <c r="E479" s="67"/>
      <c r="F479" s="69"/>
      <c r="G479" s="69"/>
      <c r="H479" s="69"/>
      <c r="I479" s="69"/>
      <c r="J479" s="69"/>
      <c r="K479" s="69"/>
    </row>
    <row r="480" spans="1:11" ht="15.75" customHeight="1" x14ac:dyDescent="0.4">
      <c r="A480" s="67"/>
      <c r="B480" s="68"/>
      <c r="C480" s="68"/>
      <c r="D480" s="67"/>
      <c r="E480" s="67"/>
      <c r="F480" s="69"/>
      <c r="G480" s="69"/>
      <c r="H480" s="69"/>
      <c r="I480" s="69"/>
      <c r="J480" s="69"/>
      <c r="K480" s="69"/>
    </row>
    <row r="481" spans="1:11" ht="15.75" customHeight="1" x14ac:dyDescent="0.4">
      <c r="A481" s="67"/>
      <c r="B481" s="68"/>
      <c r="C481" s="68"/>
      <c r="D481" s="67"/>
      <c r="E481" s="67"/>
      <c r="F481" s="69"/>
      <c r="G481" s="69"/>
      <c r="H481" s="69"/>
      <c r="I481" s="69"/>
      <c r="J481" s="69"/>
      <c r="K481" s="69"/>
    </row>
    <row r="482" spans="1:11" ht="15.75" customHeight="1" x14ac:dyDescent="0.4">
      <c r="A482" s="67"/>
      <c r="B482" s="68"/>
      <c r="C482" s="68"/>
      <c r="D482" s="67"/>
      <c r="E482" s="67"/>
      <c r="F482" s="69"/>
      <c r="G482" s="69"/>
      <c r="H482" s="69"/>
      <c r="I482" s="69"/>
      <c r="J482" s="69"/>
      <c r="K482" s="69"/>
    </row>
    <row r="483" spans="1:11" ht="15.75" customHeight="1" x14ac:dyDescent="0.4">
      <c r="A483" s="67"/>
      <c r="B483" s="68"/>
      <c r="C483" s="68"/>
      <c r="D483" s="67"/>
      <c r="E483" s="67"/>
      <c r="F483" s="69"/>
      <c r="G483" s="69"/>
      <c r="H483" s="69"/>
      <c r="I483" s="69"/>
      <c r="J483" s="69"/>
      <c r="K483" s="69"/>
    </row>
    <row r="484" spans="1:11" ht="15.75" customHeight="1" x14ac:dyDescent="0.4">
      <c r="A484" s="67"/>
      <c r="B484" s="68"/>
      <c r="C484" s="68"/>
      <c r="D484" s="67"/>
      <c r="E484" s="67"/>
      <c r="F484" s="69"/>
      <c r="G484" s="69"/>
      <c r="H484" s="69"/>
      <c r="I484" s="69"/>
      <c r="J484" s="69"/>
      <c r="K484" s="69"/>
    </row>
    <row r="485" spans="1:11" ht="15.75" customHeight="1" x14ac:dyDescent="0.4">
      <c r="A485" s="67"/>
      <c r="B485" s="68"/>
      <c r="C485" s="68"/>
      <c r="D485" s="67"/>
      <c r="E485" s="67"/>
      <c r="F485" s="69"/>
      <c r="G485" s="69"/>
      <c r="H485" s="69"/>
      <c r="I485" s="69"/>
      <c r="J485" s="69"/>
      <c r="K485" s="69"/>
    </row>
    <row r="486" spans="1:11" ht="15.75" customHeight="1" x14ac:dyDescent="0.4">
      <c r="A486" s="67"/>
      <c r="B486" s="68"/>
      <c r="C486" s="68"/>
      <c r="D486" s="67"/>
      <c r="E486" s="67"/>
      <c r="F486" s="69"/>
      <c r="G486" s="69"/>
      <c r="H486" s="69"/>
      <c r="I486" s="69"/>
      <c r="J486" s="69"/>
      <c r="K486" s="69"/>
    </row>
    <row r="487" spans="1:11" ht="15.75" customHeight="1" x14ac:dyDescent="0.4">
      <c r="A487" s="67"/>
      <c r="B487" s="68"/>
      <c r="C487" s="68"/>
      <c r="D487" s="67"/>
      <c r="E487" s="67"/>
      <c r="F487" s="69"/>
      <c r="G487" s="69"/>
      <c r="H487" s="69"/>
      <c r="I487" s="69"/>
      <c r="J487" s="69"/>
      <c r="K487" s="69"/>
    </row>
    <row r="488" spans="1:11" ht="15.75" customHeight="1" x14ac:dyDescent="0.4">
      <c r="A488" s="67"/>
      <c r="B488" s="68"/>
      <c r="C488" s="68"/>
      <c r="D488" s="67"/>
      <c r="E488" s="67"/>
      <c r="F488" s="69"/>
      <c r="G488" s="69"/>
      <c r="H488" s="69"/>
      <c r="I488" s="69"/>
      <c r="J488" s="69"/>
      <c r="K488" s="69"/>
    </row>
    <row r="489" spans="1:11" ht="15.75" customHeight="1" x14ac:dyDescent="0.4">
      <c r="A489" s="67"/>
      <c r="B489" s="68"/>
      <c r="C489" s="68"/>
      <c r="D489" s="67"/>
      <c r="E489" s="67"/>
      <c r="F489" s="69"/>
      <c r="G489" s="69"/>
      <c r="H489" s="69"/>
      <c r="I489" s="69"/>
      <c r="J489" s="69"/>
      <c r="K489" s="69"/>
    </row>
    <row r="490" spans="1:11" ht="15.75" customHeight="1" x14ac:dyDescent="0.4">
      <c r="A490" s="67"/>
      <c r="B490" s="68"/>
      <c r="C490" s="68"/>
      <c r="D490" s="67"/>
      <c r="E490" s="67"/>
      <c r="F490" s="69"/>
      <c r="G490" s="69"/>
      <c r="H490" s="69"/>
      <c r="I490" s="69"/>
      <c r="J490" s="69"/>
      <c r="K490" s="69"/>
    </row>
    <row r="491" spans="1:11" ht="15.75" customHeight="1" x14ac:dyDescent="0.4">
      <c r="A491" s="67"/>
      <c r="B491" s="68"/>
      <c r="C491" s="68"/>
      <c r="D491" s="67"/>
      <c r="E491" s="67"/>
      <c r="F491" s="69"/>
      <c r="G491" s="69"/>
      <c r="H491" s="69"/>
      <c r="I491" s="69"/>
      <c r="J491" s="69"/>
      <c r="K491" s="69"/>
    </row>
    <row r="492" spans="1:11" ht="15.75" customHeight="1" x14ac:dyDescent="0.4">
      <c r="A492" s="67"/>
      <c r="B492" s="68"/>
      <c r="C492" s="68"/>
      <c r="D492" s="67"/>
      <c r="E492" s="67"/>
      <c r="F492" s="69"/>
      <c r="G492" s="69"/>
      <c r="H492" s="69"/>
      <c r="I492" s="69"/>
      <c r="J492" s="69"/>
      <c r="K492" s="69"/>
    </row>
    <row r="493" spans="1:11" ht="15.75" customHeight="1" x14ac:dyDescent="0.4">
      <c r="A493" s="67"/>
      <c r="B493" s="68"/>
      <c r="C493" s="68"/>
      <c r="D493" s="67"/>
      <c r="E493" s="67"/>
      <c r="F493" s="69"/>
      <c r="G493" s="69"/>
      <c r="H493" s="69"/>
      <c r="I493" s="69"/>
      <c r="J493" s="69"/>
      <c r="K493" s="69"/>
    </row>
    <row r="494" spans="1:11" ht="15.75" customHeight="1" x14ac:dyDescent="0.4">
      <c r="A494" s="67"/>
      <c r="B494" s="68"/>
      <c r="C494" s="68"/>
      <c r="D494" s="67"/>
      <c r="E494" s="67"/>
      <c r="F494" s="69"/>
      <c r="G494" s="69"/>
      <c r="H494" s="69"/>
      <c r="I494" s="69"/>
      <c r="J494" s="69"/>
      <c r="K494" s="69"/>
    </row>
    <row r="495" spans="1:11" ht="15.75" customHeight="1" x14ac:dyDescent="0.4">
      <c r="A495" s="67"/>
      <c r="B495" s="68"/>
      <c r="C495" s="68"/>
      <c r="D495" s="67"/>
      <c r="E495" s="67"/>
      <c r="F495" s="69"/>
      <c r="G495" s="69"/>
      <c r="H495" s="69"/>
      <c r="I495" s="69"/>
      <c r="J495" s="69"/>
      <c r="K495" s="69"/>
    </row>
    <row r="496" spans="1:11" ht="15.75" customHeight="1" x14ac:dyDescent="0.4">
      <c r="A496" s="67"/>
      <c r="B496" s="68"/>
      <c r="C496" s="68"/>
      <c r="D496" s="67"/>
      <c r="E496" s="67"/>
      <c r="F496" s="69"/>
      <c r="G496" s="69"/>
      <c r="H496" s="69"/>
      <c r="I496" s="69"/>
      <c r="J496" s="69"/>
      <c r="K496" s="69"/>
    </row>
    <row r="497" spans="1:11" ht="15.75" customHeight="1" x14ac:dyDescent="0.4">
      <c r="A497" s="67"/>
      <c r="B497" s="68"/>
      <c r="C497" s="68"/>
      <c r="D497" s="67"/>
      <c r="E497" s="67"/>
      <c r="F497" s="69"/>
      <c r="G497" s="69"/>
      <c r="H497" s="69"/>
      <c r="I497" s="69"/>
      <c r="J497" s="69"/>
      <c r="K497" s="69"/>
    </row>
    <row r="498" spans="1:11" ht="15.75" customHeight="1" x14ac:dyDescent="0.4">
      <c r="A498" s="67"/>
      <c r="B498" s="68"/>
      <c r="C498" s="68"/>
      <c r="D498" s="67"/>
      <c r="E498" s="67"/>
      <c r="F498" s="69"/>
      <c r="G498" s="69"/>
      <c r="H498" s="69"/>
      <c r="I498" s="69"/>
      <c r="J498" s="69"/>
      <c r="K498" s="69"/>
    </row>
    <row r="499" spans="1:11" ht="15.75" customHeight="1" x14ac:dyDescent="0.4">
      <c r="A499" s="67"/>
      <c r="B499" s="68"/>
      <c r="C499" s="68"/>
      <c r="D499" s="67"/>
      <c r="E499" s="67"/>
      <c r="F499" s="69"/>
      <c r="G499" s="69"/>
      <c r="H499" s="69"/>
      <c r="I499" s="69"/>
      <c r="J499" s="69"/>
      <c r="K499" s="69"/>
    </row>
    <row r="500" spans="1:11" ht="15.75" customHeight="1" x14ac:dyDescent="0.4">
      <c r="A500" s="67"/>
      <c r="B500" s="68"/>
      <c r="C500" s="68"/>
      <c r="D500" s="67"/>
      <c r="E500" s="67"/>
      <c r="F500" s="69"/>
      <c r="G500" s="69"/>
      <c r="H500" s="69"/>
      <c r="I500" s="69"/>
      <c r="J500" s="69"/>
      <c r="K500" s="69"/>
    </row>
    <row r="501" spans="1:11" ht="15.75" customHeight="1" x14ac:dyDescent="0.4">
      <c r="A501" s="67"/>
      <c r="B501" s="68"/>
      <c r="C501" s="68"/>
      <c r="D501" s="67"/>
      <c r="E501" s="67"/>
      <c r="F501" s="69"/>
      <c r="G501" s="69"/>
      <c r="H501" s="69"/>
      <c r="I501" s="69"/>
      <c r="J501" s="69"/>
      <c r="K501" s="69"/>
    </row>
    <row r="502" spans="1:11" ht="15.75" customHeight="1" x14ac:dyDescent="0.4">
      <c r="A502" s="67"/>
      <c r="B502" s="68"/>
      <c r="C502" s="68"/>
      <c r="D502" s="67"/>
      <c r="E502" s="67"/>
      <c r="F502" s="69"/>
      <c r="G502" s="69"/>
      <c r="H502" s="69"/>
      <c r="I502" s="69"/>
      <c r="J502" s="69"/>
      <c r="K502" s="69"/>
    </row>
    <row r="503" spans="1:11" ht="15.75" customHeight="1" x14ac:dyDescent="0.4">
      <c r="A503" s="67"/>
      <c r="B503" s="68"/>
      <c r="C503" s="68"/>
      <c r="D503" s="67"/>
      <c r="E503" s="67"/>
      <c r="F503" s="69"/>
      <c r="G503" s="69"/>
      <c r="H503" s="69"/>
      <c r="I503" s="69"/>
      <c r="J503" s="69"/>
      <c r="K503" s="69"/>
    </row>
    <row r="504" spans="1:11" ht="15.75" customHeight="1" x14ac:dyDescent="0.4">
      <c r="A504" s="67"/>
      <c r="B504" s="68"/>
      <c r="C504" s="68"/>
      <c r="D504" s="67"/>
      <c r="E504" s="67"/>
      <c r="F504" s="69"/>
      <c r="G504" s="69"/>
      <c r="H504" s="69"/>
      <c r="I504" s="69"/>
      <c r="J504" s="69"/>
      <c r="K504" s="69"/>
    </row>
    <row r="505" spans="1:11" ht="15.75" customHeight="1" x14ac:dyDescent="0.4">
      <c r="A505" s="67"/>
      <c r="B505" s="68"/>
      <c r="C505" s="68"/>
      <c r="D505" s="67"/>
      <c r="E505" s="67"/>
      <c r="F505" s="69"/>
      <c r="G505" s="69"/>
      <c r="H505" s="69"/>
      <c r="I505" s="69"/>
      <c r="J505" s="69"/>
      <c r="K505" s="69"/>
    </row>
    <row r="506" spans="1:11" ht="15.75" customHeight="1" x14ac:dyDescent="0.4">
      <c r="A506" s="67"/>
      <c r="B506" s="68"/>
      <c r="C506" s="68"/>
      <c r="D506" s="67"/>
      <c r="E506" s="67"/>
      <c r="F506" s="69"/>
      <c r="G506" s="69"/>
      <c r="H506" s="69"/>
      <c r="I506" s="69"/>
      <c r="J506" s="69"/>
      <c r="K506" s="69"/>
    </row>
    <row r="507" spans="1:11" ht="15.75" customHeight="1" x14ac:dyDescent="0.4">
      <c r="A507" s="67"/>
      <c r="B507" s="68"/>
      <c r="C507" s="68"/>
      <c r="D507" s="67"/>
      <c r="E507" s="67"/>
      <c r="F507" s="69"/>
      <c r="G507" s="69"/>
      <c r="H507" s="69"/>
      <c r="I507" s="69"/>
      <c r="J507" s="69"/>
      <c r="K507" s="69"/>
    </row>
    <row r="508" spans="1:11" ht="15.75" customHeight="1" x14ac:dyDescent="0.4">
      <c r="A508" s="67"/>
      <c r="B508" s="68"/>
      <c r="C508" s="68"/>
      <c r="D508" s="67"/>
      <c r="E508" s="67"/>
      <c r="F508" s="69"/>
      <c r="G508" s="69"/>
      <c r="H508" s="69"/>
      <c r="I508" s="69"/>
      <c r="J508" s="69"/>
      <c r="K508" s="69"/>
    </row>
    <row r="509" spans="1:11" ht="15.75" customHeight="1" x14ac:dyDescent="0.4">
      <c r="A509" s="67"/>
      <c r="B509" s="68"/>
      <c r="C509" s="68"/>
      <c r="D509" s="67"/>
      <c r="E509" s="67"/>
      <c r="F509" s="69"/>
      <c r="G509" s="69"/>
      <c r="H509" s="69"/>
      <c r="I509" s="69"/>
      <c r="J509" s="69"/>
      <c r="K509" s="69"/>
    </row>
    <row r="510" spans="1:11" ht="15.75" customHeight="1" x14ac:dyDescent="0.4">
      <c r="A510" s="67"/>
      <c r="B510" s="68"/>
      <c r="C510" s="68"/>
      <c r="D510" s="67"/>
      <c r="E510" s="67"/>
      <c r="F510" s="69"/>
      <c r="G510" s="69"/>
      <c r="H510" s="69"/>
      <c r="I510" s="69"/>
      <c r="J510" s="69"/>
      <c r="K510" s="69"/>
    </row>
    <row r="511" spans="1:11" ht="15.75" customHeight="1" x14ac:dyDescent="0.4">
      <c r="A511" s="67"/>
      <c r="B511" s="68"/>
      <c r="C511" s="68"/>
      <c r="D511" s="67"/>
      <c r="E511" s="67"/>
      <c r="F511" s="69"/>
      <c r="G511" s="69"/>
      <c r="H511" s="69"/>
      <c r="I511" s="69"/>
      <c r="J511" s="69"/>
      <c r="K511" s="69"/>
    </row>
    <row r="512" spans="1:11" ht="15.75" customHeight="1" x14ac:dyDescent="0.4">
      <c r="A512" s="67"/>
      <c r="B512" s="68"/>
      <c r="C512" s="68"/>
      <c r="D512" s="67"/>
      <c r="E512" s="67"/>
      <c r="F512" s="69"/>
      <c r="G512" s="69"/>
      <c r="H512" s="69"/>
      <c r="I512" s="69"/>
      <c r="J512" s="69"/>
      <c r="K512" s="69"/>
    </row>
    <row r="513" spans="1:11" ht="15.75" customHeight="1" x14ac:dyDescent="0.4">
      <c r="A513" s="67"/>
      <c r="B513" s="68"/>
      <c r="C513" s="68"/>
      <c r="D513" s="67"/>
      <c r="E513" s="67"/>
      <c r="F513" s="69"/>
      <c r="G513" s="69"/>
      <c r="H513" s="69"/>
      <c r="I513" s="69"/>
      <c r="J513" s="69"/>
      <c r="K513" s="69"/>
    </row>
    <row r="514" spans="1:11" ht="15.75" customHeight="1" x14ac:dyDescent="0.4">
      <c r="A514" s="67"/>
      <c r="B514" s="68"/>
      <c r="C514" s="68"/>
      <c r="D514" s="67"/>
      <c r="E514" s="67"/>
      <c r="F514" s="69"/>
      <c r="G514" s="69"/>
      <c r="H514" s="69"/>
      <c r="I514" s="69"/>
      <c r="J514" s="69"/>
      <c r="K514" s="69"/>
    </row>
    <row r="515" spans="1:11" ht="15.75" customHeight="1" x14ac:dyDescent="0.4">
      <c r="A515" s="67"/>
      <c r="B515" s="68"/>
      <c r="C515" s="68"/>
      <c r="D515" s="67"/>
      <c r="E515" s="67"/>
      <c r="F515" s="69"/>
      <c r="G515" s="69"/>
      <c r="H515" s="69"/>
      <c r="I515" s="69"/>
      <c r="J515" s="69"/>
      <c r="K515" s="69"/>
    </row>
    <row r="516" spans="1:11" ht="15.75" customHeight="1" x14ac:dyDescent="0.4">
      <c r="A516" s="67"/>
      <c r="B516" s="68"/>
      <c r="C516" s="68"/>
      <c r="D516" s="67"/>
      <c r="E516" s="67"/>
      <c r="F516" s="69"/>
      <c r="G516" s="69"/>
      <c r="H516" s="69"/>
      <c r="I516" s="69"/>
      <c r="J516" s="69"/>
      <c r="K516" s="69"/>
    </row>
    <row r="517" spans="1:11" ht="15.75" customHeight="1" x14ac:dyDescent="0.4">
      <c r="A517" s="67"/>
      <c r="B517" s="68"/>
      <c r="C517" s="68"/>
      <c r="D517" s="67"/>
      <c r="E517" s="67"/>
      <c r="F517" s="69"/>
      <c r="G517" s="69"/>
      <c r="H517" s="69"/>
      <c r="I517" s="69"/>
      <c r="J517" s="69"/>
      <c r="K517" s="69"/>
    </row>
    <row r="518" spans="1:11" ht="15.75" customHeight="1" x14ac:dyDescent="0.4">
      <c r="A518" s="67"/>
      <c r="B518" s="68"/>
      <c r="C518" s="68"/>
      <c r="D518" s="67"/>
      <c r="E518" s="67"/>
      <c r="F518" s="69"/>
      <c r="G518" s="69"/>
      <c r="H518" s="69"/>
      <c r="I518" s="69"/>
      <c r="J518" s="69"/>
      <c r="K518" s="69"/>
    </row>
    <row r="519" spans="1:11" ht="15.75" customHeight="1" x14ac:dyDescent="0.4">
      <c r="A519" s="67"/>
      <c r="B519" s="68"/>
      <c r="C519" s="68"/>
      <c r="D519" s="67"/>
      <c r="E519" s="67"/>
      <c r="F519" s="69"/>
      <c r="G519" s="69"/>
      <c r="H519" s="69"/>
      <c r="I519" s="69"/>
      <c r="J519" s="69"/>
      <c r="K519" s="69"/>
    </row>
    <row r="520" spans="1:11" ht="15.75" customHeight="1" x14ac:dyDescent="0.4">
      <c r="A520" s="67"/>
      <c r="B520" s="68"/>
      <c r="C520" s="68"/>
      <c r="D520" s="67"/>
      <c r="E520" s="67"/>
      <c r="F520" s="69"/>
      <c r="G520" s="69"/>
      <c r="H520" s="69"/>
      <c r="I520" s="69"/>
      <c r="J520" s="69"/>
      <c r="K520" s="69"/>
    </row>
    <row r="521" spans="1:11" ht="15.75" customHeight="1" x14ac:dyDescent="0.4">
      <c r="A521" s="67"/>
      <c r="B521" s="68"/>
      <c r="C521" s="68"/>
      <c r="D521" s="67"/>
      <c r="E521" s="67"/>
      <c r="F521" s="69"/>
      <c r="G521" s="69"/>
      <c r="H521" s="69"/>
      <c r="I521" s="69"/>
      <c r="J521" s="69"/>
      <c r="K521" s="69"/>
    </row>
    <row r="522" spans="1:11" ht="15.75" customHeight="1" x14ac:dyDescent="0.4">
      <c r="A522" s="67"/>
      <c r="B522" s="68"/>
      <c r="C522" s="68"/>
      <c r="D522" s="67"/>
      <c r="E522" s="67"/>
      <c r="F522" s="69"/>
      <c r="G522" s="69"/>
      <c r="H522" s="69"/>
      <c r="I522" s="69"/>
      <c r="J522" s="69"/>
      <c r="K522" s="69"/>
    </row>
    <row r="523" spans="1:11" ht="15.75" customHeight="1" x14ac:dyDescent="0.4">
      <c r="A523" s="67"/>
      <c r="B523" s="68"/>
      <c r="C523" s="68"/>
      <c r="D523" s="67"/>
      <c r="E523" s="67"/>
      <c r="F523" s="69"/>
      <c r="G523" s="69"/>
      <c r="H523" s="69"/>
      <c r="I523" s="69"/>
      <c r="J523" s="69"/>
      <c r="K523" s="69"/>
    </row>
    <row r="524" spans="1:11" ht="15.75" customHeight="1" x14ac:dyDescent="0.4">
      <c r="A524" s="67"/>
      <c r="B524" s="68"/>
      <c r="C524" s="68"/>
      <c r="D524" s="67"/>
      <c r="E524" s="67"/>
      <c r="F524" s="69"/>
      <c r="G524" s="69"/>
      <c r="H524" s="69"/>
      <c r="I524" s="69"/>
      <c r="J524" s="69"/>
      <c r="K524" s="69"/>
    </row>
    <row r="525" spans="1:11" ht="15.75" customHeight="1" x14ac:dyDescent="0.4">
      <c r="A525" s="67"/>
      <c r="B525" s="68"/>
      <c r="C525" s="68"/>
      <c r="D525" s="67"/>
      <c r="E525" s="67"/>
      <c r="F525" s="69"/>
      <c r="G525" s="69"/>
      <c r="H525" s="69"/>
      <c r="I525" s="69"/>
      <c r="J525" s="69"/>
      <c r="K525" s="69"/>
    </row>
    <row r="526" spans="1:11" ht="15.75" customHeight="1" x14ac:dyDescent="0.4">
      <c r="A526" s="67"/>
      <c r="B526" s="68"/>
      <c r="C526" s="68"/>
      <c r="D526" s="67"/>
      <c r="E526" s="67"/>
      <c r="F526" s="69"/>
      <c r="G526" s="69"/>
      <c r="H526" s="69"/>
      <c r="I526" s="69"/>
      <c r="J526" s="69"/>
      <c r="K526" s="69"/>
    </row>
    <row r="527" spans="1:11" ht="15.75" customHeight="1" x14ac:dyDescent="0.4">
      <c r="A527" s="67"/>
      <c r="B527" s="68"/>
      <c r="C527" s="68"/>
      <c r="D527" s="67"/>
      <c r="E527" s="67"/>
      <c r="F527" s="69"/>
      <c r="G527" s="69"/>
      <c r="H527" s="69"/>
      <c r="I527" s="69"/>
      <c r="J527" s="69"/>
      <c r="K527" s="69"/>
    </row>
    <row r="528" spans="1:11" ht="15.75" customHeight="1" x14ac:dyDescent="0.4">
      <c r="A528" s="67"/>
      <c r="B528" s="68"/>
      <c r="C528" s="68"/>
      <c r="D528" s="67"/>
      <c r="E528" s="67"/>
      <c r="F528" s="69"/>
      <c r="G528" s="69"/>
      <c r="H528" s="69"/>
      <c r="I528" s="69"/>
      <c r="J528" s="69"/>
      <c r="K528" s="69"/>
    </row>
    <row r="529" spans="1:11" ht="15.75" customHeight="1" x14ac:dyDescent="0.4">
      <c r="A529" s="67"/>
      <c r="B529" s="68"/>
      <c r="C529" s="68"/>
      <c r="D529" s="67"/>
      <c r="E529" s="67"/>
      <c r="F529" s="69"/>
      <c r="G529" s="69"/>
      <c r="H529" s="69"/>
      <c r="I529" s="69"/>
      <c r="J529" s="69"/>
      <c r="K529" s="69"/>
    </row>
    <row r="530" spans="1:11" ht="15.75" customHeight="1" x14ac:dyDescent="0.4">
      <c r="A530" s="67"/>
      <c r="B530" s="68"/>
      <c r="C530" s="68"/>
      <c r="D530" s="67"/>
      <c r="E530" s="67"/>
      <c r="F530" s="69"/>
      <c r="G530" s="69"/>
      <c r="H530" s="69"/>
      <c r="I530" s="69"/>
      <c r="J530" s="69"/>
      <c r="K530" s="69"/>
    </row>
    <row r="531" spans="1:11" ht="15.75" customHeight="1" x14ac:dyDescent="0.4">
      <c r="A531" s="67"/>
      <c r="B531" s="68"/>
      <c r="C531" s="68"/>
      <c r="D531" s="67"/>
      <c r="E531" s="67"/>
      <c r="F531" s="69"/>
      <c r="G531" s="69"/>
      <c r="H531" s="69"/>
      <c r="I531" s="69"/>
      <c r="J531" s="69"/>
      <c r="K531" s="69"/>
    </row>
    <row r="532" spans="1:11" ht="15.75" customHeight="1" x14ac:dyDescent="0.4">
      <c r="A532" s="67"/>
      <c r="B532" s="68"/>
      <c r="C532" s="68"/>
      <c r="D532" s="67"/>
      <c r="E532" s="67"/>
      <c r="F532" s="69"/>
      <c r="G532" s="69"/>
      <c r="H532" s="69"/>
      <c r="I532" s="69"/>
      <c r="J532" s="69"/>
      <c r="K532" s="69"/>
    </row>
    <row r="533" spans="1:11" ht="15.75" customHeight="1" x14ac:dyDescent="0.4">
      <c r="A533" s="67"/>
      <c r="B533" s="68"/>
      <c r="C533" s="68"/>
      <c r="D533" s="67"/>
      <c r="E533" s="67"/>
      <c r="F533" s="69"/>
      <c r="G533" s="69"/>
      <c r="H533" s="69"/>
      <c r="I533" s="69"/>
      <c r="J533" s="69"/>
      <c r="K533" s="69"/>
    </row>
    <row r="534" spans="1:11" ht="15.75" customHeight="1" x14ac:dyDescent="0.4">
      <c r="A534" s="67"/>
      <c r="B534" s="68"/>
      <c r="C534" s="68"/>
      <c r="D534" s="67"/>
      <c r="E534" s="67"/>
      <c r="F534" s="69"/>
      <c r="G534" s="69"/>
      <c r="H534" s="69"/>
      <c r="I534" s="69"/>
      <c r="J534" s="69"/>
      <c r="K534" s="69"/>
    </row>
    <row r="535" spans="1:11" ht="15.75" customHeight="1" x14ac:dyDescent="0.4">
      <c r="A535" s="67"/>
      <c r="B535" s="68"/>
      <c r="C535" s="68"/>
      <c r="D535" s="67"/>
      <c r="E535" s="67"/>
      <c r="F535" s="69"/>
      <c r="G535" s="69"/>
      <c r="H535" s="69"/>
      <c r="I535" s="69"/>
      <c r="J535" s="69"/>
      <c r="K535" s="69"/>
    </row>
    <row r="536" spans="1:11" ht="15.75" customHeight="1" x14ac:dyDescent="0.4">
      <c r="A536" s="67"/>
      <c r="B536" s="68"/>
      <c r="C536" s="68"/>
      <c r="D536" s="67"/>
      <c r="E536" s="67"/>
      <c r="F536" s="69"/>
      <c r="G536" s="69"/>
      <c r="H536" s="69"/>
      <c r="I536" s="69"/>
      <c r="J536" s="69"/>
      <c r="K536" s="69"/>
    </row>
    <row r="537" spans="1:11" ht="15.75" customHeight="1" x14ac:dyDescent="0.4">
      <c r="A537" s="67"/>
      <c r="B537" s="68"/>
      <c r="C537" s="68"/>
      <c r="D537" s="67"/>
      <c r="E537" s="67"/>
      <c r="F537" s="69"/>
      <c r="G537" s="69"/>
      <c r="H537" s="69"/>
      <c r="I537" s="69"/>
      <c r="J537" s="69"/>
      <c r="K537" s="69"/>
    </row>
    <row r="538" spans="1:11" ht="15.75" customHeight="1" x14ac:dyDescent="0.4">
      <c r="A538" s="67"/>
      <c r="B538" s="68"/>
      <c r="C538" s="68"/>
      <c r="D538" s="67"/>
      <c r="E538" s="67"/>
      <c r="F538" s="69"/>
      <c r="G538" s="69"/>
      <c r="H538" s="69"/>
      <c r="I538" s="69"/>
      <c r="J538" s="69"/>
      <c r="K538" s="69"/>
    </row>
    <row r="539" spans="1:11" ht="15.75" customHeight="1" x14ac:dyDescent="0.4">
      <c r="A539" s="67"/>
      <c r="B539" s="68"/>
      <c r="C539" s="68"/>
      <c r="D539" s="67"/>
      <c r="E539" s="67"/>
      <c r="F539" s="69"/>
      <c r="G539" s="69"/>
      <c r="H539" s="69"/>
      <c r="I539" s="69"/>
      <c r="J539" s="69"/>
      <c r="K539" s="69"/>
    </row>
    <row r="540" spans="1:11" ht="15.75" customHeight="1" x14ac:dyDescent="0.4">
      <c r="A540" s="67"/>
      <c r="B540" s="68"/>
      <c r="C540" s="68"/>
      <c r="D540" s="67"/>
      <c r="E540" s="67"/>
      <c r="F540" s="69"/>
      <c r="G540" s="69"/>
      <c r="H540" s="69"/>
      <c r="I540" s="69"/>
      <c r="J540" s="69"/>
      <c r="K540" s="69"/>
    </row>
    <row r="541" spans="1:11" ht="15.75" customHeight="1" x14ac:dyDescent="0.4">
      <c r="A541" s="67"/>
      <c r="B541" s="68"/>
      <c r="C541" s="68"/>
      <c r="D541" s="67"/>
      <c r="E541" s="67"/>
      <c r="F541" s="69"/>
      <c r="G541" s="69"/>
      <c r="H541" s="69"/>
      <c r="I541" s="69"/>
      <c r="J541" s="69"/>
      <c r="K541" s="69"/>
    </row>
    <row r="542" spans="1:11" ht="15.75" customHeight="1" x14ac:dyDescent="0.4">
      <c r="A542" s="67"/>
      <c r="B542" s="68"/>
      <c r="C542" s="68"/>
      <c r="D542" s="67"/>
      <c r="E542" s="67"/>
      <c r="F542" s="69"/>
      <c r="G542" s="69"/>
      <c r="H542" s="69"/>
      <c r="I542" s="69"/>
      <c r="J542" s="69"/>
      <c r="K542" s="69"/>
    </row>
    <row r="543" spans="1:11" ht="15.75" customHeight="1" x14ac:dyDescent="0.4">
      <c r="A543" s="67"/>
      <c r="B543" s="68"/>
      <c r="C543" s="68"/>
      <c r="D543" s="67"/>
      <c r="E543" s="67"/>
      <c r="F543" s="69"/>
      <c r="G543" s="69"/>
      <c r="H543" s="69"/>
      <c r="I543" s="69"/>
      <c r="J543" s="69"/>
      <c r="K543" s="69"/>
    </row>
    <row r="544" spans="1:11" ht="15.75" customHeight="1" x14ac:dyDescent="0.4">
      <c r="A544" s="67"/>
      <c r="B544" s="68"/>
      <c r="C544" s="68"/>
      <c r="D544" s="67"/>
      <c r="E544" s="67"/>
      <c r="F544" s="69"/>
      <c r="G544" s="69"/>
      <c r="H544" s="69"/>
      <c r="I544" s="69"/>
      <c r="J544" s="69"/>
      <c r="K544" s="69"/>
    </row>
    <row r="545" spans="1:11" ht="15.75" customHeight="1" x14ac:dyDescent="0.4">
      <c r="A545" s="67"/>
      <c r="B545" s="68"/>
      <c r="C545" s="68"/>
      <c r="D545" s="67"/>
      <c r="E545" s="67"/>
      <c r="F545" s="69"/>
      <c r="G545" s="69"/>
      <c r="H545" s="69"/>
      <c r="I545" s="69"/>
      <c r="J545" s="69"/>
      <c r="K545" s="69"/>
    </row>
    <row r="546" spans="1:11" ht="15.75" customHeight="1" x14ac:dyDescent="0.4">
      <c r="A546" s="67"/>
      <c r="B546" s="68"/>
      <c r="C546" s="68"/>
      <c r="D546" s="67"/>
      <c r="E546" s="67"/>
      <c r="F546" s="69"/>
      <c r="G546" s="69"/>
      <c r="H546" s="69"/>
      <c r="I546" s="69"/>
      <c r="J546" s="69"/>
      <c r="K546" s="69"/>
    </row>
    <row r="547" spans="1:11" ht="15.75" customHeight="1" x14ac:dyDescent="0.4">
      <c r="A547" s="67"/>
      <c r="B547" s="68"/>
      <c r="C547" s="68"/>
      <c r="D547" s="67"/>
      <c r="E547" s="67"/>
      <c r="F547" s="69"/>
      <c r="G547" s="69"/>
      <c r="H547" s="69"/>
      <c r="I547" s="69"/>
      <c r="J547" s="69"/>
      <c r="K547" s="69"/>
    </row>
    <row r="548" spans="1:11" ht="15.75" customHeight="1" x14ac:dyDescent="0.4">
      <c r="A548" s="67"/>
      <c r="B548" s="68"/>
      <c r="C548" s="68"/>
      <c r="D548" s="67"/>
      <c r="E548" s="67"/>
      <c r="F548" s="69"/>
      <c r="G548" s="69"/>
      <c r="H548" s="69"/>
      <c r="I548" s="69"/>
      <c r="J548" s="69"/>
      <c r="K548" s="69"/>
    </row>
    <row r="549" spans="1:11" ht="15.75" customHeight="1" x14ac:dyDescent="0.4">
      <c r="A549" s="67"/>
      <c r="B549" s="68"/>
      <c r="C549" s="68"/>
      <c r="D549" s="67"/>
      <c r="E549" s="67"/>
      <c r="F549" s="69"/>
      <c r="G549" s="69"/>
      <c r="H549" s="69"/>
      <c r="I549" s="69"/>
      <c r="J549" s="69"/>
      <c r="K549" s="69"/>
    </row>
    <row r="550" spans="1:11" ht="15.75" customHeight="1" x14ac:dyDescent="0.4">
      <c r="A550" s="67"/>
      <c r="B550" s="68"/>
      <c r="C550" s="68"/>
      <c r="D550" s="67"/>
      <c r="E550" s="67"/>
      <c r="F550" s="69"/>
      <c r="G550" s="69"/>
      <c r="H550" s="69"/>
      <c r="I550" s="69"/>
      <c r="J550" s="69"/>
      <c r="K550" s="69"/>
    </row>
    <row r="551" spans="1:11" ht="15.75" customHeight="1" x14ac:dyDescent="0.4">
      <c r="A551" s="67"/>
      <c r="B551" s="68"/>
      <c r="C551" s="68"/>
      <c r="D551" s="67"/>
      <c r="E551" s="67"/>
      <c r="F551" s="69"/>
      <c r="G551" s="69"/>
      <c r="H551" s="69"/>
      <c r="I551" s="69"/>
      <c r="J551" s="69"/>
      <c r="K551" s="69"/>
    </row>
    <row r="552" spans="1:11" ht="15.75" customHeight="1" x14ac:dyDescent="0.4">
      <c r="A552" s="67"/>
      <c r="B552" s="68"/>
      <c r="C552" s="68"/>
      <c r="D552" s="67"/>
      <c r="E552" s="67"/>
      <c r="F552" s="69"/>
      <c r="G552" s="69"/>
      <c r="H552" s="69"/>
      <c r="I552" s="69"/>
      <c r="J552" s="69"/>
      <c r="K552" s="69"/>
    </row>
    <row r="553" spans="1:11" ht="15.75" customHeight="1" x14ac:dyDescent="0.4">
      <c r="A553" s="67"/>
      <c r="B553" s="68"/>
      <c r="C553" s="68"/>
      <c r="D553" s="67"/>
      <c r="E553" s="67"/>
      <c r="F553" s="69"/>
      <c r="G553" s="69"/>
      <c r="H553" s="69"/>
      <c r="I553" s="69"/>
      <c r="J553" s="69"/>
      <c r="K553" s="69"/>
    </row>
    <row r="554" spans="1:11" ht="15.75" customHeight="1" x14ac:dyDescent="0.4">
      <c r="A554" s="67"/>
      <c r="B554" s="68"/>
      <c r="C554" s="68"/>
      <c r="D554" s="67"/>
      <c r="E554" s="67"/>
      <c r="F554" s="69"/>
      <c r="G554" s="69"/>
      <c r="H554" s="69"/>
      <c r="I554" s="69"/>
      <c r="J554" s="69"/>
      <c r="K554" s="69"/>
    </row>
    <row r="555" spans="1:11" ht="15.75" customHeight="1" x14ac:dyDescent="0.4">
      <c r="A555" s="67"/>
      <c r="B555" s="68"/>
      <c r="C555" s="68"/>
      <c r="D555" s="67"/>
      <c r="E555" s="67"/>
      <c r="F555" s="69"/>
      <c r="G555" s="69"/>
      <c r="H555" s="69"/>
      <c r="I555" s="69"/>
      <c r="J555" s="69"/>
      <c r="K555" s="69"/>
    </row>
    <row r="556" spans="1:11" ht="15.75" customHeight="1" x14ac:dyDescent="0.4">
      <c r="A556" s="67"/>
      <c r="B556" s="68"/>
      <c r="C556" s="68"/>
      <c r="D556" s="67"/>
      <c r="E556" s="67"/>
      <c r="F556" s="69"/>
      <c r="G556" s="69"/>
      <c r="H556" s="69"/>
      <c r="I556" s="69"/>
      <c r="J556" s="69"/>
      <c r="K556" s="69"/>
    </row>
    <row r="557" spans="1:11" ht="15.75" customHeight="1" x14ac:dyDescent="0.4">
      <c r="A557" s="67"/>
      <c r="B557" s="68"/>
      <c r="C557" s="68"/>
      <c r="D557" s="67"/>
      <c r="E557" s="67"/>
      <c r="F557" s="69"/>
      <c r="G557" s="69"/>
      <c r="H557" s="69"/>
      <c r="I557" s="69"/>
      <c r="J557" s="69"/>
      <c r="K557" s="69"/>
    </row>
    <row r="558" spans="1:11" ht="15.75" customHeight="1" x14ac:dyDescent="0.4">
      <c r="A558" s="67"/>
      <c r="B558" s="68"/>
      <c r="C558" s="68"/>
      <c r="D558" s="67"/>
      <c r="E558" s="67"/>
      <c r="F558" s="69"/>
      <c r="G558" s="69"/>
      <c r="H558" s="69"/>
      <c r="I558" s="69"/>
      <c r="J558" s="69"/>
      <c r="K558" s="69"/>
    </row>
    <row r="559" spans="1:11" ht="15.75" customHeight="1" x14ac:dyDescent="0.4">
      <c r="A559" s="67"/>
      <c r="B559" s="68"/>
      <c r="C559" s="68"/>
      <c r="D559" s="67"/>
      <c r="E559" s="67"/>
      <c r="F559" s="69"/>
      <c r="G559" s="69"/>
      <c r="H559" s="69"/>
      <c r="I559" s="69"/>
      <c r="J559" s="69"/>
      <c r="K559" s="69"/>
    </row>
    <row r="560" spans="1:11" ht="15.75" customHeight="1" x14ac:dyDescent="0.4">
      <c r="A560" s="67"/>
      <c r="B560" s="68"/>
      <c r="C560" s="68"/>
      <c r="D560" s="67"/>
      <c r="E560" s="67"/>
      <c r="F560" s="69"/>
      <c r="G560" s="69"/>
      <c r="H560" s="69"/>
      <c r="I560" s="69"/>
      <c r="J560" s="69"/>
      <c r="K560" s="69"/>
    </row>
    <row r="561" spans="1:11" ht="15.75" customHeight="1" x14ac:dyDescent="0.4">
      <c r="A561" s="67"/>
      <c r="B561" s="68"/>
      <c r="C561" s="68"/>
      <c r="D561" s="67"/>
      <c r="E561" s="67"/>
      <c r="F561" s="69"/>
      <c r="G561" s="69"/>
      <c r="H561" s="69"/>
      <c r="I561" s="69"/>
      <c r="J561" s="69"/>
      <c r="K561" s="69"/>
    </row>
    <row r="562" spans="1:11" ht="15.75" customHeight="1" x14ac:dyDescent="0.4">
      <c r="A562" s="67"/>
      <c r="B562" s="68"/>
      <c r="C562" s="68"/>
      <c r="D562" s="67"/>
      <c r="E562" s="67"/>
      <c r="F562" s="69"/>
      <c r="G562" s="69"/>
      <c r="H562" s="69"/>
      <c r="I562" s="69"/>
      <c r="J562" s="69"/>
      <c r="K562" s="69"/>
    </row>
    <row r="563" spans="1:11" ht="15.75" customHeight="1" x14ac:dyDescent="0.4">
      <c r="A563" s="67"/>
      <c r="B563" s="68"/>
      <c r="C563" s="68"/>
      <c r="D563" s="67"/>
      <c r="E563" s="67"/>
      <c r="F563" s="69"/>
      <c r="G563" s="69"/>
      <c r="H563" s="69"/>
      <c r="I563" s="69"/>
      <c r="J563" s="69"/>
      <c r="K563" s="69"/>
    </row>
    <row r="564" spans="1:11" ht="15.75" customHeight="1" x14ac:dyDescent="0.4">
      <c r="A564" s="67"/>
      <c r="B564" s="68"/>
      <c r="C564" s="68"/>
      <c r="D564" s="67"/>
      <c r="E564" s="67"/>
      <c r="F564" s="69"/>
      <c r="G564" s="69"/>
      <c r="H564" s="69"/>
      <c r="I564" s="69"/>
      <c r="J564" s="69"/>
      <c r="K564" s="69"/>
    </row>
    <row r="565" spans="1:11" ht="15.75" customHeight="1" x14ac:dyDescent="0.4">
      <c r="A565" s="67"/>
      <c r="B565" s="68"/>
      <c r="C565" s="68"/>
      <c r="D565" s="67"/>
      <c r="E565" s="67"/>
      <c r="F565" s="69"/>
      <c r="G565" s="69"/>
      <c r="H565" s="69"/>
      <c r="I565" s="69"/>
      <c r="J565" s="69"/>
      <c r="K565" s="69"/>
    </row>
    <row r="566" spans="1:11" ht="15.75" customHeight="1" x14ac:dyDescent="0.4">
      <c r="A566" s="67"/>
      <c r="B566" s="68"/>
      <c r="C566" s="68"/>
      <c r="D566" s="67"/>
      <c r="E566" s="67"/>
      <c r="F566" s="69"/>
      <c r="G566" s="69"/>
      <c r="H566" s="69"/>
      <c r="I566" s="69"/>
      <c r="J566" s="69"/>
      <c r="K566" s="69"/>
    </row>
    <row r="567" spans="1:11" ht="15.75" customHeight="1" x14ac:dyDescent="0.4">
      <c r="A567" s="67"/>
      <c r="B567" s="68"/>
      <c r="C567" s="68"/>
      <c r="D567" s="67"/>
      <c r="E567" s="67"/>
      <c r="F567" s="69"/>
      <c r="G567" s="69"/>
      <c r="H567" s="69"/>
      <c r="I567" s="69"/>
      <c r="J567" s="69"/>
      <c r="K567" s="69"/>
    </row>
    <row r="568" spans="1:11" ht="15.75" customHeight="1" x14ac:dyDescent="0.4">
      <c r="A568" s="67"/>
      <c r="B568" s="68"/>
      <c r="C568" s="68"/>
      <c r="D568" s="67"/>
      <c r="E568" s="67"/>
      <c r="F568" s="69"/>
      <c r="G568" s="69"/>
      <c r="H568" s="69"/>
      <c r="I568" s="69"/>
      <c r="J568" s="69"/>
      <c r="K568" s="69"/>
    </row>
    <row r="569" spans="1:11" ht="15.75" customHeight="1" x14ac:dyDescent="0.4">
      <c r="A569" s="67"/>
      <c r="B569" s="68"/>
      <c r="C569" s="68"/>
      <c r="D569" s="67"/>
      <c r="E569" s="67"/>
      <c r="F569" s="69"/>
      <c r="G569" s="69"/>
      <c r="H569" s="69"/>
      <c r="I569" s="69"/>
      <c r="J569" s="69"/>
      <c r="K569" s="69"/>
    </row>
    <row r="570" spans="1:11" ht="15.75" customHeight="1" x14ac:dyDescent="0.4">
      <c r="A570" s="67"/>
      <c r="B570" s="68"/>
      <c r="C570" s="68"/>
      <c r="D570" s="67"/>
      <c r="E570" s="67"/>
      <c r="F570" s="69"/>
      <c r="G570" s="69"/>
      <c r="H570" s="69"/>
      <c r="I570" s="69"/>
      <c r="J570" s="69"/>
      <c r="K570" s="69"/>
    </row>
    <row r="571" spans="1:11" ht="15.75" customHeight="1" x14ac:dyDescent="0.4">
      <c r="A571" s="67"/>
      <c r="B571" s="68"/>
      <c r="C571" s="68"/>
      <c r="D571" s="67"/>
      <c r="E571" s="67"/>
      <c r="F571" s="69"/>
      <c r="G571" s="69"/>
      <c r="H571" s="69"/>
      <c r="I571" s="69"/>
      <c r="J571" s="69"/>
      <c r="K571" s="69"/>
    </row>
    <row r="572" spans="1:11" ht="15.75" customHeight="1" x14ac:dyDescent="0.4">
      <c r="A572" s="67"/>
      <c r="B572" s="68"/>
      <c r="C572" s="68"/>
      <c r="D572" s="67"/>
      <c r="E572" s="67"/>
      <c r="F572" s="69"/>
      <c r="G572" s="69"/>
      <c r="H572" s="69"/>
      <c r="I572" s="69"/>
      <c r="J572" s="69"/>
      <c r="K572" s="69"/>
    </row>
    <row r="573" spans="1:11" ht="15.75" customHeight="1" x14ac:dyDescent="0.4">
      <c r="A573" s="67"/>
      <c r="B573" s="68"/>
      <c r="C573" s="68"/>
      <c r="D573" s="67"/>
      <c r="E573" s="67"/>
      <c r="F573" s="69"/>
      <c r="G573" s="69"/>
      <c r="H573" s="69"/>
      <c r="I573" s="69"/>
      <c r="J573" s="69"/>
      <c r="K573" s="69"/>
    </row>
    <row r="574" spans="1:11" ht="15.75" customHeight="1" x14ac:dyDescent="0.4">
      <c r="A574" s="67"/>
      <c r="B574" s="68"/>
      <c r="C574" s="68"/>
      <c r="D574" s="67"/>
      <c r="E574" s="67"/>
      <c r="F574" s="69"/>
      <c r="G574" s="69"/>
      <c r="H574" s="69"/>
      <c r="I574" s="69"/>
      <c r="J574" s="69"/>
      <c r="K574" s="69"/>
    </row>
    <row r="575" spans="1:11" ht="15.75" customHeight="1" x14ac:dyDescent="0.4">
      <c r="A575" s="67"/>
      <c r="B575" s="68"/>
      <c r="C575" s="68"/>
      <c r="D575" s="67"/>
      <c r="E575" s="67"/>
      <c r="F575" s="69"/>
      <c r="G575" s="69"/>
      <c r="H575" s="69"/>
      <c r="I575" s="69"/>
      <c r="J575" s="69"/>
      <c r="K575" s="69"/>
    </row>
    <row r="576" spans="1:11" ht="15.75" customHeight="1" x14ac:dyDescent="0.4">
      <c r="A576" s="67"/>
      <c r="B576" s="68"/>
      <c r="C576" s="68"/>
      <c r="D576" s="67"/>
      <c r="E576" s="67"/>
      <c r="F576" s="69"/>
      <c r="G576" s="69"/>
      <c r="H576" s="69"/>
      <c r="I576" s="69"/>
      <c r="J576" s="69"/>
      <c r="K576" s="69"/>
    </row>
    <row r="577" spans="1:11" ht="15.75" customHeight="1" x14ac:dyDescent="0.4">
      <c r="A577" s="67"/>
      <c r="B577" s="68"/>
      <c r="C577" s="68"/>
      <c r="D577" s="67"/>
      <c r="E577" s="67"/>
      <c r="F577" s="69"/>
      <c r="G577" s="69"/>
      <c r="H577" s="69"/>
      <c r="I577" s="69"/>
      <c r="J577" s="69"/>
      <c r="K577" s="69"/>
    </row>
    <row r="578" spans="1:11" ht="15.75" customHeight="1" x14ac:dyDescent="0.4">
      <c r="A578" s="67"/>
      <c r="B578" s="68"/>
      <c r="C578" s="68"/>
      <c r="D578" s="67"/>
      <c r="E578" s="67"/>
      <c r="F578" s="69"/>
      <c r="G578" s="69"/>
      <c r="H578" s="69"/>
      <c r="I578" s="69"/>
      <c r="J578" s="69"/>
      <c r="K578" s="69"/>
    </row>
    <row r="579" spans="1:11" ht="15.75" customHeight="1" x14ac:dyDescent="0.4">
      <c r="A579" s="67"/>
      <c r="B579" s="68"/>
      <c r="C579" s="68"/>
      <c r="D579" s="67"/>
      <c r="E579" s="67"/>
      <c r="F579" s="69"/>
      <c r="G579" s="69"/>
      <c r="H579" s="69"/>
      <c r="I579" s="69"/>
      <c r="J579" s="69"/>
      <c r="K579" s="69"/>
    </row>
    <row r="580" spans="1:11" ht="15.75" customHeight="1" x14ac:dyDescent="0.4">
      <c r="A580" s="67"/>
      <c r="B580" s="68"/>
      <c r="C580" s="68"/>
      <c r="D580" s="67"/>
      <c r="E580" s="67"/>
      <c r="F580" s="69"/>
      <c r="G580" s="69"/>
      <c r="H580" s="69"/>
      <c r="I580" s="69"/>
      <c r="J580" s="69"/>
      <c r="K580" s="69"/>
    </row>
    <row r="581" spans="1:11" ht="15.75" customHeight="1" x14ac:dyDescent="0.4">
      <c r="A581" s="67"/>
      <c r="B581" s="68"/>
      <c r="C581" s="68"/>
      <c r="D581" s="67"/>
      <c r="E581" s="67"/>
      <c r="F581" s="69"/>
      <c r="G581" s="69"/>
      <c r="H581" s="69"/>
      <c r="I581" s="69"/>
      <c r="J581" s="69"/>
      <c r="K581" s="69"/>
    </row>
    <row r="582" spans="1:11" ht="15.75" customHeight="1" x14ac:dyDescent="0.4">
      <c r="A582" s="67"/>
      <c r="B582" s="68"/>
      <c r="C582" s="68"/>
      <c r="D582" s="67"/>
      <c r="E582" s="67"/>
      <c r="F582" s="69"/>
      <c r="G582" s="69"/>
      <c r="H582" s="69"/>
      <c r="I582" s="69"/>
      <c r="J582" s="69"/>
      <c r="K582" s="69"/>
    </row>
    <row r="583" spans="1:11" ht="15.75" customHeight="1" x14ac:dyDescent="0.4">
      <c r="A583" s="67"/>
      <c r="B583" s="68"/>
      <c r="C583" s="68"/>
      <c r="D583" s="67"/>
      <c r="E583" s="67"/>
      <c r="F583" s="69"/>
      <c r="G583" s="69"/>
      <c r="H583" s="69"/>
      <c r="I583" s="69"/>
      <c r="J583" s="69"/>
      <c r="K583" s="69"/>
    </row>
    <row r="584" spans="1:11" ht="15.75" customHeight="1" x14ac:dyDescent="0.4">
      <c r="A584" s="67"/>
      <c r="B584" s="68"/>
      <c r="C584" s="68"/>
      <c r="D584" s="67"/>
      <c r="E584" s="67"/>
      <c r="F584" s="69"/>
      <c r="G584" s="69"/>
      <c r="H584" s="69"/>
      <c r="I584" s="69"/>
      <c r="J584" s="69"/>
      <c r="K584" s="69"/>
    </row>
    <row r="585" spans="1:11" ht="15.75" customHeight="1" x14ac:dyDescent="0.4">
      <c r="A585" s="67"/>
      <c r="B585" s="68"/>
      <c r="C585" s="68"/>
      <c r="D585" s="67"/>
      <c r="E585" s="67"/>
      <c r="F585" s="69"/>
      <c r="G585" s="69"/>
      <c r="H585" s="69"/>
      <c r="I585" s="69"/>
      <c r="J585" s="69"/>
      <c r="K585" s="69"/>
    </row>
    <row r="586" spans="1:11" ht="15.75" customHeight="1" x14ac:dyDescent="0.4">
      <c r="A586" s="67"/>
      <c r="B586" s="68"/>
      <c r="C586" s="68"/>
      <c r="D586" s="67"/>
      <c r="E586" s="67"/>
      <c r="F586" s="69"/>
      <c r="G586" s="69"/>
      <c r="H586" s="69"/>
      <c r="I586" s="69"/>
      <c r="J586" s="69"/>
      <c r="K586" s="69"/>
    </row>
    <row r="587" spans="1:11" ht="15.75" customHeight="1" x14ac:dyDescent="0.4">
      <c r="A587" s="67"/>
      <c r="B587" s="68"/>
      <c r="C587" s="68"/>
      <c r="D587" s="67"/>
      <c r="E587" s="67"/>
      <c r="F587" s="69"/>
      <c r="G587" s="69"/>
      <c r="H587" s="69"/>
      <c r="I587" s="69"/>
      <c r="J587" s="69"/>
      <c r="K587" s="69"/>
    </row>
    <row r="588" spans="1:11" ht="15.75" customHeight="1" x14ac:dyDescent="0.4">
      <c r="A588" s="67"/>
      <c r="B588" s="68"/>
      <c r="C588" s="68"/>
      <c r="D588" s="67"/>
      <c r="E588" s="67"/>
      <c r="F588" s="69"/>
      <c r="G588" s="69"/>
      <c r="H588" s="69"/>
      <c r="I588" s="69"/>
      <c r="J588" s="69"/>
      <c r="K588" s="69"/>
    </row>
    <row r="589" spans="1:11" ht="15.75" customHeight="1" x14ac:dyDescent="0.4">
      <c r="A589" s="67"/>
      <c r="B589" s="68"/>
      <c r="C589" s="68"/>
      <c r="D589" s="67"/>
      <c r="E589" s="67"/>
      <c r="F589" s="69"/>
      <c r="G589" s="69"/>
      <c r="H589" s="69"/>
      <c r="I589" s="69"/>
      <c r="J589" s="69"/>
      <c r="K589" s="69"/>
    </row>
    <row r="590" spans="1:11" ht="15.75" customHeight="1" x14ac:dyDescent="0.4">
      <c r="A590" s="67"/>
      <c r="B590" s="68"/>
      <c r="C590" s="68"/>
      <c r="D590" s="67"/>
      <c r="E590" s="67"/>
      <c r="F590" s="69"/>
      <c r="G590" s="69"/>
      <c r="H590" s="69"/>
      <c r="I590" s="69"/>
      <c r="J590" s="69"/>
      <c r="K590" s="69"/>
    </row>
    <row r="591" spans="1:11" ht="15.75" customHeight="1" x14ac:dyDescent="0.4">
      <c r="A591" s="67"/>
      <c r="B591" s="68"/>
      <c r="C591" s="68"/>
      <c r="D591" s="67"/>
      <c r="E591" s="67"/>
      <c r="F591" s="69"/>
      <c r="G591" s="69"/>
      <c r="H591" s="69"/>
      <c r="I591" s="69"/>
      <c r="J591" s="69"/>
      <c r="K591" s="69"/>
    </row>
    <row r="592" spans="1:11" ht="15.75" customHeight="1" x14ac:dyDescent="0.4">
      <c r="A592" s="67"/>
      <c r="B592" s="68"/>
      <c r="C592" s="68"/>
      <c r="D592" s="67"/>
      <c r="E592" s="67"/>
      <c r="F592" s="69"/>
      <c r="G592" s="69"/>
      <c r="H592" s="69"/>
      <c r="I592" s="69"/>
      <c r="J592" s="69"/>
      <c r="K592" s="69"/>
    </row>
    <row r="593" spans="1:11" ht="15.75" customHeight="1" x14ac:dyDescent="0.4">
      <c r="A593" s="67"/>
      <c r="B593" s="68"/>
      <c r="C593" s="68"/>
      <c r="D593" s="67"/>
      <c r="E593" s="67"/>
      <c r="F593" s="69"/>
      <c r="G593" s="69"/>
      <c r="H593" s="69"/>
      <c r="I593" s="69"/>
      <c r="J593" s="69"/>
      <c r="K593" s="69"/>
    </row>
    <row r="594" spans="1:11" ht="15.75" customHeight="1" x14ac:dyDescent="0.4">
      <c r="A594" s="67"/>
      <c r="B594" s="68"/>
      <c r="C594" s="68"/>
      <c r="D594" s="67"/>
      <c r="E594" s="67"/>
      <c r="F594" s="69"/>
      <c r="G594" s="69"/>
      <c r="H594" s="69"/>
      <c r="I594" s="69"/>
      <c r="J594" s="69"/>
      <c r="K594" s="69"/>
    </row>
    <row r="595" spans="1:11" ht="15.75" customHeight="1" x14ac:dyDescent="0.4">
      <c r="A595" s="67"/>
      <c r="B595" s="68"/>
      <c r="C595" s="68"/>
      <c r="D595" s="67"/>
      <c r="E595" s="67"/>
      <c r="F595" s="69"/>
      <c r="G595" s="69"/>
      <c r="H595" s="69"/>
      <c r="I595" s="69"/>
      <c r="J595" s="69"/>
      <c r="K595" s="69"/>
    </row>
    <row r="596" spans="1:11" ht="15.75" customHeight="1" x14ac:dyDescent="0.4">
      <c r="A596" s="67"/>
      <c r="B596" s="68"/>
      <c r="C596" s="68"/>
      <c r="D596" s="67"/>
      <c r="E596" s="67"/>
      <c r="F596" s="69"/>
      <c r="G596" s="69"/>
      <c r="H596" s="69"/>
      <c r="I596" s="69"/>
      <c r="J596" s="69"/>
      <c r="K596" s="69"/>
    </row>
    <row r="597" spans="1:11" ht="15.75" customHeight="1" x14ac:dyDescent="0.4">
      <c r="A597" s="67"/>
      <c r="B597" s="68"/>
      <c r="C597" s="68"/>
      <c r="D597" s="67"/>
      <c r="E597" s="67"/>
      <c r="F597" s="69"/>
      <c r="G597" s="69"/>
      <c r="H597" s="69"/>
      <c r="I597" s="69"/>
      <c r="J597" s="69"/>
      <c r="K597" s="69"/>
    </row>
    <row r="598" spans="1:11" ht="15.75" customHeight="1" x14ac:dyDescent="0.4">
      <c r="A598" s="67"/>
      <c r="B598" s="68"/>
      <c r="C598" s="68"/>
      <c r="D598" s="67"/>
      <c r="E598" s="67"/>
      <c r="F598" s="69"/>
      <c r="G598" s="69"/>
      <c r="H598" s="69"/>
      <c r="I598" s="69"/>
      <c r="J598" s="69"/>
      <c r="K598" s="69"/>
    </row>
    <row r="599" spans="1:11" ht="15.75" customHeight="1" x14ac:dyDescent="0.4">
      <c r="A599" s="67"/>
      <c r="B599" s="68"/>
      <c r="C599" s="68"/>
      <c r="D599" s="67"/>
      <c r="E599" s="67"/>
      <c r="F599" s="69"/>
      <c r="G599" s="69"/>
      <c r="H599" s="69"/>
      <c r="I599" s="69"/>
      <c r="J599" s="69"/>
      <c r="K599" s="69"/>
    </row>
    <row r="600" spans="1:11" ht="15.75" customHeight="1" x14ac:dyDescent="0.4">
      <c r="A600" s="67"/>
      <c r="B600" s="68"/>
      <c r="C600" s="68"/>
      <c r="D600" s="67"/>
      <c r="E600" s="67"/>
      <c r="F600" s="69"/>
      <c r="G600" s="69"/>
      <c r="H600" s="69"/>
      <c r="I600" s="69"/>
      <c r="J600" s="69"/>
      <c r="K600" s="69"/>
    </row>
    <row r="601" spans="1:11" ht="15.75" customHeight="1" x14ac:dyDescent="0.4">
      <c r="A601" s="67"/>
      <c r="B601" s="68"/>
      <c r="C601" s="68"/>
      <c r="D601" s="67"/>
      <c r="E601" s="67"/>
      <c r="F601" s="69"/>
      <c r="G601" s="69"/>
      <c r="H601" s="69"/>
      <c r="I601" s="69"/>
      <c r="J601" s="69"/>
      <c r="K601" s="69"/>
    </row>
    <row r="602" spans="1:11" ht="15.75" customHeight="1" x14ac:dyDescent="0.4">
      <c r="A602" s="67"/>
      <c r="B602" s="68"/>
      <c r="C602" s="68"/>
      <c r="D602" s="67"/>
      <c r="E602" s="67"/>
      <c r="F602" s="69"/>
      <c r="G602" s="69"/>
      <c r="H602" s="69"/>
      <c r="I602" s="69"/>
      <c r="J602" s="69"/>
      <c r="K602" s="69"/>
    </row>
    <row r="603" spans="1:11" ht="15.75" customHeight="1" x14ac:dyDescent="0.4">
      <c r="A603" s="67"/>
      <c r="B603" s="68"/>
      <c r="C603" s="68"/>
      <c r="D603" s="67"/>
      <c r="E603" s="67"/>
      <c r="F603" s="69"/>
      <c r="G603" s="69"/>
      <c r="H603" s="69"/>
      <c r="I603" s="69"/>
      <c r="J603" s="69"/>
      <c r="K603" s="69"/>
    </row>
    <row r="604" spans="1:11" ht="15.75" customHeight="1" x14ac:dyDescent="0.4">
      <c r="A604" s="67"/>
      <c r="B604" s="68"/>
      <c r="C604" s="68"/>
      <c r="D604" s="67"/>
      <c r="E604" s="67"/>
      <c r="F604" s="69"/>
      <c r="G604" s="69"/>
      <c r="H604" s="69"/>
      <c r="I604" s="69"/>
      <c r="J604" s="69"/>
      <c r="K604" s="69"/>
    </row>
    <row r="605" spans="1:11" ht="15.75" customHeight="1" x14ac:dyDescent="0.4">
      <c r="A605" s="67"/>
      <c r="B605" s="68"/>
      <c r="C605" s="68"/>
      <c r="D605" s="67"/>
      <c r="E605" s="67"/>
      <c r="F605" s="69"/>
      <c r="G605" s="69"/>
      <c r="H605" s="69"/>
      <c r="I605" s="69"/>
      <c r="J605" s="69"/>
      <c r="K605" s="69"/>
    </row>
    <row r="606" spans="1:11" ht="15.75" customHeight="1" x14ac:dyDescent="0.4">
      <c r="A606" s="67"/>
      <c r="B606" s="68"/>
      <c r="C606" s="68"/>
      <c r="D606" s="67"/>
      <c r="E606" s="67"/>
      <c r="F606" s="69"/>
      <c r="G606" s="69"/>
      <c r="H606" s="69"/>
      <c r="I606" s="69"/>
      <c r="J606" s="69"/>
      <c r="K606" s="69"/>
    </row>
    <row r="607" spans="1:11" ht="15.75" customHeight="1" x14ac:dyDescent="0.4">
      <c r="A607" s="67"/>
      <c r="B607" s="68"/>
      <c r="C607" s="68"/>
      <c r="D607" s="67"/>
      <c r="E607" s="67"/>
      <c r="F607" s="69"/>
      <c r="G607" s="69"/>
      <c r="H607" s="69"/>
      <c r="I607" s="69"/>
      <c r="J607" s="69"/>
      <c r="K607" s="69"/>
    </row>
    <row r="608" spans="1:11" ht="15.75" customHeight="1" x14ac:dyDescent="0.4">
      <c r="A608" s="67"/>
      <c r="B608" s="68"/>
      <c r="C608" s="68"/>
      <c r="D608" s="67"/>
      <c r="E608" s="67"/>
      <c r="F608" s="69"/>
      <c r="G608" s="69"/>
      <c r="H608" s="69"/>
      <c r="I608" s="69"/>
      <c r="J608" s="69"/>
      <c r="K608" s="69"/>
    </row>
    <row r="609" spans="1:11" ht="15.75" customHeight="1" x14ac:dyDescent="0.4">
      <c r="A609" s="67"/>
      <c r="B609" s="68"/>
      <c r="C609" s="68"/>
      <c r="D609" s="67"/>
      <c r="E609" s="67"/>
      <c r="F609" s="69"/>
      <c r="G609" s="69"/>
      <c r="H609" s="69"/>
      <c r="I609" s="69"/>
      <c r="J609" s="69"/>
      <c r="K609" s="69"/>
    </row>
    <row r="610" spans="1:11" ht="15.75" customHeight="1" x14ac:dyDescent="0.4">
      <c r="A610" s="67"/>
      <c r="B610" s="68"/>
      <c r="C610" s="68"/>
      <c r="D610" s="67"/>
      <c r="E610" s="67"/>
      <c r="F610" s="69"/>
      <c r="G610" s="69"/>
      <c r="H610" s="69"/>
      <c r="I610" s="69"/>
      <c r="J610" s="69"/>
      <c r="K610" s="69"/>
    </row>
    <row r="611" spans="1:11" ht="15.75" customHeight="1" x14ac:dyDescent="0.4">
      <c r="A611" s="67"/>
      <c r="B611" s="68"/>
      <c r="C611" s="68"/>
      <c r="D611" s="67"/>
      <c r="E611" s="67"/>
      <c r="F611" s="69"/>
      <c r="G611" s="69"/>
      <c r="H611" s="69"/>
      <c r="I611" s="69"/>
      <c r="J611" s="69"/>
      <c r="K611" s="69"/>
    </row>
    <row r="612" spans="1:11" ht="15.75" customHeight="1" x14ac:dyDescent="0.4">
      <c r="A612" s="67"/>
      <c r="B612" s="68"/>
      <c r="C612" s="68"/>
      <c r="D612" s="67"/>
      <c r="E612" s="67"/>
      <c r="F612" s="69"/>
      <c r="G612" s="69"/>
      <c r="H612" s="69"/>
      <c r="I612" s="69"/>
      <c r="J612" s="69"/>
      <c r="K612" s="69"/>
    </row>
    <row r="613" spans="1:11" ht="15.75" customHeight="1" x14ac:dyDescent="0.4">
      <c r="A613" s="67"/>
      <c r="B613" s="68"/>
      <c r="C613" s="68"/>
      <c r="D613" s="67"/>
      <c r="E613" s="67"/>
      <c r="F613" s="69"/>
      <c r="G613" s="69"/>
      <c r="H613" s="69"/>
      <c r="I613" s="69"/>
      <c r="J613" s="69"/>
      <c r="K613" s="69"/>
    </row>
    <row r="614" spans="1:11" ht="15.75" customHeight="1" x14ac:dyDescent="0.4">
      <c r="A614" s="67"/>
      <c r="B614" s="68"/>
      <c r="C614" s="68"/>
      <c r="D614" s="67"/>
      <c r="E614" s="67"/>
      <c r="F614" s="69"/>
      <c r="G614" s="69"/>
      <c r="H614" s="69"/>
      <c r="I614" s="69"/>
      <c r="J614" s="69"/>
      <c r="K614" s="69"/>
    </row>
    <row r="615" spans="1:11" ht="15.75" customHeight="1" x14ac:dyDescent="0.4">
      <c r="A615" s="67"/>
      <c r="B615" s="68"/>
      <c r="C615" s="68"/>
      <c r="D615" s="67"/>
      <c r="E615" s="67"/>
      <c r="F615" s="69"/>
      <c r="G615" s="69"/>
      <c r="H615" s="69"/>
      <c r="I615" s="69"/>
      <c r="J615" s="69"/>
      <c r="K615" s="69"/>
    </row>
    <row r="616" spans="1:11" ht="15.75" customHeight="1" x14ac:dyDescent="0.4">
      <c r="A616" s="67"/>
      <c r="B616" s="68"/>
      <c r="C616" s="68"/>
      <c r="D616" s="67"/>
      <c r="E616" s="67"/>
      <c r="F616" s="69"/>
      <c r="G616" s="69"/>
      <c r="H616" s="69"/>
      <c r="I616" s="69"/>
      <c r="J616" s="69"/>
      <c r="K616" s="69"/>
    </row>
    <row r="617" spans="1:11" ht="15.75" customHeight="1" x14ac:dyDescent="0.4">
      <c r="A617" s="67"/>
      <c r="B617" s="68"/>
      <c r="C617" s="68"/>
      <c r="D617" s="67"/>
      <c r="E617" s="67"/>
      <c r="F617" s="69"/>
      <c r="G617" s="69"/>
      <c r="H617" s="69"/>
      <c r="I617" s="69"/>
      <c r="J617" s="69"/>
      <c r="K617" s="69"/>
    </row>
    <row r="618" spans="1:11" ht="15.75" customHeight="1" x14ac:dyDescent="0.4">
      <c r="A618" s="67"/>
      <c r="B618" s="68"/>
      <c r="C618" s="68"/>
      <c r="D618" s="67"/>
      <c r="E618" s="67"/>
      <c r="F618" s="69"/>
      <c r="G618" s="69"/>
      <c r="H618" s="69"/>
      <c r="I618" s="69"/>
      <c r="J618" s="69"/>
      <c r="K618" s="69"/>
    </row>
    <row r="619" spans="1:11" ht="15.75" customHeight="1" x14ac:dyDescent="0.4">
      <c r="A619" s="67"/>
      <c r="B619" s="68"/>
      <c r="C619" s="68"/>
      <c r="D619" s="67"/>
      <c r="E619" s="67"/>
      <c r="F619" s="69"/>
      <c r="G619" s="69"/>
      <c r="H619" s="69"/>
      <c r="I619" s="69"/>
      <c r="J619" s="69"/>
      <c r="K619" s="69"/>
    </row>
    <row r="620" spans="1:11" ht="15.75" customHeight="1" x14ac:dyDescent="0.4">
      <c r="A620" s="67"/>
      <c r="B620" s="68"/>
      <c r="C620" s="68"/>
      <c r="D620" s="67"/>
      <c r="E620" s="67"/>
      <c r="F620" s="69"/>
      <c r="G620" s="69"/>
      <c r="H620" s="69"/>
      <c r="I620" s="69"/>
      <c r="J620" s="69"/>
      <c r="K620" s="69"/>
    </row>
    <row r="621" spans="1:11" ht="15.75" customHeight="1" x14ac:dyDescent="0.4">
      <c r="A621" s="67"/>
      <c r="B621" s="68"/>
      <c r="C621" s="68"/>
      <c r="D621" s="67"/>
      <c r="E621" s="67"/>
      <c r="F621" s="69"/>
      <c r="G621" s="69"/>
      <c r="H621" s="69"/>
      <c r="I621" s="69"/>
      <c r="J621" s="69"/>
      <c r="K621" s="69"/>
    </row>
    <row r="622" spans="1:11" ht="15.75" customHeight="1" x14ac:dyDescent="0.4">
      <c r="A622" s="67"/>
      <c r="B622" s="68"/>
      <c r="C622" s="68"/>
      <c r="D622" s="67"/>
      <c r="E622" s="67"/>
      <c r="F622" s="69"/>
      <c r="G622" s="69"/>
      <c r="H622" s="69"/>
      <c r="I622" s="69"/>
      <c r="J622" s="69"/>
      <c r="K622" s="69"/>
    </row>
    <row r="623" spans="1:11" ht="15.75" customHeight="1" x14ac:dyDescent="0.4">
      <c r="A623" s="67"/>
      <c r="B623" s="68"/>
      <c r="C623" s="68"/>
      <c r="D623" s="67"/>
      <c r="E623" s="67"/>
      <c r="F623" s="69"/>
      <c r="G623" s="69"/>
      <c r="H623" s="69"/>
      <c r="I623" s="69"/>
      <c r="J623" s="69"/>
      <c r="K623" s="69"/>
    </row>
    <row r="624" spans="1:11" ht="15.75" customHeight="1" x14ac:dyDescent="0.4">
      <c r="A624" s="67"/>
      <c r="B624" s="68"/>
      <c r="C624" s="68"/>
      <c r="D624" s="67"/>
      <c r="E624" s="67"/>
      <c r="F624" s="69"/>
      <c r="G624" s="69"/>
      <c r="H624" s="69"/>
      <c r="I624" s="69"/>
      <c r="J624" s="69"/>
      <c r="K624" s="69"/>
    </row>
    <row r="625" spans="1:11" ht="15.75" customHeight="1" x14ac:dyDescent="0.4">
      <c r="A625" s="67"/>
      <c r="B625" s="68"/>
      <c r="C625" s="68"/>
      <c r="D625" s="67"/>
      <c r="E625" s="67"/>
      <c r="F625" s="69"/>
      <c r="G625" s="69"/>
      <c r="H625" s="69"/>
      <c r="I625" s="69"/>
      <c r="J625" s="69"/>
      <c r="K625" s="69"/>
    </row>
    <row r="626" spans="1:11" ht="15.75" customHeight="1" x14ac:dyDescent="0.4">
      <c r="A626" s="67"/>
      <c r="B626" s="68"/>
      <c r="C626" s="68"/>
      <c r="D626" s="67"/>
      <c r="E626" s="67"/>
      <c r="F626" s="69"/>
      <c r="G626" s="69"/>
      <c r="H626" s="69"/>
      <c r="I626" s="69"/>
      <c r="J626" s="69"/>
      <c r="K626" s="69"/>
    </row>
    <row r="627" spans="1:11" ht="15.75" customHeight="1" x14ac:dyDescent="0.4">
      <c r="A627" s="67"/>
      <c r="B627" s="68"/>
      <c r="C627" s="68"/>
      <c r="D627" s="67"/>
      <c r="E627" s="67"/>
      <c r="F627" s="69"/>
      <c r="G627" s="69"/>
      <c r="H627" s="69"/>
      <c r="I627" s="69"/>
      <c r="J627" s="69"/>
      <c r="K627" s="69"/>
    </row>
    <row r="628" spans="1:11" ht="15.75" customHeight="1" x14ac:dyDescent="0.4">
      <c r="A628" s="67"/>
      <c r="B628" s="68"/>
      <c r="C628" s="68"/>
      <c r="D628" s="67"/>
      <c r="E628" s="67"/>
      <c r="F628" s="69"/>
      <c r="G628" s="69"/>
      <c r="H628" s="69"/>
      <c r="I628" s="69"/>
      <c r="J628" s="69"/>
      <c r="K628" s="69"/>
    </row>
    <row r="629" spans="1:11" ht="15.75" customHeight="1" x14ac:dyDescent="0.4">
      <c r="A629" s="67"/>
      <c r="B629" s="68"/>
      <c r="C629" s="68"/>
      <c r="D629" s="67"/>
      <c r="E629" s="67"/>
      <c r="F629" s="69"/>
      <c r="G629" s="69"/>
      <c r="H629" s="69"/>
      <c r="I629" s="69"/>
      <c r="J629" s="69"/>
      <c r="K629" s="69"/>
    </row>
    <row r="630" spans="1:11" ht="15.75" customHeight="1" x14ac:dyDescent="0.4">
      <c r="A630" s="67"/>
      <c r="B630" s="68"/>
      <c r="C630" s="68"/>
      <c r="D630" s="67"/>
      <c r="E630" s="67"/>
      <c r="F630" s="69"/>
      <c r="G630" s="69"/>
      <c r="H630" s="69"/>
      <c r="I630" s="69"/>
      <c r="J630" s="69"/>
      <c r="K630" s="69"/>
    </row>
    <row r="631" spans="1:11" ht="15.75" customHeight="1" x14ac:dyDescent="0.4">
      <c r="A631" s="67"/>
      <c r="B631" s="68"/>
      <c r="C631" s="68"/>
      <c r="D631" s="67"/>
      <c r="E631" s="67"/>
      <c r="F631" s="69"/>
      <c r="G631" s="69"/>
      <c r="H631" s="69"/>
      <c r="I631" s="69"/>
      <c r="J631" s="69"/>
      <c r="K631" s="69"/>
    </row>
    <row r="632" spans="1:11" ht="15.75" customHeight="1" x14ac:dyDescent="0.4">
      <c r="A632" s="67"/>
      <c r="B632" s="68"/>
      <c r="C632" s="68"/>
      <c r="D632" s="67"/>
      <c r="E632" s="67"/>
      <c r="F632" s="69"/>
      <c r="G632" s="69"/>
      <c r="H632" s="69"/>
      <c r="I632" s="69"/>
      <c r="J632" s="69"/>
      <c r="K632" s="69"/>
    </row>
    <row r="633" spans="1:11" ht="15.75" customHeight="1" x14ac:dyDescent="0.4">
      <c r="A633" s="67"/>
      <c r="B633" s="68"/>
      <c r="C633" s="68"/>
      <c r="D633" s="67"/>
      <c r="E633" s="67"/>
      <c r="F633" s="69"/>
      <c r="G633" s="69"/>
      <c r="H633" s="69"/>
      <c r="I633" s="69"/>
      <c r="J633" s="69"/>
      <c r="K633" s="69"/>
    </row>
    <row r="634" spans="1:11" ht="15.75" customHeight="1" x14ac:dyDescent="0.4">
      <c r="A634" s="67"/>
      <c r="B634" s="68"/>
      <c r="C634" s="68"/>
      <c r="D634" s="67"/>
      <c r="E634" s="67"/>
      <c r="F634" s="69"/>
      <c r="G634" s="69"/>
      <c r="H634" s="69"/>
      <c r="I634" s="69"/>
      <c r="J634" s="69"/>
      <c r="K634" s="69"/>
    </row>
    <row r="635" spans="1:11" ht="15.75" customHeight="1" x14ac:dyDescent="0.4">
      <c r="A635" s="67"/>
      <c r="B635" s="68"/>
      <c r="C635" s="68"/>
      <c r="D635" s="67"/>
      <c r="E635" s="67"/>
      <c r="F635" s="69"/>
      <c r="G635" s="69"/>
      <c r="H635" s="69"/>
      <c r="I635" s="69"/>
      <c r="J635" s="69"/>
      <c r="K635" s="69"/>
    </row>
    <row r="636" spans="1:11" ht="15.75" customHeight="1" x14ac:dyDescent="0.4">
      <c r="A636" s="67"/>
      <c r="B636" s="68"/>
      <c r="C636" s="68"/>
      <c r="D636" s="67"/>
      <c r="E636" s="67"/>
      <c r="F636" s="69"/>
      <c r="G636" s="69"/>
      <c r="H636" s="69"/>
      <c r="I636" s="69"/>
      <c r="J636" s="69"/>
      <c r="K636" s="69"/>
    </row>
    <row r="637" spans="1:11" ht="15.75" customHeight="1" x14ac:dyDescent="0.4">
      <c r="A637" s="67"/>
      <c r="B637" s="68"/>
      <c r="C637" s="68"/>
      <c r="D637" s="67"/>
      <c r="E637" s="67"/>
      <c r="F637" s="69"/>
      <c r="G637" s="69"/>
      <c r="H637" s="69"/>
      <c r="I637" s="69"/>
      <c r="J637" s="69"/>
      <c r="K637" s="69"/>
    </row>
    <row r="638" spans="1:11" ht="15.75" customHeight="1" x14ac:dyDescent="0.4">
      <c r="A638" s="67"/>
      <c r="B638" s="68"/>
      <c r="C638" s="68"/>
      <c r="D638" s="67"/>
      <c r="E638" s="67"/>
      <c r="F638" s="69"/>
      <c r="G638" s="69"/>
      <c r="H638" s="69"/>
      <c r="I638" s="69"/>
      <c r="J638" s="69"/>
      <c r="K638" s="69"/>
    </row>
    <row r="639" spans="1:11" ht="15.75" customHeight="1" x14ac:dyDescent="0.4">
      <c r="A639" s="67"/>
      <c r="B639" s="68"/>
      <c r="C639" s="68"/>
      <c r="D639" s="67"/>
      <c r="E639" s="67"/>
      <c r="F639" s="69"/>
      <c r="G639" s="69"/>
      <c r="H639" s="69"/>
      <c r="I639" s="69"/>
      <c r="J639" s="69"/>
      <c r="K639" s="69"/>
    </row>
    <row r="640" spans="1:11" ht="15.75" customHeight="1" x14ac:dyDescent="0.4">
      <c r="A640" s="67"/>
      <c r="B640" s="68"/>
      <c r="C640" s="68"/>
      <c r="D640" s="67"/>
      <c r="E640" s="67"/>
      <c r="F640" s="69"/>
      <c r="G640" s="69"/>
      <c r="H640" s="69"/>
      <c r="I640" s="69"/>
      <c r="J640" s="69"/>
      <c r="K640" s="69"/>
    </row>
    <row r="641" spans="1:11" ht="15.75" customHeight="1" x14ac:dyDescent="0.4">
      <c r="A641" s="67"/>
      <c r="B641" s="68"/>
      <c r="C641" s="68"/>
      <c r="D641" s="67"/>
      <c r="E641" s="67"/>
      <c r="F641" s="69"/>
      <c r="G641" s="69"/>
      <c r="H641" s="69"/>
      <c r="I641" s="69"/>
      <c r="J641" s="69"/>
      <c r="K641" s="69"/>
    </row>
    <row r="642" spans="1:11" ht="15.75" customHeight="1" x14ac:dyDescent="0.4">
      <c r="A642" s="67"/>
      <c r="B642" s="68"/>
      <c r="C642" s="68"/>
      <c r="D642" s="67"/>
      <c r="E642" s="67"/>
      <c r="F642" s="69"/>
      <c r="G642" s="69"/>
      <c r="H642" s="69"/>
      <c r="I642" s="69"/>
      <c r="J642" s="69"/>
      <c r="K642" s="69"/>
    </row>
    <row r="643" spans="1:11" ht="15.75" customHeight="1" x14ac:dyDescent="0.4">
      <c r="A643" s="67"/>
      <c r="B643" s="68"/>
      <c r="C643" s="68"/>
      <c r="D643" s="67"/>
      <c r="E643" s="67"/>
      <c r="F643" s="69"/>
      <c r="G643" s="69"/>
      <c r="H643" s="69"/>
      <c r="I643" s="69"/>
      <c r="J643" s="69"/>
      <c r="K643" s="69"/>
    </row>
    <row r="644" spans="1:11" ht="15.75" customHeight="1" x14ac:dyDescent="0.4">
      <c r="A644" s="67"/>
      <c r="B644" s="68"/>
      <c r="C644" s="68"/>
      <c r="D644" s="67"/>
      <c r="E644" s="67"/>
      <c r="F644" s="69"/>
      <c r="G644" s="69"/>
      <c r="H644" s="69"/>
      <c r="I644" s="69"/>
      <c r="J644" s="69"/>
      <c r="K644" s="69"/>
    </row>
    <row r="645" spans="1:11" ht="15.75" customHeight="1" x14ac:dyDescent="0.4">
      <c r="A645" s="67"/>
      <c r="B645" s="68"/>
      <c r="C645" s="68"/>
      <c r="D645" s="67"/>
      <c r="E645" s="67"/>
      <c r="F645" s="69"/>
      <c r="G645" s="69"/>
      <c r="H645" s="69"/>
      <c r="I645" s="69"/>
      <c r="J645" s="69"/>
      <c r="K645" s="69"/>
    </row>
    <row r="646" spans="1:11" ht="15.75" customHeight="1" x14ac:dyDescent="0.4">
      <c r="A646" s="67"/>
      <c r="B646" s="68"/>
      <c r="C646" s="68"/>
      <c r="D646" s="67"/>
      <c r="E646" s="67"/>
      <c r="F646" s="69"/>
      <c r="G646" s="69"/>
      <c r="H646" s="69"/>
      <c r="I646" s="69"/>
      <c r="J646" s="69"/>
      <c r="K646" s="69"/>
    </row>
    <row r="647" spans="1:11" ht="15.75" customHeight="1" x14ac:dyDescent="0.4">
      <c r="A647" s="67"/>
      <c r="B647" s="68"/>
      <c r="C647" s="68"/>
      <c r="D647" s="67"/>
      <c r="E647" s="67"/>
      <c r="F647" s="69"/>
      <c r="G647" s="69"/>
      <c r="H647" s="69"/>
      <c r="I647" s="69"/>
      <c r="J647" s="69"/>
      <c r="K647" s="69"/>
    </row>
    <row r="648" spans="1:11" ht="15.75" customHeight="1" x14ac:dyDescent="0.4">
      <c r="A648" s="67"/>
      <c r="B648" s="68"/>
      <c r="C648" s="68"/>
      <c r="D648" s="67"/>
      <c r="E648" s="67"/>
      <c r="F648" s="69"/>
      <c r="G648" s="69"/>
      <c r="H648" s="69"/>
      <c r="I648" s="69"/>
      <c r="J648" s="69"/>
      <c r="K648" s="69"/>
    </row>
    <row r="649" spans="1:11" ht="15.75" customHeight="1" x14ac:dyDescent="0.4">
      <c r="A649" s="67"/>
      <c r="B649" s="68"/>
      <c r="C649" s="68"/>
      <c r="D649" s="67"/>
      <c r="E649" s="67"/>
      <c r="F649" s="69"/>
      <c r="G649" s="69"/>
      <c r="H649" s="69"/>
      <c r="I649" s="69"/>
      <c r="J649" s="69"/>
      <c r="K649" s="69"/>
    </row>
    <row r="650" spans="1:11" ht="15.75" customHeight="1" x14ac:dyDescent="0.4">
      <c r="A650" s="67"/>
      <c r="B650" s="68"/>
      <c r="C650" s="68"/>
      <c r="D650" s="67"/>
      <c r="E650" s="67"/>
      <c r="F650" s="69"/>
      <c r="G650" s="69"/>
      <c r="H650" s="69"/>
      <c r="I650" s="69"/>
      <c r="J650" s="69"/>
      <c r="K650" s="69"/>
    </row>
    <row r="651" spans="1:11" ht="15.75" customHeight="1" x14ac:dyDescent="0.4">
      <c r="A651" s="67"/>
      <c r="B651" s="68"/>
      <c r="C651" s="68"/>
      <c r="D651" s="67"/>
      <c r="E651" s="67"/>
      <c r="F651" s="69"/>
      <c r="G651" s="69"/>
      <c r="H651" s="69"/>
      <c r="I651" s="69"/>
      <c r="J651" s="69"/>
      <c r="K651" s="69"/>
    </row>
    <row r="652" spans="1:11" ht="15.75" customHeight="1" x14ac:dyDescent="0.4">
      <c r="A652" s="67"/>
      <c r="B652" s="68"/>
      <c r="C652" s="68"/>
      <c r="D652" s="67"/>
      <c r="E652" s="67"/>
      <c r="F652" s="69"/>
      <c r="G652" s="69"/>
      <c r="H652" s="69"/>
      <c r="I652" s="69"/>
      <c r="J652" s="69"/>
      <c r="K652" s="69"/>
    </row>
    <row r="653" spans="1:11" ht="15.75" customHeight="1" x14ac:dyDescent="0.4">
      <c r="A653" s="67"/>
      <c r="B653" s="68"/>
      <c r="C653" s="68"/>
      <c r="D653" s="67"/>
      <c r="E653" s="67"/>
      <c r="F653" s="69"/>
      <c r="G653" s="69"/>
      <c r="H653" s="69"/>
      <c r="I653" s="69"/>
      <c r="J653" s="69"/>
      <c r="K653" s="69"/>
    </row>
    <row r="654" spans="1:11" ht="15.75" customHeight="1" x14ac:dyDescent="0.4">
      <c r="A654" s="67"/>
      <c r="B654" s="68"/>
      <c r="C654" s="68"/>
      <c r="D654" s="67"/>
      <c r="E654" s="67"/>
      <c r="F654" s="69"/>
      <c r="G654" s="69"/>
      <c r="H654" s="69"/>
      <c r="I654" s="69"/>
      <c r="J654" s="69"/>
      <c r="K654" s="69"/>
    </row>
    <row r="655" spans="1:11" ht="15.75" customHeight="1" x14ac:dyDescent="0.4">
      <c r="A655" s="67"/>
      <c r="B655" s="68"/>
      <c r="C655" s="68"/>
      <c r="D655" s="67"/>
      <c r="E655" s="67"/>
      <c r="F655" s="69"/>
      <c r="G655" s="69"/>
      <c r="H655" s="69"/>
      <c r="I655" s="69"/>
      <c r="J655" s="69"/>
      <c r="K655" s="69"/>
    </row>
    <row r="656" spans="1:11" ht="15.75" customHeight="1" x14ac:dyDescent="0.4">
      <c r="A656" s="67"/>
      <c r="B656" s="68"/>
      <c r="C656" s="68"/>
      <c r="D656" s="67"/>
      <c r="E656" s="67"/>
      <c r="F656" s="69"/>
      <c r="G656" s="69"/>
      <c r="H656" s="69"/>
      <c r="I656" s="69"/>
      <c r="J656" s="69"/>
      <c r="K656" s="69"/>
    </row>
    <row r="657" spans="1:11" ht="15.75" customHeight="1" x14ac:dyDescent="0.4">
      <c r="A657" s="67"/>
      <c r="B657" s="68"/>
      <c r="C657" s="68"/>
      <c r="D657" s="67"/>
      <c r="E657" s="67"/>
      <c r="F657" s="69"/>
      <c r="G657" s="69"/>
      <c r="H657" s="69"/>
      <c r="I657" s="69"/>
      <c r="J657" s="69"/>
      <c r="K657" s="69"/>
    </row>
    <row r="658" spans="1:11" ht="15.75" customHeight="1" x14ac:dyDescent="0.4">
      <c r="A658" s="67"/>
      <c r="B658" s="68"/>
      <c r="C658" s="68"/>
      <c r="D658" s="67"/>
      <c r="E658" s="67"/>
      <c r="F658" s="69"/>
      <c r="G658" s="69"/>
      <c r="H658" s="69"/>
      <c r="I658" s="69"/>
      <c r="J658" s="69"/>
      <c r="K658" s="69"/>
    </row>
    <row r="659" spans="1:11" ht="15.75" customHeight="1" x14ac:dyDescent="0.4">
      <c r="A659" s="67"/>
      <c r="B659" s="68"/>
      <c r="C659" s="68"/>
      <c r="D659" s="67"/>
      <c r="E659" s="67"/>
      <c r="F659" s="69"/>
      <c r="G659" s="69"/>
      <c r="H659" s="69"/>
      <c r="I659" s="69"/>
      <c r="J659" s="69"/>
      <c r="K659" s="69"/>
    </row>
    <row r="660" spans="1:11" ht="15.75" customHeight="1" x14ac:dyDescent="0.4">
      <c r="A660" s="67"/>
      <c r="B660" s="68"/>
      <c r="C660" s="68"/>
      <c r="D660" s="67"/>
      <c r="E660" s="67"/>
      <c r="F660" s="69"/>
      <c r="G660" s="69"/>
      <c r="H660" s="69"/>
      <c r="I660" s="69"/>
      <c r="J660" s="69"/>
      <c r="K660" s="69"/>
    </row>
    <row r="661" spans="1:11" ht="15.75" customHeight="1" x14ac:dyDescent="0.4">
      <c r="A661" s="67"/>
      <c r="B661" s="68"/>
      <c r="C661" s="68"/>
      <c r="D661" s="67"/>
      <c r="E661" s="67"/>
      <c r="F661" s="69"/>
      <c r="G661" s="69"/>
      <c r="H661" s="69"/>
      <c r="I661" s="69"/>
      <c r="J661" s="69"/>
      <c r="K661" s="69"/>
    </row>
    <row r="662" spans="1:11" ht="15.75" customHeight="1" x14ac:dyDescent="0.4">
      <c r="A662" s="67"/>
      <c r="B662" s="68"/>
      <c r="C662" s="68"/>
      <c r="D662" s="67"/>
      <c r="E662" s="67"/>
      <c r="F662" s="69"/>
      <c r="G662" s="69"/>
      <c r="H662" s="69"/>
      <c r="I662" s="69"/>
      <c r="J662" s="69"/>
      <c r="K662" s="69"/>
    </row>
    <row r="663" spans="1:11" ht="15.75" customHeight="1" x14ac:dyDescent="0.4">
      <c r="A663" s="67"/>
      <c r="B663" s="68"/>
      <c r="C663" s="68"/>
      <c r="D663" s="67"/>
      <c r="E663" s="67"/>
      <c r="F663" s="69"/>
      <c r="G663" s="69"/>
      <c r="H663" s="69"/>
      <c r="I663" s="69"/>
      <c r="J663" s="69"/>
      <c r="K663" s="69"/>
    </row>
    <row r="664" spans="1:11" ht="15.75" customHeight="1" x14ac:dyDescent="0.4">
      <c r="A664" s="67"/>
      <c r="B664" s="68"/>
      <c r="C664" s="68"/>
      <c r="D664" s="67"/>
      <c r="E664" s="67"/>
      <c r="F664" s="69"/>
      <c r="G664" s="69"/>
      <c r="H664" s="69"/>
      <c r="I664" s="69"/>
      <c r="J664" s="69"/>
      <c r="K664" s="69"/>
    </row>
    <row r="665" spans="1:11" ht="15.75" customHeight="1" x14ac:dyDescent="0.4">
      <c r="A665" s="67"/>
      <c r="B665" s="68"/>
      <c r="C665" s="68"/>
      <c r="D665" s="67"/>
      <c r="E665" s="67"/>
      <c r="F665" s="69"/>
      <c r="G665" s="69"/>
      <c r="H665" s="69"/>
      <c r="I665" s="69"/>
      <c r="J665" s="69"/>
      <c r="K665" s="69"/>
    </row>
    <row r="666" spans="1:11" ht="15.75" customHeight="1" x14ac:dyDescent="0.4">
      <c r="A666" s="67"/>
      <c r="B666" s="68"/>
      <c r="C666" s="68"/>
      <c r="D666" s="67"/>
      <c r="E666" s="67"/>
      <c r="F666" s="69"/>
      <c r="G666" s="69"/>
      <c r="H666" s="69"/>
      <c r="I666" s="69"/>
      <c r="J666" s="69"/>
      <c r="K666" s="69"/>
    </row>
    <row r="667" spans="1:11" ht="15.75" customHeight="1" x14ac:dyDescent="0.4">
      <c r="A667" s="67"/>
      <c r="B667" s="68"/>
      <c r="C667" s="68"/>
      <c r="D667" s="67"/>
      <c r="E667" s="67"/>
      <c r="F667" s="69"/>
      <c r="G667" s="69"/>
      <c r="H667" s="69"/>
      <c r="I667" s="69"/>
      <c r="J667" s="69"/>
      <c r="K667" s="69"/>
    </row>
    <row r="668" spans="1:11" ht="15.75" customHeight="1" x14ac:dyDescent="0.4">
      <c r="A668" s="67"/>
      <c r="B668" s="68"/>
      <c r="C668" s="68"/>
      <c r="D668" s="67"/>
      <c r="E668" s="67"/>
      <c r="F668" s="69"/>
      <c r="G668" s="69"/>
      <c r="H668" s="69"/>
      <c r="I668" s="69"/>
      <c r="J668" s="69"/>
      <c r="K668" s="69"/>
    </row>
    <row r="669" spans="1:11" ht="15.75" customHeight="1" x14ac:dyDescent="0.4">
      <c r="A669" s="67"/>
      <c r="B669" s="68"/>
      <c r="C669" s="68"/>
      <c r="D669" s="67"/>
      <c r="E669" s="67"/>
      <c r="F669" s="69"/>
      <c r="G669" s="69"/>
      <c r="H669" s="69"/>
      <c r="I669" s="69"/>
      <c r="J669" s="69"/>
      <c r="K669" s="69"/>
    </row>
    <row r="670" spans="1:11" ht="15.75" customHeight="1" x14ac:dyDescent="0.4">
      <c r="A670" s="67"/>
      <c r="B670" s="68"/>
      <c r="C670" s="68"/>
      <c r="D670" s="67"/>
      <c r="E670" s="67"/>
      <c r="F670" s="69"/>
      <c r="G670" s="69"/>
      <c r="H670" s="69"/>
      <c r="I670" s="69"/>
      <c r="J670" s="69"/>
      <c r="K670" s="69"/>
    </row>
    <row r="671" spans="1:11" ht="15.75" customHeight="1" x14ac:dyDescent="0.4">
      <c r="A671" s="67"/>
      <c r="B671" s="68"/>
      <c r="C671" s="68"/>
      <c r="D671" s="67"/>
      <c r="E671" s="67"/>
      <c r="F671" s="69"/>
      <c r="G671" s="69"/>
      <c r="H671" s="69"/>
      <c r="I671" s="69"/>
      <c r="J671" s="69"/>
      <c r="K671" s="69"/>
    </row>
    <row r="672" spans="1:11" ht="15.75" customHeight="1" x14ac:dyDescent="0.4">
      <c r="A672" s="67"/>
      <c r="B672" s="68"/>
      <c r="C672" s="68"/>
      <c r="D672" s="67"/>
      <c r="E672" s="67"/>
      <c r="F672" s="69"/>
      <c r="G672" s="69"/>
      <c r="H672" s="69"/>
      <c r="I672" s="69"/>
      <c r="J672" s="69"/>
      <c r="K672" s="69"/>
    </row>
    <row r="673" spans="1:11" ht="15.75" customHeight="1" x14ac:dyDescent="0.4">
      <c r="A673" s="67"/>
      <c r="B673" s="68"/>
      <c r="C673" s="68"/>
      <c r="D673" s="67"/>
      <c r="E673" s="67"/>
      <c r="F673" s="69"/>
      <c r="G673" s="69"/>
      <c r="H673" s="69"/>
      <c r="I673" s="69"/>
      <c r="J673" s="69"/>
      <c r="K673" s="69"/>
    </row>
    <row r="674" spans="1:11" ht="15.75" customHeight="1" x14ac:dyDescent="0.4">
      <c r="A674" s="67"/>
      <c r="B674" s="68"/>
      <c r="C674" s="68"/>
      <c r="D674" s="67"/>
      <c r="E674" s="67"/>
      <c r="F674" s="69"/>
      <c r="G674" s="69"/>
      <c r="H674" s="69"/>
      <c r="I674" s="69"/>
      <c r="J674" s="69"/>
      <c r="K674" s="69"/>
    </row>
    <row r="675" spans="1:11" ht="15.75" customHeight="1" x14ac:dyDescent="0.4">
      <c r="A675" s="67"/>
      <c r="B675" s="68"/>
      <c r="C675" s="68"/>
      <c r="D675" s="67"/>
      <c r="E675" s="67"/>
      <c r="F675" s="69"/>
      <c r="G675" s="69"/>
      <c r="H675" s="69"/>
      <c r="I675" s="69"/>
      <c r="J675" s="69"/>
      <c r="K675" s="69"/>
    </row>
    <row r="676" spans="1:11" ht="15.75" customHeight="1" x14ac:dyDescent="0.4">
      <c r="A676" s="67"/>
      <c r="B676" s="68"/>
      <c r="C676" s="68"/>
      <c r="D676" s="67"/>
      <c r="E676" s="67"/>
      <c r="F676" s="69"/>
      <c r="G676" s="69"/>
      <c r="H676" s="69"/>
      <c r="I676" s="69"/>
      <c r="J676" s="69"/>
      <c r="K676" s="69"/>
    </row>
    <row r="677" spans="1:11" ht="15.75" customHeight="1" x14ac:dyDescent="0.4">
      <c r="A677" s="67"/>
      <c r="B677" s="68"/>
      <c r="C677" s="68"/>
      <c r="D677" s="67"/>
      <c r="E677" s="67"/>
      <c r="F677" s="69"/>
      <c r="G677" s="69"/>
      <c r="H677" s="69"/>
      <c r="I677" s="69"/>
      <c r="J677" s="69"/>
      <c r="K677" s="69"/>
    </row>
    <row r="678" spans="1:11" ht="15.75" customHeight="1" x14ac:dyDescent="0.4">
      <c r="A678" s="67"/>
      <c r="B678" s="68"/>
      <c r="C678" s="68"/>
      <c r="D678" s="67"/>
      <c r="E678" s="67"/>
      <c r="F678" s="69"/>
      <c r="G678" s="69"/>
      <c r="H678" s="69"/>
      <c r="I678" s="69"/>
      <c r="J678" s="69"/>
      <c r="K678" s="69"/>
    </row>
    <row r="679" spans="1:11" ht="15.75" customHeight="1" x14ac:dyDescent="0.4">
      <c r="A679" s="67"/>
      <c r="B679" s="68"/>
      <c r="C679" s="68"/>
      <c r="D679" s="67"/>
      <c r="E679" s="67"/>
      <c r="F679" s="69"/>
      <c r="G679" s="69"/>
      <c r="H679" s="69"/>
      <c r="I679" s="69"/>
      <c r="J679" s="69"/>
      <c r="K679" s="69"/>
    </row>
    <row r="680" spans="1:11" ht="15.75" customHeight="1" x14ac:dyDescent="0.4">
      <c r="A680" s="67"/>
      <c r="B680" s="68"/>
      <c r="C680" s="68"/>
      <c r="D680" s="67"/>
      <c r="E680" s="67"/>
      <c r="F680" s="69"/>
      <c r="G680" s="69"/>
      <c r="H680" s="69"/>
      <c r="I680" s="69"/>
      <c r="J680" s="69"/>
      <c r="K680" s="69"/>
    </row>
    <row r="681" spans="1:11" ht="15.75" customHeight="1" x14ac:dyDescent="0.4">
      <c r="A681" s="67"/>
      <c r="B681" s="68"/>
      <c r="C681" s="68"/>
      <c r="D681" s="67"/>
      <c r="E681" s="67"/>
      <c r="F681" s="69"/>
      <c r="G681" s="69"/>
      <c r="H681" s="69"/>
      <c r="I681" s="69"/>
      <c r="J681" s="69"/>
      <c r="K681" s="69"/>
    </row>
    <row r="682" spans="1:11" ht="15.75" customHeight="1" x14ac:dyDescent="0.4">
      <c r="A682" s="67"/>
      <c r="B682" s="68"/>
      <c r="C682" s="68"/>
      <c r="D682" s="67"/>
      <c r="E682" s="67"/>
      <c r="F682" s="69"/>
      <c r="G682" s="69"/>
      <c r="H682" s="69"/>
      <c r="I682" s="69"/>
      <c r="J682" s="69"/>
      <c r="K682" s="69"/>
    </row>
    <row r="683" spans="1:11" ht="15.75" customHeight="1" x14ac:dyDescent="0.4">
      <c r="A683" s="67"/>
      <c r="B683" s="68"/>
      <c r="C683" s="68"/>
      <c r="D683" s="67"/>
      <c r="E683" s="67"/>
      <c r="F683" s="69"/>
      <c r="G683" s="69"/>
      <c r="H683" s="69"/>
      <c r="I683" s="69"/>
      <c r="J683" s="69"/>
      <c r="K683" s="69"/>
    </row>
    <row r="684" spans="1:11" ht="15.75" customHeight="1" x14ac:dyDescent="0.4">
      <c r="A684" s="67"/>
      <c r="B684" s="68"/>
      <c r="C684" s="68"/>
      <c r="D684" s="67"/>
      <c r="E684" s="67"/>
      <c r="F684" s="69"/>
      <c r="G684" s="69"/>
      <c r="H684" s="69"/>
      <c r="I684" s="69"/>
      <c r="J684" s="69"/>
      <c r="K684" s="69"/>
    </row>
    <row r="685" spans="1:11" ht="15.75" customHeight="1" x14ac:dyDescent="0.4">
      <c r="A685" s="67"/>
      <c r="B685" s="68"/>
      <c r="C685" s="68"/>
      <c r="D685" s="67"/>
      <c r="E685" s="67"/>
      <c r="F685" s="69"/>
      <c r="G685" s="69"/>
      <c r="H685" s="69"/>
      <c r="I685" s="69"/>
      <c r="J685" s="69"/>
      <c r="K685" s="69"/>
    </row>
    <row r="686" spans="1:11" ht="15.75" customHeight="1" x14ac:dyDescent="0.4">
      <c r="A686" s="67"/>
      <c r="B686" s="68"/>
      <c r="C686" s="68"/>
      <c r="D686" s="67"/>
      <c r="E686" s="67"/>
      <c r="F686" s="69"/>
      <c r="G686" s="69"/>
      <c r="H686" s="69"/>
      <c r="I686" s="69"/>
      <c r="J686" s="69"/>
      <c r="K686" s="69"/>
    </row>
    <row r="687" spans="1:11" ht="15.75" customHeight="1" x14ac:dyDescent="0.4">
      <c r="A687" s="67"/>
      <c r="B687" s="68"/>
      <c r="C687" s="68"/>
      <c r="D687" s="67"/>
      <c r="E687" s="67"/>
      <c r="F687" s="69"/>
      <c r="G687" s="69"/>
      <c r="H687" s="69"/>
      <c r="I687" s="69"/>
      <c r="J687" s="69"/>
      <c r="K687" s="69"/>
    </row>
    <row r="688" spans="1:11" ht="15.75" customHeight="1" x14ac:dyDescent="0.4">
      <c r="A688" s="67"/>
      <c r="B688" s="68"/>
      <c r="C688" s="68"/>
      <c r="D688" s="67"/>
      <c r="E688" s="67"/>
      <c r="F688" s="69"/>
      <c r="G688" s="69"/>
      <c r="H688" s="69"/>
      <c r="I688" s="69"/>
      <c r="J688" s="69"/>
      <c r="K688" s="69"/>
    </row>
    <row r="689" spans="1:11" ht="15.75" customHeight="1" x14ac:dyDescent="0.4">
      <c r="A689" s="67"/>
      <c r="B689" s="68"/>
      <c r="C689" s="68"/>
      <c r="D689" s="67"/>
      <c r="E689" s="67"/>
      <c r="F689" s="69"/>
      <c r="G689" s="69"/>
      <c r="H689" s="69"/>
      <c r="I689" s="69"/>
      <c r="J689" s="69"/>
      <c r="K689" s="69"/>
    </row>
    <row r="690" spans="1:11" ht="15.75" customHeight="1" x14ac:dyDescent="0.4">
      <c r="A690" s="67"/>
      <c r="B690" s="68"/>
      <c r="C690" s="68"/>
      <c r="D690" s="67"/>
      <c r="E690" s="67"/>
      <c r="F690" s="69"/>
      <c r="G690" s="69"/>
      <c r="H690" s="69"/>
      <c r="I690" s="69"/>
      <c r="J690" s="69"/>
      <c r="K690" s="69"/>
    </row>
    <row r="691" spans="1:11" ht="15.75" customHeight="1" x14ac:dyDescent="0.4">
      <c r="A691" s="67"/>
      <c r="B691" s="68"/>
      <c r="C691" s="68"/>
      <c r="D691" s="67"/>
      <c r="E691" s="67"/>
      <c r="F691" s="69"/>
      <c r="G691" s="69"/>
      <c r="H691" s="69"/>
      <c r="I691" s="69"/>
      <c r="J691" s="69"/>
      <c r="K691" s="69"/>
    </row>
    <row r="692" spans="1:11" ht="15.75" customHeight="1" x14ac:dyDescent="0.4">
      <c r="A692" s="67"/>
      <c r="B692" s="68"/>
      <c r="C692" s="68"/>
      <c r="D692" s="67"/>
      <c r="E692" s="67"/>
      <c r="F692" s="69"/>
      <c r="G692" s="69"/>
      <c r="H692" s="69"/>
      <c r="I692" s="69"/>
      <c r="J692" s="69"/>
      <c r="K692" s="69"/>
    </row>
    <row r="693" spans="1:11" ht="15.75" customHeight="1" x14ac:dyDescent="0.4">
      <c r="A693" s="67"/>
      <c r="B693" s="68"/>
      <c r="C693" s="68"/>
      <c r="D693" s="67"/>
      <c r="E693" s="67"/>
      <c r="F693" s="69"/>
      <c r="G693" s="69"/>
      <c r="H693" s="69"/>
      <c r="I693" s="69"/>
      <c r="J693" s="69"/>
      <c r="K693" s="69"/>
    </row>
    <row r="694" spans="1:11" ht="15.75" customHeight="1" x14ac:dyDescent="0.4">
      <c r="A694" s="67"/>
      <c r="B694" s="68"/>
      <c r="C694" s="68"/>
      <c r="D694" s="67"/>
      <c r="E694" s="67"/>
      <c r="F694" s="69"/>
      <c r="G694" s="69"/>
      <c r="H694" s="69"/>
      <c r="I694" s="69"/>
      <c r="J694" s="69"/>
      <c r="K694" s="69"/>
    </row>
    <row r="695" spans="1:11" ht="15.75" customHeight="1" x14ac:dyDescent="0.4">
      <c r="A695" s="67"/>
      <c r="B695" s="68"/>
      <c r="C695" s="68"/>
      <c r="D695" s="67"/>
      <c r="E695" s="67"/>
      <c r="F695" s="69"/>
      <c r="G695" s="69"/>
      <c r="H695" s="69"/>
      <c r="I695" s="69"/>
      <c r="J695" s="69"/>
      <c r="K695" s="69"/>
    </row>
    <row r="696" spans="1:11" ht="15.75" customHeight="1" x14ac:dyDescent="0.4">
      <c r="A696" s="67"/>
      <c r="B696" s="68"/>
      <c r="C696" s="68"/>
      <c r="D696" s="67"/>
      <c r="E696" s="67"/>
      <c r="F696" s="69"/>
      <c r="G696" s="69"/>
      <c r="H696" s="69"/>
      <c r="I696" s="69"/>
      <c r="J696" s="69"/>
      <c r="K696" s="69"/>
    </row>
    <row r="697" spans="1:11" ht="15.75" customHeight="1" x14ac:dyDescent="0.4">
      <c r="A697" s="67"/>
      <c r="B697" s="68"/>
      <c r="C697" s="68"/>
      <c r="D697" s="67"/>
      <c r="E697" s="67"/>
      <c r="F697" s="69"/>
      <c r="G697" s="69"/>
      <c r="H697" s="69"/>
      <c r="I697" s="69"/>
      <c r="J697" s="69"/>
      <c r="K697" s="69"/>
    </row>
    <row r="698" spans="1:11" ht="15.75" customHeight="1" x14ac:dyDescent="0.4">
      <c r="A698" s="67"/>
      <c r="B698" s="68"/>
      <c r="C698" s="68"/>
      <c r="D698" s="67"/>
      <c r="E698" s="67"/>
      <c r="F698" s="69"/>
      <c r="G698" s="69"/>
      <c r="H698" s="69"/>
      <c r="I698" s="69"/>
      <c r="J698" s="69"/>
      <c r="K698" s="69"/>
    </row>
    <row r="699" spans="1:11" ht="15.75" customHeight="1" x14ac:dyDescent="0.4">
      <c r="A699" s="67"/>
      <c r="B699" s="68"/>
      <c r="C699" s="68"/>
      <c r="D699" s="67"/>
      <c r="E699" s="67"/>
      <c r="F699" s="69"/>
      <c r="G699" s="69"/>
      <c r="H699" s="69"/>
      <c r="I699" s="69"/>
      <c r="J699" s="69"/>
      <c r="K699" s="69"/>
    </row>
    <row r="700" spans="1:11" ht="15.75" customHeight="1" x14ac:dyDescent="0.4">
      <c r="A700" s="67"/>
      <c r="B700" s="68"/>
      <c r="C700" s="68"/>
      <c r="D700" s="67"/>
      <c r="E700" s="67"/>
      <c r="F700" s="69"/>
      <c r="G700" s="69"/>
      <c r="H700" s="69"/>
      <c r="I700" s="69"/>
      <c r="J700" s="69"/>
      <c r="K700" s="69"/>
    </row>
    <row r="701" spans="1:11" ht="15.75" customHeight="1" x14ac:dyDescent="0.4">
      <c r="A701" s="67"/>
      <c r="B701" s="68"/>
      <c r="C701" s="68"/>
      <c r="D701" s="67"/>
      <c r="E701" s="67"/>
      <c r="F701" s="69"/>
      <c r="G701" s="69"/>
      <c r="H701" s="69"/>
      <c r="I701" s="69"/>
      <c r="J701" s="69"/>
      <c r="K701" s="69"/>
    </row>
    <row r="702" spans="1:11" ht="15.75" customHeight="1" x14ac:dyDescent="0.4">
      <c r="A702" s="67"/>
      <c r="B702" s="68"/>
      <c r="C702" s="68"/>
      <c r="D702" s="67"/>
      <c r="E702" s="67"/>
      <c r="F702" s="69"/>
      <c r="G702" s="69"/>
      <c r="H702" s="69"/>
      <c r="I702" s="69"/>
      <c r="J702" s="69"/>
      <c r="K702" s="69"/>
    </row>
    <row r="703" spans="1:11" ht="15.75" customHeight="1" x14ac:dyDescent="0.4">
      <c r="A703" s="67"/>
      <c r="B703" s="68"/>
      <c r="C703" s="68"/>
      <c r="D703" s="67"/>
      <c r="E703" s="67"/>
      <c r="F703" s="69"/>
      <c r="G703" s="69"/>
      <c r="H703" s="69"/>
      <c r="I703" s="69"/>
      <c r="J703" s="69"/>
      <c r="K703" s="69"/>
    </row>
    <row r="704" spans="1:11" ht="15.75" customHeight="1" x14ac:dyDescent="0.4">
      <c r="A704" s="67"/>
      <c r="B704" s="68"/>
      <c r="C704" s="68"/>
      <c r="D704" s="67"/>
      <c r="E704" s="67"/>
      <c r="F704" s="69"/>
      <c r="G704" s="69"/>
      <c r="H704" s="69"/>
      <c r="I704" s="69"/>
      <c r="J704" s="69"/>
      <c r="K704" s="69"/>
    </row>
    <row r="705" spans="1:11" ht="15.75" customHeight="1" x14ac:dyDescent="0.4">
      <c r="A705" s="67"/>
      <c r="B705" s="68"/>
      <c r="C705" s="68"/>
      <c r="D705" s="67"/>
      <c r="E705" s="67"/>
      <c r="F705" s="69"/>
      <c r="G705" s="69"/>
      <c r="H705" s="69"/>
      <c r="I705" s="69"/>
      <c r="J705" s="69"/>
      <c r="K705" s="69"/>
    </row>
    <row r="706" spans="1:11" ht="15.75" customHeight="1" x14ac:dyDescent="0.4">
      <c r="A706" s="67"/>
      <c r="B706" s="68"/>
      <c r="C706" s="68"/>
      <c r="D706" s="67"/>
      <c r="E706" s="67"/>
      <c r="F706" s="69"/>
      <c r="G706" s="69"/>
      <c r="H706" s="69"/>
      <c r="I706" s="69"/>
      <c r="J706" s="69"/>
      <c r="K706" s="69"/>
    </row>
    <row r="707" spans="1:11" ht="15.75" customHeight="1" x14ac:dyDescent="0.4">
      <c r="A707" s="67"/>
      <c r="B707" s="68"/>
      <c r="C707" s="68"/>
      <c r="D707" s="67"/>
      <c r="E707" s="67"/>
      <c r="F707" s="69"/>
      <c r="G707" s="69"/>
      <c r="H707" s="69"/>
      <c r="I707" s="69"/>
      <c r="J707" s="69"/>
      <c r="K707" s="69"/>
    </row>
    <row r="708" spans="1:11" ht="15.75" customHeight="1" x14ac:dyDescent="0.4">
      <c r="A708" s="67"/>
      <c r="B708" s="68"/>
      <c r="C708" s="68"/>
      <c r="D708" s="67"/>
      <c r="E708" s="67"/>
      <c r="F708" s="69"/>
      <c r="G708" s="69"/>
      <c r="H708" s="69"/>
      <c r="I708" s="69"/>
      <c r="J708" s="69"/>
      <c r="K708" s="69"/>
    </row>
    <row r="709" spans="1:11" ht="15.75" customHeight="1" x14ac:dyDescent="0.4">
      <c r="A709" s="67"/>
      <c r="B709" s="68"/>
      <c r="C709" s="68"/>
      <c r="D709" s="67"/>
      <c r="E709" s="67"/>
      <c r="F709" s="69"/>
      <c r="G709" s="69"/>
      <c r="H709" s="69"/>
      <c r="I709" s="69"/>
      <c r="J709" s="69"/>
      <c r="K709" s="69"/>
    </row>
    <row r="710" spans="1:11" ht="15.75" customHeight="1" x14ac:dyDescent="0.4">
      <c r="A710" s="67"/>
      <c r="B710" s="68"/>
      <c r="C710" s="68"/>
      <c r="D710" s="67"/>
      <c r="E710" s="67"/>
      <c r="F710" s="69"/>
      <c r="G710" s="69"/>
      <c r="H710" s="69"/>
      <c r="I710" s="69"/>
      <c r="J710" s="69"/>
      <c r="K710" s="69"/>
    </row>
    <row r="711" spans="1:11" ht="15.75" customHeight="1" x14ac:dyDescent="0.4">
      <c r="A711" s="67"/>
      <c r="B711" s="68"/>
      <c r="C711" s="68"/>
      <c r="D711" s="67"/>
      <c r="E711" s="67"/>
      <c r="F711" s="69"/>
      <c r="G711" s="69"/>
      <c r="H711" s="69"/>
      <c r="I711" s="69"/>
      <c r="J711" s="69"/>
      <c r="K711" s="69"/>
    </row>
    <row r="712" spans="1:11" ht="15.75" customHeight="1" x14ac:dyDescent="0.4">
      <c r="A712" s="67"/>
      <c r="B712" s="68"/>
      <c r="C712" s="68"/>
      <c r="D712" s="67"/>
      <c r="E712" s="67"/>
      <c r="F712" s="69"/>
      <c r="G712" s="69"/>
      <c r="H712" s="69"/>
      <c r="I712" s="69"/>
      <c r="J712" s="69"/>
      <c r="K712" s="69"/>
    </row>
    <row r="713" spans="1:11" ht="15.75" customHeight="1" x14ac:dyDescent="0.4">
      <c r="A713" s="67"/>
      <c r="B713" s="68"/>
      <c r="C713" s="68"/>
      <c r="D713" s="67"/>
      <c r="E713" s="67"/>
      <c r="F713" s="69"/>
      <c r="G713" s="69"/>
      <c r="H713" s="69"/>
      <c r="I713" s="69"/>
      <c r="J713" s="69"/>
      <c r="K713" s="69"/>
    </row>
    <row r="714" spans="1:11" ht="15.75" customHeight="1" x14ac:dyDescent="0.4">
      <c r="A714" s="67"/>
      <c r="B714" s="68"/>
      <c r="C714" s="68"/>
      <c r="D714" s="67"/>
      <c r="E714" s="67"/>
      <c r="F714" s="69"/>
      <c r="G714" s="69"/>
      <c r="H714" s="69"/>
      <c r="I714" s="69"/>
      <c r="J714" s="69"/>
      <c r="K714" s="69"/>
    </row>
    <row r="715" spans="1:11" ht="15.75" customHeight="1" x14ac:dyDescent="0.4">
      <c r="A715" s="67"/>
      <c r="B715" s="68"/>
      <c r="C715" s="68"/>
      <c r="D715" s="67"/>
      <c r="E715" s="67"/>
      <c r="F715" s="69"/>
      <c r="G715" s="69"/>
      <c r="H715" s="69"/>
      <c r="I715" s="69"/>
      <c r="J715" s="69"/>
      <c r="K715" s="69"/>
    </row>
    <row r="716" spans="1:11" ht="15.75" customHeight="1" x14ac:dyDescent="0.4">
      <c r="A716" s="67"/>
      <c r="B716" s="68"/>
      <c r="C716" s="68"/>
      <c r="D716" s="67"/>
      <c r="E716" s="67"/>
      <c r="F716" s="69"/>
      <c r="G716" s="69"/>
      <c r="H716" s="69"/>
      <c r="I716" s="69"/>
      <c r="J716" s="69"/>
      <c r="K716" s="69"/>
    </row>
    <row r="717" spans="1:11" ht="15.75" customHeight="1" x14ac:dyDescent="0.4">
      <c r="A717" s="67"/>
      <c r="B717" s="68"/>
      <c r="C717" s="68"/>
      <c r="D717" s="67"/>
      <c r="E717" s="67"/>
      <c r="F717" s="69"/>
      <c r="G717" s="69"/>
      <c r="H717" s="69"/>
      <c r="I717" s="69"/>
      <c r="J717" s="69"/>
      <c r="K717" s="69"/>
    </row>
    <row r="718" spans="1:11" ht="15.75" customHeight="1" x14ac:dyDescent="0.4">
      <c r="A718" s="67"/>
      <c r="B718" s="68"/>
      <c r="C718" s="68"/>
      <c r="D718" s="67"/>
      <c r="E718" s="67"/>
      <c r="F718" s="69"/>
      <c r="G718" s="69"/>
      <c r="H718" s="69"/>
      <c r="I718" s="69"/>
      <c r="J718" s="69"/>
      <c r="K718" s="69"/>
    </row>
    <row r="719" spans="1:11" ht="15.75" customHeight="1" x14ac:dyDescent="0.4">
      <c r="A719" s="67"/>
      <c r="B719" s="68"/>
      <c r="C719" s="68"/>
      <c r="D719" s="67"/>
      <c r="E719" s="67"/>
      <c r="F719" s="69"/>
      <c r="G719" s="69"/>
      <c r="H719" s="69"/>
      <c r="I719" s="69"/>
      <c r="J719" s="69"/>
      <c r="K719" s="69"/>
    </row>
    <row r="720" spans="1:11" ht="15.75" customHeight="1" x14ac:dyDescent="0.4">
      <c r="A720" s="67"/>
      <c r="B720" s="68"/>
      <c r="C720" s="68"/>
      <c r="D720" s="67"/>
      <c r="E720" s="67"/>
      <c r="F720" s="69"/>
      <c r="G720" s="69"/>
      <c r="H720" s="69"/>
      <c r="I720" s="69"/>
      <c r="J720" s="69"/>
      <c r="K720" s="69"/>
    </row>
    <row r="721" spans="1:11" ht="15.75" customHeight="1" x14ac:dyDescent="0.4">
      <c r="A721" s="67"/>
      <c r="B721" s="68"/>
      <c r="C721" s="68"/>
      <c r="D721" s="67"/>
      <c r="E721" s="67"/>
      <c r="F721" s="69"/>
      <c r="G721" s="69"/>
      <c r="H721" s="69"/>
      <c r="I721" s="69"/>
      <c r="J721" s="69"/>
      <c r="K721" s="69"/>
    </row>
    <row r="722" spans="1:11" ht="15.75" customHeight="1" x14ac:dyDescent="0.4">
      <c r="A722" s="67"/>
      <c r="B722" s="68"/>
      <c r="C722" s="68"/>
      <c r="D722" s="67"/>
      <c r="E722" s="67"/>
      <c r="F722" s="69"/>
      <c r="G722" s="69"/>
      <c r="H722" s="69"/>
      <c r="I722" s="69"/>
      <c r="J722" s="69"/>
      <c r="K722" s="69"/>
    </row>
    <row r="723" spans="1:11" ht="15.75" customHeight="1" x14ac:dyDescent="0.4">
      <c r="A723" s="67"/>
      <c r="B723" s="68"/>
      <c r="C723" s="68"/>
      <c r="D723" s="67"/>
      <c r="E723" s="67"/>
      <c r="F723" s="69"/>
      <c r="G723" s="69"/>
      <c r="H723" s="69"/>
      <c r="I723" s="69"/>
      <c r="J723" s="69"/>
      <c r="K723" s="69"/>
    </row>
    <row r="724" spans="1:11" ht="15.75" customHeight="1" x14ac:dyDescent="0.4">
      <c r="A724" s="67"/>
      <c r="B724" s="68"/>
      <c r="C724" s="68"/>
      <c r="D724" s="67"/>
      <c r="E724" s="67"/>
      <c r="F724" s="69"/>
      <c r="G724" s="69"/>
      <c r="H724" s="69"/>
      <c r="I724" s="69"/>
      <c r="J724" s="69"/>
      <c r="K724" s="69"/>
    </row>
    <row r="725" spans="1:11" ht="15.75" customHeight="1" x14ac:dyDescent="0.4">
      <c r="A725" s="67"/>
      <c r="B725" s="68"/>
      <c r="C725" s="68"/>
      <c r="D725" s="67"/>
      <c r="E725" s="67"/>
      <c r="F725" s="69"/>
      <c r="G725" s="69"/>
      <c r="H725" s="69"/>
      <c r="I725" s="69"/>
      <c r="J725" s="69"/>
      <c r="K725" s="69"/>
    </row>
    <row r="726" spans="1:11" ht="15.75" customHeight="1" x14ac:dyDescent="0.4">
      <c r="A726" s="67"/>
      <c r="B726" s="68"/>
      <c r="C726" s="68"/>
      <c r="D726" s="67"/>
      <c r="E726" s="67"/>
      <c r="F726" s="69"/>
      <c r="G726" s="69"/>
      <c r="H726" s="69"/>
      <c r="I726" s="69"/>
      <c r="J726" s="69"/>
      <c r="K726" s="69"/>
    </row>
    <row r="727" spans="1:11" ht="15.75" customHeight="1" x14ac:dyDescent="0.4">
      <c r="A727" s="67"/>
      <c r="B727" s="68"/>
      <c r="C727" s="68"/>
      <c r="D727" s="67"/>
      <c r="E727" s="67"/>
      <c r="F727" s="69"/>
      <c r="G727" s="69"/>
      <c r="H727" s="69"/>
      <c r="I727" s="69"/>
      <c r="J727" s="69"/>
      <c r="K727" s="69"/>
    </row>
    <row r="728" spans="1:11" ht="15.75" customHeight="1" x14ac:dyDescent="0.4">
      <c r="A728" s="67"/>
      <c r="B728" s="68"/>
      <c r="C728" s="68"/>
      <c r="D728" s="67"/>
      <c r="E728" s="67"/>
      <c r="F728" s="69"/>
      <c r="G728" s="69"/>
      <c r="H728" s="69"/>
      <c r="I728" s="69"/>
      <c r="J728" s="69"/>
      <c r="K728" s="69"/>
    </row>
    <row r="729" spans="1:11" ht="15.75" customHeight="1" x14ac:dyDescent="0.4">
      <c r="A729" s="67"/>
      <c r="B729" s="68"/>
      <c r="C729" s="68"/>
      <c r="D729" s="67"/>
      <c r="E729" s="67"/>
      <c r="F729" s="69"/>
      <c r="G729" s="69"/>
      <c r="H729" s="69"/>
      <c r="I729" s="69"/>
      <c r="J729" s="69"/>
      <c r="K729" s="69"/>
    </row>
    <row r="730" spans="1:11" ht="15.75" customHeight="1" x14ac:dyDescent="0.4">
      <c r="A730" s="67"/>
      <c r="B730" s="68"/>
      <c r="C730" s="68"/>
      <c r="D730" s="67"/>
      <c r="E730" s="67"/>
      <c r="F730" s="69"/>
      <c r="G730" s="69"/>
      <c r="H730" s="69"/>
      <c r="I730" s="69"/>
      <c r="J730" s="69"/>
      <c r="K730" s="69"/>
    </row>
    <row r="731" spans="1:11" ht="15.75" customHeight="1" x14ac:dyDescent="0.4">
      <c r="A731" s="67"/>
      <c r="B731" s="68"/>
      <c r="C731" s="68"/>
      <c r="D731" s="67"/>
      <c r="E731" s="67"/>
      <c r="F731" s="69"/>
      <c r="G731" s="69"/>
      <c r="H731" s="69"/>
      <c r="I731" s="69"/>
      <c r="J731" s="69"/>
      <c r="K731" s="69"/>
    </row>
    <row r="732" spans="1:11" ht="15.75" customHeight="1" x14ac:dyDescent="0.4">
      <c r="A732" s="67"/>
      <c r="B732" s="68"/>
      <c r="C732" s="68"/>
      <c r="D732" s="67"/>
      <c r="E732" s="67"/>
      <c r="F732" s="69"/>
      <c r="G732" s="69"/>
      <c r="H732" s="69"/>
      <c r="I732" s="69"/>
      <c r="J732" s="69"/>
      <c r="K732" s="69"/>
    </row>
    <row r="733" spans="1:11" ht="15.75" customHeight="1" x14ac:dyDescent="0.4">
      <c r="A733" s="67"/>
      <c r="B733" s="68"/>
      <c r="C733" s="68"/>
      <c r="D733" s="67"/>
      <c r="E733" s="67"/>
      <c r="F733" s="69"/>
      <c r="G733" s="69"/>
      <c r="H733" s="69"/>
      <c r="I733" s="69"/>
      <c r="J733" s="69"/>
      <c r="K733" s="69"/>
    </row>
    <row r="734" spans="1:11" ht="15.75" customHeight="1" x14ac:dyDescent="0.4">
      <c r="A734" s="67"/>
      <c r="B734" s="68"/>
      <c r="C734" s="68"/>
      <c r="D734" s="67"/>
      <c r="E734" s="67"/>
      <c r="F734" s="69"/>
      <c r="G734" s="69"/>
      <c r="H734" s="69"/>
      <c r="I734" s="69"/>
      <c r="J734" s="69"/>
      <c r="K734" s="69"/>
    </row>
    <row r="735" spans="1:11" ht="15.75" customHeight="1" x14ac:dyDescent="0.4">
      <c r="A735" s="67"/>
      <c r="B735" s="68"/>
      <c r="C735" s="68"/>
      <c r="D735" s="67"/>
      <c r="E735" s="67"/>
      <c r="F735" s="69"/>
      <c r="G735" s="69"/>
      <c r="H735" s="69"/>
      <c r="I735" s="69"/>
      <c r="J735" s="69"/>
      <c r="K735" s="69"/>
    </row>
    <row r="736" spans="1:11" ht="15.75" customHeight="1" x14ac:dyDescent="0.4">
      <c r="A736" s="67"/>
      <c r="B736" s="68"/>
      <c r="C736" s="68"/>
      <c r="D736" s="67"/>
      <c r="E736" s="67"/>
      <c r="F736" s="69"/>
      <c r="G736" s="69"/>
      <c r="H736" s="69"/>
      <c r="I736" s="69"/>
      <c r="J736" s="69"/>
      <c r="K736" s="69"/>
    </row>
    <row r="737" spans="1:11" ht="15.75" customHeight="1" x14ac:dyDescent="0.4">
      <c r="A737" s="67"/>
      <c r="B737" s="68"/>
      <c r="C737" s="68"/>
      <c r="D737" s="67"/>
      <c r="E737" s="67"/>
      <c r="F737" s="69"/>
      <c r="G737" s="69"/>
      <c r="H737" s="69"/>
      <c r="I737" s="69"/>
      <c r="J737" s="69"/>
      <c r="K737" s="69"/>
    </row>
    <row r="738" spans="1:11" ht="15.75" customHeight="1" x14ac:dyDescent="0.4">
      <c r="A738" s="67"/>
      <c r="B738" s="68"/>
      <c r="C738" s="68"/>
      <c r="D738" s="67"/>
      <c r="E738" s="67"/>
      <c r="F738" s="69"/>
      <c r="G738" s="69"/>
      <c r="H738" s="69"/>
      <c r="I738" s="69"/>
      <c r="J738" s="69"/>
      <c r="K738" s="69"/>
    </row>
    <row r="739" spans="1:11" ht="15.75" customHeight="1" x14ac:dyDescent="0.4">
      <c r="A739" s="67"/>
      <c r="B739" s="68"/>
      <c r="C739" s="68"/>
      <c r="D739" s="67"/>
      <c r="E739" s="67"/>
      <c r="F739" s="69"/>
      <c r="G739" s="69"/>
      <c r="H739" s="69"/>
      <c r="I739" s="69"/>
      <c r="J739" s="69"/>
      <c r="K739" s="69"/>
    </row>
    <row r="740" spans="1:11" ht="15.75" customHeight="1" x14ac:dyDescent="0.4">
      <c r="A740" s="67"/>
      <c r="B740" s="68"/>
      <c r="C740" s="68"/>
      <c r="D740" s="67"/>
      <c r="E740" s="67"/>
      <c r="F740" s="69"/>
      <c r="G740" s="69"/>
      <c r="H740" s="69"/>
      <c r="I740" s="69"/>
      <c r="J740" s="69"/>
      <c r="K740" s="69"/>
    </row>
    <row r="741" spans="1:11" ht="15.75" customHeight="1" x14ac:dyDescent="0.4">
      <c r="A741" s="67"/>
      <c r="B741" s="68"/>
      <c r="C741" s="68"/>
      <c r="D741" s="67"/>
      <c r="E741" s="67"/>
      <c r="F741" s="69"/>
      <c r="G741" s="69"/>
      <c r="H741" s="69"/>
      <c r="I741" s="69"/>
      <c r="J741" s="69"/>
      <c r="K741" s="69"/>
    </row>
    <row r="742" spans="1:11" ht="15.75" customHeight="1" x14ac:dyDescent="0.4">
      <c r="A742" s="67"/>
      <c r="B742" s="68"/>
      <c r="C742" s="68"/>
      <c r="D742" s="67"/>
      <c r="E742" s="67"/>
      <c r="F742" s="69"/>
      <c r="G742" s="69"/>
      <c r="H742" s="69"/>
      <c r="I742" s="69"/>
      <c r="J742" s="69"/>
      <c r="K742" s="69"/>
    </row>
    <row r="743" spans="1:11" ht="15.75" customHeight="1" x14ac:dyDescent="0.4">
      <c r="A743" s="67"/>
      <c r="B743" s="68"/>
      <c r="C743" s="68"/>
      <c r="D743" s="67"/>
      <c r="E743" s="67"/>
      <c r="F743" s="69"/>
      <c r="G743" s="69"/>
      <c r="H743" s="69"/>
      <c r="I743" s="69"/>
      <c r="J743" s="69"/>
      <c r="K743" s="69"/>
    </row>
    <row r="744" spans="1:11" ht="15.75" customHeight="1" x14ac:dyDescent="0.4">
      <c r="A744" s="67"/>
      <c r="B744" s="68"/>
      <c r="C744" s="68"/>
      <c r="D744" s="67"/>
      <c r="E744" s="67"/>
      <c r="F744" s="69"/>
      <c r="G744" s="69"/>
      <c r="H744" s="69"/>
      <c r="I744" s="69"/>
      <c r="J744" s="69"/>
      <c r="K744" s="69"/>
    </row>
    <row r="745" spans="1:11" ht="15.75" customHeight="1" x14ac:dyDescent="0.4">
      <c r="A745" s="67"/>
      <c r="B745" s="68"/>
      <c r="C745" s="68"/>
      <c r="D745" s="67"/>
      <c r="E745" s="67"/>
      <c r="F745" s="69"/>
      <c r="G745" s="69"/>
      <c r="H745" s="69"/>
      <c r="I745" s="69"/>
      <c r="J745" s="69"/>
      <c r="K745" s="69"/>
    </row>
    <row r="746" spans="1:11" ht="15.75" customHeight="1" x14ac:dyDescent="0.4">
      <c r="A746" s="67"/>
      <c r="B746" s="68"/>
      <c r="C746" s="68"/>
      <c r="D746" s="67"/>
      <c r="E746" s="67"/>
      <c r="F746" s="69"/>
      <c r="G746" s="69"/>
      <c r="H746" s="69"/>
      <c r="I746" s="69"/>
      <c r="J746" s="69"/>
      <c r="K746" s="69"/>
    </row>
    <row r="747" spans="1:11" ht="15.75" customHeight="1" x14ac:dyDescent="0.4">
      <c r="A747" s="67"/>
      <c r="B747" s="68"/>
      <c r="C747" s="68"/>
      <c r="D747" s="67"/>
      <c r="E747" s="67"/>
      <c r="F747" s="69"/>
      <c r="G747" s="69"/>
      <c r="H747" s="69"/>
      <c r="I747" s="69"/>
      <c r="J747" s="69"/>
      <c r="K747" s="69"/>
    </row>
    <row r="748" spans="1:11" ht="15.75" customHeight="1" x14ac:dyDescent="0.4">
      <c r="A748" s="67"/>
      <c r="B748" s="68"/>
      <c r="C748" s="68"/>
      <c r="D748" s="67"/>
      <c r="E748" s="67"/>
      <c r="F748" s="69"/>
      <c r="G748" s="69"/>
      <c r="H748" s="69"/>
      <c r="I748" s="69"/>
      <c r="J748" s="69"/>
      <c r="K748" s="69"/>
    </row>
    <row r="749" spans="1:11" ht="15.75" customHeight="1" x14ac:dyDescent="0.4">
      <c r="A749" s="67"/>
      <c r="B749" s="68"/>
      <c r="C749" s="68"/>
      <c r="D749" s="67"/>
      <c r="E749" s="67"/>
      <c r="F749" s="69"/>
      <c r="G749" s="69"/>
      <c r="H749" s="69"/>
      <c r="I749" s="69"/>
      <c r="J749" s="69"/>
      <c r="K749" s="69"/>
    </row>
    <row r="750" spans="1:11" ht="15.75" customHeight="1" x14ac:dyDescent="0.4">
      <c r="A750" s="67"/>
      <c r="B750" s="68"/>
      <c r="C750" s="68"/>
      <c r="D750" s="67"/>
      <c r="E750" s="67"/>
      <c r="F750" s="69"/>
      <c r="G750" s="69"/>
      <c r="H750" s="69"/>
      <c r="I750" s="69"/>
      <c r="J750" s="69"/>
      <c r="K750" s="69"/>
    </row>
    <row r="751" spans="1:11" ht="15.75" customHeight="1" x14ac:dyDescent="0.4">
      <c r="A751" s="67"/>
      <c r="B751" s="68"/>
      <c r="C751" s="68"/>
      <c r="D751" s="67"/>
      <c r="E751" s="67"/>
      <c r="F751" s="69"/>
      <c r="G751" s="69"/>
      <c r="H751" s="69"/>
      <c r="I751" s="69"/>
      <c r="J751" s="69"/>
      <c r="K751" s="69"/>
    </row>
    <row r="752" spans="1:11" ht="15.75" customHeight="1" x14ac:dyDescent="0.4">
      <c r="A752" s="67"/>
      <c r="B752" s="68"/>
      <c r="C752" s="68"/>
      <c r="D752" s="67"/>
      <c r="E752" s="67"/>
      <c r="F752" s="69"/>
      <c r="G752" s="69"/>
      <c r="H752" s="69"/>
      <c r="I752" s="69"/>
      <c r="J752" s="69"/>
      <c r="K752" s="69"/>
    </row>
    <row r="753" spans="1:11" ht="15.75" customHeight="1" x14ac:dyDescent="0.4">
      <c r="A753" s="67"/>
      <c r="B753" s="68"/>
      <c r="C753" s="68"/>
      <c r="D753" s="67"/>
      <c r="E753" s="67"/>
      <c r="F753" s="69"/>
      <c r="G753" s="69"/>
      <c r="H753" s="69"/>
      <c r="I753" s="69"/>
      <c r="J753" s="69"/>
      <c r="K753" s="69"/>
    </row>
    <row r="754" spans="1:11" ht="15.75" customHeight="1" x14ac:dyDescent="0.4">
      <c r="A754" s="67"/>
      <c r="B754" s="68"/>
      <c r="C754" s="68"/>
      <c r="D754" s="67"/>
      <c r="E754" s="67"/>
      <c r="F754" s="69"/>
      <c r="G754" s="69"/>
      <c r="H754" s="69"/>
      <c r="I754" s="69"/>
      <c r="J754" s="69"/>
      <c r="K754" s="69"/>
    </row>
    <row r="755" spans="1:11" ht="15.75" customHeight="1" x14ac:dyDescent="0.4">
      <c r="A755" s="67"/>
      <c r="B755" s="68"/>
      <c r="C755" s="68"/>
      <c r="D755" s="67"/>
      <c r="E755" s="67"/>
      <c r="F755" s="69"/>
      <c r="G755" s="69"/>
      <c r="H755" s="69"/>
      <c r="I755" s="69"/>
      <c r="J755" s="69"/>
      <c r="K755" s="69"/>
    </row>
    <row r="756" spans="1:11" ht="15.75" customHeight="1" x14ac:dyDescent="0.4">
      <c r="A756" s="67"/>
      <c r="B756" s="68"/>
      <c r="C756" s="68"/>
      <c r="D756" s="67"/>
      <c r="E756" s="67"/>
      <c r="F756" s="69"/>
      <c r="G756" s="69"/>
      <c r="H756" s="69"/>
      <c r="I756" s="69"/>
      <c r="J756" s="69"/>
      <c r="K756" s="69"/>
    </row>
    <row r="757" spans="1:11" ht="15.75" customHeight="1" x14ac:dyDescent="0.4">
      <c r="A757" s="67"/>
      <c r="B757" s="68"/>
      <c r="C757" s="68"/>
      <c r="D757" s="67"/>
      <c r="E757" s="67"/>
      <c r="F757" s="69"/>
      <c r="G757" s="69"/>
      <c r="H757" s="69"/>
      <c r="I757" s="69"/>
      <c r="J757" s="69"/>
      <c r="K757" s="69"/>
    </row>
    <row r="758" spans="1:11" ht="15.75" customHeight="1" x14ac:dyDescent="0.4">
      <c r="A758" s="67"/>
      <c r="B758" s="68"/>
      <c r="C758" s="68"/>
      <c r="D758" s="67"/>
      <c r="E758" s="67"/>
      <c r="F758" s="69"/>
      <c r="G758" s="69"/>
      <c r="H758" s="69"/>
      <c r="I758" s="69"/>
      <c r="J758" s="69"/>
      <c r="K758" s="69"/>
    </row>
    <row r="759" spans="1:11" ht="15.75" customHeight="1" x14ac:dyDescent="0.4">
      <c r="A759" s="67"/>
      <c r="B759" s="68"/>
      <c r="C759" s="68"/>
      <c r="D759" s="67"/>
      <c r="E759" s="67"/>
      <c r="F759" s="69"/>
      <c r="G759" s="69"/>
      <c r="H759" s="69"/>
      <c r="I759" s="69"/>
      <c r="J759" s="69"/>
      <c r="K759" s="69"/>
    </row>
    <row r="760" spans="1:11" ht="15.75" customHeight="1" x14ac:dyDescent="0.4">
      <c r="A760" s="67"/>
      <c r="B760" s="68"/>
      <c r="C760" s="68"/>
      <c r="D760" s="67"/>
      <c r="E760" s="67"/>
      <c r="F760" s="69"/>
      <c r="G760" s="69"/>
      <c r="H760" s="69"/>
      <c r="I760" s="69"/>
      <c r="J760" s="69"/>
      <c r="K760" s="69"/>
    </row>
    <row r="761" spans="1:11" ht="15.75" customHeight="1" x14ac:dyDescent="0.4">
      <c r="A761" s="67"/>
      <c r="B761" s="68"/>
      <c r="C761" s="68"/>
      <c r="D761" s="67"/>
      <c r="E761" s="67"/>
      <c r="F761" s="69"/>
      <c r="G761" s="69"/>
      <c r="H761" s="69"/>
      <c r="I761" s="69"/>
      <c r="J761" s="69"/>
      <c r="K761" s="69"/>
    </row>
    <row r="762" spans="1:11" ht="15.75" customHeight="1" x14ac:dyDescent="0.4">
      <c r="A762" s="67"/>
      <c r="B762" s="68"/>
      <c r="C762" s="68"/>
      <c r="D762" s="67"/>
      <c r="E762" s="67"/>
      <c r="F762" s="69"/>
      <c r="G762" s="69"/>
      <c r="H762" s="69"/>
      <c r="I762" s="69"/>
      <c r="J762" s="69"/>
      <c r="K762" s="69"/>
    </row>
    <row r="763" spans="1:11" ht="15.75" customHeight="1" x14ac:dyDescent="0.4">
      <c r="A763" s="67"/>
      <c r="B763" s="68"/>
      <c r="C763" s="68"/>
      <c r="D763" s="67"/>
      <c r="E763" s="67"/>
      <c r="F763" s="69"/>
      <c r="G763" s="69"/>
      <c r="H763" s="69"/>
      <c r="I763" s="69"/>
      <c r="J763" s="69"/>
      <c r="K763" s="69"/>
    </row>
    <row r="764" spans="1:11" ht="15.75" customHeight="1" x14ac:dyDescent="0.4">
      <c r="A764" s="67"/>
      <c r="B764" s="68"/>
      <c r="C764" s="68"/>
      <c r="D764" s="67"/>
      <c r="E764" s="67"/>
      <c r="F764" s="69"/>
      <c r="G764" s="69"/>
      <c r="H764" s="69"/>
      <c r="I764" s="69"/>
      <c r="J764" s="69"/>
      <c r="K764" s="69"/>
    </row>
    <row r="765" spans="1:11" ht="15.75" customHeight="1" x14ac:dyDescent="0.4">
      <c r="A765" s="67"/>
      <c r="B765" s="68"/>
      <c r="C765" s="68"/>
      <c r="D765" s="67"/>
      <c r="E765" s="67"/>
      <c r="F765" s="69"/>
      <c r="G765" s="69"/>
      <c r="H765" s="69"/>
      <c r="I765" s="69"/>
      <c r="J765" s="69"/>
      <c r="K765" s="69"/>
    </row>
    <row r="766" spans="1:11" ht="15.75" customHeight="1" x14ac:dyDescent="0.4">
      <c r="A766" s="67"/>
      <c r="B766" s="68"/>
      <c r="C766" s="68"/>
      <c r="D766" s="67"/>
      <c r="E766" s="67"/>
      <c r="F766" s="69"/>
      <c r="G766" s="69"/>
      <c r="H766" s="69"/>
      <c r="I766" s="69"/>
      <c r="J766" s="69"/>
      <c r="K766" s="69"/>
    </row>
    <row r="767" spans="1:11" ht="15.75" customHeight="1" x14ac:dyDescent="0.4">
      <c r="A767" s="67"/>
      <c r="B767" s="68"/>
      <c r="C767" s="68"/>
      <c r="D767" s="67"/>
      <c r="E767" s="67"/>
      <c r="F767" s="69"/>
      <c r="G767" s="69"/>
      <c r="H767" s="69"/>
      <c r="I767" s="69"/>
      <c r="J767" s="69"/>
      <c r="K767" s="69"/>
    </row>
    <row r="768" spans="1:11" ht="15.75" customHeight="1" x14ac:dyDescent="0.4">
      <c r="A768" s="67"/>
      <c r="B768" s="68"/>
      <c r="C768" s="68"/>
      <c r="D768" s="67"/>
      <c r="E768" s="67"/>
      <c r="F768" s="69"/>
      <c r="G768" s="69"/>
      <c r="H768" s="69"/>
      <c r="I768" s="69"/>
      <c r="J768" s="69"/>
      <c r="K768" s="69"/>
    </row>
    <row r="769" spans="1:11" ht="15.75" customHeight="1" x14ac:dyDescent="0.4">
      <c r="A769" s="67"/>
      <c r="B769" s="68"/>
      <c r="C769" s="68"/>
      <c r="D769" s="67"/>
      <c r="E769" s="67"/>
      <c r="F769" s="69"/>
      <c r="G769" s="69"/>
      <c r="H769" s="69"/>
      <c r="I769" s="69"/>
      <c r="J769" s="69"/>
      <c r="K769" s="69"/>
    </row>
    <row r="770" spans="1:11" ht="15.75" customHeight="1" x14ac:dyDescent="0.4">
      <c r="A770" s="67"/>
      <c r="B770" s="68"/>
      <c r="C770" s="68"/>
      <c r="D770" s="67"/>
      <c r="E770" s="67"/>
      <c r="F770" s="69"/>
      <c r="G770" s="69"/>
      <c r="H770" s="69"/>
      <c r="I770" s="69"/>
      <c r="J770" s="69"/>
      <c r="K770" s="69"/>
    </row>
    <row r="771" spans="1:11" ht="15.75" customHeight="1" x14ac:dyDescent="0.4">
      <c r="A771" s="67"/>
      <c r="B771" s="68"/>
      <c r="C771" s="68"/>
      <c r="D771" s="67"/>
      <c r="E771" s="67"/>
      <c r="F771" s="69"/>
      <c r="G771" s="69"/>
      <c r="H771" s="69"/>
      <c r="I771" s="69"/>
      <c r="J771" s="69"/>
      <c r="K771" s="69"/>
    </row>
    <row r="772" spans="1:11" ht="15.75" customHeight="1" x14ac:dyDescent="0.4">
      <c r="A772" s="67"/>
      <c r="B772" s="68"/>
      <c r="C772" s="68"/>
      <c r="D772" s="67"/>
      <c r="E772" s="67"/>
      <c r="F772" s="69"/>
      <c r="G772" s="69"/>
      <c r="H772" s="69"/>
      <c r="I772" s="69"/>
      <c r="J772" s="69"/>
      <c r="K772" s="69"/>
    </row>
    <row r="773" spans="1:11" ht="15.75" customHeight="1" x14ac:dyDescent="0.4">
      <c r="A773" s="67"/>
      <c r="B773" s="68"/>
      <c r="C773" s="68"/>
      <c r="D773" s="67"/>
      <c r="E773" s="67"/>
      <c r="F773" s="69"/>
      <c r="G773" s="69"/>
      <c r="H773" s="69"/>
      <c r="I773" s="69"/>
      <c r="J773" s="69"/>
      <c r="K773" s="69"/>
    </row>
    <row r="774" spans="1:11" ht="15.75" customHeight="1" x14ac:dyDescent="0.4">
      <c r="A774" s="67"/>
      <c r="B774" s="68"/>
      <c r="C774" s="68"/>
      <c r="D774" s="67"/>
      <c r="E774" s="67"/>
      <c r="F774" s="69"/>
      <c r="G774" s="69"/>
      <c r="H774" s="69"/>
      <c r="I774" s="69"/>
      <c r="J774" s="69"/>
      <c r="K774" s="69"/>
    </row>
    <row r="775" spans="1:11" ht="15.75" customHeight="1" x14ac:dyDescent="0.4">
      <c r="A775" s="67"/>
      <c r="B775" s="68"/>
      <c r="C775" s="68"/>
      <c r="D775" s="67"/>
      <c r="E775" s="67"/>
      <c r="F775" s="69"/>
      <c r="G775" s="69"/>
      <c r="H775" s="69"/>
      <c r="I775" s="69"/>
      <c r="J775" s="69"/>
      <c r="K775" s="69"/>
    </row>
    <row r="776" spans="1:11" ht="15.75" customHeight="1" x14ac:dyDescent="0.4">
      <c r="A776" s="67"/>
      <c r="B776" s="68"/>
      <c r="C776" s="68"/>
      <c r="D776" s="67"/>
      <c r="E776" s="67"/>
      <c r="F776" s="69"/>
      <c r="G776" s="69"/>
      <c r="H776" s="69"/>
      <c r="I776" s="69"/>
      <c r="J776" s="69"/>
      <c r="K776" s="69"/>
    </row>
    <row r="777" spans="1:11" ht="15.75" customHeight="1" x14ac:dyDescent="0.4">
      <c r="A777" s="67"/>
      <c r="B777" s="68"/>
      <c r="C777" s="68"/>
      <c r="D777" s="67"/>
      <c r="E777" s="67"/>
      <c r="F777" s="69"/>
      <c r="G777" s="69"/>
      <c r="H777" s="69"/>
      <c r="I777" s="69"/>
      <c r="J777" s="69"/>
      <c r="K777" s="69"/>
    </row>
    <row r="778" spans="1:11" ht="15.75" customHeight="1" x14ac:dyDescent="0.4">
      <c r="A778" s="67"/>
      <c r="B778" s="68"/>
      <c r="C778" s="68"/>
      <c r="D778" s="67"/>
      <c r="E778" s="67"/>
      <c r="F778" s="69"/>
      <c r="G778" s="69"/>
      <c r="H778" s="69"/>
      <c r="I778" s="69"/>
      <c r="J778" s="69"/>
      <c r="K778" s="69"/>
    </row>
    <row r="779" spans="1:11" ht="15.75" customHeight="1" x14ac:dyDescent="0.4">
      <c r="A779" s="67"/>
      <c r="B779" s="68"/>
      <c r="C779" s="68"/>
      <c r="D779" s="67"/>
      <c r="E779" s="67"/>
      <c r="F779" s="69"/>
      <c r="G779" s="69"/>
      <c r="H779" s="69"/>
      <c r="I779" s="69"/>
      <c r="J779" s="69"/>
      <c r="K779" s="69"/>
    </row>
    <row r="780" spans="1:11" ht="15.75" customHeight="1" x14ac:dyDescent="0.4">
      <c r="A780" s="67"/>
      <c r="B780" s="68"/>
      <c r="C780" s="68"/>
      <c r="D780" s="67"/>
      <c r="E780" s="67"/>
      <c r="F780" s="69"/>
      <c r="G780" s="69"/>
      <c r="H780" s="69"/>
      <c r="I780" s="69"/>
      <c r="J780" s="69"/>
      <c r="K780" s="69"/>
    </row>
    <row r="781" spans="1:11" ht="15.75" customHeight="1" x14ac:dyDescent="0.4">
      <c r="A781" s="67"/>
      <c r="B781" s="68"/>
      <c r="C781" s="68"/>
      <c r="D781" s="67"/>
      <c r="E781" s="67"/>
      <c r="F781" s="69"/>
      <c r="G781" s="69"/>
      <c r="H781" s="69"/>
      <c r="I781" s="69"/>
      <c r="J781" s="69"/>
      <c r="K781" s="69"/>
    </row>
    <row r="782" spans="1:11" ht="15.75" customHeight="1" x14ac:dyDescent="0.4">
      <c r="A782" s="67"/>
      <c r="B782" s="68"/>
      <c r="C782" s="68"/>
      <c r="D782" s="67"/>
      <c r="E782" s="67"/>
      <c r="F782" s="69"/>
      <c r="G782" s="69"/>
      <c r="H782" s="69"/>
      <c r="I782" s="69"/>
      <c r="J782" s="69"/>
      <c r="K782" s="69"/>
    </row>
    <row r="783" spans="1:11" ht="15.75" customHeight="1" x14ac:dyDescent="0.4">
      <c r="A783" s="67"/>
      <c r="B783" s="68"/>
      <c r="C783" s="68"/>
      <c r="D783" s="67"/>
      <c r="E783" s="67"/>
      <c r="F783" s="69"/>
      <c r="G783" s="69"/>
      <c r="H783" s="69"/>
      <c r="I783" s="69"/>
      <c r="J783" s="69"/>
      <c r="K783" s="69"/>
    </row>
    <row r="784" spans="1:11" ht="15.75" customHeight="1" x14ac:dyDescent="0.4">
      <c r="A784" s="67"/>
      <c r="B784" s="68"/>
      <c r="C784" s="68"/>
      <c r="D784" s="67"/>
      <c r="E784" s="67"/>
      <c r="F784" s="69"/>
      <c r="G784" s="69"/>
      <c r="H784" s="69"/>
      <c r="I784" s="69"/>
      <c r="J784" s="69"/>
      <c r="K784" s="69"/>
    </row>
    <row r="785" spans="1:11" ht="15.75" customHeight="1" x14ac:dyDescent="0.4">
      <c r="A785" s="67"/>
      <c r="B785" s="68"/>
      <c r="C785" s="68"/>
      <c r="D785" s="67"/>
      <c r="E785" s="67"/>
      <c r="F785" s="69"/>
      <c r="G785" s="69"/>
      <c r="H785" s="69"/>
      <c r="I785" s="69"/>
      <c r="J785" s="69"/>
      <c r="K785" s="69"/>
    </row>
    <row r="786" spans="1:11" ht="15.75" customHeight="1" x14ac:dyDescent="0.4">
      <c r="A786" s="67"/>
      <c r="B786" s="68"/>
      <c r="C786" s="68"/>
      <c r="D786" s="67"/>
      <c r="E786" s="67"/>
      <c r="F786" s="69"/>
      <c r="G786" s="69"/>
      <c r="H786" s="69"/>
      <c r="I786" s="69"/>
      <c r="J786" s="69"/>
      <c r="K786" s="69"/>
    </row>
    <row r="787" spans="1:11" ht="15.75" customHeight="1" x14ac:dyDescent="0.4">
      <c r="A787" s="67"/>
      <c r="B787" s="68"/>
      <c r="C787" s="68"/>
      <c r="D787" s="67"/>
      <c r="E787" s="67"/>
      <c r="F787" s="69"/>
      <c r="G787" s="69"/>
      <c r="H787" s="69"/>
      <c r="I787" s="69"/>
      <c r="J787" s="69"/>
      <c r="K787" s="69"/>
    </row>
    <row r="788" spans="1:11" ht="15.75" customHeight="1" x14ac:dyDescent="0.4">
      <c r="A788" s="67"/>
      <c r="B788" s="68"/>
      <c r="C788" s="68"/>
      <c r="D788" s="67"/>
      <c r="E788" s="67"/>
      <c r="F788" s="69"/>
      <c r="G788" s="69"/>
      <c r="H788" s="69"/>
      <c r="I788" s="69"/>
      <c r="J788" s="69"/>
      <c r="K788" s="69"/>
    </row>
    <row r="789" spans="1:11" ht="15.75" customHeight="1" x14ac:dyDescent="0.4">
      <c r="A789" s="67"/>
      <c r="B789" s="68"/>
      <c r="C789" s="68"/>
      <c r="D789" s="67"/>
      <c r="E789" s="67"/>
      <c r="F789" s="69"/>
      <c r="G789" s="69"/>
      <c r="H789" s="69"/>
      <c r="I789" s="69"/>
      <c r="J789" s="69"/>
      <c r="K789" s="69"/>
    </row>
    <row r="790" spans="1:11" ht="15.75" customHeight="1" x14ac:dyDescent="0.4">
      <c r="A790" s="67"/>
      <c r="B790" s="68"/>
      <c r="C790" s="68"/>
      <c r="D790" s="67"/>
      <c r="E790" s="67"/>
      <c r="F790" s="69"/>
      <c r="G790" s="69"/>
      <c r="H790" s="69"/>
      <c r="I790" s="69"/>
      <c r="J790" s="69"/>
      <c r="K790" s="69"/>
    </row>
    <row r="791" spans="1:11" ht="15.75" customHeight="1" x14ac:dyDescent="0.4">
      <c r="A791" s="67"/>
      <c r="B791" s="68"/>
      <c r="C791" s="68"/>
      <c r="D791" s="67"/>
      <c r="E791" s="67"/>
      <c r="F791" s="69"/>
      <c r="G791" s="69"/>
      <c r="H791" s="69"/>
      <c r="I791" s="69"/>
      <c r="J791" s="69"/>
      <c r="K791" s="69"/>
    </row>
    <row r="792" spans="1:11" ht="15.75" customHeight="1" x14ac:dyDescent="0.4">
      <c r="A792" s="67"/>
      <c r="B792" s="68"/>
      <c r="C792" s="68"/>
      <c r="D792" s="67"/>
      <c r="E792" s="67"/>
      <c r="F792" s="69"/>
      <c r="G792" s="69"/>
      <c r="H792" s="69"/>
      <c r="I792" s="69"/>
      <c r="J792" s="69"/>
      <c r="K792" s="69"/>
    </row>
    <row r="793" spans="1:11" ht="15.75" customHeight="1" x14ac:dyDescent="0.4">
      <c r="A793" s="67"/>
      <c r="B793" s="68"/>
      <c r="C793" s="68"/>
      <c r="D793" s="67"/>
      <c r="E793" s="67"/>
      <c r="F793" s="69"/>
      <c r="G793" s="69"/>
      <c r="H793" s="69"/>
      <c r="I793" s="69"/>
      <c r="J793" s="69"/>
      <c r="K793" s="69"/>
    </row>
    <row r="794" spans="1:11" ht="15.75" customHeight="1" x14ac:dyDescent="0.4">
      <c r="A794" s="67"/>
      <c r="B794" s="68"/>
      <c r="C794" s="68"/>
      <c r="D794" s="67"/>
      <c r="E794" s="67"/>
      <c r="F794" s="69"/>
      <c r="G794" s="69"/>
      <c r="H794" s="69"/>
      <c r="I794" s="69"/>
      <c r="J794" s="69"/>
      <c r="K794" s="69"/>
    </row>
    <row r="795" spans="1:11" ht="15.75" customHeight="1" x14ac:dyDescent="0.4">
      <c r="A795" s="67"/>
      <c r="B795" s="68"/>
      <c r="C795" s="68"/>
      <c r="D795" s="67"/>
      <c r="E795" s="67"/>
      <c r="F795" s="69"/>
      <c r="G795" s="69"/>
      <c r="H795" s="69"/>
      <c r="I795" s="69"/>
      <c r="J795" s="69"/>
      <c r="K795" s="69"/>
    </row>
    <row r="796" spans="1:11" ht="15.75" customHeight="1" x14ac:dyDescent="0.4">
      <c r="A796" s="67"/>
      <c r="B796" s="68"/>
      <c r="C796" s="68"/>
      <c r="D796" s="67"/>
      <c r="E796" s="67"/>
      <c r="F796" s="69"/>
      <c r="G796" s="69"/>
      <c r="H796" s="69"/>
      <c r="I796" s="69"/>
      <c r="J796" s="69"/>
      <c r="K796" s="69"/>
    </row>
    <row r="797" spans="1:11" ht="15.75" customHeight="1" x14ac:dyDescent="0.4">
      <c r="A797" s="67"/>
      <c r="B797" s="68"/>
      <c r="C797" s="68"/>
      <c r="D797" s="67"/>
      <c r="E797" s="67"/>
      <c r="F797" s="69"/>
      <c r="G797" s="69"/>
      <c r="H797" s="69"/>
      <c r="I797" s="69"/>
      <c r="J797" s="69"/>
      <c r="K797" s="69"/>
    </row>
    <row r="798" spans="1:11" ht="15.75" customHeight="1" x14ac:dyDescent="0.4">
      <c r="A798" s="67"/>
      <c r="B798" s="68"/>
      <c r="C798" s="68"/>
      <c r="D798" s="67"/>
      <c r="E798" s="67"/>
      <c r="F798" s="69"/>
      <c r="G798" s="69"/>
      <c r="H798" s="69"/>
      <c r="I798" s="69"/>
      <c r="J798" s="69"/>
      <c r="K798" s="69"/>
    </row>
    <row r="799" spans="1:11" ht="15.75" customHeight="1" x14ac:dyDescent="0.4">
      <c r="A799" s="67"/>
      <c r="B799" s="68"/>
      <c r="C799" s="68"/>
      <c r="D799" s="67"/>
      <c r="E799" s="67"/>
      <c r="F799" s="69"/>
      <c r="G799" s="69"/>
      <c r="H799" s="69"/>
      <c r="I799" s="69"/>
      <c r="J799" s="69"/>
      <c r="K799" s="69"/>
    </row>
    <row r="800" spans="1:11" ht="15.75" customHeight="1" x14ac:dyDescent="0.4">
      <c r="A800" s="67"/>
      <c r="B800" s="68"/>
      <c r="C800" s="68"/>
      <c r="D800" s="67"/>
      <c r="E800" s="67"/>
      <c r="F800" s="69"/>
      <c r="G800" s="69"/>
      <c r="H800" s="69"/>
      <c r="I800" s="69"/>
      <c r="J800" s="69"/>
      <c r="K800" s="69"/>
    </row>
    <row r="801" spans="1:11" ht="15.75" customHeight="1" x14ac:dyDescent="0.4">
      <c r="A801" s="67"/>
      <c r="B801" s="68"/>
      <c r="C801" s="68"/>
      <c r="D801" s="67"/>
      <c r="E801" s="67"/>
      <c r="F801" s="69"/>
      <c r="G801" s="69"/>
      <c r="H801" s="69"/>
      <c r="I801" s="69"/>
      <c r="J801" s="69"/>
      <c r="K801" s="69"/>
    </row>
    <row r="802" spans="1:11" ht="15.75" customHeight="1" x14ac:dyDescent="0.4">
      <c r="A802" s="67"/>
      <c r="B802" s="68"/>
      <c r="C802" s="68"/>
      <c r="D802" s="67"/>
      <c r="E802" s="67"/>
      <c r="F802" s="69"/>
      <c r="G802" s="69"/>
      <c r="H802" s="69"/>
      <c r="I802" s="69"/>
      <c r="J802" s="69"/>
      <c r="K802" s="69"/>
    </row>
    <row r="803" spans="1:11" ht="15.75" customHeight="1" x14ac:dyDescent="0.4">
      <c r="A803" s="67"/>
      <c r="B803" s="68"/>
      <c r="C803" s="68"/>
      <c r="D803" s="67"/>
      <c r="E803" s="67"/>
      <c r="F803" s="69"/>
      <c r="G803" s="69"/>
      <c r="H803" s="69"/>
      <c r="I803" s="69"/>
      <c r="J803" s="69"/>
      <c r="K803" s="69"/>
    </row>
    <row r="804" spans="1:11" ht="15.75" customHeight="1" x14ac:dyDescent="0.4">
      <c r="A804" s="67"/>
      <c r="B804" s="68"/>
      <c r="C804" s="68"/>
      <c r="D804" s="67"/>
      <c r="E804" s="67"/>
      <c r="F804" s="69"/>
      <c r="G804" s="69"/>
      <c r="H804" s="69"/>
      <c r="I804" s="69"/>
      <c r="J804" s="69"/>
      <c r="K804" s="69"/>
    </row>
    <row r="805" spans="1:11" ht="15.75" customHeight="1" x14ac:dyDescent="0.4">
      <c r="A805" s="67"/>
      <c r="B805" s="68"/>
      <c r="C805" s="68"/>
      <c r="D805" s="67"/>
      <c r="E805" s="67"/>
      <c r="F805" s="69"/>
      <c r="G805" s="69"/>
      <c r="H805" s="69"/>
      <c r="I805" s="69"/>
      <c r="J805" s="69"/>
      <c r="K805" s="69"/>
    </row>
    <row r="806" spans="1:11" ht="15.75" customHeight="1" x14ac:dyDescent="0.4">
      <c r="A806" s="67"/>
      <c r="B806" s="68"/>
      <c r="C806" s="68"/>
      <c r="D806" s="67"/>
      <c r="E806" s="67"/>
      <c r="F806" s="69"/>
      <c r="G806" s="69"/>
      <c r="H806" s="69"/>
      <c r="I806" s="69"/>
      <c r="J806" s="69"/>
      <c r="K806" s="69"/>
    </row>
    <row r="807" spans="1:11" ht="15.75" customHeight="1" x14ac:dyDescent="0.4">
      <c r="A807" s="67"/>
      <c r="B807" s="68"/>
      <c r="C807" s="68"/>
      <c r="D807" s="67"/>
      <c r="E807" s="67"/>
      <c r="F807" s="69"/>
      <c r="G807" s="69"/>
      <c r="H807" s="69"/>
      <c r="I807" s="69"/>
      <c r="J807" s="69"/>
      <c r="K807" s="69"/>
    </row>
    <row r="808" spans="1:11" ht="15.75" customHeight="1" x14ac:dyDescent="0.4">
      <c r="A808" s="67"/>
      <c r="B808" s="68"/>
      <c r="C808" s="68"/>
      <c r="D808" s="67"/>
      <c r="E808" s="67"/>
      <c r="F808" s="69"/>
      <c r="G808" s="69"/>
      <c r="H808" s="69"/>
      <c r="I808" s="69"/>
      <c r="J808" s="69"/>
      <c r="K808" s="69"/>
    </row>
    <row r="809" spans="1:11" ht="15.75" customHeight="1" x14ac:dyDescent="0.4">
      <c r="A809" s="67"/>
      <c r="B809" s="68"/>
      <c r="C809" s="68"/>
      <c r="D809" s="67"/>
      <c r="E809" s="67"/>
      <c r="F809" s="69"/>
      <c r="G809" s="69"/>
      <c r="H809" s="69"/>
      <c r="I809" s="69"/>
      <c r="J809" s="69"/>
      <c r="K809" s="69"/>
    </row>
    <row r="810" spans="1:11" ht="15.75" customHeight="1" x14ac:dyDescent="0.4">
      <c r="A810" s="67"/>
      <c r="B810" s="68"/>
      <c r="C810" s="68"/>
      <c r="D810" s="67"/>
      <c r="E810" s="67"/>
      <c r="F810" s="69"/>
      <c r="G810" s="69"/>
      <c r="H810" s="69"/>
      <c r="I810" s="69"/>
      <c r="J810" s="69"/>
      <c r="K810" s="69"/>
    </row>
    <row r="811" spans="1:11" ht="15.75" customHeight="1" x14ac:dyDescent="0.4">
      <c r="A811" s="67"/>
      <c r="B811" s="68"/>
      <c r="C811" s="68"/>
      <c r="D811" s="67"/>
      <c r="E811" s="67"/>
      <c r="F811" s="69"/>
      <c r="G811" s="69"/>
      <c r="H811" s="69"/>
      <c r="I811" s="69"/>
      <c r="J811" s="69"/>
      <c r="K811" s="69"/>
    </row>
    <row r="812" spans="1:11" ht="15.75" customHeight="1" x14ac:dyDescent="0.4">
      <c r="A812" s="67"/>
      <c r="B812" s="68"/>
      <c r="C812" s="68"/>
      <c r="D812" s="67"/>
      <c r="E812" s="67"/>
      <c r="F812" s="69"/>
      <c r="G812" s="69"/>
      <c r="H812" s="69"/>
      <c r="I812" s="69"/>
      <c r="J812" s="69"/>
      <c r="K812" s="69"/>
    </row>
    <row r="813" spans="1:11" ht="15.75" customHeight="1" x14ac:dyDescent="0.4">
      <c r="A813" s="67"/>
      <c r="B813" s="68"/>
      <c r="C813" s="68"/>
      <c r="D813" s="67"/>
      <c r="E813" s="67"/>
      <c r="F813" s="69"/>
      <c r="G813" s="69"/>
      <c r="H813" s="69"/>
      <c r="I813" s="69"/>
      <c r="J813" s="69"/>
      <c r="K813" s="69"/>
    </row>
    <row r="814" spans="1:11" ht="15.75" customHeight="1" x14ac:dyDescent="0.4">
      <c r="A814" s="67"/>
      <c r="B814" s="68"/>
      <c r="C814" s="68"/>
      <c r="D814" s="67"/>
      <c r="E814" s="67"/>
      <c r="F814" s="69"/>
      <c r="G814" s="69"/>
      <c r="H814" s="69"/>
      <c r="I814" s="69"/>
      <c r="J814" s="69"/>
      <c r="K814" s="69"/>
    </row>
    <row r="815" spans="1:11" ht="15.75" customHeight="1" x14ac:dyDescent="0.4">
      <c r="A815" s="67"/>
      <c r="B815" s="68"/>
      <c r="C815" s="68"/>
      <c r="D815" s="67"/>
      <c r="E815" s="67"/>
      <c r="F815" s="69"/>
      <c r="G815" s="69"/>
      <c r="H815" s="69"/>
      <c r="I815" s="69"/>
      <c r="J815" s="69"/>
      <c r="K815" s="69"/>
    </row>
    <row r="816" spans="1:11" ht="15.75" customHeight="1" x14ac:dyDescent="0.4">
      <c r="A816" s="67"/>
      <c r="B816" s="68"/>
      <c r="C816" s="68"/>
      <c r="D816" s="67"/>
      <c r="E816" s="67"/>
      <c r="F816" s="69"/>
      <c r="G816" s="69"/>
      <c r="H816" s="69"/>
      <c r="I816" s="69"/>
      <c r="J816" s="69"/>
      <c r="K816" s="69"/>
    </row>
    <row r="817" spans="1:11" ht="15.75" customHeight="1" x14ac:dyDescent="0.4">
      <c r="A817" s="67"/>
      <c r="B817" s="68"/>
      <c r="C817" s="68"/>
      <c r="D817" s="67"/>
      <c r="E817" s="67"/>
      <c r="F817" s="69"/>
      <c r="G817" s="69"/>
      <c r="H817" s="69"/>
      <c r="I817" s="69"/>
      <c r="J817" s="69"/>
      <c r="K817" s="69"/>
    </row>
    <row r="818" spans="1:11" ht="15.75" customHeight="1" x14ac:dyDescent="0.4">
      <c r="A818" s="67"/>
      <c r="B818" s="68"/>
      <c r="C818" s="68"/>
      <c r="D818" s="67"/>
      <c r="E818" s="67"/>
      <c r="F818" s="69"/>
      <c r="G818" s="69"/>
      <c r="H818" s="69"/>
      <c r="I818" s="69"/>
      <c r="J818" s="69"/>
      <c r="K818" s="69"/>
    </row>
    <row r="819" spans="1:11" ht="15.75" customHeight="1" x14ac:dyDescent="0.4">
      <c r="A819" s="67"/>
      <c r="B819" s="68"/>
      <c r="C819" s="68"/>
      <c r="D819" s="67"/>
      <c r="E819" s="67"/>
      <c r="F819" s="69"/>
      <c r="G819" s="69"/>
      <c r="H819" s="69"/>
      <c r="I819" s="69"/>
      <c r="J819" s="69"/>
      <c r="K819" s="69"/>
    </row>
    <row r="820" spans="1:11" ht="15.75" customHeight="1" x14ac:dyDescent="0.4">
      <c r="A820" s="67"/>
      <c r="B820" s="68"/>
      <c r="C820" s="68"/>
      <c r="D820" s="67"/>
      <c r="E820" s="67"/>
      <c r="F820" s="69"/>
      <c r="G820" s="69"/>
      <c r="H820" s="69"/>
      <c r="I820" s="69"/>
      <c r="J820" s="69"/>
      <c r="K820" s="69"/>
    </row>
    <row r="821" spans="1:11" ht="15.75" customHeight="1" x14ac:dyDescent="0.4">
      <c r="A821" s="67"/>
      <c r="B821" s="68"/>
      <c r="C821" s="68"/>
      <c r="D821" s="67"/>
      <c r="E821" s="67"/>
      <c r="F821" s="69"/>
      <c r="G821" s="69"/>
      <c r="H821" s="69"/>
      <c r="I821" s="69"/>
      <c r="J821" s="69"/>
      <c r="K821" s="69"/>
    </row>
    <row r="822" spans="1:11" ht="15.75" customHeight="1" x14ac:dyDescent="0.4">
      <c r="A822" s="67"/>
      <c r="B822" s="68"/>
      <c r="C822" s="68"/>
      <c r="D822" s="67"/>
      <c r="E822" s="67"/>
      <c r="F822" s="69"/>
      <c r="G822" s="69"/>
      <c r="H822" s="69"/>
      <c r="I822" s="69"/>
      <c r="J822" s="69"/>
      <c r="K822" s="69"/>
    </row>
    <row r="823" spans="1:11" ht="15.75" customHeight="1" x14ac:dyDescent="0.4">
      <c r="A823" s="67"/>
      <c r="B823" s="68"/>
      <c r="C823" s="68"/>
      <c r="D823" s="67"/>
      <c r="E823" s="67"/>
      <c r="F823" s="69"/>
      <c r="G823" s="69"/>
      <c r="H823" s="69"/>
      <c r="I823" s="69"/>
      <c r="J823" s="69"/>
      <c r="K823" s="69"/>
    </row>
    <row r="824" spans="1:11" ht="15.75" customHeight="1" x14ac:dyDescent="0.4">
      <c r="A824" s="67"/>
      <c r="B824" s="68"/>
      <c r="C824" s="68"/>
      <c r="D824" s="67"/>
      <c r="E824" s="67"/>
      <c r="F824" s="69"/>
      <c r="G824" s="69"/>
      <c r="H824" s="69"/>
      <c r="I824" s="69"/>
      <c r="J824" s="69"/>
      <c r="K824" s="69"/>
    </row>
    <row r="825" spans="1:11" ht="15.75" customHeight="1" x14ac:dyDescent="0.4">
      <c r="A825" s="67"/>
      <c r="B825" s="68"/>
      <c r="C825" s="68"/>
      <c r="D825" s="67"/>
      <c r="E825" s="67"/>
      <c r="F825" s="69"/>
      <c r="G825" s="69"/>
      <c r="H825" s="69"/>
      <c r="I825" s="69"/>
      <c r="J825" s="69"/>
      <c r="K825" s="69"/>
    </row>
    <row r="826" spans="1:11" ht="15.75" customHeight="1" x14ac:dyDescent="0.4">
      <c r="A826" s="67"/>
      <c r="B826" s="68"/>
      <c r="C826" s="68"/>
      <c r="D826" s="67"/>
      <c r="E826" s="67"/>
      <c r="F826" s="69"/>
      <c r="G826" s="69"/>
      <c r="H826" s="69"/>
      <c r="I826" s="69"/>
      <c r="J826" s="69"/>
      <c r="K826" s="69"/>
    </row>
    <row r="827" spans="1:11" ht="15.75" customHeight="1" x14ac:dyDescent="0.4">
      <c r="A827" s="67"/>
      <c r="B827" s="68"/>
      <c r="C827" s="68"/>
      <c r="D827" s="67"/>
      <c r="E827" s="67"/>
      <c r="F827" s="69"/>
      <c r="G827" s="69"/>
      <c r="H827" s="69"/>
      <c r="I827" s="69"/>
      <c r="J827" s="69"/>
      <c r="K827" s="69"/>
    </row>
    <row r="828" spans="1:11" ht="15.75" customHeight="1" x14ac:dyDescent="0.4">
      <c r="A828" s="67"/>
      <c r="B828" s="68"/>
      <c r="C828" s="68"/>
      <c r="D828" s="67"/>
      <c r="E828" s="67"/>
      <c r="F828" s="69"/>
      <c r="G828" s="69"/>
      <c r="H828" s="69"/>
      <c r="I828" s="69"/>
      <c r="J828" s="69"/>
      <c r="K828" s="69"/>
    </row>
    <row r="829" spans="1:11" ht="15.75" customHeight="1" x14ac:dyDescent="0.4">
      <c r="A829" s="67"/>
      <c r="B829" s="68"/>
      <c r="C829" s="68"/>
      <c r="D829" s="67"/>
      <c r="E829" s="67"/>
      <c r="F829" s="69"/>
      <c r="G829" s="69"/>
      <c r="H829" s="69"/>
      <c r="I829" s="69"/>
      <c r="J829" s="69"/>
      <c r="K829" s="69"/>
    </row>
    <row r="830" spans="1:11" ht="15.75" customHeight="1" x14ac:dyDescent="0.4">
      <c r="A830" s="67"/>
      <c r="B830" s="68"/>
      <c r="C830" s="68"/>
      <c r="D830" s="67"/>
      <c r="E830" s="67"/>
      <c r="F830" s="69"/>
      <c r="G830" s="69"/>
      <c r="H830" s="69"/>
      <c r="I830" s="69"/>
      <c r="J830" s="69"/>
      <c r="K830" s="69"/>
    </row>
    <row r="831" spans="1:11" ht="15.75" customHeight="1" x14ac:dyDescent="0.4">
      <c r="A831" s="67"/>
      <c r="B831" s="68"/>
      <c r="C831" s="68"/>
      <c r="D831" s="67"/>
      <c r="E831" s="67"/>
      <c r="F831" s="69"/>
      <c r="G831" s="69"/>
      <c r="H831" s="69"/>
      <c r="I831" s="69"/>
      <c r="J831" s="69"/>
      <c r="K831" s="69"/>
    </row>
    <row r="832" spans="1:11" ht="15.75" customHeight="1" x14ac:dyDescent="0.4">
      <c r="A832" s="67"/>
      <c r="B832" s="68"/>
      <c r="C832" s="68"/>
      <c r="D832" s="67"/>
      <c r="E832" s="67"/>
      <c r="F832" s="69"/>
      <c r="G832" s="69"/>
      <c r="H832" s="69"/>
      <c r="I832" s="69"/>
      <c r="J832" s="69"/>
      <c r="K832" s="69"/>
    </row>
    <row r="833" spans="1:11" ht="15.75" customHeight="1" x14ac:dyDescent="0.4">
      <c r="A833" s="67"/>
      <c r="B833" s="68"/>
      <c r="C833" s="68"/>
      <c r="D833" s="67"/>
      <c r="E833" s="67"/>
      <c r="F833" s="69"/>
      <c r="G833" s="69"/>
      <c r="H833" s="69"/>
      <c r="I833" s="69"/>
      <c r="J833" s="69"/>
      <c r="K833" s="69"/>
    </row>
    <row r="834" spans="1:11" ht="15.75" customHeight="1" x14ac:dyDescent="0.4">
      <c r="A834" s="67"/>
      <c r="B834" s="68"/>
      <c r="C834" s="68"/>
      <c r="D834" s="67"/>
      <c r="E834" s="67"/>
      <c r="F834" s="69"/>
      <c r="G834" s="69"/>
      <c r="H834" s="69"/>
      <c r="I834" s="69"/>
      <c r="J834" s="69"/>
      <c r="K834" s="69"/>
    </row>
    <row r="835" spans="1:11" ht="15.75" customHeight="1" x14ac:dyDescent="0.4">
      <c r="A835" s="67"/>
      <c r="B835" s="68"/>
      <c r="C835" s="68"/>
      <c r="D835" s="67"/>
      <c r="E835" s="67"/>
      <c r="F835" s="69"/>
      <c r="G835" s="69"/>
      <c r="H835" s="69"/>
      <c r="I835" s="69"/>
      <c r="J835" s="69"/>
      <c r="K835" s="69"/>
    </row>
    <row r="836" spans="1:11" ht="15.75" customHeight="1" x14ac:dyDescent="0.4">
      <c r="A836" s="67"/>
      <c r="B836" s="68"/>
      <c r="C836" s="68"/>
      <c r="D836" s="67"/>
      <c r="E836" s="67"/>
      <c r="F836" s="69"/>
      <c r="G836" s="69"/>
      <c r="H836" s="69"/>
      <c r="I836" s="69"/>
      <c r="J836" s="69"/>
      <c r="K836" s="69"/>
    </row>
    <row r="837" spans="1:11" ht="15.75" customHeight="1" x14ac:dyDescent="0.4">
      <c r="A837" s="67"/>
      <c r="B837" s="68"/>
      <c r="C837" s="68"/>
      <c r="D837" s="67"/>
      <c r="E837" s="67"/>
      <c r="F837" s="69"/>
      <c r="G837" s="69"/>
      <c r="H837" s="69"/>
      <c r="I837" s="69"/>
      <c r="J837" s="69"/>
      <c r="K837" s="69"/>
    </row>
    <row r="838" spans="1:11" ht="15.75" customHeight="1" x14ac:dyDescent="0.4">
      <c r="A838" s="67"/>
      <c r="B838" s="68"/>
      <c r="C838" s="68"/>
      <c r="D838" s="67"/>
      <c r="E838" s="67"/>
      <c r="F838" s="69"/>
      <c r="G838" s="69"/>
      <c r="H838" s="69"/>
      <c r="I838" s="69"/>
      <c r="J838" s="69"/>
      <c r="K838" s="69"/>
    </row>
    <row r="839" spans="1:11" ht="15.75" customHeight="1" x14ac:dyDescent="0.4">
      <c r="A839" s="67"/>
      <c r="B839" s="68"/>
      <c r="C839" s="68"/>
      <c r="D839" s="67"/>
      <c r="E839" s="67"/>
      <c r="F839" s="69"/>
      <c r="G839" s="69"/>
      <c r="H839" s="69"/>
      <c r="I839" s="69"/>
      <c r="J839" s="69"/>
      <c r="K839" s="69"/>
    </row>
    <row r="840" spans="1:11" ht="15.75" customHeight="1" x14ac:dyDescent="0.4">
      <c r="A840" s="67"/>
      <c r="B840" s="68"/>
      <c r="C840" s="68"/>
      <c r="D840" s="67"/>
      <c r="E840" s="67"/>
      <c r="F840" s="69"/>
      <c r="G840" s="69"/>
      <c r="H840" s="69"/>
      <c r="I840" s="69"/>
      <c r="J840" s="69"/>
      <c r="K840" s="69"/>
    </row>
    <row r="841" spans="1:11" ht="15.75" customHeight="1" x14ac:dyDescent="0.4">
      <c r="A841" s="67"/>
      <c r="B841" s="68"/>
      <c r="C841" s="68"/>
      <c r="D841" s="67"/>
      <c r="E841" s="67"/>
      <c r="F841" s="69"/>
      <c r="G841" s="69"/>
      <c r="H841" s="69"/>
      <c r="I841" s="69"/>
      <c r="J841" s="69"/>
      <c r="K841" s="69"/>
    </row>
    <row r="842" spans="1:11" ht="15.75" customHeight="1" x14ac:dyDescent="0.4">
      <c r="A842" s="67"/>
      <c r="B842" s="68"/>
      <c r="C842" s="68"/>
      <c r="D842" s="67"/>
      <c r="E842" s="67"/>
      <c r="F842" s="69"/>
      <c r="G842" s="69"/>
      <c r="H842" s="69"/>
      <c r="I842" s="69"/>
      <c r="J842" s="69"/>
      <c r="K842" s="69"/>
    </row>
    <row r="843" spans="1:11" ht="15.75" customHeight="1" x14ac:dyDescent="0.4">
      <c r="A843" s="67"/>
      <c r="B843" s="68"/>
      <c r="C843" s="68"/>
      <c r="D843" s="67"/>
      <c r="E843" s="67"/>
      <c r="F843" s="69"/>
      <c r="G843" s="69"/>
      <c r="H843" s="69"/>
      <c r="I843" s="69"/>
      <c r="J843" s="69"/>
      <c r="K843" s="69"/>
    </row>
    <row r="844" spans="1:11" ht="15.75" customHeight="1" x14ac:dyDescent="0.4">
      <c r="A844" s="67"/>
      <c r="B844" s="68"/>
      <c r="C844" s="68"/>
      <c r="D844" s="67"/>
      <c r="E844" s="67"/>
      <c r="F844" s="69"/>
      <c r="G844" s="69"/>
      <c r="H844" s="69"/>
      <c r="I844" s="69"/>
      <c r="J844" s="69"/>
      <c r="K844" s="69"/>
    </row>
    <row r="845" spans="1:11" ht="15.75" customHeight="1" x14ac:dyDescent="0.4">
      <c r="A845" s="67"/>
      <c r="B845" s="68"/>
      <c r="C845" s="68"/>
      <c r="D845" s="67"/>
      <c r="E845" s="67"/>
      <c r="F845" s="69"/>
      <c r="G845" s="69"/>
      <c r="H845" s="69"/>
      <c r="I845" s="69"/>
      <c r="J845" s="69"/>
      <c r="K845" s="69"/>
    </row>
    <row r="846" spans="1:11" ht="15.75" customHeight="1" x14ac:dyDescent="0.4">
      <c r="A846" s="67"/>
      <c r="B846" s="68"/>
      <c r="C846" s="68"/>
      <c r="D846" s="67"/>
      <c r="E846" s="67"/>
      <c r="F846" s="69"/>
      <c r="G846" s="69"/>
      <c r="H846" s="69"/>
      <c r="I846" s="69"/>
      <c r="J846" s="69"/>
      <c r="K846" s="69"/>
    </row>
    <row r="847" spans="1:11" ht="15.75" customHeight="1" x14ac:dyDescent="0.4">
      <c r="A847" s="67"/>
      <c r="B847" s="68"/>
      <c r="C847" s="68"/>
      <c r="D847" s="67"/>
      <c r="E847" s="67"/>
      <c r="F847" s="69"/>
      <c r="G847" s="69"/>
      <c r="H847" s="69"/>
      <c r="I847" s="69"/>
      <c r="J847" s="69"/>
      <c r="K847" s="69"/>
    </row>
    <row r="848" spans="1:11" ht="15.75" customHeight="1" x14ac:dyDescent="0.4">
      <c r="A848" s="67"/>
      <c r="B848" s="68"/>
      <c r="C848" s="68"/>
      <c r="D848" s="67"/>
      <c r="E848" s="67"/>
      <c r="F848" s="69"/>
      <c r="G848" s="69"/>
      <c r="H848" s="69"/>
      <c r="I848" s="69"/>
      <c r="J848" s="69"/>
      <c r="K848" s="69"/>
    </row>
    <row r="849" spans="1:11" ht="15.75" customHeight="1" x14ac:dyDescent="0.4">
      <c r="A849" s="67"/>
      <c r="B849" s="68"/>
      <c r="C849" s="68"/>
      <c r="D849" s="67"/>
      <c r="E849" s="67"/>
      <c r="F849" s="69"/>
      <c r="G849" s="69"/>
      <c r="H849" s="69"/>
      <c r="I849" s="69"/>
      <c r="J849" s="69"/>
      <c r="K849" s="69"/>
    </row>
    <row r="850" spans="1:11" ht="15.75" customHeight="1" x14ac:dyDescent="0.4">
      <c r="A850" s="67"/>
      <c r="B850" s="68"/>
      <c r="C850" s="68"/>
      <c r="D850" s="67"/>
      <c r="E850" s="67"/>
      <c r="F850" s="69"/>
      <c r="G850" s="69"/>
      <c r="H850" s="69"/>
      <c r="I850" s="69"/>
      <c r="J850" s="69"/>
      <c r="K850" s="69"/>
    </row>
    <row r="851" spans="1:11" ht="15.75" customHeight="1" x14ac:dyDescent="0.4">
      <c r="A851" s="67"/>
      <c r="B851" s="68"/>
      <c r="C851" s="68"/>
      <c r="D851" s="67"/>
      <c r="E851" s="67"/>
      <c r="F851" s="69"/>
      <c r="G851" s="69"/>
      <c r="H851" s="69"/>
      <c r="I851" s="69"/>
      <c r="J851" s="69"/>
      <c r="K851" s="69"/>
    </row>
    <row r="852" spans="1:11" ht="15.75" customHeight="1" x14ac:dyDescent="0.4">
      <c r="A852" s="67"/>
      <c r="B852" s="68"/>
      <c r="C852" s="68"/>
      <c r="D852" s="67"/>
      <c r="E852" s="67"/>
      <c r="F852" s="69"/>
      <c r="G852" s="69"/>
      <c r="H852" s="69"/>
      <c r="I852" s="69"/>
      <c r="J852" s="69"/>
      <c r="K852" s="69"/>
    </row>
    <row r="853" spans="1:11" ht="15.75" customHeight="1" x14ac:dyDescent="0.4">
      <c r="A853" s="67"/>
      <c r="B853" s="68"/>
      <c r="C853" s="68"/>
      <c r="D853" s="67"/>
      <c r="E853" s="67"/>
      <c r="F853" s="69"/>
      <c r="G853" s="69"/>
      <c r="H853" s="69"/>
      <c r="I853" s="69"/>
      <c r="J853" s="69"/>
      <c r="K853" s="69"/>
    </row>
    <row r="854" spans="1:11" ht="15.75" customHeight="1" x14ac:dyDescent="0.4">
      <c r="A854" s="67"/>
      <c r="B854" s="68"/>
      <c r="C854" s="68"/>
      <c r="D854" s="67"/>
      <c r="E854" s="67"/>
      <c r="F854" s="69"/>
      <c r="G854" s="69"/>
      <c r="H854" s="69"/>
      <c r="I854" s="69"/>
      <c r="J854" s="69"/>
      <c r="K854" s="69"/>
    </row>
    <row r="855" spans="1:11" ht="15.75" customHeight="1" x14ac:dyDescent="0.4">
      <c r="A855" s="67"/>
      <c r="B855" s="68"/>
      <c r="C855" s="68"/>
      <c r="D855" s="67"/>
      <c r="E855" s="67"/>
      <c r="F855" s="69"/>
      <c r="G855" s="69"/>
      <c r="H855" s="69"/>
      <c r="I855" s="69"/>
      <c r="J855" s="69"/>
      <c r="K855" s="69"/>
    </row>
    <row r="856" spans="1:11" ht="15.75" customHeight="1" x14ac:dyDescent="0.4">
      <c r="A856" s="67"/>
      <c r="B856" s="68"/>
      <c r="C856" s="68"/>
      <c r="D856" s="67"/>
      <c r="E856" s="67"/>
      <c r="F856" s="69"/>
      <c r="G856" s="69"/>
      <c r="H856" s="69"/>
      <c r="I856" s="69"/>
      <c r="J856" s="69"/>
      <c r="K856" s="69"/>
    </row>
    <row r="857" spans="1:11" ht="15.75" customHeight="1" x14ac:dyDescent="0.4">
      <c r="A857" s="67"/>
      <c r="B857" s="68"/>
      <c r="C857" s="68"/>
      <c r="D857" s="67"/>
      <c r="E857" s="67"/>
      <c r="F857" s="69"/>
      <c r="G857" s="69"/>
      <c r="H857" s="69"/>
      <c r="I857" s="69"/>
      <c r="J857" s="69"/>
      <c r="K857" s="69"/>
    </row>
    <row r="858" spans="1:11" ht="15.75" customHeight="1" x14ac:dyDescent="0.4">
      <c r="A858" s="67"/>
      <c r="B858" s="68"/>
      <c r="C858" s="68"/>
      <c r="D858" s="67"/>
      <c r="E858" s="67"/>
      <c r="F858" s="69"/>
      <c r="G858" s="69"/>
      <c r="H858" s="69"/>
      <c r="I858" s="69"/>
      <c r="J858" s="69"/>
      <c r="K858" s="69"/>
    </row>
    <row r="859" spans="1:11" ht="15.75" customHeight="1" x14ac:dyDescent="0.4">
      <c r="A859" s="67"/>
      <c r="B859" s="68"/>
      <c r="C859" s="68"/>
      <c r="D859" s="67"/>
      <c r="E859" s="67"/>
      <c r="F859" s="69"/>
      <c r="G859" s="69"/>
      <c r="H859" s="69"/>
      <c r="I859" s="69"/>
      <c r="J859" s="69"/>
      <c r="K859" s="69"/>
    </row>
    <row r="860" spans="1:11" ht="15.75" customHeight="1" x14ac:dyDescent="0.4">
      <c r="A860" s="67"/>
      <c r="B860" s="68"/>
      <c r="C860" s="68"/>
      <c r="D860" s="67"/>
      <c r="E860" s="67"/>
      <c r="F860" s="69"/>
      <c r="G860" s="69"/>
      <c r="H860" s="69"/>
      <c r="I860" s="69"/>
      <c r="J860" s="69"/>
      <c r="K860" s="69"/>
    </row>
    <row r="861" spans="1:11" ht="15.75" customHeight="1" x14ac:dyDescent="0.4">
      <c r="A861" s="67"/>
      <c r="B861" s="68"/>
      <c r="C861" s="68"/>
      <c r="D861" s="67"/>
      <c r="E861" s="67"/>
      <c r="F861" s="69"/>
      <c r="G861" s="69"/>
      <c r="H861" s="69"/>
      <c r="I861" s="69"/>
      <c r="J861" s="69"/>
      <c r="K861" s="69"/>
    </row>
    <row r="862" spans="1:11" ht="15.75" customHeight="1" x14ac:dyDescent="0.4">
      <c r="A862" s="67"/>
      <c r="B862" s="68"/>
      <c r="C862" s="68"/>
      <c r="D862" s="67"/>
      <c r="E862" s="67"/>
      <c r="F862" s="69"/>
      <c r="G862" s="69"/>
      <c r="H862" s="69"/>
      <c r="I862" s="69"/>
      <c r="J862" s="69"/>
      <c r="K862" s="69"/>
    </row>
    <row r="863" spans="1:11" ht="15.75" customHeight="1" x14ac:dyDescent="0.4">
      <c r="A863" s="67"/>
      <c r="B863" s="68"/>
      <c r="C863" s="68"/>
      <c r="D863" s="67"/>
      <c r="E863" s="67"/>
      <c r="F863" s="69"/>
      <c r="G863" s="69"/>
      <c r="H863" s="69"/>
      <c r="I863" s="69"/>
      <c r="J863" s="69"/>
      <c r="K863" s="69"/>
    </row>
    <row r="864" spans="1:11" ht="15.75" customHeight="1" x14ac:dyDescent="0.4">
      <c r="A864" s="67"/>
      <c r="B864" s="68"/>
      <c r="C864" s="68"/>
      <c r="D864" s="67"/>
      <c r="E864" s="67"/>
      <c r="F864" s="69"/>
      <c r="G864" s="69"/>
      <c r="H864" s="69"/>
      <c r="I864" s="69"/>
      <c r="J864" s="69"/>
      <c r="K864" s="69"/>
    </row>
    <row r="865" spans="1:11" ht="15.75" customHeight="1" x14ac:dyDescent="0.4">
      <c r="A865" s="67"/>
      <c r="B865" s="68"/>
      <c r="C865" s="68"/>
      <c r="D865" s="67"/>
      <c r="E865" s="67"/>
      <c r="F865" s="69"/>
      <c r="G865" s="69"/>
      <c r="H865" s="69"/>
      <c r="I865" s="69"/>
      <c r="J865" s="69"/>
      <c r="K865" s="69"/>
    </row>
    <row r="866" spans="1:11" ht="15.75" customHeight="1" x14ac:dyDescent="0.4">
      <c r="A866" s="67"/>
      <c r="B866" s="68"/>
      <c r="C866" s="68"/>
      <c r="D866" s="67"/>
      <c r="E866" s="67"/>
      <c r="F866" s="69"/>
      <c r="G866" s="69"/>
      <c r="H866" s="69"/>
      <c r="I866" s="69"/>
      <c r="J866" s="69"/>
      <c r="K866" s="69"/>
    </row>
    <row r="867" spans="1:11" ht="15.75" customHeight="1" x14ac:dyDescent="0.4">
      <c r="A867" s="67"/>
      <c r="B867" s="68"/>
      <c r="C867" s="68"/>
      <c r="D867" s="67"/>
      <c r="E867" s="67"/>
      <c r="F867" s="69"/>
      <c r="G867" s="69"/>
      <c r="H867" s="69"/>
      <c r="I867" s="69"/>
      <c r="J867" s="69"/>
      <c r="K867" s="69"/>
    </row>
    <row r="868" spans="1:11" ht="15.75" customHeight="1" x14ac:dyDescent="0.4">
      <c r="A868" s="67"/>
      <c r="B868" s="68"/>
      <c r="C868" s="68"/>
      <c r="D868" s="67"/>
      <c r="E868" s="67"/>
      <c r="F868" s="69"/>
      <c r="G868" s="69"/>
      <c r="H868" s="69"/>
      <c r="I868" s="69"/>
      <c r="J868" s="69"/>
      <c r="K868" s="69"/>
    </row>
    <row r="869" spans="1:11" ht="15.75" customHeight="1" x14ac:dyDescent="0.4">
      <c r="A869" s="67"/>
      <c r="B869" s="68"/>
      <c r="C869" s="68"/>
      <c r="D869" s="67"/>
      <c r="E869" s="67"/>
      <c r="F869" s="69"/>
      <c r="G869" s="69"/>
      <c r="H869" s="69"/>
      <c r="I869" s="69"/>
      <c r="J869" s="69"/>
      <c r="K869" s="69"/>
    </row>
    <row r="870" spans="1:11" ht="15.75" customHeight="1" x14ac:dyDescent="0.4">
      <c r="A870" s="67"/>
      <c r="B870" s="68"/>
      <c r="C870" s="68"/>
      <c r="D870" s="67"/>
      <c r="E870" s="67"/>
      <c r="F870" s="69"/>
      <c r="G870" s="69"/>
      <c r="H870" s="69"/>
      <c r="I870" s="69"/>
      <c r="J870" s="69"/>
      <c r="K870" s="69"/>
    </row>
    <row r="871" spans="1:11" ht="15.75" customHeight="1" x14ac:dyDescent="0.4">
      <c r="A871" s="67"/>
      <c r="B871" s="68"/>
      <c r="C871" s="68"/>
      <c r="D871" s="67"/>
      <c r="E871" s="67"/>
      <c r="F871" s="69"/>
      <c r="G871" s="69"/>
      <c r="H871" s="69"/>
      <c r="I871" s="69"/>
      <c r="J871" s="69"/>
      <c r="K871" s="69"/>
    </row>
    <row r="872" spans="1:11" ht="15.75" customHeight="1" x14ac:dyDescent="0.4">
      <c r="A872" s="67"/>
      <c r="B872" s="68"/>
      <c r="C872" s="68"/>
      <c r="D872" s="67"/>
      <c r="E872" s="67"/>
      <c r="F872" s="69"/>
      <c r="G872" s="69"/>
      <c r="H872" s="69"/>
      <c r="I872" s="69"/>
      <c r="J872" s="69"/>
      <c r="K872" s="69"/>
    </row>
    <row r="873" spans="1:11" ht="15.75" customHeight="1" x14ac:dyDescent="0.4">
      <c r="A873" s="67"/>
      <c r="B873" s="68"/>
      <c r="C873" s="68"/>
      <c r="D873" s="67"/>
      <c r="E873" s="67"/>
      <c r="F873" s="69"/>
      <c r="G873" s="69"/>
      <c r="H873" s="69"/>
      <c r="I873" s="69"/>
      <c r="J873" s="69"/>
      <c r="K873" s="69"/>
    </row>
    <row r="874" spans="1:11" ht="15.75" customHeight="1" x14ac:dyDescent="0.4">
      <c r="A874" s="67"/>
      <c r="B874" s="68"/>
      <c r="C874" s="68"/>
      <c r="D874" s="67"/>
      <c r="E874" s="67"/>
      <c r="F874" s="69"/>
      <c r="G874" s="69"/>
      <c r="H874" s="69"/>
      <c r="I874" s="69"/>
      <c r="J874" s="69"/>
      <c r="K874" s="69"/>
    </row>
    <row r="875" spans="1:11" ht="15.75" customHeight="1" x14ac:dyDescent="0.4">
      <c r="A875" s="67"/>
      <c r="B875" s="68"/>
      <c r="C875" s="68"/>
      <c r="D875" s="67"/>
      <c r="E875" s="67"/>
      <c r="F875" s="69"/>
      <c r="G875" s="69"/>
      <c r="H875" s="69"/>
      <c r="I875" s="69"/>
      <c r="J875" s="69"/>
      <c r="K875" s="69"/>
    </row>
    <row r="876" spans="1:11" ht="15.75" customHeight="1" x14ac:dyDescent="0.4">
      <c r="A876" s="67"/>
      <c r="B876" s="68"/>
      <c r="C876" s="68"/>
      <c r="D876" s="67"/>
      <c r="E876" s="67"/>
      <c r="F876" s="69"/>
      <c r="G876" s="69"/>
      <c r="H876" s="69"/>
      <c r="I876" s="69"/>
      <c r="J876" s="69"/>
      <c r="K876" s="69"/>
    </row>
    <row r="877" spans="1:11" ht="15.75" customHeight="1" x14ac:dyDescent="0.4">
      <c r="A877" s="67"/>
      <c r="B877" s="68"/>
      <c r="C877" s="68"/>
      <c r="D877" s="67"/>
      <c r="E877" s="67"/>
      <c r="F877" s="69"/>
      <c r="G877" s="69"/>
      <c r="H877" s="69"/>
      <c r="I877" s="69"/>
      <c r="J877" s="69"/>
      <c r="K877" s="69"/>
    </row>
    <row r="878" spans="1:11" ht="15.75" customHeight="1" x14ac:dyDescent="0.4">
      <c r="A878" s="67"/>
      <c r="B878" s="68"/>
      <c r="C878" s="68"/>
      <c r="D878" s="67"/>
      <c r="E878" s="67"/>
      <c r="F878" s="69"/>
      <c r="G878" s="69"/>
      <c r="H878" s="69"/>
      <c r="I878" s="69"/>
      <c r="J878" s="69"/>
      <c r="K878" s="69"/>
    </row>
    <row r="879" spans="1:11" ht="15.75" customHeight="1" x14ac:dyDescent="0.4">
      <c r="A879" s="67"/>
      <c r="B879" s="68"/>
      <c r="C879" s="68"/>
      <c r="D879" s="67"/>
      <c r="E879" s="67"/>
      <c r="F879" s="69"/>
      <c r="G879" s="69"/>
      <c r="H879" s="69"/>
      <c r="I879" s="69"/>
      <c r="J879" s="69"/>
      <c r="K879" s="69"/>
    </row>
    <row r="880" spans="1:11" ht="15.75" customHeight="1" x14ac:dyDescent="0.4">
      <c r="A880" s="67"/>
      <c r="B880" s="68"/>
      <c r="C880" s="68"/>
      <c r="D880" s="67"/>
      <c r="E880" s="67"/>
      <c r="F880" s="69"/>
      <c r="G880" s="69"/>
      <c r="H880" s="69"/>
      <c r="I880" s="69"/>
      <c r="J880" s="69"/>
      <c r="K880" s="69"/>
    </row>
    <row r="881" spans="1:11" ht="15.75" customHeight="1" x14ac:dyDescent="0.4">
      <c r="A881" s="67"/>
      <c r="B881" s="68"/>
      <c r="C881" s="68"/>
      <c r="D881" s="67"/>
      <c r="E881" s="67"/>
      <c r="F881" s="69"/>
      <c r="G881" s="69"/>
      <c r="H881" s="69"/>
      <c r="I881" s="69"/>
      <c r="J881" s="69"/>
      <c r="K881" s="69"/>
    </row>
    <row r="882" spans="1:11" ht="15.75" customHeight="1" x14ac:dyDescent="0.4">
      <c r="A882" s="67"/>
      <c r="B882" s="68"/>
      <c r="C882" s="68"/>
      <c r="D882" s="67"/>
      <c r="E882" s="67"/>
      <c r="F882" s="69"/>
      <c r="G882" s="69"/>
      <c r="H882" s="69"/>
      <c r="I882" s="69"/>
      <c r="J882" s="69"/>
      <c r="K882" s="69"/>
    </row>
    <row r="883" spans="1:11" ht="15.75" customHeight="1" x14ac:dyDescent="0.4">
      <c r="A883" s="67"/>
      <c r="B883" s="68"/>
      <c r="C883" s="68"/>
      <c r="D883" s="67"/>
      <c r="E883" s="67"/>
      <c r="F883" s="69"/>
      <c r="G883" s="69"/>
      <c r="H883" s="69"/>
      <c r="I883" s="69"/>
      <c r="J883" s="69"/>
      <c r="K883" s="69"/>
    </row>
    <row r="884" spans="1:11" ht="15.75" customHeight="1" x14ac:dyDescent="0.4">
      <c r="A884" s="67"/>
      <c r="B884" s="68"/>
      <c r="C884" s="68"/>
      <c r="D884" s="67"/>
      <c r="E884" s="67"/>
      <c r="F884" s="69"/>
      <c r="G884" s="69"/>
      <c r="H884" s="69"/>
      <c r="I884" s="69"/>
      <c r="J884" s="69"/>
      <c r="K884" s="69"/>
    </row>
    <row r="885" spans="1:11" ht="15.75" customHeight="1" x14ac:dyDescent="0.4">
      <c r="A885" s="67"/>
      <c r="B885" s="68"/>
      <c r="C885" s="68"/>
      <c r="D885" s="67"/>
      <c r="E885" s="67"/>
      <c r="F885" s="69"/>
      <c r="G885" s="69"/>
      <c r="H885" s="69"/>
      <c r="I885" s="69"/>
      <c r="J885" s="69"/>
      <c r="K885" s="69"/>
    </row>
    <row r="886" spans="1:11" ht="15.75" customHeight="1" x14ac:dyDescent="0.4">
      <c r="A886" s="67"/>
      <c r="B886" s="68"/>
      <c r="C886" s="68"/>
      <c r="D886" s="67"/>
      <c r="E886" s="67"/>
      <c r="F886" s="69"/>
      <c r="G886" s="69"/>
      <c r="H886" s="69"/>
      <c r="I886" s="69"/>
      <c r="J886" s="69"/>
      <c r="K886" s="69"/>
    </row>
    <row r="887" spans="1:11" ht="15.75" customHeight="1" x14ac:dyDescent="0.4">
      <c r="A887" s="67"/>
      <c r="B887" s="68"/>
      <c r="C887" s="68"/>
      <c r="D887" s="67"/>
      <c r="E887" s="67"/>
      <c r="F887" s="69"/>
      <c r="G887" s="69"/>
      <c r="H887" s="69"/>
      <c r="I887" s="69"/>
      <c r="J887" s="69"/>
      <c r="K887" s="69"/>
    </row>
    <row r="888" spans="1:11" ht="15.75" customHeight="1" x14ac:dyDescent="0.4">
      <c r="A888" s="67"/>
      <c r="B888" s="68"/>
      <c r="C888" s="68"/>
      <c r="D888" s="67"/>
      <c r="E888" s="67"/>
      <c r="F888" s="69"/>
      <c r="G888" s="69"/>
      <c r="H888" s="69"/>
      <c r="I888" s="69"/>
      <c r="J888" s="69"/>
      <c r="K888" s="69"/>
    </row>
    <row r="889" spans="1:11" ht="15.75" customHeight="1" x14ac:dyDescent="0.4">
      <c r="A889" s="67"/>
      <c r="B889" s="68"/>
      <c r="C889" s="68"/>
      <c r="D889" s="67"/>
      <c r="E889" s="67"/>
      <c r="F889" s="69"/>
      <c r="G889" s="69"/>
      <c r="H889" s="69"/>
      <c r="I889" s="69"/>
      <c r="J889" s="69"/>
      <c r="K889" s="69"/>
    </row>
    <row r="890" spans="1:11" ht="15.75" customHeight="1" x14ac:dyDescent="0.4">
      <c r="A890" s="67"/>
      <c r="B890" s="68"/>
      <c r="C890" s="68"/>
      <c r="D890" s="67"/>
      <c r="E890" s="67"/>
      <c r="F890" s="69"/>
      <c r="G890" s="69"/>
      <c r="H890" s="69"/>
      <c r="I890" s="69"/>
      <c r="J890" s="69"/>
      <c r="K890" s="69"/>
    </row>
    <row r="891" spans="1:11" ht="15.75" customHeight="1" x14ac:dyDescent="0.4">
      <c r="A891" s="67"/>
      <c r="B891" s="68"/>
      <c r="C891" s="68"/>
      <c r="D891" s="67"/>
      <c r="E891" s="67"/>
      <c r="F891" s="69"/>
      <c r="G891" s="69"/>
      <c r="H891" s="69"/>
      <c r="I891" s="69"/>
      <c r="J891" s="69"/>
      <c r="K891" s="69"/>
    </row>
    <row r="892" spans="1:11" ht="15.75" customHeight="1" x14ac:dyDescent="0.4">
      <c r="A892" s="67"/>
      <c r="B892" s="68"/>
      <c r="C892" s="68"/>
      <c r="D892" s="67"/>
      <c r="E892" s="67"/>
      <c r="F892" s="69"/>
      <c r="G892" s="69"/>
      <c r="H892" s="69"/>
      <c r="I892" s="69"/>
      <c r="J892" s="69"/>
      <c r="K892" s="69"/>
    </row>
    <row r="893" spans="1:11" ht="15.75" customHeight="1" x14ac:dyDescent="0.4">
      <c r="A893" s="67"/>
      <c r="B893" s="68"/>
      <c r="C893" s="68"/>
      <c r="D893" s="67"/>
      <c r="E893" s="67"/>
      <c r="F893" s="69"/>
      <c r="G893" s="69"/>
      <c r="H893" s="69"/>
      <c r="I893" s="69"/>
      <c r="J893" s="69"/>
      <c r="K893" s="69"/>
    </row>
    <row r="894" spans="1:11" ht="15.75" customHeight="1" x14ac:dyDescent="0.4">
      <c r="A894" s="67"/>
      <c r="B894" s="68"/>
      <c r="C894" s="68"/>
      <c r="D894" s="67"/>
      <c r="E894" s="67"/>
      <c r="F894" s="69"/>
      <c r="G894" s="69"/>
      <c r="H894" s="69"/>
      <c r="I894" s="69"/>
      <c r="J894" s="69"/>
      <c r="K894" s="69"/>
    </row>
    <row r="895" spans="1:11" ht="15.75" customHeight="1" x14ac:dyDescent="0.4">
      <c r="A895" s="67"/>
      <c r="B895" s="68"/>
      <c r="C895" s="68"/>
      <c r="D895" s="67"/>
      <c r="E895" s="67"/>
      <c r="F895" s="69"/>
      <c r="G895" s="69"/>
      <c r="H895" s="69"/>
      <c r="I895" s="69"/>
      <c r="J895" s="69"/>
      <c r="K895" s="69"/>
    </row>
    <row r="896" spans="1:11" ht="15.75" customHeight="1" x14ac:dyDescent="0.4">
      <c r="A896" s="67"/>
      <c r="B896" s="68"/>
      <c r="C896" s="68"/>
      <c r="D896" s="67"/>
      <c r="E896" s="67"/>
      <c r="F896" s="69"/>
      <c r="G896" s="69"/>
      <c r="H896" s="69"/>
      <c r="I896" s="69"/>
      <c r="J896" s="69"/>
      <c r="K896" s="69"/>
    </row>
    <row r="897" spans="1:11" ht="15.75" customHeight="1" x14ac:dyDescent="0.4">
      <c r="A897" s="67"/>
      <c r="B897" s="68"/>
      <c r="C897" s="68"/>
      <c r="D897" s="67"/>
      <c r="E897" s="67"/>
      <c r="F897" s="69"/>
      <c r="G897" s="69"/>
      <c r="H897" s="69"/>
      <c r="I897" s="69"/>
      <c r="J897" s="69"/>
      <c r="K897" s="69"/>
    </row>
    <row r="898" spans="1:11" ht="15.75" customHeight="1" x14ac:dyDescent="0.4">
      <c r="A898" s="67"/>
      <c r="B898" s="68"/>
      <c r="C898" s="68"/>
      <c r="D898" s="67"/>
      <c r="E898" s="67"/>
      <c r="F898" s="69"/>
      <c r="G898" s="69"/>
      <c r="H898" s="69"/>
      <c r="I898" s="69"/>
      <c r="J898" s="69"/>
      <c r="K898" s="69"/>
    </row>
    <row r="899" spans="1:11" ht="15.75" customHeight="1" x14ac:dyDescent="0.4">
      <c r="A899" s="67"/>
      <c r="B899" s="68"/>
      <c r="C899" s="68"/>
      <c r="D899" s="67"/>
      <c r="E899" s="67"/>
      <c r="F899" s="69"/>
      <c r="G899" s="69"/>
      <c r="H899" s="69"/>
      <c r="I899" s="69"/>
      <c r="J899" s="69"/>
      <c r="K899" s="69"/>
    </row>
    <row r="900" spans="1:11" ht="15.75" customHeight="1" x14ac:dyDescent="0.4">
      <c r="A900" s="67"/>
      <c r="B900" s="68"/>
      <c r="C900" s="68"/>
      <c r="D900" s="67"/>
      <c r="E900" s="67"/>
      <c r="F900" s="69"/>
      <c r="G900" s="69"/>
      <c r="H900" s="69"/>
      <c r="I900" s="69"/>
      <c r="J900" s="69"/>
      <c r="K900" s="69"/>
    </row>
    <row r="901" spans="1:11" ht="15.75" customHeight="1" x14ac:dyDescent="0.4">
      <c r="A901" s="67"/>
      <c r="B901" s="68"/>
      <c r="C901" s="68"/>
      <c r="D901" s="67"/>
      <c r="E901" s="67"/>
      <c r="F901" s="69"/>
      <c r="G901" s="69"/>
      <c r="H901" s="69"/>
      <c r="I901" s="69"/>
      <c r="J901" s="69"/>
      <c r="K901" s="69"/>
    </row>
    <row r="902" spans="1:11" ht="15.75" customHeight="1" x14ac:dyDescent="0.4">
      <c r="A902" s="67"/>
      <c r="B902" s="68"/>
      <c r="C902" s="68"/>
      <c r="D902" s="67"/>
      <c r="E902" s="67"/>
      <c r="F902" s="69"/>
      <c r="G902" s="69"/>
      <c r="H902" s="69"/>
      <c r="I902" s="69"/>
      <c r="J902" s="69"/>
      <c r="K902" s="69"/>
    </row>
    <row r="903" spans="1:11" ht="15.75" customHeight="1" x14ac:dyDescent="0.4">
      <c r="A903" s="67"/>
      <c r="B903" s="68"/>
      <c r="C903" s="68"/>
      <c r="D903" s="67"/>
      <c r="E903" s="67"/>
      <c r="F903" s="69"/>
      <c r="G903" s="69"/>
      <c r="H903" s="69"/>
      <c r="I903" s="69"/>
      <c r="J903" s="69"/>
      <c r="K903" s="69"/>
    </row>
    <row r="904" spans="1:11" ht="15.75" customHeight="1" x14ac:dyDescent="0.4">
      <c r="A904" s="67"/>
      <c r="B904" s="68"/>
      <c r="C904" s="68"/>
      <c r="D904" s="67"/>
      <c r="E904" s="67"/>
      <c r="F904" s="69"/>
      <c r="G904" s="69"/>
      <c r="H904" s="69"/>
      <c r="I904" s="69"/>
      <c r="J904" s="69"/>
      <c r="K904" s="69"/>
    </row>
    <row r="905" spans="1:11" ht="15.75" customHeight="1" x14ac:dyDescent="0.4">
      <c r="A905" s="67"/>
      <c r="B905" s="68"/>
      <c r="C905" s="68"/>
      <c r="D905" s="67"/>
      <c r="E905" s="67"/>
      <c r="F905" s="69"/>
      <c r="G905" s="69"/>
      <c r="H905" s="69"/>
      <c r="I905" s="69"/>
      <c r="J905" s="69"/>
      <c r="K905" s="69"/>
    </row>
    <row r="906" spans="1:11" ht="15.75" customHeight="1" x14ac:dyDescent="0.4">
      <c r="A906" s="67"/>
      <c r="B906" s="68"/>
      <c r="C906" s="68"/>
      <c r="D906" s="67"/>
      <c r="E906" s="67"/>
      <c r="F906" s="69"/>
      <c r="G906" s="69"/>
      <c r="H906" s="69"/>
      <c r="I906" s="69"/>
      <c r="J906" s="69"/>
      <c r="K906" s="69"/>
    </row>
    <row r="907" spans="1:11" ht="15.75" customHeight="1" x14ac:dyDescent="0.4">
      <c r="A907" s="67"/>
      <c r="B907" s="68"/>
      <c r="C907" s="68"/>
      <c r="D907" s="67"/>
      <c r="E907" s="67"/>
      <c r="F907" s="69"/>
      <c r="G907" s="69"/>
      <c r="H907" s="69"/>
      <c r="I907" s="69"/>
      <c r="J907" s="69"/>
      <c r="K907" s="69"/>
    </row>
    <row r="908" spans="1:11" ht="15.75" customHeight="1" x14ac:dyDescent="0.4">
      <c r="A908" s="67"/>
      <c r="B908" s="68"/>
      <c r="C908" s="68"/>
      <c r="D908" s="67"/>
      <c r="E908" s="67"/>
      <c r="F908" s="69"/>
      <c r="G908" s="69"/>
      <c r="H908" s="69"/>
      <c r="I908" s="69"/>
      <c r="J908" s="69"/>
      <c r="K908" s="69"/>
    </row>
    <row r="909" spans="1:11" ht="15.75" customHeight="1" x14ac:dyDescent="0.4">
      <c r="A909" s="67"/>
      <c r="B909" s="68"/>
      <c r="C909" s="68"/>
      <c r="D909" s="67"/>
      <c r="E909" s="67"/>
      <c r="F909" s="69"/>
      <c r="G909" s="69"/>
      <c r="H909" s="69"/>
      <c r="I909" s="69"/>
      <c r="J909" s="69"/>
      <c r="K909" s="69"/>
    </row>
    <row r="910" spans="1:11" ht="15.75" customHeight="1" x14ac:dyDescent="0.4">
      <c r="A910" s="67"/>
      <c r="B910" s="68"/>
      <c r="C910" s="68"/>
      <c r="D910" s="67"/>
      <c r="E910" s="67"/>
      <c r="F910" s="69"/>
      <c r="G910" s="69"/>
      <c r="H910" s="69"/>
      <c r="I910" s="69"/>
      <c r="J910" s="69"/>
      <c r="K910" s="69"/>
    </row>
    <row r="911" spans="1:11" ht="15.75" customHeight="1" x14ac:dyDescent="0.4">
      <c r="A911" s="67"/>
      <c r="B911" s="68"/>
      <c r="C911" s="68"/>
      <c r="D911" s="67"/>
      <c r="E911" s="67"/>
      <c r="F911" s="69"/>
      <c r="G911" s="69"/>
      <c r="H911" s="69"/>
      <c r="I911" s="69"/>
      <c r="J911" s="69"/>
      <c r="K911" s="69"/>
    </row>
    <row r="912" spans="1:11" ht="15.75" customHeight="1" x14ac:dyDescent="0.4">
      <c r="A912" s="67"/>
      <c r="B912" s="68"/>
      <c r="C912" s="68"/>
      <c r="D912" s="67"/>
      <c r="E912" s="67"/>
      <c r="F912" s="69"/>
      <c r="G912" s="69"/>
      <c r="H912" s="69"/>
      <c r="I912" s="69"/>
      <c r="J912" s="69"/>
      <c r="K912" s="69"/>
    </row>
    <row r="913" spans="1:11" ht="15.75" customHeight="1" x14ac:dyDescent="0.4">
      <c r="A913" s="67"/>
      <c r="B913" s="68"/>
      <c r="C913" s="68"/>
      <c r="D913" s="67"/>
      <c r="E913" s="67"/>
      <c r="F913" s="69"/>
      <c r="G913" s="69"/>
      <c r="H913" s="69"/>
      <c r="I913" s="69"/>
      <c r="J913" s="69"/>
      <c r="K913" s="69"/>
    </row>
    <row r="914" spans="1:11" ht="15.75" customHeight="1" x14ac:dyDescent="0.4">
      <c r="A914" s="67"/>
      <c r="B914" s="68"/>
      <c r="C914" s="68"/>
      <c r="D914" s="67"/>
      <c r="E914" s="67"/>
      <c r="F914" s="69"/>
      <c r="G914" s="69"/>
      <c r="H914" s="69"/>
      <c r="I914" s="69"/>
      <c r="J914" s="69"/>
      <c r="K914" s="69"/>
    </row>
    <row r="915" spans="1:11" ht="15.75" customHeight="1" x14ac:dyDescent="0.4">
      <c r="A915" s="67"/>
      <c r="B915" s="68"/>
      <c r="C915" s="68"/>
      <c r="D915" s="67"/>
      <c r="E915" s="67"/>
      <c r="F915" s="69"/>
      <c r="G915" s="69"/>
      <c r="H915" s="69"/>
      <c r="I915" s="69"/>
      <c r="J915" s="69"/>
      <c r="K915" s="69"/>
    </row>
    <row r="916" spans="1:11" ht="15.75" customHeight="1" x14ac:dyDescent="0.4">
      <c r="A916" s="67"/>
      <c r="B916" s="68"/>
      <c r="C916" s="68"/>
      <c r="D916" s="67"/>
      <c r="E916" s="67"/>
      <c r="F916" s="69"/>
      <c r="G916" s="69"/>
      <c r="H916" s="69"/>
      <c r="I916" s="69"/>
      <c r="J916" s="69"/>
      <c r="K916" s="69"/>
    </row>
    <row r="917" spans="1:11" ht="15.75" customHeight="1" x14ac:dyDescent="0.4">
      <c r="A917" s="67"/>
      <c r="B917" s="68"/>
      <c r="C917" s="68"/>
      <c r="D917" s="67"/>
      <c r="E917" s="67"/>
      <c r="F917" s="69"/>
      <c r="G917" s="69"/>
      <c r="H917" s="69"/>
      <c r="I917" s="69"/>
      <c r="J917" s="69"/>
      <c r="K917" s="69"/>
    </row>
    <row r="918" spans="1:11" ht="15.75" customHeight="1" x14ac:dyDescent="0.4">
      <c r="A918" s="67"/>
      <c r="B918" s="68"/>
      <c r="C918" s="68"/>
      <c r="D918" s="67"/>
      <c r="E918" s="67"/>
      <c r="F918" s="69"/>
      <c r="G918" s="69"/>
      <c r="H918" s="69"/>
      <c r="I918" s="69"/>
      <c r="J918" s="69"/>
      <c r="K918" s="69"/>
    </row>
    <row r="919" spans="1:11" ht="15.75" customHeight="1" x14ac:dyDescent="0.4">
      <c r="A919" s="67"/>
      <c r="B919" s="68"/>
      <c r="C919" s="68"/>
      <c r="D919" s="67"/>
      <c r="E919" s="67"/>
      <c r="F919" s="69"/>
      <c r="G919" s="69"/>
      <c r="H919" s="69"/>
      <c r="I919" s="69"/>
      <c r="J919" s="69"/>
      <c r="K919" s="69"/>
    </row>
    <row r="920" spans="1:11" ht="15.75" customHeight="1" x14ac:dyDescent="0.4">
      <c r="A920" s="67"/>
      <c r="B920" s="68"/>
      <c r="C920" s="68"/>
      <c r="D920" s="67"/>
      <c r="E920" s="67"/>
      <c r="F920" s="69"/>
      <c r="G920" s="69"/>
      <c r="H920" s="69"/>
      <c r="I920" s="69"/>
      <c r="J920" s="69"/>
      <c r="K920" s="69"/>
    </row>
    <row r="921" spans="1:11" ht="15.75" customHeight="1" x14ac:dyDescent="0.4">
      <c r="A921" s="67"/>
      <c r="B921" s="68"/>
      <c r="C921" s="68"/>
      <c r="D921" s="67"/>
      <c r="E921" s="67"/>
      <c r="F921" s="69"/>
      <c r="G921" s="69"/>
      <c r="H921" s="69"/>
      <c r="I921" s="69"/>
      <c r="J921" s="69"/>
      <c r="K921" s="69"/>
    </row>
    <row r="922" spans="1:11" ht="15.75" customHeight="1" x14ac:dyDescent="0.4">
      <c r="A922" s="67"/>
      <c r="B922" s="68"/>
      <c r="C922" s="68"/>
      <c r="D922" s="67"/>
      <c r="E922" s="67"/>
      <c r="F922" s="69"/>
      <c r="G922" s="69"/>
      <c r="H922" s="69"/>
      <c r="I922" s="69"/>
      <c r="J922" s="69"/>
      <c r="K922" s="69"/>
    </row>
    <row r="923" spans="1:11" ht="15.75" customHeight="1" x14ac:dyDescent="0.4">
      <c r="A923" s="67"/>
      <c r="B923" s="68"/>
      <c r="C923" s="68"/>
      <c r="D923" s="67"/>
      <c r="E923" s="67"/>
      <c r="F923" s="69"/>
      <c r="G923" s="69"/>
      <c r="H923" s="69"/>
      <c r="I923" s="69"/>
      <c r="J923" s="69"/>
      <c r="K923" s="69"/>
    </row>
    <row r="924" spans="1:11" ht="15.75" customHeight="1" x14ac:dyDescent="0.4">
      <c r="A924" s="67"/>
      <c r="B924" s="68"/>
      <c r="C924" s="68"/>
      <c r="D924" s="67"/>
      <c r="E924" s="67"/>
      <c r="F924" s="69"/>
      <c r="G924" s="69"/>
      <c r="H924" s="69"/>
      <c r="I924" s="69"/>
      <c r="J924" s="69"/>
      <c r="K924" s="69"/>
    </row>
    <row r="925" spans="1:11" ht="15.75" customHeight="1" x14ac:dyDescent="0.4">
      <c r="A925" s="67"/>
      <c r="B925" s="68"/>
      <c r="C925" s="68"/>
      <c r="D925" s="67"/>
      <c r="E925" s="67"/>
      <c r="F925" s="69"/>
      <c r="G925" s="69"/>
      <c r="H925" s="69"/>
      <c r="I925" s="69"/>
      <c r="J925" s="69"/>
      <c r="K925" s="69"/>
    </row>
    <row r="926" spans="1:11" ht="15.75" customHeight="1" x14ac:dyDescent="0.4">
      <c r="A926" s="67"/>
      <c r="B926" s="68"/>
      <c r="C926" s="68"/>
      <c r="D926" s="67"/>
      <c r="E926" s="67"/>
      <c r="F926" s="69"/>
      <c r="G926" s="69"/>
      <c r="H926" s="69"/>
      <c r="I926" s="69"/>
      <c r="J926" s="69"/>
      <c r="K926" s="69"/>
    </row>
    <row r="927" spans="1:11" ht="15.75" customHeight="1" x14ac:dyDescent="0.4">
      <c r="A927" s="67"/>
      <c r="B927" s="68"/>
      <c r="C927" s="68"/>
      <c r="D927" s="67"/>
      <c r="E927" s="67"/>
      <c r="F927" s="69"/>
      <c r="G927" s="69"/>
      <c r="H927" s="69"/>
      <c r="I927" s="69"/>
      <c r="J927" s="69"/>
      <c r="K927" s="69"/>
    </row>
    <row r="928" spans="1:11" ht="15.75" customHeight="1" x14ac:dyDescent="0.4">
      <c r="A928" s="67"/>
      <c r="B928" s="68"/>
      <c r="C928" s="68"/>
      <c r="D928" s="67"/>
      <c r="E928" s="67"/>
      <c r="F928" s="69"/>
      <c r="G928" s="69"/>
      <c r="H928" s="69"/>
      <c r="I928" s="69"/>
      <c r="J928" s="69"/>
      <c r="K928" s="69"/>
    </row>
    <row r="929" spans="1:11" ht="15.75" customHeight="1" x14ac:dyDescent="0.4">
      <c r="A929" s="67"/>
      <c r="B929" s="68"/>
      <c r="C929" s="68"/>
      <c r="D929" s="67"/>
      <c r="E929" s="67"/>
      <c r="F929" s="69"/>
      <c r="G929" s="69"/>
      <c r="H929" s="69"/>
      <c r="I929" s="69"/>
      <c r="J929" s="69"/>
      <c r="K929" s="69"/>
    </row>
    <row r="930" spans="1:11" ht="15.75" customHeight="1" x14ac:dyDescent="0.4">
      <c r="A930" s="67"/>
      <c r="B930" s="68"/>
      <c r="C930" s="68"/>
      <c r="D930" s="67"/>
      <c r="E930" s="67"/>
      <c r="F930" s="69"/>
      <c r="G930" s="69"/>
      <c r="H930" s="69"/>
      <c r="I930" s="69"/>
      <c r="J930" s="69"/>
      <c r="K930" s="69"/>
    </row>
    <row r="931" spans="1:11" ht="15.75" customHeight="1" x14ac:dyDescent="0.4">
      <c r="A931" s="67"/>
      <c r="B931" s="68"/>
      <c r="C931" s="68"/>
      <c r="D931" s="67"/>
      <c r="E931" s="67"/>
      <c r="F931" s="69"/>
      <c r="G931" s="69"/>
      <c r="H931" s="69"/>
      <c r="I931" s="69"/>
      <c r="J931" s="69"/>
      <c r="K931" s="69"/>
    </row>
    <row r="932" spans="1:11" ht="15.75" customHeight="1" x14ac:dyDescent="0.4">
      <c r="A932" s="67"/>
      <c r="B932" s="68"/>
      <c r="C932" s="68"/>
      <c r="D932" s="67"/>
      <c r="E932" s="67"/>
      <c r="F932" s="69"/>
      <c r="G932" s="69"/>
      <c r="H932" s="69"/>
      <c r="I932" s="69"/>
      <c r="J932" s="69"/>
      <c r="K932" s="69"/>
    </row>
    <row r="933" spans="1:11" ht="15.75" customHeight="1" x14ac:dyDescent="0.4">
      <c r="A933" s="67"/>
      <c r="B933" s="68"/>
      <c r="C933" s="68"/>
      <c r="D933" s="67"/>
      <c r="E933" s="67"/>
      <c r="F933" s="69"/>
      <c r="G933" s="69"/>
      <c r="H933" s="69"/>
      <c r="I933" s="69"/>
      <c r="J933" s="69"/>
      <c r="K933" s="69"/>
    </row>
    <row r="934" spans="1:11" ht="15.75" customHeight="1" x14ac:dyDescent="0.4">
      <c r="A934" s="67"/>
      <c r="B934" s="68"/>
      <c r="C934" s="68"/>
      <c r="D934" s="67"/>
      <c r="E934" s="67"/>
      <c r="F934" s="69"/>
      <c r="G934" s="69"/>
      <c r="H934" s="69"/>
      <c r="I934" s="69"/>
      <c r="J934" s="69"/>
      <c r="K934" s="69"/>
    </row>
    <row r="935" spans="1:11" ht="15.75" customHeight="1" x14ac:dyDescent="0.4">
      <c r="A935" s="67"/>
      <c r="B935" s="68"/>
      <c r="C935" s="68"/>
      <c r="D935" s="67"/>
      <c r="E935" s="67"/>
      <c r="F935" s="69"/>
      <c r="G935" s="69"/>
      <c r="H935" s="69"/>
      <c r="I935" s="69"/>
      <c r="J935" s="69"/>
      <c r="K935" s="69"/>
    </row>
    <row r="936" spans="1:11" ht="15.75" customHeight="1" x14ac:dyDescent="0.4">
      <c r="A936" s="67"/>
      <c r="B936" s="68"/>
      <c r="C936" s="68"/>
      <c r="D936" s="67"/>
      <c r="E936" s="67"/>
      <c r="F936" s="69"/>
      <c r="G936" s="69"/>
      <c r="H936" s="69"/>
      <c r="I936" s="69"/>
      <c r="J936" s="69"/>
      <c r="K936" s="69"/>
    </row>
    <row r="937" spans="1:11" ht="15.75" customHeight="1" x14ac:dyDescent="0.4">
      <c r="A937" s="67"/>
      <c r="B937" s="68"/>
      <c r="C937" s="68"/>
      <c r="D937" s="67"/>
      <c r="E937" s="67"/>
      <c r="F937" s="69"/>
      <c r="G937" s="69"/>
      <c r="H937" s="69"/>
      <c r="I937" s="69"/>
      <c r="J937" s="69"/>
      <c r="K937" s="69"/>
    </row>
    <row r="938" spans="1:11" ht="15.75" customHeight="1" x14ac:dyDescent="0.4">
      <c r="A938" s="67"/>
      <c r="B938" s="68"/>
      <c r="C938" s="68"/>
      <c r="D938" s="67"/>
      <c r="E938" s="67"/>
      <c r="F938" s="69"/>
      <c r="G938" s="69"/>
      <c r="H938" s="69"/>
      <c r="I938" s="69"/>
      <c r="J938" s="69"/>
      <c r="K938" s="69"/>
    </row>
    <row r="939" spans="1:11" ht="15.75" customHeight="1" x14ac:dyDescent="0.4">
      <c r="A939" s="67"/>
      <c r="B939" s="68"/>
      <c r="C939" s="68"/>
      <c r="D939" s="67"/>
      <c r="E939" s="67"/>
      <c r="F939" s="69"/>
      <c r="G939" s="69"/>
      <c r="H939" s="69"/>
      <c r="I939" s="69"/>
      <c r="J939" s="69"/>
      <c r="K939" s="69"/>
    </row>
    <row r="940" spans="1:11" ht="15.75" customHeight="1" x14ac:dyDescent="0.4">
      <c r="A940" s="67"/>
      <c r="B940" s="68"/>
      <c r="C940" s="68"/>
      <c r="D940" s="67"/>
      <c r="E940" s="67"/>
      <c r="F940" s="69"/>
      <c r="G940" s="69"/>
      <c r="H940" s="69"/>
      <c r="I940" s="69"/>
      <c r="J940" s="69"/>
      <c r="K940" s="69"/>
    </row>
    <row r="941" spans="1:11" ht="15.75" customHeight="1" x14ac:dyDescent="0.4">
      <c r="A941" s="67"/>
      <c r="B941" s="68"/>
      <c r="C941" s="68"/>
      <c r="D941" s="67"/>
      <c r="E941" s="67"/>
      <c r="F941" s="69"/>
      <c r="G941" s="69"/>
      <c r="H941" s="69"/>
      <c r="I941" s="69"/>
      <c r="J941" s="69"/>
      <c r="K941" s="69"/>
    </row>
    <row r="942" spans="1:11" ht="15.75" customHeight="1" x14ac:dyDescent="0.4">
      <c r="A942" s="67"/>
      <c r="B942" s="68"/>
      <c r="C942" s="68"/>
      <c r="D942" s="67"/>
      <c r="E942" s="67"/>
      <c r="F942" s="69"/>
      <c r="G942" s="69"/>
      <c r="H942" s="69"/>
      <c r="I942" s="69"/>
      <c r="J942" s="69"/>
      <c r="K942" s="69"/>
    </row>
    <row r="943" spans="1:11" ht="15.75" customHeight="1" x14ac:dyDescent="0.4">
      <c r="A943" s="67"/>
      <c r="B943" s="68"/>
      <c r="C943" s="68"/>
      <c r="D943" s="67"/>
      <c r="E943" s="67"/>
      <c r="F943" s="69"/>
      <c r="G943" s="69"/>
      <c r="H943" s="69"/>
      <c r="I943" s="69"/>
      <c r="J943" s="69"/>
      <c r="K943" s="69"/>
    </row>
    <row r="944" spans="1:11" ht="15.75" customHeight="1" x14ac:dyDescent="0.4">
      <c r="A944" s="67"/>
      <c r="B944" s="68"/>
      <c r="C944" s="68"/>
      <c r="D944" s="67"/>
      <c r="E944" s="67"/>
      <c r="F944" s="69"/>
      <c r="G944" s="69"/>
      <c r="H944" s="69"/>
      <c r="I944" s="69"/>
      <c r="J944" s="69"/>
      <c r="K944" s="69"/>
    </row>
    <row r="945" spans="1:11" ht="15.75" customHeight="1" x14ac:dyDescent="0.4">
      <c r="A945" s="67"/>
      <c r="B945" s="68"/>
      <c r="C945" s="68"/>
      <c r="D945" s="67"/>
      <c r="E945" s="67"/>
      <c r="F945" s="69"/>
      <c r="G945" s="69"/>
      <c r="H945" s="69"/>
      <c r="I945" s="69"/>
      <c r="J945" s="69"/>
      <c r="K945" s="69"/>
    </row>
    <row r="946" spans="1:11" ht="15.75" customHeight="1" x14ac:dyDescent="0.4">
      <c r="A946" s="67"/>
      <c r="B946" s="68"/>
      <c r="C946" s="68"/>
      <c r="D946" s="67"/>
      <c r="E946" s="67"/>
      <c r="F946" s="69"/>
      <c r="G946" s="69"/>
      <c r="H946" s="69"/>
      <c r="I946" s="69"/>
      <c r="J946" s="69"/>
      <c r="K946" s="69"/>
    </row>
    <row r="947" spans="1:11" ht="15.75" customHeight="1" x14ac:dyDescent="0.4">
      <c r="A947" s="67"/>
      <c r="B947" s="68"/>
      <c r="C947" s="68"/>
      <c r="D947" s="67"/>
      <c r="E947" s="67"/>
      <c r="F947" s="69"/>
      <c r="G947" s="69"/>
      <c r="H947" s="69"/>
      <c r="I947" s="69"/>
      <c r="J947" s="69"/>
      <c r="K947" s="69"/>
    </row>
    <row r="948" spans="1:11" ht="15.75" customHeight="1" x14ac:dyDescent="0.4">
      <c r="A948" s="67"/>
      <c r="B948" s="68"/>
      <c r="C948" s="68"/>
      <c r="D948" s="67"/>
      <c r="E948" s="67"/>
      <c r="F948" s="69"/>
      <c r="G948" s="69"/>
      <c r="H948" s="69"/>
      <c r="I948" s="69"/>
      <c r="J948" s="69"/>
      <c r="K948" s="69"/>
    </row>
    <row r="949" spans="1:11" ht="15.75" customHeight="1" x14ac:dyDescent="0.4">
      <c r="A949" s="67"/>
      <c r="B949" s="68"/>
      <c r="C949" s="68"/>
      <c r="D949" s="67"/>
      <c r="E949" s="67"/>
      <c r="F949" s="69"/>
      <c r="G949" s="69"/>
      <c r="H949" s="69"/>
      <c r="I949" s="69"/>
      <c r="J949" s="69"/>
      <c r="K949" s="69"/>
    </row>
    <row r="950" spans="1:11" ht="15.75" customHeight="1" x14ac:dyDescent="0.4">
      <c r="A950" s="67"/>
      <c r="B950" s="68"/>
      <c r="C950" s="68"/>
      <c r="D950" s="67"/>
      <c r="E950" s="67"/>
      <c r="F950" s="69"/>
      <c r="G950" s="69"/>
      <c r="H950" s="69"/>
      <c r="I950" s="69"/>
      <c r="J950" s="69"/>
      <c r="K950" s="69"/>
    </row>
    <row r="951" spans="1:11" ht="15.75" customHeight="1" x14ac:dyDescent="0.4">
      <c r="A951" s="67"/>
      <c r="B951" s="68"/>
      <c r="C951" s="68"/>
      <c r="D951" s="67"/>
      <c r="E951" s="67"/>
      <c r="F951" s="69"/>
      <c r="G951" s="69"/>
      <c r="H951" s="69"/>
      <c r="I951" s="69"/>
      <c r="J951" s="69"/>
      <c r="K951" s="69"/>
    </row>
    <row r="952" spans="1:11" ht="15.75" customHeight="1" x14ac:dyDescent="0.4">
      <c r="A952" s="67"/>
      <c r="B952" s="68"/>
      <c r="C952" s="68"/>
      <c r="D952" s="67"/>
      <c r="E952" s="67"/>
      <c r="F952" s="69"/>
      <c r="G952" s="69"/>
      <c r="H952" s="69"/>
      <c r="I952" s="69"/>
      <c r="J952" s="69"/>
      <c r="K952" s="69"/>
    </row>
    <row r="953" spans="1:11" ht="15.75" customHeight="1" x14ac:dyDescent="0.4">
      <c r="A953" s="67"/>
      <c r="B953" s="68"/>
      <c r="C953" s="68"/>
      <c r="D953" s="67"/>
      <c r="E953" s="67"/>
      <c r="F953" s="69"/>
      <c r="G953" s="69"/>
      <c r="H953" s="69"/>
      <c r="I953" s="69"/>
      <c r="J953" s="69"/>
      <c r="K953" s="69"/>
    </row>
    <row r="954" spans="1:11" ht="15.75" customHeight="1" x14ac:dyDescent="0.4">
      <c r="A954" s="67"/>
      <c r="B954" s="68"/>
      <c r="C954" s="68"/>
      <c r="D954" s="67"/>
      <c r="E954" s="67"/>
      <c r="F954" s="69"/>
      <c r="G954" s="69"/>
      <c r="H954" s="69"/>
      <c r="I954" s="69"/>
      <c r="J954" s="69"/>
      <c r="K954" s="69"/>
    </row>
    <row r="955" spans="1:11" ht="15.75" customHeight="1" x14ac:dyDescent="0.4">
      <c r="A955" s="67"/>
      <c r="B955" s="68"/>
      <c r="C955" s="68"/>
      <c r="D955" s="67"/>
      <c r="E955" s="67"/>
      <c r="F955" s="69"/>
      <c r="G955" s="69"/>
      <c r="H955" s="69"/>
      <c r="I955" s="69"/>
      <c r="J955" s="69"/>
      <c r="K955" s="69"/>
    </row>
    <row r="956" spans="1:11" ht="15.75" customHeight="1" x14ac:dyDescent="0.4">
      <c r="A956" s="67"/>
      <c r="B956" s="68"/>
      <c r="C956" s="68"/>
      <c r="D956" s="67"/>
      <c r="E956" s="67"/>
      <c r="F956" s="69"/>
      <c r="G956" s="69"/>
      <c r="H956" s="69"/>
      <c r="I956" s="69"/>
      <c r="J956" s="69"/>
      <c r="K956" s="69"/>
    </row>
    <row r="957" spans="1:11" ht="15.75" customHeight="1" x14ac:dyDescent="0.4">
      <c r="A957" s="67"/>
      <c r="B957" s="68"/>
      <c r="C957" s="68"/>
      <c r="D957" s="67"/>
      <c r="E957" s="67"/>
      <c r="F957" s="69"/>
      <c r="G957" s="69"/>
      <c r="H957" s="69"/>
      <c r="I957" s="69"/>
      <c r="J957" s="69"/>
      <c r="K957" s="69"/>
    </row>
    <row r="958" spans="1:11" ht="15.75" customHeight="1" x14ac:dyDescent="0.4">
      <c r="A958" s="67"/>
      <c r="B958" s="68"/>
      <c r="C958" s="68"/>
      <c r="D958" s="67"/>
      <c r="E958" s="67"/>
      <c r="F958" s="69"/>
      <c r="G958" s="69"/>
      <c r="H958" s="69"/>
      <c r="I958" s="69"/>
      <c r="J958" s="69"/>
      <c r="K958" s="69"/>
    </row>
    <row r="959" spans="1:11" ht="15.75" customHeight="1" x14ac:dyDescent="0.4">
      <c r="A959" s="67"/>
      <c r="B959" s="68"/>
      <c r="C959" s="68"/>
      <c r="D959" s="67"/>
      <c r="E959" s="67"/>
      <c r="F959" s="69"/>
      <c r="G959" s="69"/>
      <c r="H959" s="69"/>
      <c r="I959" s="69"/>
      <c r="J959" s="69"/>
      <c r="K959" s="69"/>
    </row>
    <row r="960" spans="1:11" ht="15.75" customHeight="1" x14ac:dyDescent="0.4">
      <c r="A960" s="67"/>
      <c r="B960" s="68"/>
      <c r="C960" s="68"/>
      <c r="D960" s="67"/>
      <c r="E960" s="67"/>
      <c r="F960" s="69"/>
      <c r="G960" s="69"/>
      <c r="H960" s="69"/>
      <c r="I960" s="69"/>
      <c r="J960" s="69"/>
      <c r="K960" s="69"/>
    </row>
    <row r="961" spans="1:11" ht="15.75" customHeight="1" x14ac:dyDescent="0.4">
      <c r="A961" s="67"/>
      <c r="B961" s="68"/>
      <c r="C961" s="68"/>
      <c r="D961" s="67"/>
      <c r="E961" s="67"/>
      <c r="F961" s="69"/>
      <c r="G961" s="69"/>
      <c r="H961" s="69"/>
      <c r="I961" s="69"/>
      <c r="J961" s="69"/>
      <c r="K961" s="69"/>
    </row>
    <row r="962" spans="1:11" ht="15.75" customHeight="1" x14ac:dyDescent="0.4">
      <c r="A962" s="67"/>
      <c r="B962" s="68"/>
      <c r="C962" s="68"/>
      <c r="D962" s="67"/>
      <c r="E962" s="67"/>
      <c r="F962" s="69"/>
      <c r="G962" s="69"/>
      <c r="H962" s="69"/>
      <c r="I962" s="69"/>
      <c r="J962" s="69"/>
      <c r="K962" s="69"/>
    </row>
    <row r="963" spans="1:11" ht="15.75" customHeight="1" x14ac:dyDescent="0.4">
      <c r="A963" s="67"/>
      <c r="B963" s="68"/>
      <c r="C963" s="68"/>
      <c r="D963" s="67"/>
      <c r="E963" s="67"/>
      <c r="F963" s="69"/>
      <c r="G963" s="69"/>
      <c r="H963" s="69"/>
      <c r="I963" s="69"/>
      <c r="J963" s="69"/>
      <c r="K963" s="69"/>
    </row>
    <row r="964" spans="1:11" ht="15.75" customHeight="1" x14ac:dyDescent="0.4">
      <c r="A964" s="67"/>
      <c r="B964" s="68"/>
      <c r="C964" s="68"/>
      <c r="D964" s="67"/>
      <c r="E964" s="67"/>
      <c r="F964" s="69"/>
      <c r="G964" s="69"/>
      <c r="H964" s="69"/>
      <c r="I964" s="69"/>
      <c r="J964" s="69"/>
      <c r="K964" s="69"/>
    </row>
    <row r="965" spans="1:11" ht="15.75" customHeight="1" x14ac:dyDescent="0.4">
      <c r="A965" s="67"/>
      <c r="B965" s="68"/>
      <c r="C965" s="68"/>
      <c r="D965" s="67"/>
      <c r="E965" s="67"/>
      <c r="F965" s="69"/>
      <c r="G965" s="69"/>
      <c r="H965" s="69"/>
      <c r="I965" s="69"/>
      <c r="J965" s="69"/>
      <c r="K965" s="69"/>
    </row>
    <row r="966" spans="1:11" ht="15.75" customHeight="1" x14ac:dyDescent="0.4">
      <c r="A966" s="67"/>
      <c r="B966" s="68"/>
      <c r="C966" s="68"/>
      <c r="D966" s="67"/>
      <c r="E966" s="67"/>
      <c r="F966" s="69"/>
      <c r="G966" s="69"/>
      <c r="H966" s="69"/>
      <c r="I966" s="69"/>
      <c r="J966" s="69"/>
      <c r="K966" s="69"/>
    </row>
    <row r="967" spans="1:11" ht="15.75" customHeight="1" x14ac:dyDescent="0.4">
      <c r="A967" s="67"/>
      <c r="B967" s="68"/>
      <c r="C967" s="68"/>
      <c r="D967" s="67"/>
      <c r="E967" s="67"/>
      <c r="F967" s="69"/>
      <c r="G967" s="69"/>
      <c r="H967" s="69"/>
      <c r="I967" s="69"/>
      <c r="J967" s="69"/>
      <c r="K967" s="69"/>
    </row>
    <row r="968" spans="1:11" ht="15.75" customHeight="1" x14ac:dyDescent="0.4">
      <c r="A968" s="67"/>
      <c r="B968" s="68"/>
      <c r="C968" s="68"/>
      <c r="D968" s="67"/>
      <c r="E968" s="67"/>
      <c r="F968" s="69"/>
      <c r="G968" s="69"/>
      <c r="H968" s="69"/>
      <c r="I968" s="69"/>
      <c r="J968" s="69"/>
      <c r="K968" s="69"/>
    </row>
    <row r="969" spans="1:11" ht="15.75" customHeight="1" x14ac:dyDescent="0.4">
      <c r="A969" s="67"/>
      <c r="B969" s="68"/>
      <c r="C969" s="68"/>
      <c r="D969" s="67"/>
      <c r="E969" s="67"/>
      <c r="F969" s="69"/>
      <c r="G969" s="69"/>
      <c r="H969" s="69"/>
      <c r="I969" s="69"/>
      <c r="J969" s="69"/>
      <c r="K969" s="69"/>
    </row>
    <row r="970" spans="1:11" ht="15.75" customHeight="1" x14ac:dyDescent="0.4">
      <c r="A970" s="67"/>
      <c r="B970" s="68"/>
      <c r="C970" s="68"/>
      <c r="D970" s="67"/>
      <c r="E970" s="67"/>
      <c r="F970" s="69"/>
      <c r="G970" s="69"/>
      <c r="H970" s="69"/>
      <c r="I970" s="69"/>
      <c r="J970" s="69"/>
      <c r="K970" s="69"/>
    </row>
    <row r="971" spans="1:11" ht="15.75" customHeight="1" x14ac:dyDescent="0.4">
      <c r="A971" s="67"/>
      <c r="B971" s="68"/>
      <c r="C971" s="68"/>
      <c r="D971" s="67"/>
      <c r="E971" s="67"/>
      <c r="F971" s="69"/>
      <c r="G971" s="69"/>
      <c r="H971" s="69"/>
      <c r="I971" s="69"/>
      <c r="J971" s="69"/>
      <c r="K971" s="69"/>
    </row>
    <row r="972" spans="1:11" ht="15.75" customHeight="1" x14ac:dyDescent="0.4">
      <c r="A972" s="67"/>
      <c r="B972" s="68"/>
      <c r="C972" s="68"/>
      <c r="D972" s="67"/>
      <c r="E972" s="67"/>
      <c r="F972" s="69"/>
      <c r="G972" s="69"/>
      <c r="H972" s="69"/>
      <c r="I972" s="69"/>
      <c r="J972" s="69"/>
      <c r="K972" s="69"/>
    </row>
    <row r="973" spans="1:11" ht="15.75" customHeight="1" x14ac:dyDescent="0.4">
      <c r="A973" s="67"/>
      <c r="B973" s="68"/>
      <c r="C973" s="68"/>
      <c r="D973" s="67"/>
      <c r="E973" s="67"/>
      <c r="F973" s="69"/>
      <c r="G973" s="69"/>
      <c r="H973" s="69"/>
      <c r="I973" s="69"/>
      <c r="J973" s="69"/>
      <c r="K973" s="69"/>
    </row>
    <row r="974" spans="1:11" ht="15.75" customHeight="1" x14ac:dyDescent="0.4">
      <c r="A974" s="67"/>
      <c r="B974" s="68"/>
      <c r="C974" s="68"/>
      <c r="D974" s="67"/>
      <c r="E974" s="67"/>
      <c r="F974" s="69"/>
      <c r="G974" s="69"/>
      <c r="H974" s="69"/>
      <c r="I974" s="69"/>
      <c r="J974" s="69"/>
      <c r="K974" s="69"/>
    </row>
    <row r="975" spans="1:11" ht="15.75" customHeight="1" x14ac:dyDescent="0.4">
      <c r="A975" s="67"/>
      <c r="B975" s="68"/>
      <c r="C975" s="68"/>
      <c r="D975" s="67"/>
      <c r="E975" s="67"/>
      <c r="F975" s="69"/>
      <c r="G975" s="69"/>
      <c r="H975" s="69"/>
      <c r="I975" s="69"/>
      <c r="J975" s="69"/>
      <c r="K975" s="69"/>
    </row>
    <row r="976" spans="1:11" ht="15.75" customHeight="1" x14ac:dyDescent="0.4">
      <c r="A976" s="67"/>
      <c r="B976" s="68"/>
      <c r="C976" s="68"/>
      <c r="D976" s="67"/>
      <c r="E976" s="67"/>
      <c r="F976" s="69"/>
      <c r="G976" s="69"/>
      <c r="H976" s="69"/>
      <c r="I976" s="69"/>
      <c r="J976" s="69"/>
      <c r="K976" s="69"/>
    </row>
    <row r="977" spans="1:11" ht="15.75" customHeight="1" x14ac:dyDescent="0.4">
      <c r="A977" s="67"/>
      <c r="B977" s="68"/>
      <c r="C977" s="68"/>
      <c r="D977" s="67"/>
      <c r="E977" s="67"/>
      <c r="F977" s="69"/>
      <c r="G977" s="69"/>
      <c r="H977" s="69"/>
      <c r="I977" s="69"/>
      <c r="J977" s="69"/>
      <c r="K977" s="69"/>
    </row>
    <row r="978" spans="1:11" ht="15.75" customHeight="1" x14ac:dyDescent="0.4">
      <c r="A978" s="67"/>
      <c r="B978" s="68"/>
      <c r="C978" s="68"/>
      <c r="D978" s="67"/>
      <c r="E978" s="67"/>
      <c r="F978" s="69"/>
      <c r="G978" s="69"/>
      <c r="H978" s="69"/>
      <c r="I978" s="69"/>
      <c r="J978" s="69"/>
      <c r="K978" s="69"/>
    </row>
    <row r="979" spans="1:11" ht="15.75" customHeight="1" x14ac:dyDescent="0.4">
      <c r="A979" s="67"/>
      <c r="B979" s="68"/>
      <c r="C979" s="68"/>
      <c r="D979" s="67"/>
      <c r="E979" s="67"/>
      <c r="F979" s="69"/>
      <c r="G979" s="69"/>
      <c r="H979" s="69"/>
      <c r="I979" s="69"/>
      <c r="J979" s="69"/>
      <c r="K979" s="69"/>
    </row>
    <row r="980" spans="1:11" ht="15.75" customHeight="1" x14ac:dyDescent="0.4">
      <c r="A980" s="67"/>
      <c r="B980" s="68"/>
      <c r="C980" s="68"/>
      <c r="D980" s="67"/>
      <c r="E980" s="67"/>
      <c r="F980" s="69"/>
      <c r="G980" s="69"/>
      <c r="H980" s="69"/>
      <c r="I980" s="69"/>
      <c r="J980" s="69"/>
      <c r="K980" s="69"/>
    </row>
    <row r="981" spans="1:11" ht="15.75" customHeight="1" x14ac:dyDescent="0.4">
      <c r="A981" s="67"/>
      <c r="B981" s="68"/>
      <c r="C981" s="68"/>
      <c r="D981" s="67"/>
      <c r="E981" s="67"/>
      <c r="F981" s="69"/>
      <c r="G981" s="69"/>
      <c r="H981" s="69"/>
      <c r="I981" s="69"/>
      <c r="J981" s="69"/>
      <c r="K981" s="69"/>
    </row>
    <row r="982" spans="1:11" ht="15.75" customHeight="1" x14ac:dyDescent="0.4">
      <c r="A982" s="67"/>
      <c r="B982" s="68"/>
      <c r="C982" s="68"/>
      <c r="D982" s="67"/>
      <c r="E982" s="67"/>
      <c r="F982" s="69"/>
      <c r="G982" s="69"/>
      <c r="H982" s="69"/>
      <c r="I982" s="69"/>
      <c r="J982" s="69"/>
      <c r="K982" s="69"/>
    </row>
    <row r="983" spans="1:11" ht="15.75" customHeight="1" x14ac:dyDescent="0.4">
      <c r="A983" s="67"/>
      <c r="B983" s="68"/>
      <c r="C983" s="68"/>
      <c r="D983" s="67"/>
      <c r="E983" s="67"/>
      <c r="F983" s="69"/>
      <c r="G983" s="69"/>
      <c r="H983" s="69"/>
      <c r="I983" s="69"/>
      <c r="J983" s="69"/>
      <c r="K983" s="69"/>
    </row>
    <row r="984" spans="1:11" ht="15.75" customHeight="1" x14ac:dyDescent="0.4">
      <c r="A984" s="67"/>
      <c r="B984" s="68"/>
      <c r="C984" s="68"/>
      <c r="D984" s="67"/>
      <c r="E984" s="67"/>
      <c r="F984" s="69"/>
      <c r="G984" s="69"/>
      <c r="H984" s="69"/>
      <c r="I984" s="69"/>
      <c r="J984" s="69"/>
      <c r="K984" s="69"/>
    </row>
    <row r="985" spans="1:11" ht="15.75" customHeight="1" x14ac:dyDescent="0.4">
      <c r="A985" s="67"/>
      <c r="B985" s="68"/>
      <c r="C985" s="68"/>
      <c r="D985" s="67"/>
      <c r="E985" s="67"/>
      <c r="F985" s="69"/>
      <c r="G985" s="69"/>
      <c r="H985" s="69"/>
      <c r="I985" s="69"/>
      <c r="J985" s="69"/>
      <c r="K985" s="69"/>
    </row>
    <row r="986" spans="1:11" ht="15.75" customHeight="1" x14ac:dyDescent="0.4">
      <c r="A986" s="67"/>
      <c r="B986" s="68"/>
      <c r="C986" s="68"/>
      <c r="D986" s="67"/>
      <c r="E986" s="67"/>
      <c r="F986" s="69"/>
      <c r="G986" s="69"/>
      <c r="H986" s="69"/>
      <c r="I986" s="69"/>
      <c r="J986" s="69"/>
      <c r="K986" s="69"/>
    </row>
    <row r="987" spans="1:11" ht="15.75" customHeight="1" x14ac:dyDescent="0.4">
      <c r="A987" s="67"/>
      <c r="B987" s="68"/>
      <c r="C987" s="68"/>
      <c r="D987" s="67"/>
      <c r="E987" s="67"/>
      <c r="F987" s="69"/>
      <c r="G987" s="69"/>
      <c r="H987" s="69"/>
      <c r="I987" s="69"/>
      <c r="J987" s="69"/>
      <c r="K987" s="69"/>
    </row>
    <row r="988" spans="1:11" ht="15.75" customHeight="1" x14ac:dyDescent="0.4">
      <c r="A988" s="67"/>
      <c r="B988" s="68"/>
      <c r="C988" s="68"/>
      <c r="D988" s="67"/>
      <c r="E988" s="67"/>
      <c r="F988" s="69"/>
      <c r="G988" s="69"/>
      <c r="H988" s="69"/>
      <c r="I988" s="69"/>
      <c r="J988" s="69"/>
      <c r="K988" s="69"/>
    </row>
    <row r="989" spans="1:11" ht="15.75" customHeight="1" x14ac:dyDescent="0.4">
      <c r="A989" s="67"/>
      <c r="B989" s="68"/>
      <c r="C989" s="68"/>
      <c r="D989" s="67"/>
      <c r="E989" s="67"/>
      <c r="F989" s="69"/>
      <c r="G989" s="69"/>
      <c r="H989" s="69"/>
      <c r="I989" s="69"/>
      <c r="J989" s="69"/>
      <c r="K989" s="69"/>
    </row>
    <row r="990" spans="1:11" ht="15.75" customHeight="1" x14ac:dyDescent="0.4">
      <c r="A990" s="67"/>
      <c r="B990" s="68"/>
      <c r="C990" s="68"/>
      <c r="D990" s="67"/>
      <c r="E990" s="67"/>
      <c r="F990" s="69"/>
      <c r="G990" s="69"/>
      <c r="H990" s="69"/>
      <c r="I990" s="69"/>
      <c r="J990" s="69"/>
      <c r="K990" s="69"/>
    </row>
    <row r="991" spans="1:11" ht="15.75" customHeight="1" x14ac:dyDescent="0.4">
      <c r="A991" s="67"/>
      <c r="B991" s="68"/>
      <c r="C991" s="68"/>
      <c r="D991" s="67"/>
      <c r="E991" s="67"/>
      <c r="F991" s="69"/>
      <c r="G991" s="69"/>
      <c r="H991" s="69"/>
      <c r="I991" s="69"/>
      <c r="J991" s="69"/>
      <c r="K991" s="69"/>
    </row>
    <row r="992" spans="1:11" ht="15.75" customHeight="1" x14ac:dyDescent="0.4">
      <c r="A992" s="67"/>
      <c r="B992" s="68"/>
      <c r="C992" s="68"/>
      <c r="D992" s="67"/>
      <c r="E992" s="67"/>
      <c r="F992" s="69"/>
      <c r="G992" s="69"/>
      <c r="H992" s="69"/>
      <c r="I992" s="69"/>
      <c r="J992" s="69"/>
      <c r="K992" s="69"/>
    </row>
    <row r="993" spans="1:11" ht="15.75" customHeight="1" x14ac:dyDescent="0.4">
      <c r="A993" s="67"/>
      <c r="B993" s="68"/>
      <c r="C993" s="68"/>
      <c r="D993" s="67"/>
      <c r="E993" s="67"/>
      <c r="F993" s="69"/>
      <c r="G993" s="69"/>
      <c r="H993" s="69"/>
      <c r="I993" s="69"/>
      <c r="J993" s="69"/>
      <c r="K993" s="69"/>
    </row>
    <row r="994" spans="1:11" ht="15.75" customHeight="1" x14ac:dyDescent="0.4">
      <c r="A994" s="67"/>
      <c r="B994" s="68"/>
      <c r="C994" s="68"/>
      <c r="D994" s="67"/>
      <c r="E994" s="67"/>
      <c r="F994" s="69"/>
      <c r="G994" s="69"/>
      <c r="H994" s="69"/>
      <c r="I994" s="69"/>
      <c r="J994" s="69"/>
      <c r="K994" s="69"/>
    </row>
    <row r="995" spans="1:11" ht="15.75" customHeight="1" x14ac:dyDescent="0.4">
      <c r="A995" s="67"/>
      <c r="B995" s="68"/>
      <c r="C995" s="68"/>
      <c r="D995" s="67"/>
      <c r="E995" s="67"/>
      <c r="F995" s="69"/>
      <c r="G995" s="69"/>
      <c r="H995" s="69"/>
      <c r="I995" s="69"/>
      <c r="J995" s="69"/>
      <c r="K995" s="69"/>
    </row>
    <row r="996" spans="1:11" ht="15.75" customHeight="1" x14ac:dyDescent="0.4">
      <c r="A996" s="67"/>
      <c r="B996" s="68"/>
      <c r="C996" s="68"/>
      <c r="D996" s="67"/>
      <c r="E996" s="67"/>
      <c r="F996" s="69"/>
      <c r="G996" s="69"/>
      <c r="H996" s="69"/>
      <c r="I996" s="69"/>
      <c r="J996" s="69"/>
      <c r="K996" s="69"/>
    </row>
    <row r="997" spans="1:11" ht="15.75" customHeight="1" x14ac:dyDescent="0.4">
      <c r="A997" s="67"/>
      <c r="B997" s="68"/>
      <c r="C997" s="68"/>
      <c r="D997" s="67"/>
      <c r="E997" s="67"/>
      <c r="F997" s="69"/>
      <c r="G997" s="69"/>
      <c r="H997" s="69"/>
      <c r="I997" s="69"/>
      <c r="J997" s="69"/>
      <c r="K997" s="69"/>
    </row>
    <row r="998" spans="1:11" ht="15.75" customHeight="1" x14ac:dyDescent="0.4">
      <c r="A998" s="67"/>
      <c r="B998" s="68"/>
      <c r="C998" s="68"/>
      <c r="D998" s="67"/>
      <c r="E998" s="67"/>
      <c r="F998" s="69"/>
      <c r="G998" s="69"/>
      <c r="H998" s="69"/>
      <c r="I998" s="69"/>
      <c r="J998" s="69"/>
      <c r="K998" s="69"/>
    </row>
    <row r="999" spans="1:11" ht="15.75" customHeight="1" x14ac:dyDescent="0.4">
      <c r="A999" s="67"/>
      <c r="B999" s="68"/>
      <c r="C999" s="68"/>
      <c r="D999" s="67"/>
      <c r="E999" s="67"/>
      <c r="F999" s="69"/>
      <c r="G999" s="69"/>
      <c r="H999" s="69"/>
      <c r="I999" s="69"/>
      <c r="J999" s="69"/>
      <c r="K999" s="69"/>
    </row>
    <row r="1000" spans="1:11" ht="15.75" customHeight="1" x14ac:dyDescent="0.4">
      <c r="A1000" s="67"/>
      <c r="B1000" s="68"/>
      <c r="C1000" s="68"/>
      <c r="D1000" s="67"/>
      <c r="E1000" s="67"/>
      <c r="F1000" s="69"/>
      <c r="G1000" s="69"/>
      <c r="H1000" s="69"/>
      <c r="I1000" s="69"/>
      <c r="J1000" s="69"/>
      <c r="K1000" s="69"/>
    </row>
    <row r="1001" spans="1:11" ht="15.75" customHeight="1" x14ac:dyDescent="0.4">
      <c r="A1001" s="67"/>
      <c r="B1001" s="68"/>
      <c r="C1001" s="68"/>
      <c r="D1001" s="67"/>
      <c r="E1001" s="67"/>
      <c r="F1001" s="69"/>
      <c r="G1001" s="69"/>
      <c r="H1001" s="69"/>
      <c r="I1001" s="69"/>
      <c r="J1001" s="69"/>
      <c r="K1001" s="69"/>
    </row>
    <row r="1002" spans="1:11" ht="15.75" customHeight="1" x14ac:dyDescent="0.4">
      <c r="A1002" s="67"/>
      <c r="B1002" s="68"/>
      <c r="C1002" s="68"/>
      <c r="D1002" s="67"/>
      <c r="E1002" s="67"/>
      <c r="F1002" s="69"/>
      <c r="G1002" s="69"/>
      <c r="H1002" s="69"/>
      <c r="I1002" s="69"/>
      <c r="J1002" s="69"/>
      <c r="K1002" s="69"/>
    </row>
    <row r="1003" spans="1:11" ht="15.75" customHeight="1" x14ac:dyDescent="0.4">
      <c r="A1003" s="67"/>
      <c r="B1003" s="68"/>
      <c r="C1003" s="68"/>
      <c r="D1003" s="67"/>
      <c r="E1003" s="67"/>
      <c r="F1003" s="69"/>
      <c r="G1003" s="69"/>
      <c r="H1003" s="69"/>
      <c r="I1003" s="69"/>
      <c r="J1003" s="69"/>
      <c r="K1003" s="69"/>
    </row>
    <row r="1004" spans="1:11" ht="15.75" customHeight="1" x14ac:dyDescent="0.4">
      <c r="A1004" s="67"/>
      <c r="B1004" s="68"/>
      <c r="C1004" s="68"/>
      <c r="D1004" s="67"/>
      <c r="E1004" s="67"/>
      <c r="F1004" s="69"/>
      <c r="G1004" s="69"/>
      <c r="H1004" s="69"/>
      <c r="I1004" s="69"/>
      <c r="J1004" s="69"/>
      <c r="K1004" s="69"/>
    </row>
    <row r="1005" spans="1:11" ht="15.75" customHeight="1" x14ac:dyDescent="0.4">
      <c r="A1005" s="67"/>
      <c r="B1005" s="68"/>
      <c r="C1005" s="68"/>
      <c r="D1005" s="67"/>
      <c r="E1005" s="67"/>
      <c r="F1005" s="69"/>
      <c r="G1005" s="69"/>
      <c r="H1005" s="69"/>
      <c r="I1005" s="69"/>
      <c r="J1005" s="69"/>
      <c r="K1005" s="69"/>
    </row>
    <row r="1006" spans="1:11" ht="15.75" customHeight="1" x14ac:dyDescent="0.4">
      <c r="A1006" s="67"/>
      <c r="B1006" s="68"/>
      <c r="C1006" s="68"/>
      <c r="D1006" s="67"/>
      <c r="E1006" s="67"/>
      <c r="F1006" s="69"/>
      <c r="G1006" s="69"/>
      <c r="H1006" s="69"/>
      <c r="I1006" s="69"/>
      <c r="J1006" s="69"/>
      <c r="K1006" s="69"/>
    </row>
    <row r="1007" spans="1:11" ht="15.75" customHeight="1" x14ac:dyDescent="0.4">
      <c r="A1007" s="67"/>
      <c r="B1007" s="68"/>
      <c r="C1007" s="68"/>
      <c r="D1007" s="67"/>
      <c r="E1007" s="67"/>
      <c r="F1007" s="69"/>
      <c r="G1007" s="69"/>
      <c r="H1007" s="69"/>
      <c r="I1007" s="69"/>
      <c r="J1007" s="69"/>
      <c r="K1007" s="69"/>
    </row>
  </sheetData>
  <mergeCells count="12">
    <mergeCell ref="A5:A6"/>
    <mergeCell ref="A1:K1"/>
    <mergeCell ref="A2:K2"/>
    <mergeCell ref="A3:K3"/>
    <mergeCell ref="F4:G4"/>
    <mergeCell ref="B38:E38"/>
    <mergeCell ref="F5:G5"/>
    <mergeCell ref="H5:I5"/>
    <mergeCell ref="J5:K5"/>
    <mergeCell ref="E5:E6"/>
    <mergeCell ref="D5:D6"/>
    <mergeCell ref="B5:B6"/>
  </mergeCells>
  <phoneticPr fontId="29" type="noConversion"/>
  <dataValidations count="2">
    <dataValidation type="list" allowBlank="1" showErrorMessage="1" sqref="D7:D37" xr:uid="{00000000-0002-0000-0200-000000000000}">
      <formula1>"D,K"</formula1>
    </dataValidation>
    <dataValidation type="list" allowBlank="1" showErrorMessage="1" sqref="E7:E37" xr:uid="{00000000-0002-0000-0200-000001000000}">
      <formula1>"LR,NR"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N1581"/>
  <sheetViews>
    <sheetView showGridLines="0" zoomScaleNormal="100" workbookViewId="0">
      <pane ySplit="6" topLeftCell="A7" activePane="bottomLeft" state="frozen"/>
      <selection activeCell="C12" sqref="C12"/>
      <selection pane="bottomLeft" activeCell="B3" sqref="B3:H3"/>
    </sheetView>
  </sheetViews>
  <sheetFormatPr defaultColWidth="8.90625" defaultRowHeight="14" x14ac:dyDescent="0.4"/>
  <cols>
    <col min="1" max="1" width="5" style="87" customWidth="1"/>
    <col min="2" max="2" width="11.36328125" style="91" customWidth="1"/>
    <col min="3" max="3" width="18.6328125" style="89" customWidth="1"/>
    <col min="4" max="4" width="40.6328125" style="88" customWidth="1"/>
    <col min="5" max="5" width="13.6328125" style="87" customWidth="1"/>
    <col min="6" max="6" width="13.6328125" style="90" customWidth="1"/>
    <col min="7" max="8" width="15.36328125" style="90" customWidth="1"/>
    <col min="9" max="9" width="4.90625" style="88" customWidth="1"/>
    <col min="10" max="10" width="14.36328125" style="89" customWidth="1"/>
    <col min="11" max="11" width="11" style="88" bestFit="1" customWidth="1"/>
    <col min="12" max="12" width="8.6328125" style="90" bestFit="1" customWidth="1"/>
    <col min="13" max="14" width="12.6328125" style="90" bestFit="1" customWidth="1"/>
    <col min="15" max="16384" width="8.90625" style="88"/>
  </cols>
  <sheetData>
    <row r="1" spans="1:14" x14ac:dyDescent="0.4">
      <c r="A1" s="214"/>
      <c r="B1" s="319" t="s">
        <v>91</v>
      </c>
      <c r="C1" s="319"/>
      <c r="D1" s="319"/>
      <c r="E1" s="319"/>
      <c r="F1" s="319"/>
      <c r="G1" s="319"/>
      <c r="H1" s="319"/>
    </row>
    <row r="2" spans="1:14" x14ac:dyDescent="0.4">
      <c r="A2" s="214"/>
      <c r="B2" s="318" t="s">
        <v>408</v>
      </c>
      <c r="C2" s="319"/>
      <c r="D2" s="319"/>
      <c r="E2" s="319"/>
      <c r="F2" s="319"/>
      <c r="G2" s="319"/>
      <c r="H2" s="319"/>
    </row>
    <row r="3" spans="1:14" x14ac:dyDescent="0.4">
      <c r="A3" s="214"/>
      <c r="B3" s="317" t="s">
        <v>325</v>
      </c>
      <c r="C3" s="317"/>
      <c r="D3" s="317"/>
      <c r="E3" s="317"/>
      <c r="F3" s="317"/>
      <c r="G3" s="317"/>
      <c r="H3" s="317"/>
    </row>
    <row r="4" spans="1:14" x14ac:dyDescent="0.4">
      <c r="F4" s="90">
        <f>SUBTOTAL(9,F7:F1577)</f>
        <v>0</v>
      </c>
      <c r="G4" s="90">
        <f>SUBTOTAL(9,G7:G1577)</f>
        <v>0</v>
      </c>
    </row>
    <row r="5" spans="1:14" x14ac:dyDescent="0.4">
      <c r="A5" s="92" t="s">
        <v>24</v>
      </c>
      <c r="B5" s="93" t="s">
        <v>0</v>
      </c>
      <c r="C5" s="94" t="s">
        <v>6</v>
      </c>
      <c r="D5" s="95" t="s">
        <v>9</v>
      </c>
      <c r="E5" s="95" t="s">
        <v>88</v>
      </c>
      <c r="F5" s="94" t="s">
        <v>1</v>
      </c>
      <c r="G5" s="94" t="s">
        <v>2</v>
      </c>
      <c r="H5" s="94" t="s">
        <v>3</v>
      </c>
    </row>
    <row r="6" spans="1:14" ht="14.75" customHeight="1" x14ac:dyDescent="0.4">
      <c r="A6" s="96">
        <v>1</v>
      </c>
      <c r="B6" s="97"/>
      <c r="C6" s="98" t="s">
        <v>4</v>
      </c>
      <c r="D6" s="99"/>
      <c r="E6" s="234"/>
      <c r="F6" s="100"/>
      <c r="G6" s="100"/>
      <c r="H6" s="100">
        <f>NS!F7</f>
        <v>0</v>
      </c>
    </row>
    <row r="7" spans="1:14" ht="14.75" customHeight="1" x14ac:dyDescent="0.4">
      <c r="A7" s="96">
        <v>2</v>
      </c>
      <c r="B7" s="101"/>
      <c r="C7" s="102"/>
      <c r="D7" s="103"/>
      <c r="E7" s="235"/>
      <c r="F7" s="104"/>
      <c r="G7" s="104"/>
      <c r="H7" s="105">
        <f>H6+F7-G7</f>
        <v>0</v>
      </c>
      <c r="L7" s="106"/>
      <c r="M7" s="106"/>
      <c r="N7" s="106"/>
    </row>
    <row r="8" spans="1:14" ht="14.75" customHeight="1" x14ac:dyDescent="0.4">
      <c r="A8" s="96">
        <v>3</v>
      </c>
      <c r="B8" s="101"/>
      <c r="C8" s="102"/>
      <c r="D8" s="103"/>
      <c r="E8" s="235"/>
      <c r="F8" s="104"/>
      <c r="G8" s="104"/>
      <c r="H8" s="105">
        <f>H7+F8-G8</f>
        <v>0</v>
      </c>
      <c r="L8" s="106"/>
      <c r="M8" s="106"/>
      <c r="N8" s="106"/>
    </row>
    <row r="9" spans="1:14" ht="14.75" customHeight="1" x14ac:dyDescent="0.4">
      <c r="A9" s="96">
        <v>4</v>
      </c>
      <c r="B9" s="101"/>
      <c r="C9" s="102"/>
      <c r="D9" s="103"/>
      <c r="E9" s="235"/>
      <c r="F9" s="104"/>
      <c r="G9" s="104"/>
      <c r="H9" s="105">
        <f>H8+F9-G9</f>
        <v>0</v>
      </c>
      <c r="L9" s="106"/>
      <c r="M9" s="106"/>
      <c r="N9" s="106"/>
    </row>
    <row r="10" spans="1:14" ht="14.75" customHeight="1" x14ac:dyDescent="0.4">
      <c r="A10" s="96">
        <v>5</v>
      </c>
      <c r="B10" s="101"/>
      <c r="C10" s="102"/>
      <c r="D10" s="103"/>
      <c r="E10" s="235"/>
      <c r="F10" s="104"/>
      <c r="G10" s="104"/>
      <c r="H10" s="105">
        <f>H9+F10-G10</f>
        <v>0</v>
      </c>
      <c r="L10" s="106"/>
      <c r="M10" s="106"/>
      <c r="N10" s="106"/>
    </row>
    <row r="11" spans="1:14" ht="14.75" customHeight="1" x14ac:dyDescent="0.4">
      <c r="A11" s="96">
        <v>6</v>
      </c>
      <c r="B11" s="101"/>
      <c r="C11" s="102"/>
      <c r="D11" s="103"/>
      <c r="E11" s="235"/>
      <c r="F11" s="104"/>
      <c r="G11" s="104"/>
      <c r="H11" s="105">
        <f t="shared" ref="H11:H72" si="0">H10+F11-G11</f>
        <v>0</v>
      </c>
      <c r="L11" s="106"/>
      <c r="M11" s="106"/>
      <c r="N11" s="106"/>
    </row>
    <row r="12" spans="1:14" ht="14.75" customHeight="1" x14ac:dyDescent="0.4">
      <c r="A12" s="96">
        <v>7</v>
      </c>
      <c r="B12" s="101"/>
      <c r="C12" s="102"/>
      <c r="D12" s="103"/>
      <c r="E12" s="235"/>
      <c r="F12" s="104"/>
      <c r="G12" s="104"/>
      <c r="H12" s="105">
        <f t="shared" si="0"/>
        <v>0</v>
      </c>
      <c r="L12" s="106"/>
      <c r="M12" s="106"/>
      <c r="N12" s="106"/>
    </row>
    <row r="13" spans="1:14" ht="14.75" customHeight="1" x14ac:dyDescent="0.4">
      <c r="A13" s="96">
        <v>8</v>
      </c>
      <c r="B13" s="101"/>
      <c r="C13" s="102"/>
      <c r="D13" s="103"/>
      <c r="E13" s="235"/>
      <c r="F13" s="104"/>
      <c r="G13" s="104"/>
      <c r="H13" s="105">
        <f t="shared" si="0"/>
        <v>0</v>
      </c>
      <c r="L13" s="106"/>
      <c r="M13" s="106"/>
      <c r="N13" s="106"/>
    </row>
    <row r="14" spans="1:14" ht="14.75" customHeight="1" x14ac:dyDescent="0.4">
      <c r="A14" s="96">
        <v>9</v>
      </c>
      <c r="B14" s="101"/>
      <c r="C14" s="102"/>
      <c r="D14" s="103"/>
      <c r="E14" s="235"/>
      <c r="F14" s="104"/>
      <c r="G14" s="104"/>
      <c r="H14" s="105">
        <f t="shared" si="0"/>
        <v>0</v>
      </c>
      <c r="L14" s="106"/>
      <c r="M14" s="106"/>
      <c r="N14" s="106"/>
    </row>
    <row r="15" spans="1:14" ht="14.75" customHeight="1" x14ac:dyDescent="0.4">
      <c r="A15" s="96">
        <v>10</v>
      </c>
      <c r="B15" s="101"/>
      <c r="C15" s="102"/>
      <c r="D15" s="103"/>
      <c r="E15" s="235"/>
      <c r="F15" s="104"/>
      <c r="G15" s="104"/>
      <c r="H15" s="105">
        <f t="shared" si="0"/>
        <v>0</v>
      </c>
      <c r="L15" s="106"/>
      <c r="M15" s="106"/>
      <c r="N15" s="106"/>
    </row>
    <row r="16" spans="1:14" ht="14.75" customHeight="1" x14ac:dyDescent="0.4">
      <c r="A16" s="96">
        <v>11</v>
      </c>
      <c r="B16" s="101"/>
      <c r="C16" s="102"/>
      <c r="D16" s="103"/>
      <c r="E16" s="235"/>
      <c r="F16" s="104"/>
      <c r="G16" s="104"/>
      <c r="H16" s="105">
        <f t="shared" si="0"/>
        <v>0</v>
      </c>
      <c r="L16" s="106"/>
      <c r="M16" s="106"/>
      <c r="N16" s="106"/>
    </row>
    <row r="17" spans="1:14" ht="14.75" customHeight="1" x14ac:dyDescent="0.4">
      <c r="A17" s="96">
        <v>12</v>
      </c>
      <c r="B17" s="101"/>
      <c r="C17" s="102"/>
      <c r="D17" s="103"/>
      <c r="E17" s="235"/>
      <c r="F17" s="104"/>
      <c r="G17" s="104"/>
      <c r="H17" s="105">
        <f t="shared" si="0"/>
        <v>0</v>
      </c>
      <c r="L17" s="106"/>
      <c r="M17" s="106"/>
      <c r="N17" s="106"/>
    </row>
    <row r="18" spans="1:14" ht="14.75" customHeight="1" x14ac:dyDescent="0.4">
      <c r="A18" s="96">
        <v>13</v>
      </c>
      <c r="B18" s="101"/>
      <c r="C18" s="102"/>
      <c r="D18" s="103"/>
      <c r="E18" s="235"/>
      <c r="F18" s="104"/>
      <c r="G18" s="104"/>
      <c r="H18" s="105">
        <f t="shared" si="0"/>
        <v>0</v>
      </c>
      <c r="L18" s="106"/>
      <c r="M18" s="106"/>
      <c r="N18" s="106"/>
    </row>
    <row r="19" spans="1:14" ht="14.75" customHeight="1" x14ac:dyDescent="0.4">
      <c r="A19" s="96">
        <v>14</v>
      </c>
      <c r="B19" s="101"/>
      <c r="C19" s="102"/>
      <c r="D19" s="103"/>
      <c r="E19" s="235"/>
      <c r="F19" s="104"/>
      <c r="G19" s="104"/>
      <c r="H19" s="105">
        <f t="shared" si="0"/>
        <v>0</v>
      </c>
      <c r="L19" s="106"/>
      <c r="M19" s="106"/>
      <c r="N19" s="106"/>
    </row>
    <row r="20" spans="1:14" ht="14.75" customHeight="1" x14ac:dyDescent="0.4">
      <c r="A20" s="96">
        <v>15</v>
      </c>
      <c r="B20" s="101"/>
      <c r="C20" s="102"/>
      <c r="D20" s="103"/>
      <c r="E20" s="235"/>
      <c r="F20" s="104"/>
      <c r="G20" s="104"/>
      <c r="H20" s="105">
        <f t="shared" si="0"/>
        <v>0</v>
      </c>
      <c r="L20" s="106"/>
      <c r="M20" s="106"/>
      <c r="N20" s="106"/>
    </row>
    <row r="21" spans="1:14" ht="14.75" customHeight="1" x14ac:dyDescent="0.4">
      <c r="A21" s="96">
        <v>16</v>
      </c>
      <c r="B21" s="101"/>
      <c r="C21" s="102"/>
      <c r="D21" s="103"/>
      <c r="E21" s="235"/>
      <c r="F21" s="104"/>
      <c r="G21" s="104"/>
      <c r="H21" s="105">
        <f t="shared" si="0"/>
        <v>0</v>
      </c>
      <c r="L21" s="106"/>
      <c r="M21" s="106"/>
      <c r="N21" s="106"/>
    </row>
    <row r="22" spans="1:14" ht="14.75" customHeight="1" x14ac:dyDescent="0.4">
      <c r="A22" s="96">
        <v>17</v>
      </c>
      <c r="B22" s="101"/>
      <c r="C22" s="102"/>
      <c r="D22" s="103"/>
      <c r="E22" s="235"/>
      <c r="F22" s="104"/>
      <c r="G22" s="104"/>
      <c r="H22" s="105">
        <f t="shared" si="0"/>
        <v>0</v>
      </c>
      <c r="L22" s="106"/>
      <c r="M22" s="106"/>
      <c r="N22" s="106"/>
    </row>
    <row r="23" spans="1:14" ht="14.75" customHeight="1" x14ac:dyDescent="0.4">
      <c r="A23" s="96">
        <v>18</v>
      </c>
      <c r="B23" s="101"/>
      <c r="C23" s="102"/>
      <c r="D23" s="103"/>
      <c r="E23" s="235"/>
      <c r="F23" s="104"/>
      <c r="G23" s="104"/>
      <c r="H23" s="105">
        <f t="shared" si="0"/>
        <v>0</v>
      </c>
      <c r="L23" s="106"/>
      <c r="M23" s="106"/>
      <c r="N23" s="106"/>
    </row>
    <row r="24" spans="1:14" ht="14.75" customHeight="1" x14ac:dyDescent="0.4">
      <c r="A24" s="96">
        <v>19</v>
      </c>
      <c r="B24" s="101"/>
      <c r="C24" s="102"/>
      <c r="D24" s="103"/>
      <c r="E24" s="235"/>
      <c r="F24" s="104"/>
      <c r="G24" s="104"/>
      <c r="H24" s="105">
        <f t="shared" si="0"/>
        <v>0</v>
      </c>
      <c r="J24" s="109"/>
      <c r="K24" s="237"/>
      <c r="L24" s="106"/>
      <c r="M24" s="106"/>
      <c r="N24" s="106"/>
    </row>
    <row r="25" spans="1:14" ht="14.75" customHeight="1" x14ac:dyDescent="0.4">
      <c r="A25" s="96">
        <v>20</v>
      </c>
      <c r="B25" s="101"/>
      <c r="C25" s="102"/>
      <c r="D25" s="103"/>
      <c r="E25" s="235"/>
      <c r="F25" s="104"/>
      <c r="G25" s="104"/>
      <c r="H25" s="105">
        <f t="shared" si="0"/>
        <v>0</v>
      </c>
      <c r="L25" s="106"/>
      <c r="M25" s="106"/>
      <c r="N25" s="106"/>
    </row>
    <row r="26" spans="1:14" ht="14.75" customHeight="1" x14ac:dyDescent="0.4">
      <c r="A26" s="96">
        <v>21</v>
      </c>
      <c r="B26" s="101"/>
      <c r="C26" s="102"/>
      <c r="D26" s="103"/>
      <c r="E26" s="235"/>
      <c r="F26" s="104"/>
      <c r="G26" s="104"/>
      <c r="H26" s="105">
        <f t="shared" si="0"/>
        <v>0</v>
      </c>
      <c r="L26" s="106"/>
      <c r="M26" s="106"/>
      <c r="N26" s="106"/>
    </row>
    <row r="27" spans="1:14" ht="14.75" customHeight="1" x14ac:dyDescent="0.4">
      <c r="A27" s="96">
        <v>22</v>
      </c>
      <c r="B27" s="101"/>
      <c r="C27" s="102"/>
      <c r="D27" s="103"/>
      <c r="E27" s="235"/>
      <c r="F27" s="104"/>
      <c r="G27" s="104"/>
      <c r="H27" s="105">
        <f t="shared" si="0"/>
        <v>0</v>
      </c>
      <c r="L27" s="106"/>
      <c r="M27" s="106"/>
      <c r="N27" s="106"/>
    </row>
    <row r="28" spans="1:14" ht="14.75" customHeight="1" x14ac:dyDescent="0.4">
      <c r="A28" s="96">
        <v>23</v>
      </c>
      <c r="B28" s="101"/>
      <c r="C28" s="102"/>
      <c r="D28" s="103"/>
      <c r="E28" s="235"/>
      <c r="F28" s="104"/>
      <c r="G28" s="104"/>
      <c r="H28" s="105">
        <f t="shared" si="0"/>
        <v>0</v>
      </c>
      <c r="L28" s="106"/>
      <c r="M28" s="106"/>
      <c r="N28" s="106"/>
    </row>
    <row r="29" spans="1:14" ht="14.75" customHeight="1" x14ac:dyDescent="0.4">
      <c r="A29" s="96">
        <v>24</v>
      </c>
      <c r="B29" s="101"/>
      <c r="C29" s="102"/>
      <c r="D29" s="103"/>
      <c r="E29" s="235"/>
      <c r="F29" s="104"/>
      <c r="G29" s="104"/>
      <c r="H29" s="105">
        <f t="shared" si="0"/>
        <v>0</v>
      </c>
      <c r="L29" s="106"/>
      <c r="M29" s="106"/>
      <c r="N29" s="106"/>
    </row>
    <row r="30" spans="1:14" ht="14.75" customHeight="1" x14ac:dyDescent="0.4">
      <c r="A30" s="96">
        <v>25</v>
      </c>
      <c r="B30" s="101"/>
      <c r="C30" s="102"/>
      <c r="D30" s="103"/>
      <c r="E30" s="235"/>
      <c r="F30" s="104"/>
      <c r="G30" s="104"/>
      <c r="H30" s="105">
        <f t="shared" si="0"/>
        <v>0</v>
      </c>
      <c r="L30" s="106"/>
      <c r="M30" s="106"/>
      <c r="N30" s="106"/>
    </row>
    <row r="31" spans="1:14" ht="14.75" customHeight="1" x14ac:dyDescent="0.4">
      <c r="A31" s="96">
        <v>26</v>
      </c>
      <c r="B31" s="101"/>
      <c r="C31" s="102"/>
      <c r="D31" s="103"/>
      <c r="E31" s="235"/>
      <c r="F31" s="104"/>
      <c r="G31" s="104"/>
      <c r="H31" s="105">
        <f t="shared" si="0"/>
        <v>0</v>
      </c>
      <c r="L31" s="106"/>
      <c r="M31" s="106"/>
      <c r="N31" s="106"/>
    </row>
    <row r="32" spans="1:14" ht="14.75" customHeight="1" x14ac:dyDescent="0.4">
      <c r="A32" s="96">
        <v>27</v>
      </c>
      <c r="B32" s="101"/>
      <c r="C32" s="102"/>
      <c r="D32" s="103"/>
      <c r="E32" s="235"/>
      <c r="F32" s="104"/>
      <c r="G32" s="104"/>
      <c r="H32" s="105">
        <f t="shared" si="0"/>
        <v>0</v>
      </c>
      <c r="L32" s="106"/>
      <c r="M32" s="106"/>
      <c r="N32" s="106"/>
    </row>
    <row r="33" spans="1:14" ht="14.75" customHeight="1" x14ac:dyDescent="0.4">
      <c r="A33" s="96">
        <v>28</v>
      </c>
      <c r="B33" s="101"/>
      <c r="C33" s="102"/>
      <c r="D33" s="103"/>
      <c r="E33" s="235"/>
      <c r="F33" s="104"/>
      <c r="G33" s="104"/>
      <c r="H33" s="105">
        <f t="shared" si="0"/>
        <v>0</v>
      </c>
      <c r="L33" s="106"/>
      <c r="M33" s="106"/>
      <c r="N33" s="106"/>
    </row>
    <row r="34" spans="1:14" ht="14.75" customHeight="1" x14ac:dyDescent="0.4">
      <c r="A34" s="96">
        <v>29</v>
      </c>
      <c r="B34" s="101"/>
      <c r="C34" s="102"/>
      <c r="D34" s="103"/>
      <c r="E34" s="235"/>
      <c r="F34" s="104"/>
      <c r="G34" s="104"/>
      <c r="H34" s="105">
        <f t="shared" si="0"/>
        <v>0</v>
      </c>
      <c r="L34" s="106"/>
      <c r="M34" s="106"/>
      <c r="N34" s="106"/>
    </row>
    <row r="35" spans="1:14" ht="14.75" customHeight="1" x14ac:dyDescent="0.4">
      <c r="A35" s="96">
        <v>30</v>
      </c>
      <c r="B35" s="101"/>
      <c r="C35" s="102"/>
      <c r="D35" s="103"/>
      <c r="E35" s="235"/>
      <c r="F35" s="104"/>
      <c r="G35" s="104"/>
      <c r="H35" s="105">
        <f t="shared" si="0"/>
        <v>0</v>
      </c>
      <c r="L35" s="106"/>
      <c r="M35" s="106"/>
      <c r="N35" s="106"/>
    </row>
    <row r="36" spans="1:14" ht="14.75" customHeight="1" x14ac:dyDescent="0.4">
      <c r="A36" s="96">
        <v>31</v>
      </c>
      <c r="B36" s="101"/>
      <c r="C36" s="102"/>
      <c r="D36" s="103"/>
      <c r="E36" s="235"/>
      <c r="F36" s="104"/>
      <c r="G36" s="104"/>
      <c r="H36" s="105">
        <f t="shared" si="0"/>
        <v>0</v>
      </c>
      <c r="L36" s="106"/>
      <c r="M36" s="106"/>
      <c r="N36" s="106"/>
    </row>
    <row r="37" spans="1:14" ht="14.75" customHeight="1" x14ac:dyDescent="0.4">
      <c r="A37" s="96">
        <v>32</v>
      </c>
      <c r="B37" s="101"/>
      <c r="C37" s="102"/>
      <c r="D37" s="103"/>
      <c r="E37" s="235"/>
      <c r="F37" s="104"/>
      <c r="G37" s="104"/>
      <c r="H37" s="105">
        <f t="shared" si="0"/>
        <v>0</v>
      </c>
      <c r="L37" s="106"/>
      <c r="M37" s="106"/>
      <c r="N37" s="106"/>
    </row>
    <row r="38" spans="1:14" ht="14.75" customHeight="1" x14ac:dyDescent="0.4">
      <c r="A38" s="96">
        <v>33</v>
      </c>
      <c r="B38" s="101"/>
      <c r="C38" s="102"/>
      <c r="D38" s="103"/>
      <c r="E38" s="235"/>
      <c r="F38" s="104"/>
      <c r="G38" s="104"/>
      <c r="H38" s="105">
        <f t="shared" si="0"/>
        <v>0</v>
      </c>
      <c r="L38" s="106"/>
      <c r="M38" s="106"/>
      <c r="N38" s="106"/>
    </row>
    <row r="39" spans="1:14" ht="14.75" customHeight="1" x14ac:dyDescent="0.4">
      <c r="A39" s="96">
        <v>34</v>
      </c>
      <c r="B39" s="101"/>
      <c r="C39" s="102"/>
      <c r="D39" s="103"/>
      <c r="E39" s="235"/>
      <c r="F39" s="104"/>
      <c r="G39" s="104"/>
      <c r="H39" s="105">
        <f t="shared" si="0"/>
        <v>0</v>
      </c>
      <c r="L39" s="106"/>
      <c r="M39" s="106"/>
      <c r="N39" s="106"/>
    </row>
    <row r="40" spans="1:14" ht="14.75" customHeight="1" x14ac:dyDescent="0.4">
      <c r="A40" s="96">
        <v>35</v>
      </c>
      <c r="B40" s="101"/>
      <c r="C40" s="102"/>
      <c r="D40" s="103"/>
      <c r="E40" s="235"/>
      <c r="F40" s="104"/>
      <c r="G40" s="104"/>
      <c r="H40" s="105">
        <f t="shared" si="0"/>
        <v>0</v>
      </c>
      <c r="L40" s="106"/>
      <c r="M40" s="106"/>
      <c r="N40" s="106"/>
    </row>
    <row r="41" spans="1:14" ht="14.75" customHeight="1" x14ac:dyDescent="0.4">
      <c r="A41" s="96">
        <v>36</v>
      </c>
      <c r="B41" s="101"/>
      <c r="C41" s="102"/>
      <c r="D41" s="103"/>
      <c r="E41" s="235"/>
      <c r="F41" s="104"/>
      <c r="G41" s="104"/>
      <c r="H41" s="105">
        <f t="shared" si="0"/>
        <v>0</v>
      </c>
      <c r="L41" s="106"/>
      <c r="M41" s="106"/>
      <c r="N41" s="106"/>
    </row>
    <row r="42" spans="1:14" ht="14.75" customHeight="1" x14ac:dyDescent="0.4">
      <c r="A42" s="96">
        <v>37</v>
      </c>
      <c r="B42" s="101"/>
      <c r="C42" s="102"/>
      <c r="D42" s="103"/>
      <c r="E42" s="235"/>
      <c r="F42" s="104"/>
      <c r="G42" s="104"/>
      <c r="H42" s="105">
        <f t="shared" si="0"/>
        <v>0</v>
      </c>
      <c r="L42" s="106"/>
      <c r="M42" s="106"/>
      <c r="N42" s="106"/>
    </row>
    <row r="43" spans="1:14" ht="14.75" customHeight="1" x14ac:dyDescent="0.4">
      <c r="A43" s="96">
        <v>38</v>
      </c>
      <c r="B43" s="101"/>
      <c r="C43" s="102"/>
      <c r="D43" s="103"/>
      <c r="E43" s="235"/>
      <c r="F43" s="104"/>
      <c r="G43" s="104"/>
      <c r="H43" s="105">
        <f t="shared" si="0"/>
        <v>0</v>
      </c>
      <c r="L43" s="106"/>
      <c r="M43" s="106"/>
      <c r="N43" s="106"/>
    </row>
    <row r="44" spans="1:14" ht="14.75" customHeight="1" x14ac:dyDescent="0.4">
      <c r="A44" s="96">
        <v>39</v>
      </c>
      <c r="B44" s="101"/>
      <c r="C44" s="102"/>
      <c r="D44" s="103"/>
      <c r="E44" s="235"/>
      <c r="F44" s="104"/>
      <c r="G44" s="104"/>
      <c r="H44" s="105">
        <f t="shared" si="0"/>
        <v>0</v>
      </c>
      <c r="L44" s="106"/>
      <c r="M44" s="106"/>
      <c r="N44" s="106"/>
    </row>
    <row r="45" spans="1:14" ht="14.75" customHeight="1" x14ac:dyDescent="0.4">
      <c r="A45" s="96">
        <v>40</v>
      </c>
      <c r="B45" s="101"/>
      <c r="C45" s="102"/>
      <c r="D45" s="103"/>
      <c r="E45" s="235"/>
      <c r="F45" s="104"/>
      <c r="G45" s="104"/>
      <c r="H45" s="105">
        <f t="shared" si="0"/>
        <v>0</v>
      </c>
      <c r="L45" s="106"/>
      <c r="M45" s="106"/>
      <c r="N45" s="106"/>
    </row>
    <row r="46" spans="1:14" ht="14.75" customHeight="1" x14ac:dyDescent="0.4">
      <c r="A46" s="96">
        <v>41</v>
      </c>
      <c r="B46" s="101"/>
      <c r="C46" s="102"/>
      <c r="D46" s="103"/>
      <c r="E46" s="235"/>
      <c r="F46" s="104"/>
      <c r="G46" s="104"/>
      <c r="H46" s="105">
        <f t="shared" si="0"/>
        <v>0</v>
      </c>
      <c r="L46" s="106"/>
      <c r="M46" s="106"/>
      <c r="N46" s="106"/>
    </row>
    <row r="47" spans="1:14" ht="14.75" customHeight="1" x14ac:dyDescent="0.4">
      <c r="A47" s="96">
        <v>42</v>
      </c>
      <c r="B47" s="101"/>
      <c r="C47" s="102"/>
      <c r="D47" s="103"/>
      <c r="E47" s="235"/>
      <c r="F47" s="104"/>
      <c r="G47" s="104"/>
      <c r="H47" s="105">
        <f t="shared" si="0"/>
        <v>0</v>
      </c>
      <c r="L47" s="106"/>
      <c r="M47" s="106"/>
      <c r="N47" s="106"/>
    </row>
    <row r="48" spans="1:14" ht="14.75" customHeight="1" x14ac:dyDescent="0.4">
      <c r="A48" s="96">
        <v>43</v>
      </c>
      <c r="B48" s="101"/>
      <c r="C48" s="102"/>
      <c r="D48" s="103"/>
      <c r="E48" s="235"/>
      <c r="F48" s="104"/>
      <c r="G48" s="104"/>
      <c r="H48" s="105">
        <f t="shared" si="0"/>
        <v>0</v>
      </c>
      <c r="L48" s="106"/>
      <c r="M48" s="106"/>
      <c r="N48" s="106"/>
    </row>
    <row r="49" spans="1:14" ht="14.75" customHeight="1" x14ac:dyDescent="0.4">
      <c r="A49" s="96">
        <v>44</v>
      </c>
      <c r="B49" s="101"/>
      <c r="C49" s="102"/>
      <c r="D49" s="103"/>
      <c r="E49" s="235"/>
      <c r="F49" s="104"/>
      <c r="G49" s="104"/>
      <c r="H49" s="105">
        <f t="shared" si="0"/>
        <v>0</v>
      </c>
      <c r="L49" s="106"/>
      <c r="M49" s="106"/>
      <c r="N49" s="106"/>
    </row>
    <row r="50" spans="1:14" ht="14.75" customHeight="1" x14ac:dyDescent="0.4">
      <c r="A50" s="96">
        <v>45</v>
      </c>
      <c r="B50" s="101"/>
      <c r="C50" s="102"/>
      <c r="D50" s="103"/>
      <c r="E50" s="235"/>
      <c r="F50" s="104"/>
      <c r="G50" s="104"/>
      <c r="H50" s="105">
        <f t="shared" si="0"/>
        <v>0</v>
      </c>
      <c r="L50" s="106"/>
      <c r="M50" s="106"/>
      <c r="N50" s="106"/>
    </row>
    <row r="51" spans="1:14" ht="14.75" customHeight="1" x14ac:dyDescent="0.4">
      <c r="A51" s="96">
        <v>46</v>
      </c>
      <c r="B51" s="101"/>
      <c r="C51" s="102"/>
      <c r="D51" s="103"/>
      <c r="E51" s="235"/>
      <c r="F51" s="104"/>
      <c r="G51" s="104"/>
      <c r="H51" s="105">
        <f t="shared" si="0"/>
        <v>0</v>
      </c>
      <c r="L51" s="106"/>
      <c r="M51" s="106"/>
      <c r="N51" s="106"/>
    </row>
    <row r="52" spans="1:14" ht="14.75" customHeight="1" x14ac:dyDescent="0.4">
      <c r="A52" s="96">
        <v>47</v>
      </c>
      <c r="B52" s="101"/>
      <c r="C52" s="102"/>
      <c r="D52" s="103"/>
      <c r="E52" s="235"/>
      <c r="F52" s="104"/>
      <c r="G52" s="104"/>
      <c r="H52" s="105">
        <f t="shared" si="0"/>
        <v>0</v>
      </c>
      <c r="L52" s="106"/>
      <c r="M52" s="106"/>
      <c r="N52" s="106"/>
    </row>
    <row r="53" spans="1:14" ht="14.75" customHeight="1" x14ac:dyDescent="0.4">
      <c r="A53" s="96">
        <v>48</v>
      </c>
      <c r="B53" s="101"/>
      <c r="C53" s="102"/>
      <c r="D53" s="103"/>
      <c r="E53" s="235"/>
      <c r="F53" s="104"/>
      <c r="G53" s="104"/>
      <c r="H53" s="105">
        <f t="shared" si="0"/>
        <v>0</v>
      </c>
      <c r="L53" s="106"/>
      <c r="M53" s="106"/>
      <c r="N53" s="106"/>
    </row>
    <row r="54" spans="1:14" ht="14.75" customHeight="1" x14ac:dyDescent="0.4">
      <c r="A54" s="96">
        <v>49</v>
      </c>
      <c r="B54" s="101"/>
      <c r="C54" s="102"/>
      <c r="D54" s="103"/>
      <c r="E54" s="235"/>
      <c r="F54" s="104"/>
      <c r="G54" s="104"/>
      <c r="H54" s="105">
        <f t="shared" si="0"/>
        <v>0</v>
      </c>
      <c r="L54" s="106"/>
      <c r="M54" s="106"/>
      <c r="N54" s="106"/>
    </row>
    <row r="55" spans="1:14" ht="14.75" customHeight="1" x14ac:dyDescent="0.4">
      <c r="A55" s="96">
        <v>50</v>
      </c>
      <c r="B55" s="101"/>
      <c r="C55" s="102"/>
      <c r="D55" s="103"/>
      <c r="E55" s="235"/>
      <c r="F55" s="104"/>
      <c r="G55" s="104"/>
      <c r="H55" s="105">
        <f t="shared" si="0"/>
        <v>0</v>
      </c>
      <c r="L55" s="106"/>
      <c r="M55" s="106"/>
      <c r="N55" s="106"/>
    </row>
    <row r="56" spans="1:14" ht="14.75" customHeight="1" x14ac:dyDescent="0.4">
      <c r="A56" s="96">
        <v>51</v>
      </c>
      <c r="B56" s="101"/>
      <c r="C56" s="102"/>
      <c r="D56" s="103"/>
      <c r="E56" s="235"/>
      <c r="F56" s="104"/>
      <c r="G56" s="104"/>
      <c r="H56" s="105">
        <f t="shared" si="0"/>
        <v>0</v>
      </c>
      <c r="L56" s="106"/>
      <c r="M56" s="106"/>
      <c r="N56" s="106"/>
    </row>
    <row r="57" spans="1:14" ht="14.75" customHeight="1" x14ac:dyDescent="0.4">
      <c r="A57" s="96">
        <v>52</v>
      </c>
      <c r="B57" s="101"/>
      <c r="C57" s="102"/>
      <c r="D57" s="103"/>
      <c r="E57" s="235"/>
      <c r="F57" s="104"/>
      <c r="G57" s="104"/>
      <c r="H57" s="105">
        <f t="shared" si="0"/>
        <v>0</v>
      </c>
      <c r="L57" s="106"/>
      <c r="M57" s="106"/>
      <c r="N57" s="106"/>
    </row>
    <row r="58" spans="1:14" ht="14.75" customHeight="1" x14ac:dyDescent="0.4">
      <c r="A58" s="96">
        <v>53</v>
      </c>
      <c r="B58" s="101"/>
      <c r="C58" s="102"/>
      <c r="D58" s="103"/>
      <c r="E58" s="235"/>
      <c r="F58" s="104"/>
      <c r="G58" s="104"/>
      <c r="H58" s="105">
        <f t="shared" si="0"/>
        <v>0</v>
      </c>
      <c r="L58" s="106"/>
      <c r="M58" s="106"/>
      <c r="N58" s="106"/>
    </row>
    <row r="59" spans="1:14" ht="14.75" customHeight="1" x14ac:dyDescent="0.4">
      <c r="A59" s="96">
        <v>54</v>
      </c>
      <c r="B59" s="101"/>
      <c r="C59" s="102"/>
      <c r="D59" s="103"/>
      <c r="E59" s="235"/>
      <c r="F59" s="104"/>
      <c r="G59" s="104"/>
      <c r="H59" s="105">
        <f t="shared" si="0"/>
        <v>0</v>
      </c>
      <c r="L59" s="106"/>
      <c r="M59" s="106"/>
      <c r="N59" s="106"/>
    </row>
    <row r="60" spans="1:14" ht="14.75" customHeight="1" x14ac:dyDescent="0.4">
      <c r="A60" s="96">
        <v>55</v>
      </c>
      <c r="B60" s="101"/>
      <c r="C60" s="102"/>
      <c r="D60" s="103"/>
      <c r="E60" s="235"/>
      <c r="F60" s="104"/>
      <c r="G60" s="104"/>
      <c r="H60" s="105">
        <f t="shared" si="0"/>
        <v>0</v>
      </c>
      <c r="L60" s="106"/>
      <c r="M60" s="106"/>
      <c r="N60" s="106"/>
    </row>
    <row r="61" spans="1:14" ht="14.75" customHeight="1" x14ac:dyDescent="0.4">
      <c r="A61" s="96">
        <v>56</v>
      </c>
      <c r="B61" s="101"/>
      <c r="C61" s="102"/>
      <c r="D61" s="103"/>
      <c r="E61" s="235"/>
      <c r="F61" s="104"/>
      <c r="G61" s="104"/>
      <c r="H61" s="105">
        <f t="shared" si="0"/>
        <v>0</v>
      </c>
      <c r="L61" s="106"/>
      <c r="M61" s="106"/>
      <c r="N61" s="106"/>
    </row>
    <row r="62" spans="1:14" ht="14.75" customHeight="1" x14ac:dyDescent="0.4">
      <c r="A62" s="96">
        <v>57</v>
      </c>
      <c r="B62" s="101"/>
      <c r="C62" s="102"/>
      <c r="D62" s="103"/>
      <c r="E62" s="235"/>
      <c r="F62" s="104"/>
      <c r="G62" s="104"/>
      <c r="H62" s="105">
        <f t="shared" si="0"/>
        <v>0</v>
      </c>
      <c r="L62" s="106"/>
      <c r="M62" s="106"/>
      <c r="N62" s="106"/>
    </row>
    <row r="63" spans="1:14" ht="14.75" customHeight="1" x14ac:dyDescent="0.4">
      <c r="A63" s="96">
        <v>58</v>
      </c>
      <c r="B63" s="101"/>
      <c r="C63" s="102"/>
      <c r="D63" s="103"/>
      <c r="E63" s="235"/>
      <c r="F63" s="104"/>
      <c r="G63" s="104"/>
      <c r="H63" s="105">
        <f t="shared" si="0"/>
        <v>0</v>
      </c>
      <c r="L63" s="106"/>
      <c r="M63" s="106"/>
      <c r="N63" s="106"/>
    </row>
    <row r="64" spans="1:14" ht="14.75" customHeight="1" x14ac:dyDescent="0.4">
      <c r="A64" s="96">
        <v>59</v>
      </c>
      <c r="B64" s="101"/>
      <c r="C64" s="102"/>
      <c r="D64" s="103"/>
      <c r="E64" s="235"/>
      <c r="F64" s="104"/>
      <c r="G64" s="104"/>
      <c r="H64" s="105">
        <f t="shared" si="0"/>
        <v>0</v>
      </c>
      <c r="L64" s="106"/>
      <c r="M64" s="106"/>
      <c r="N64" s="106"/>
    </row>
    <row r="65" spans="1:14" ht="14.75" customHeight="1" x14ac:dyDescent="0.4">
      <c r="A65" s="96">
        <v>60</v>
      </c>
      <c r="B65" s="101"/>
      <c r="C65" s="102"/>
      <c r="D65" s="103"/>
      <c r="E65" s="235"/>
      <c r="F65" s="104"/>
      <c r="G65" s="104"/>
      <c r="H65" s="105">
        <f t="shared" si="0"/>
        <v>0</v>
      </c>
      <c r="L65" s="106"/>
      <c r="M65" s="106"/>
      <c r="N65" s="106"/>
    </row>
    <row r="66" spans="1:14" ht="14.75" customHeight="1" x14ac:dyDescent="0.4">
      <c r="A66" s="96">
        <v>61</v>
      </c>
      <c r="B66" s="101"/>
      <c r="C66" s="102"/>
      <c r="D66" s="103"/>
      <c r="E66" s="235"/>
      <c r="F66" s="104"/>
      <c r="G66" s="104"/>
      <c r="H66" s="105">
        <f t="shared" si="0"/>
        <v>0</v>
      </c>
      <c r="L66" s="106"/>
      <c r="M66" s="106"/>
      <c r="N66" s="106"/>
    </row>
    <row r="67" spans="1:14" ht="14.75" customHeight="1" x14ac:dyDescent="0.4">
      <c r="A67" s="96">
        <v>62</v>
      </c>
      <c r="B67" s="101"/>
      <c r="C67" s="102"/>
      <c r="D67" s="103"/>
      <c r="E67" s="235"/>
      <c r="F67" s="104"/>
      <c r="G67" s="104"/>
      <c r="H67" s="105">
        <f t="shared" si="0"/>
        <v>0</v>
      </c>
      <c r="L67" s="106"/>
      <c r="M67" s="106"/>
      <c r="N67" s="106"/>
    </row>
    <row r="68" spans="1:14" ht="14.75" customHeight="1" x14ac:dyDescent="0.4">
      <c r="A68" s="96">
        <v>63</v>
      </c>
      <c r="B68" s="101"/>
      <c r="C68" s="102"/>
      <c r="D68" s="103"/>
      <c r="E68" s="235"/>
      <c r="F68" s="104"/>
      <c r="G68" s="104"/>
      <c r="H68" s="105">
        <f t="shared" si="0"/>
        <v>0</v>
      </c>
      <c r="L68" s="106"/>
      <c r="M68" s="106"/>
      <c r="N68" s="106"/>
    </row>
    <row r="69" spans="1:14" ht="14.75" customHeight="1" x14ac:dyDescent="0.4">
      <c r="A69" s="96">
        <v>64</v>
      </c>
      <c r="B69" s="101"/>
      <c r="C69" s="102"/>
      <c r="D69" s="103"/>
      <c r="E69" s="235"/>
      <c r="F69" s="104"/>
      <c r="G69" s="104"/>
      <c r="H69" s="105">
        <f t="shared" si="0"/>
        <v>0</v>
      </c>
      <c r="L69" s="106"/>
      <c r="M69" s="106"/>
      <c r="N69" s="106"/>
    </row>
    <row r="70" spans="1:14" ht="14.75" customHeight="1" x14ac:dyDescent="0.4">
      <c r="A70" s="96">
        <v>65</v>
      </c>
      <c r="B70" s="101"/>
      <c r="C70" s="102"/>
      <c r="D70" s="103"/>
      <c r="E70" s="235"/>
      <c r="F70" s="104"/>
      <c r="G70" s="104"/>
      <c r="H70" s="105">
        <f t="shared" si="0"/>
        <v>0</v>
      </c>
      <c r="L70" s="106"/>
      <c r="M70" s="106"/>
      <c r="N70" s="106"/>
    </row>
    <row r="71" spans="1:14" ht="14.75" customHeight="1" x14ac:dyDescent="0.4">
      <c r="A71" s="96">
        <v>66</v>
      </c>
      <c r="B71" s="101"/>
      <c r="C71" s="102"/>
      <c r="D71" s="103"/>
      <c r="E71" s="235"/>
      <c r="F71" s="104"/>
      <c r="G71" s="104"/>
      <c r="H71" s="105">
        <f t="shared" si="0"/>
        <v>0</v>
      </c>
      <c r="L71" s="106"/>
      <c r="M71" s="106"/>
      <c r="N71" s="106"/>
    </row>
    <row r="72" spans="1:14" ht="14.75" customHeight="1" x14ac:dyDescent="0.4">
      <c r="A72" s="96">
        <v>67</v>
      </c>
      <c r="B72" s="101"/>
      <c r="C72" s="102"/>
      <c r="D72" s="103"/>
      <c r="E72" s="235"/>
      <c r="F72" s="104"/>
      <c r="G72" s="104"/>
      <c r="H72" s="105">
        <f t="shared" si="0"/>
        <v>0</v>
      </c>
      <c r="L72" s="106"/>
      <c r="M72" s="106"/>
      <c r="N72" s="106"/>
    </row>
    <row r="73" spans="1:14" ht="14.75" customHeight="1" x14ac:dyDescent="0.4">
      <c r="A73" s="96">
        <v>68</v>
      </c>
      <c r="B73" s="101"/>
      <c r="C73" s="102"/>
      <c r="D73" s="103"/>
      <c r="E73" s="235"/>
      <c r="F73" s="104"/>
      <c r="G73" s="104"/>
      <c r="H73" s="105">
        <f t="shared" ref="H73:H136" si="1">H72+F73-G73</f>
        <v>0</v>
      </c>
      <c r="L73" s="106"/>
      <c r="M73" s="106"/>
      <c r="N73" s="106"/>
    </row>
    <row r="74" spans="1:14" ht="14.75" customHeight="1" x14ac:dyDescent="0.4">
      <c r="A74" s="96">
        <v>69</v>
      </c>
      <c r="B74" s="101"/>
      <c r="C74" s="102"/>
      <c r="D74" s="103"/>
      <c r="E74" s="235"/>
      <c r="F74" s="104"/>
      <c r="G74" s="104"/>
      <c r="H74" s="105">
        <f t="shared" si="1"/>
        <v>0</v>
      </c>
      <c r="L74" s="106"/>
      <c r="M74" s="106"/>
      <c r="N74" s="106"/>
    </row>
    <row r="75" spans="1:14" ht="14.75" customHeight="1" x14ac:dyDescent="0.4">
      <c r="A75" s="96">
        <v>70</v>
      </c>
      <c r="B75" s="101"/>
      <c r="C75" s="102"/>
      <c r="D75" s="103"/>
      <c r="E75" s="235"/>
      <c r="F75" s="104"/>
      <c r="G75" s="104"/>
      <c r="H75" s="105">
        <f t="shared" si="1"/>
        <v>0</v>
      </c>
      <c r="L75" s="106"/>
      <c r="M75" s="106"/>
      <c r="N75" s="106"/>
    </row>
    <row r="76" spans="1:14" ht="14.75" customHeight="1" x14ac:dyDescent="0.4">
      <c r="A76" s="96">
        <v>71</v>
      </c>
      <c r="B76" s="101"/>
      <c r="C76" s="102"/>
      <c r="D76" s="103"/>
      <c r="E76" s="235"/>
      <c r="F76" s="104"/>
      <c r="G76" s="104"/>
      <c r="H76" s="105">
        <f t="shared" si="1"/>
        <v>0</v>
      </c>
      <c r="L76" s="106"/>
      <c r="M76" s="106"/>
      <c r="N76" s="106"/>
    </row>
    <row r="77" spans="1:14" ht="14.75" customHeight="1" x14ac:dyDescent="0.4">
      <c r="A77" s="96">
        <v>72</v>
      </c>
      <c r="B77" s="101"/>
      <c r="C77" s="102"/>
      <c r="D77" s="103"/>
      <c r="E77" s="235"/>
      <c r="F77" s="104"/>
      <c r="G77" s="104"/>
      <c r="H77" s="105">
        <f t="shared" si="1"/>
        <v>0</v>
      </c>
      <c r="L77" s="106"/>
      <c r="M77" s="106"/>
      <c r="N77" s="106"/>
    </row>
    <row r="78" spans="1:14" ht="14.75" customHeight="1" x14ac:dyDescent="0.4">
      <c r="A78" s="96">
        <v>73</v>
      </c>
      <c r="B78" s="101"/>
      <c r="C78" s="102"/>
      <c r="D78" s="103"/>
      <c r="E78" s="235"/>
      <c r="F78" s="104"/>
      <c r="G78" s="104"/>
      <c r="H78" s="105">
        <f t="shared" si="1"/>
        <v>0</v>
      </c>
      <c r="L78" s="106"/>
      <c r="M78" s="106"/>
      <c r="N78" s="106"/>
    </row>
    <row r="79" spans="1:14" ht="14.75" customHeight="1" x14ac:dyDescent="0.4">
      <c r="A79" s="96">
        <v>74</v>
      </c>
      <c r="B79" s="101"/>
      <c r="C79" s="102"/>
      <c r="D79" s="103"/>
      <c r="E79" s="235"/>
      <c r="F79" s="104"/>
      <c r="G79" s="104"/>
      <c r="H79" s="105">
        <f t="shared" si="1"/>
        <v>0</v>
      </c>
      <c r="L79" s="106"/>
      <c r="M79" s="106"/>
      <c r="N79" s="106"/>
    </row>
    <row r="80" spans="1:14" ht="14.75" customHeight="1" x14ac:dyDescent="0.4">
      <c r="A80" s="96">
        <v>75</v>
      </c>
      <c r="B80" s="101"/>
      <c r="C80" s="102"/>
      <c r="D80" s="103"/>
      <c r="E80" s="235"/>
      <c r="F80" s="104"/>
      <c r="G80" s="104"/>
      <c r="H80" s="105">
        <f t="shared" si="1"/>
        <v>0</v>
      </c>
      <c r="L80" s="106"/>
      <c r="M80" s="106"/>
      <c r="N80" s="106"/>
    </row>
    <row r="81" spans="1:14" ht="14.75" customHeight="1" x14ac:dyDescent="0.4">
      <c r="A81" s="96">
        <v>76</v>
      </c>
      <c r="B81" s="101"/>
      <c r="C81" s="102"/>
      <c r="D81" s="103"/>
      <c r="E81" s="235"/>
      <c r="F81" s="104"/>
      <c r="G81" s="104"/>
      <c r="H81" s="105">
        <f t="shared" si="1"/>
        <v>0</v>
      </c>
      <c r="L81" s="106"/>
      <c r="M81" s="106"/>
      <c r="N81" s="106"/>
    </row>
    <row r="82" spans="1:14" ht="14.75" customHeight="1" x14ac:dyDescent="0.4">
      <c r="A82" s="96">
        <v>77</v>
      </c>
      <c r="B82" s="101"/>
      <c r="C82" s="102"/>
      <c r="D82" s="103"/>
      <c r="E82" s="235"/>
      <c r="F82" s="104"/>
      <c r="G82" s="104"/>
      <c r="H82" s="105">
        <f t="shared" si="1"/>
        <v>0</v>
      </c>
      <c r="L82" s="106"/>
      <c r="M82" s="106"/>
      <c r="N82" s="106"/>
    </row>
    <row r="83" spans="1:14" ht="14.75" customHeight="1" x14ac:dyDescent="0.4">
      <c r="A83" s="96">
        <v>78</v>
      </c>
      <c r="B83" s="101"/>
      <c r="C83" s="102"/>
      <c r="D83" s="103"/>
      <c r="E83" s="235"/>
      <c r="F83" s="104"/>
      <c r="G83" s="104"/>
      <c r="H83" s="105">
        <f t="shared" si="1"/>
        <v>0</v>
      </c>
      <c r="L83" s="106"/>
      <c r="M83" s="106"/>
      <c r="N83" s="106"/>
    </row>
    <row r="84" spans="1:14" ht="14.75" customHeight="1" x14ac:dyDescent="0.4">
      <c r="A84" s="96">
        <v>79</v>
      </c>
      <c r="B84" s="101"/>
      <c r="C84" s="102"/>
      <c r="D84" s="103"/>
      <c r="E84" s="235"/>
      <c r="F84" s="104"/>
      <c r="G84" s="104"/>
      <c r="H84" s="105">
        <f t="shared" si="1"/>
        <v>0</v>
      </c>
      <c r="L84" s="106"/>
      <c r="M84" s="106"/>
      <c r="N84" s="106"/>
    </row>
    <row r="85" spans="1:14" ht="14.75" customHeight="1" x14ac:dyDescent="0.4">
      <c r="A85" s="96">
        <v>80</v>
      </c>
      <c r="B85" s="101"/>
      <c r="C85" s="102"/>
      <c r="D85" s="103"/>
      <c r="E85" s="235"/>
      <c r="F85" s="104"/>
      <c r="G85" s="104"/>
      <c r="H85" s="105">
        <f t="shared" si="1"/>
        <v>0</v>
      </c>
      <c r="L85" s="106"/>
      <c r="M85" s="106"/>
      <c r="N85" s="106"/>
    </row>
    <row r="86" spans="1:14" ht="14.75" customHeight="1" x14ac:dyDescent="0.4">
      <c r="A86" s="96">
        <v>81</v>
      </c>
      <c r="B86" s="101"/>
      <c r="C86" s="102"/>
      <c r="D86" s="103"/>
      <c r="E86" s="235"/>
      <c r="F86" s="104"/>
      <c r="G86" s="104"/>
      <c r="H86" s="105">
        <f t="shared" si="1"/>
        <v>0</v>
      </c>
      <c r="L86" s="106"/>
      <c r="M86" s="106"/>
      <c r="N86" s="106"/>
    </row>
    <row r="87" spans="1:14" ht="14.75" customHeight="1" x14ac:dyDescent="0.4">
      <c r="A87" s="96">
        <v>82</v>
      </c>
      <c r="B87" s="101"/>
      <c r="C87" s="102"/>
      <c r="D87" s="103"/>
      <c r="E87" s="235"/>
      <c r="F87" s="104"/>
      <c r="G87" s="104"/>
      <c r="H87" s="105">
        <f t="shared" si="1"/>
        <v>0</v>
      </c>
      <c r="L87" s="106"/>
      <c r="M87" s="106"/>
      <c r="N87" s="106"/>
    </row>
    <row r="88" spans="1:14" ht="14.75" customHeight="1" x14ac:dyDescent="0.4">
      <c r="A88" s="96">
        <v>83</v>
      </c>
      <c r="B88" s="101"/>
      <c r="C88" s="102"/>
      <c r="D88" s="103"/>
      <c r="E88" s="235"/>
      <c r="F88" s="104"/>
      <c r="G88" s="104"/>
      <c r="H88" s="105">
        <f t="shared" si="1"/>
        <v>0</v>
      </c>
      <c r="L88" s="106"/>
      <c r="M88" s="106"/>
      <c r="N88" s="106"/>
    </row>
    <row r="89" spans="1:14" ht="14.75" customHeight="1" x14ac:dyDescent="0.4">
      <c r="A89" s="96">
        <v>84</v>
      </c>
      <c r="B89" s="101"/>
      <c r="C89" s="102"/>
      <c r="D89" s="103"/>
      <c r="E89" s="235"/>
      <c r="F89" s="104"/>
      <c r="G89" s="104"/>
      <c r="H89" s="105">
        <f t="shared" si="1"/>
        <v>0</v>
      </c>
      <c r="L89" s="106"/>
      <c r="M89" s="106"/>
      <c r="N89" s="106"/>
    </row>
    <row r="90" spans="1:14" ht="14.75" customHeight="1" x14ac:dyDescent="0.4">
      <c r="A90" s="96">
        <v>85</v>
      </c>
      <c r="B90" s="101"/>
      <c r="C90" s="102"/>
      <c r="D90" s="103"/>
      <c r="E90" s="235"/>
      <c r="F90" s="104"/>
      <c r="G90" s="104"/>
      <c r="H90" s="105">
        <f t="shared" si="1"/>
        <v>0</v>
      </c>
      <c r="L90" s="106"/>
      <c r="M90" s="106"/>
      <c r="N90" s="106"/>
    </row>
    <row r="91" spans="1:14" ht="14.75" customHeight="1" x14ac:dyDescent="0.4">
      <c r="A91" s="96">
        <v>86</v>
      </c>
      <c r="B91" s="101"/>
      <c r="C91" s="102"/>
      <c r="D91" s="103"/>
      <c r="E91" s="235"/>
      <c r="F91" s="104"/>
      <c r="G91" s="104"/>
      <c r="H91" s="105">
        <f t="shared" si="1"/>
        <v>0</v>
      </c>
      <c r="L91" s="106"/>
      <c r="M91" s="106"/>
      <c r="N91" s="106"/>
    </row>
    <row r="92" spans="1:14" ht="14.75" customHeight="1" x14ac:dyDescent="0.4">
      <c r="A92" s="96">
        <v>87</v>
      </c>
      <c r="B92" s="101"/>
      <c r="C92" s="102"/>
      <c r="D92" s="103"/>
      <c r="E92" s="235"/>
      <c r="F92" s="104"/>
      <c r="G92" s="104"/>
      <c r="H92" s="105">
        <f t="shared" si="1"/>
        <v>0</v>
      </c>
      <c r="L92" s="106"/>
      <c r="M92" s="106"/>
      <c r="N92" s="106"/>
    </row>
    <row r="93" spans="1:14" ht="14.75" customHeight="1" x14ac:dyDescent="0.4">
      <c r="A93" s="96">
        <v>88</v>
      </c>
      <c r="B93" s="101"/>
      <c r="C93" s="102"/>
      <c r="D93" s="103"/>
      <c r="E93" s="235"/>
      <c r="F93" s="104"/>
      <c r="G93" s="104"/>
      <c r="H93" s="105">
        <f t="shared" si="1"/>
        <v>0</v>
      </c>
      <c r="L93" s="106"/>
      <c r="M93" s="106"/>
      <c r="N93" s="106"/>
    </row>
    <row r="94" spans="1:14" ht="14.75" customHeight="1" x14ac:dyDescent="0.4">
      <c r="A94" s="96">
        <v>89</v>
      </c>
      <c r="B94" s="101"/>
      <c r="C94" s="102"/>
      <c r="D94" s="103"/>
      <c r="E94" s="235"/>
      <c r="F94" s="104"/>
      <c r="G94" s="104"/>
      <c r="H94" s="105">
        <f t="shared" si="1"/>
        <v>0</v>
      </c>
      <c r="L94" s="106"/>
      <c r="M94" s="106"/>
      <c r="N94" s="106"/>
    </row>
    <row r="95" spans="1:14" ht="14.75" customHeight="1" x14ac:dyDescent="0.4">
      <c r="A95" s="96">
        <v>90</v>
      </c>
      <c r="B95" s="101"/>
      <c r="C95" s="102"/>
      <c r="D95" s="103"/>
      <c r="E95" s="235"/>
      <c r="F95" s="104"/>
      <c r="G95" s="104"/>
      <c r="H95" s="105">
        <f t="shared" si="1"/>
        <v>0</v>
      </c>
      <c r="L95" s="106"/>
      <c r="M95" s="106"/>
      <c r="N95" s="106"/>
    </row>
    <row r="96" spans="1:14" ht="14.75" customHeight="1" x14ac:dyDescent="0.4">
      <c r="A96" s="96">
        <v>91</v>
      </c>
      <c r="B96" s="101"/>
      <c r="C96" s="102"/>
      <c r="D96" s="103"/>
      <c r="E96" s="235"/>
      <c r="F96" s="104"/>
      <c r="G96" s="104"/>
      <c r="H96" s="105">
        <f t="shared" si="1"/>
        <v>0</v>
      </c>
      <c r="L96" s="106"/>
      <c r="M96" s="106"/>
      <c r="N96" s="106"/>
    </row>
    <row r="97" spans="1:14" ht="14.75" customHeight="1" x14ac:dyDescent="0.4">
      <c r="A97" s="96">
        <v>92</v>
      </c>
      <c r="B97" s="101"/>
      <c r="C97" s="102"/>
      <c r="D97" s="103"/>
      <c r="E97" s="235"/>
      <c r="F97" s="104"/>
      <c r="G97" s="104"/>
      <c r="H97" s="105">
        <f t="shared" si="1"/>
        <v>0</v>
      </c>
      <c r="L97" s="106"/>
      <c r="M97" s="106"/>
      <c r="N97" s="106"/>
    </row>
    <row r="98" spans="1:14" ht="14.75" customHeight="1" x14ac:dyDescent="0.4">
      <c r="A98" s="96">
        <v>93</v>
      </c>
      <c r="B98" s="101"/>
      <c r="C98" s="102"/>
      <c r="D98" s="103"/>
      <c r="E98" s="235"/>
      <c r="F98" s="104"/>
      <c r="G98" s="104"/>
      <c r="H98" s="105">
        <f t="shared" si="1"/>
        <v>0</v>
      </c>
      <c r="L98" s="106"/>
      <c r="M98" s="106"/>
      <c r="N98" s="106"/>
    </row>
    <row r="99" spans="1:14" ht="14.75" customHeight="1" x14ac:dyDescent="0.4">
      <c r="A99" s="96">
        <v>94</v>
      </c>
      <c r="B99" s="101"/>
      <c r="C99" s="102"/>
      <c r="D99" s="103"/>
      <c r="E99" s="235"/>
      <c r="F99" s="104"/>
      <c r="G99" s="104"/>
      <c r="H99" s="105">
        <f t="shared" si="1"/>
        <v>0</v>
      </c>
      <c r="L99" s="106"/>
      <c r="M99" s="106"/>
      <c r="N99" s="106"/>
    </row>
    <row r="100" spans="1:14" ht="14.75" customHeight="1" x14ac:dyDescent="0.4">
      <c r="A100" s="96">
        <v>95</v>
      </c>
      <c r="B100" s="101"/>
      <c r="C100" s="102"/>
      <c r="D100" s="103"/>
      <c r="E100" s="235"/>
      <c r="F100" s="104"/>
      <c r="G100" s="104"/>
      <c r="H100" s="105">
        <f t="shared" si="1"/>
        <v>0</v>
      </c>
      <c r="L100" s="106"/>
      <c r="M100" s="106"/>
      <c r="N100" s="106"/>
    </row>
    <row r="101" spans="1:14" ht="14.75" customHeight="1" x14ac:dyDescent="0.4">
      <c r="A101" s="96">
        <v>96</v>
      </c>
      <c r="B101" s="101"/>
      <c r="C101" s="102"/>
      <c r="D101" s="103"/>
      <c r="E101" s="235"/>
      <c r="F101" s="104"/>
      <c r="G101" s="104"/>
      <c r="H101" s="105">
        <f t="shared" si="1"/>
        <v>0</v>
      </c>
      <c r="L101" s="106"/>
      <c r="M101" s="106"/>
      <c r="N101" s="106"/>
    </row>
    <row r="102" spans="1:14" ht="14.75" customHeight="1" x14ac:dyDescent="0.4">
      <c r="A102" s="96">
        <v>97</v>
      </c>
      <c r="B102" s="101"/>
      <c r="C102" s="102"/>
      <c r="D102" s="103"/>
      <c r="E102" s="235"/>
      <c r="F102" s="104"/>
      <c r="G102" s="104"/>
      <c r="H102" s="105">
        <f t="shared" si="1"/>
        <v>0</v>
      </c>
      <c r="L102" s="106"/>
      <c r="M102" s="106"/>
      <c r="N102" s="106"/>
    </row>
    <row r="103" spans="1:14" ht="14.75" customHeight="1" x14ac:dyDescent="0.4">
      <c r="A103" s="96">
        <v>98</v>
      </c>
      <c r="B103" s="101"/>
      <c r="C103" s="102"/>
      <c r="D103" s="103"/>
      <c r="E103" s="235"/>
      <c r="F103" s="104"/>
      <c r="G103" s="104"/>
      <c r="H103" s="105">
        <f t="shared" si="1"/>
        <v>0</v>
      </c>
      <c r="L103" s="106"/>
      <c r="M103" s="106"/>
      <c r="N103" s="106"/>
    </row>
    <row r="104" spans="1:14" ht="14.75" customHeight="1" x14ac:dyDescent="0.4">
      <c r="A104" s="96">
        <v>99</v>
      </c>
      <c r="B104" s="101"/>
      <c r="C104" s="102"/>
      <c r="D104" s="103"/>
      <c r="E104" s="235"/>
      <c r="F104" s="104"/>
      <c r="G104" s="104"/>
      <c r="H104" s="105">
        <f t="shared" si="1"/>
        <v>0</v>
      </c>
      <c r="L104" s="106"/>
      <c r="M104" s="106"/>
      <c r="N104" s="106"/>
    </row>
    <row r="105" spans="1:14" ht="14.75" customHeight="1" x14ac:dyDescent="0.4">
      <c r="A105" s="96">
        <v>100</v>
      </c>
      <c r="B105" s="101"/>
      <c r="C105" s="102"/>
      <c r="D105" s="103"/>
      <c r="E105" s="235"/>
      <c r="F105" s="104"/>
      <c r="G105" s="104"/>
      <c r="H105" s="105">
        <f t="shared" si="1"/>
        <v>0</v>
      </c>
      <c r="L105" s="106"/>
      <c r="M105" s="106"/>
      <c r="N105" s="106"/>
    </row>
    <row r="106" spans="1:14" ht="14.75" customHeight="1" x14ac:dyDescent="0.4">
      <c r="A106" s="96">
        <v>101</v>
      </c>
      <c r="B106" s="101"/>
      <c r="C106" s="102"/>
      <c r="D106" s="103"/>
      <c r="E106" s="235"/>
      <c r="F106" s="104"/>
      <c r="G106" s="104"/>
      <c r="H106" s="105">
        <f t="shared" si="1"/>
        <v>0</v>
      </c>
      <c r="L106" s="106"/>
      <c r="M106" s="106"/>
      <c r="N106" s="106"/>
    </row>
    <row r="107" spans="1:14" ht="14.75" customHeight="1" x14ac:dyDescent="0.4">
      <c r="A107" s="96">
        <v>102</v>
      </c>
      <c r="B107" s="101"/>
      <c r="C107" s="102"/>
      <c r="D107" s="103"/>
      <c r="E107" s="235"/>
      <c r="F107" s="104"/>
      <c r="G107" s="104"/>
      <c r="H107" s="105">
        <f t="shared" si="1"/>
        <v>0</v>
      </c>
      <c r="L107" s="106"/>
      <c r="M107" s="106"/>
      <c r="N107" s="106"/>
    </row>
    <row r="108" spans="1:14" ht="14.75" customHeight="1" x14ac:dyDescent="0.4">
      <c r="A108" s="96">
        <v>103</v>
      </c>
      <c r="B108" s="101"/>
      <c r="C108" s="102"/>
      <c r="D108" s="103"/>
      <c r="E108" s="235"/>
      <c r="F108" s="104"/>
      <c r="G108" s="104"/>
      <c r="H108" s="105">
        <f t="shared" si="1"/>
        <v>0</v>
      </c>
      <c r="L108" s="106"/>
      <c r="M108" s="106"/>
      <c r="N108" s="106"/>
    </row>
    <row r="109" spans="1:14" ht="14.75" customHeight="1" x14ac:dyDescent="0.4">
      <c r="A109" s="96">
        <v>104</v>
      </c>
      <c r="B109" s="101"/>
      <c r="C109" s="102"/>
      <c r="D109" s="103"/>
      <c r="E109" s="235"/>
      <c r="F109" s="104"/>
      <c r="G109" s="104"/>
      <c r="H109" s="105">
        <f t="shared" si="1"/>
        <v>0</v>
      </c>
      <c r="L109" s="106"/>
      <c r="M109" s="106"/>
      <c r="N109" s="106"/>
    </row>
    <row r="110" spans="1:14" ht="14.75" customHeight="1" x14ac:dyDescent="0.4">
      <c r="A110" s="96">
        <v>105</v>
      </c>
      <c r="B110" s="101"/>
      <c r="C110" s="102"/>
      <c r="D110" s="103"/>
      <c r="E110" s="235"/>
      <c r="F110" s="104"/>
      <c r="G110" s="104"/>
      <c r="H110" s="105">
        <f t="shared" si="1"/>
        <v>0</v>
      </c>
      <c r="L110" s="106"/>
      <c r="M110" s="106"/>
      <c r="N110" s="106"/>
    </row>
    <row r="111" spans="1:14" ht="14.75" customHeight="1" x14ac:dyDescent="0.4">
      <c r="A111" s="96">
        <v>106</v>
      </c>
      <c r="B111" s="101"/>
      <c r="C111" s="102"/>
      <c r="D111" s="103"/>
      <c r="E111" s="235"/>
      <c r="F111" s="104"/>
      <c r="G111" s="104"/>
      <c r="H111" s="105">
        <f t="shared" si="1"/>
        <v>0</v>
      </c>
      <c r="L111" s="106"/>
      <c r="M111" s="106"/>
      <c r="N111" s="106"/>
    </row>
    <row r="112" spans="1:14" ht="14.75" customHeight="1" x14ac:dyDescent="0.4">
      <c r="A112" s="96">
        <v>107</v>
      </c>
      <c r="B112" s="101"/>
      <c r="C112" s="102"/>
      <c r="D112" s="103"/>
      <c r="E112" s="235"/>
      <c r="F112" s="104"/>
      <c r="G112" s="104"/>
      <c r="H112" s="105">
        <f t="shared" si="1"/>
        <v>0</v>
      </c>
      <c r="L112" s="106"/>
      <c r="M112" s="106"/>
      <c r="N112" s="106"/>
    </row>
    <row r="113" spans="1:14" ht="14.75" customHeight="1" x14ac:dyDescent="0.4">
      <c r="A113" s="96">
        <v>108</v>
      </c>
      <c r="B113" s="101"/>
      <c r="C113" s="102"/>
      <c r="D113" s="103"/>
      <c r="E113" s="235"/>
      <c r="F113" s="104"/>
      <c r="G113" s="104"/>
      <c r="H113" s="105">
        <f t="shared" si="1"/>
        <v>0</v>
      </c>
      <c r="L113" s="106"/>
      <c r="M113" s="106"/>
      <c r="N113" s="106"/>
    </row>
    <row r="114" spans="1:14" ht="14.75" customHeight="1" x14ac:dyDescent="0.4">
      <c r="A114" s="96">
        <v>109</v>
      </c>
      <c r="B114" s="101"/>
      <c r="C114" s="102"/>
      <c r="D114" s="103"/>
      <c r="E114" s="235"/>
      <c r="F114" s="104"/>
      <c r="G114" s="104"/>
      <c r="H114" s="105">
        <f t="shared" si="1"/>
        <v>0</v>
      </c>
      <c r="L114" s="106"/>
      <c r="M114" s="106"/>
      <c r="N114" s="106"/>
    </row>
    <row r="115" spans="1:14" ht="14.75" customHeight="1" x14ac:dyDescent="0.4">
      <c r="A115" s="96">
        <v>110</v>
      </c>
      <c r="B115" s="101"/>
      <c r="C115" s="102"/>
      <c r="D115" s="103"/>
      <c r="E115" s="235"/>
      <c r="F115" s="104"/>
      <c r="G115" s="104"/>
      <c r="H115" s="105">
        <f t="shared" si="1"/>
        <v>0</v>
      </c>
      <c r="L115" s="106"/>
      <c r="M115" s="106"/>
      <c r="N115" s="106"/>
    </row>
    <row r="116" spans="1:14" ht="14.75" customHeight="1" x14ac:dyDescent="0.4">
      <c r="A116" s="96">
        <v>111</v>
      </c>
      <c r="B116" s="101"/>
      <c r="C116" s="102"/>
      <c r="D116" s="103"/>
      <c r="E116" s="235"/>
      <c r="F116" s="104"/>
      <c r="G116" s="104"/>
      <c r="H116" s="105">
        <f t="shared" si="1"/>
        <v>0</v>
      </c>
      <c r="L116" s="106"/>
      <c r="M116" s="106"/>
      <c r="N116" s="106"/>
    </row>
    <row r="117" spans="1:14" ht="14.75" customHeight="1" x14ac:dyDescent="0.4">
      <c r="A117" s="96">
        <v>112</v>
      </c>
      <c r="B117" s="101"/>
      <c r="C117" s="102"/>
      <c r="D117" s="103"/>
      <c r="E117" s="235"/>
      <c r="F117" s="104"/>
      <c r="G117" s="104"/>
      <c r="H117" s="105">
        <f t="shared" si="1"/>
        <v>0</v>
      </c>
      <c r="L117" s="106"/>
      <c r="M117" s="106"/>
      <c r="N117" s="106"/>
    </row>
    <row r="118" spans="1:14" ht="14.75" customHeight="1" x14ac:dyDescent="0.4">
      <c r="A118" s="96">
        <v>113</v>
      </c>
      <c r="B118" s="101"/>
      <c r="C118" s="102"/>
      <c r="D118" s="103"/>
      <c r="E118" s="235"/>
      <c r="F118" s="104"/>
      <c r="G118" s="104"/>
      <c r="H118" s="105">
        <f t="shared" si="1"/>
        <v>0</v>
      </c>
      <c r="L118" s="106"/>
      <c r="M118" s="106"/>
      <c r="N118" s="106"/>
    </row>
    <row r="119" spans="1:14" ht="14.75" customHeight="1" x14ac:dyDescent="0.4">
      <c r="A119" s="96">
        <v>114</v>
      </c>
      <c r="B119" s="101"/>
      <c r="C119" s="102"/>
      <c r="D119" s="103"/>
      <c r="E119" s="235"/>
      <c r="F119" s="104"/>
      <c r="G119" s="104"/>
      <c r="H119" s="105">
        <f t="shared" si="1"/>
        <v>0</v>
      </c>
      <c r="L119" s="106"/>
      <c r="M119" s="106"/>
      <c r="N119" s="106"/>
    </row>
    <row r="120" spans="1:14" ht="14.75" customHeight="1" x14ac:dyDescent="0.4">
      <c r="A120" s="96">
        <v>115</v>
      </c>
      <c r="B120" s="101"/>
      <c r="C120" s="102"/>
      <c r="D120" s="103"/>
      <c r="E120" s="235"/>
      <c r="F120" s="104"/>
      <c r="G120" s="104"/>
      <c r="H120" s="105">
        <f t="shared" si="1"/>
        <v>0</v>
      </c>
      <c r="L120" s="106"/>
      <c r="M120" s="106"/>
      <c r="N120" s="106"/>
    </row>
    <row r="121" spans="1:14" ht="14.75" customHeight="1" x14ac:dyDescent="0.4">
      <c r="A121" s="96">
        <v>116</v>
      </c>
      <c r="B121" s="101"/>
      <c r="C121" s="102"/>
      <c r="D121" s="103"/>
      <c r="E121" s="235"/>
      <c r="F121" s="104"/>
      <c r="G121" s="104"/>
      <c r="H121" s="105">
        <f t="shared" si="1"/>
        <v>0</v>
      </c>
      <c r="L121" s="106"/>
      <c r="M121" s="106"/>
      <c r="N121" s="106"/>
    </row>
    <row r="122" spans="1:14" ht="14.75" customHeight="1" x14ac:dyDescent="0.4">
      <c r="A122" s="96">
        <v>117</v>
      </c>
      <c r="B122" s="101"/>
      <c r="C122" s="102"/>
      <c r="D122" s="103"/>
      <c r="E122" s="235"/>
      <c r="F122" s="104"/>
      <c r="G122" s="104"/>
      <c r="H122" s="105">
        <f t="shared" si="1"/>
        <v>0</v>
      </c>
      <c r="L122" s="106"/>
      <c r="M122" s="106"/>
      <c r="N122" s="106"/>
    </row>
    <row r="123" spans="1:14" ht="14.75" customHeight="1" x14ac:dyDescent="0.4">
      <c r="A123" s="96">
        <v>118</v>
      </c>
      <c r="B123" s="101"/>
      <c r="C123" s="102"/>
      <c r="D123" s="103"/>
      <c r="E123" s="235"/>
      <c r="F123" s="104"/>
      <c r="G123" s="104"/>
      <c r="H123" s="105">
        <f t="shared" si="1"/>
        <v>0</v>
      </c>
      <c r="L123" s="106"/>
      <c r="M123" s="106"/>
      <c r="N123" s="106"/>
    </row>
    <row r="124" spans="1:14" ht="14.75" customHeight="1" x14ac:dyDescent="0.4">
      <c r="A124" s="96">
        <v>119</v>
      </c>
      <c r="B124" s="101"/>
      <c r="C124" s="102"/>
      <c r="D124" s="103"/>
      <c r="E124" s="235"/>
      <c r="F124" s="104"/>
      <c r="G124" s="104"/>
      <c r="H124" s="105">
        <f t="shared" si="1"/>
        <v>0</v>
      </c>
      <c r="L124" s="106"/>
      <c r="M124" s="106"/>
      <c r="N124" s="106"/>
    </row>
    <row r="125" spans="1:14" ht="14.75" customHeight="1" x14ac:dyDescent="0.4">
      <c r="A125" s="96">
        <v>120</v>
      </c>
      <c r="B125" s="101"/>
      <c r="C125" s="102"/>
      <c r="D125" s="103"/>
      <c r="E125" s="235"/>
      <c r="F125" s="104"/>
      <c r="G125" s="104"/>
      <c r="H125" s="105">
        <f t="shared" si="1"/>
        <v>0</v>
      </c>
      <c r="L125" s="106"/>
      <c r="M125" s="106"/>
      <c r="N125" s="106"/>
    </row>
    <row r="126" spans="1:14" ht="14.75" customHeight="1" x14ac:dyDescent="0.4">
      <c r="A126" s="96">
        <v>121</v>
      </c>
      <c r="B126" s="101"/>
      <c r="C126" s="102"/>
      <c r="D126" s="103"/>
      <c r="E126" s="235"/>
      <c r="F126" s="104"/>
      <c r="G126" s="104"/>
      <c r="H126" s="105">
        <f t="shared" si="1"/>
        <v>0</v>
      </c>
      <c r="L126" s="106"/>
      <c r="M126" s="106"/>
      <c r="N126" s="106"/>
    </row>
    <row r="127" spans="1:14" ht="14.75" customHeight="1" x14ac:dyDescent="0.4">
      <c r="A127" s="96">
        <v>122</v>
      </c>
      <c r="B127" s="101"/>
      <c r="C127" s="102"/>
      <c r="D127" s="103"/>
      <c r="E127" s="235"/>
      <c r="F127" s="104"/>
      <c r="G127" s="104"/>
      <c r="H127" s="105">
        <f t="shared" si="1"/>
        <v>0</v>
      </c>
      <c r="L127" s="106"/>
      <c r="M127" s="106"/>
      <c r="N127" s="106"/>
    </row>
    <row r="128" spans="1:14" ht="14.75" customHeight="1" x14ac:dyDescent="0.4">
      <c r="A128" s="96">
        <v>123</v>
      </c>
      <c r="B128" s="101"/>
      <c r="C128" s="102"/>
      <c r="D128" s="103"/>
      <c r="E128" s="235"/>
      <c r="F128" s="104"/>
      <c r="G128" s="104"/>
      <c r="H128" s="105">
        <f t="shared" si="1"/>
        <v>0</v>
      </c>
      <c r="L128" s="106"/>
      <c r="M128" s="106"/>
      <c r="N128" s="106"/>
    </row>
    <row r="129" spans="1:14" ht="14.75" customHeight="1" x14ac:dyDescent="0.4">
      <c r="A129" s="96">
        <v>124</v>
      </c>
      <c r="B129" s="101"/>
      <c r="C129" s="102"/>
      <c r="D129" s="103"/>
      <c r="E129" s="235"/>
      <c r="F129" s="104"/>
      <c r="G129" s="104"/>
      <c r="H129" s="105">
        <f t="shared" si="1"/>
        <v>0</v>
      </c>
      <c r="L129" s="106"/>
      <c r="M129" s="106"/>
      <c r="N129" s="106"/>
    </row>
    <row r="130" spans="1:14" ht="14.75" customHeight="1" x14ac:dyDescent="0.4">
      <c r="A130" s="96">
        <v>125</v>
      </c>
      <c r="B130" s="101"/>
      <c r="C130" s="102"/>
      <c r="D130" s="103"/>
      <c r="E130" s="235"/>
      <c r="F130" s="104"/>
      <c r="G130" s="104"/>
      <c r="H130" s="105">
        <f t="shared" si="1"/>
        <v>0</v>
      </c>
      <c r="L130" s="106"/>
      <c r="M130" s="106"/>
      <c r="N130" s="106"/>
    </row>
    <row r="131" spans="1:14" ht="14.75" customHeight="1" x14ac:dyDescent="0.4">
      <c r="A131" s="96">
        <v>126</v>
      </c>
      <c r="B131" s="101"/>
      <c r="C131" s="102"/>
      <c r="D131" s="103"/>
      <c r="E131" s="235"/>
      <c r="F131" s="104"/>
      <c r="G131" s="104"/>
      <c r="H131" s="105">
        <f t="shared" si="1"/>
        <v>0</v>
      </c>
      <c r="L131" s="106"/>
      <c r="M131" s="106"/>
      <c r="N131" s="106"/>
    </row>
    <row r="132" spans="1:14" ht="14.75" customHeight="1" x14ac:dyDescent="0.4">
      <c r="A132" s="96">
        <v>127</v>
      </c>
      <c r="B132" s="101"/>
      <c r="C132" s="102"/>
      <c r="D132" s="103"/>
      <c r="E132" s="235"/>
      <c r="F132" s="104"/>
      <c r="G132" s="104"/>
      <c r="H132" s="105">
        <f t="shared" si="1"/>
        <v>0</v>
      </c>
      <c r="L132" s="106"/>
      <c r="M132" s="106"/>
      <c r="N132" s="106"/>
    </row>
    <row r="133" spans="1:14" ht="14.75" customHeight="1" x14ac:dyDescent="0.4">
      <c r="A133" s="96">
        <v>128</v>
      </c>
      <c r="B133" s="101"/>
      <c r="C133" s="102"/>
      <c r="D133" s="103"/>
      <c r="E133" s="235"/>
      <c r="F133" s="104"/>
      <c r="G133" s="104"/>
      <c r="H133" s="105">
        <f t="shared" si="1"/>
        <v>0</v>
      </c>
      <c r="L133" s="106"/>
      <c r="M133" s="106"/>
      <c r="N133" s="106"/>
    </row>
    <row r="134" spans="1:14" ht="14.75" customHeight="1" x14ac:dyDescent="0.4">
      <c r="A134" s="96">
        <v>129</v>
      </c>
      <c r="B134" s="101"/>
      <c r="C134" s="102"/>
      <c r="D134" s="103"/>
      <c r="E134" s="235"/>
      <c r="F134" s="104"/>
      <c r="G134" s="104"/>
      <c r="H134" s="105">
        <f t="shared" si="1"/>
        <v>0</v>
      </c>
      <c r="L134" s="106"/>
      <c r="M134" s="106"/>
      <c r="N134" s="106"/>
    </row>
    <row r="135" spans="1:14" ht="14.75" customHeight="1" x14ac:dyDescent="0.4">
      <c r="A135" s="96">
        <v>130</v>
      </c>
      <c r="B135" s="101"/>
      <c r="C135" s="102"/>
      <c r="D135" s="103"/>
      <c r="E135" s="235"/>
      <c r="F135" s="104"/>
      <c r="G135" s="104"/>
      <c r="H135" s="105">
        <f t="shared" si="1"/>
        <v>0</v>
      </c>
      <c r="L135" s="106"/>
      <c r="M135" s="106"/>
      <c r="N135" s="106"/>
    </row>
    <row r="136" spans="1:14" ht="14.75" customHeight="1" x14ac:dyDescent="0.4">
      <c r="A136" s="96">
        <v>131</v>
      </c>
      <c r="B136" s="101"/>
      <c r="C136" s="102"/>
      <c r="D136" s="103"/>
      <c r="E136" s="235"/>
      <c r="F136" s="104"/>
      <c r="G136" s="104"/>
      <c r="H136" s="105">
        <f t="shared" si="1"/>
        <v>0</v>
      </c>
      <c r="L136" s="106"/>
      <c r="M136" s="106"/>
      <c r="N136" s="106"/>
    </row>
    <row r="137" spans="1:14" ht="14.75" customHeight="1" x14ac:dyDescent="0.4">
      <c r="A137" s="96">
        <v>132</v>
      </c>
      <c r="B137" s="101"/>
      <c r="C137" s="102"/>
      <c r="D137" s="103"/>
      <c r="E137" s="235"/>
      <c r="F137" s="104"/>
      <c r="G137" s="104"/>
      <c r="H137" s="105">
        <f t="shared" ref="H137:H200" si="2">H136+F137-G137</f>
        <v>0</v>
      </c>
      <c r="L137" s="106"/>
      <c r="M137" s="106"/>
      <c r="N137" s="106"/>
    </row>
    <row r="138" spans="1:14" ht="14.75" customHeight="1" x14ac:dyDescent="0.4">
      <c r="A138" s="96">
        <v>133</v>
      </c>
      <c r="B138" s="101"/>
      <c r="C138" s="102"/>
      <c r="D138" s="103"/>
      <c r="E138" s="235"/>
      <c r="F138" s="104"/>
      <c r="G138" s="104"/>
      <c r="H138" s="105">
        <f t="shared" si="2"/>
        <v>0</v>
      </c>
      <c r="L138" s="106"/>
      <c r="M138" s="106"/>
      <c r="N138" s="106"/>
    </row>
    <row r="139" spans="1:14" ht="14.75" customHeight="1" x14ac:dyDescent="0.4">
      <c r="A139" s="96">
        <v>134</v>
      </c>
      <c r="B139" s="101"/>
      <c r="C139" s="102"/>
      <c r="D139" s="103"/>
      <c r="E139" s="235"/>
      <c r="F139" s="104"/>
      <c r="G139" s="104"/>
      <c r="H139" s="105">
        <f t="shared" si="2"/>
        <v>0</v>
      </c>
      <c r="L139" s="106"/>
      <c r="M139" s="106"/>
      <c r="N139" s="106"/>
    </row>
    <row r="140" spans="1:14" ht="14.75" customHeight="1" x14ac:dyDescent="0.4">
      <c r="A140" s="96">
        <v>135</v>
      </c>
      <c r="B140" s="101"/>
      <c r="C140" s="102"/>
      <c r="D140" s="103"/>
      <c r="E140" s="235"/>
      <c r="F140" s="104"/>
      <c r="G140" s="104"/>
      <c r="H140" s="105">
        <f t="shared" si="2"/>
        <v>0</v>
      </c>
      <c r="L140" s="106"/>
      <c r="M140" s="106"/>
      <c r="N140" s="106"/>
    </row>
    <row r="141" spans="1:14" ht="14.75" customHeight="1" x14ac:dyDescent="0.4">
      <c r="A141" s="96">
        <v>136</v>
      </c>
      <c r="B141" s="101"/>
      <c r="C141" s="102"/>
      <c r="D141" s="103"/>
      <c r="E141" s="235"/>
      <c r="F141" s="104"/>
      <c r="G141" s="104"/>
      <c r="H141" s="105">
        <f t="shared" si="2"/>
        <v>0</v>
      </c>
      <c r="L141" s="106"/>
      <c r="M141" s="106"/>
      <c r="N141" s="106"/>
    </row>
    <row r="142" spans="1:14" ht="14.75" customHeight="1" x14ac:dyDescent="0.4">
      <c r="A142" s="96">
        <v>137</v>
      </c>
      <c r="B142" s="101"/>
      <c r="C142" s="102"/>
      <c r="D142" s="103"/>
      <c r="E142" s="235"/>
      <c r="F142" s="104"/>
      <c r="G142" s="104"/>
      <c r="H142" s="105">
        <f t="shared" si="2"/>
        <v>0</v>
      </c>
      <c r="L142" s="106"/>
      <c r="M142" s="106"/>
      <c r="N142" s="106"/>
    </row>
    <row r="143" spans="1:14" ht="14.75" customHeight="1" x14ac:dyDescent="0.4">
      <c r="A143" s="96">
        <v>138</v>
      </c>
      <c r="B143" s="101"/>
      <c r="C143" s="102"/>
      <c r="D143" s="103"/>
      <c r="E143" s="235"/>
      <c r="F143" s="104"/>
      <c r="G143" s="104"/>
      <c r="H143" s="105">
        <f t="shared" si="2"/>
        <v>0</v>
      </c>
      <c r="L143" s="106"/>
      <c r="M143" s="106"/>
      <c r="N143" s="106"/>
    </row>
    <row r="144" spans="1:14" ht="14.75" customHeight="1" x14ac:dyDescent="0.4">
      <c r="A144" s="96">
        <v>139</v>
      </c>
      <c r="B144" s="101"/>
      <c r="C144" s="102"/>
      <c r="D144" s="103"/>
      <c r="E144" s="235"/>
      <c r="F144" s="104"/>
      <c r="G144" s="104"/>
      <c r="H144" s="105">
        <f t="shared" si="2"/>
        <v>0</v>
      </c>
      <c r="L144" s="106"/>
      <c r="M144" s="106"/>
      <c r="N144" s="106"/>
    </row>
    <row r="145" spans="1:14" ht="14.75" customHeight="1" x14ac:dyDescent="0.4">
      <c r="A145" s="96">
        <v>140</v>
      </c>
      <c r="B145" s="101"/>
      <c r="C145" s="102"/>
      <c r="D145" s="103"/>
      <c r="E145" s="235"/>
      <c r="F145" s="104"/>
      <c r="G145" s="104"/>
      <c r="H145" s="105">
        <f t="shared" si="2"/>
        <v>0</v>
      </c>
      <c r="L145" s="106"/>
      <c r="M145" s="106"/>
      <c r="N145" s="106"/>
    </row>
    <row r="146" spans="1:14" ht="14.75" customHeight="1" x14ac:dyDescent="0.4">
      <c r="A146" s="96">
        <v>141</v>
      </c>
      <c r="B146" s="101"/>
      <c r="C146" s="102"/>
      <c r="D146" s="103"/>
      <c r="E146" s="235"/>
      <c r="F146" s="104"/>
      <c r="G146" s="104"/>
      <c r="H146" s="105">
        <f t="shared" si="2"/>
        <v>0</v>
      </c>
      <c r="L146" s="106"/>
      <c r="M146" s="106"/>
      <c r="N146" s="106"/>
    </row>
    <row r="147" spans="1:14" ht="14.75" customHeight="1" x14ac:dyDescent="0.4">
      <c r="A147" s="96">
        <v>142</v>
      </c>
      <c r="B147" s="101"/>
      <c r="C147" s="102"/>
      <c r="D147" s="103"/>
      <c r="E147" s="235"/>
      <c r="F147" s="104"/>
      <c r="G147" s="104"/>
      <c r="H147" s="105">
        <f t="shared" si="2"/>
        <v>0</v>
      </c>
      <c r="L147" s="106"/>
      <c r="M147" s="106"/>
      <c r="N147" s="106"/>
    </row>
    <row r="148" spans="1:14" ht="14.75" customHeight="1" x14ac:dyDescent="0.4">
      <c r="A148" s="96">
        <v>143</v>
      </c>
      <c r="B148" s="101"/>
      <c r="C148" s="102"/>
      <c r="D148" s="103"/>
      <c r="E148" s="235"/>
      <c r="F148" s="104"/>
      <c r="G148" s="104"/>
      <c r="H148" s="105">
        <f t="shared" si="2"/>
        <v>0</v>
      </c>
      <c r="L148" s="106"/>
      <c r="M148" s="106"/>
      <c r="N148" s="106"/>
    </row>
    <row r="149" spans="1:14" ht="14.75" customHeight="1" x14ac:dyDescent="0.4">
      <c r="A149" s="96">
        <v>144</v>
      </c>
      <c r="B149" s="101"/>
      <c r="C149" s="102"/>
      <c r="D149" s="103"/>
      <c r="E149" s="235"/>
      <c r="F149" s="104"/>
      <c r="G149" s="104"/>
      <c r="H149" s="105">
        <f t="shared" si="2"/>
        <v>0</v>
      </c>
      <c r="L149" s="106"/>
      <c r="M149" s="106"/>
      <c r="N149" s="106"/>
    </row>
    <row r="150" spans="1:14" ht="14.75" customHeight="1" x14ac:dyDescent="0.4">
      <c r="A150" s="96">
        <v>145</v>
      </c>
      <c r="B150" s="101"/>
      <c r="C150" s="102"/>
      <c r="D150" s="103"/>
      <c r="E150" s="235"/>
      <c r="F150" s="104"/>
      <c r="G150" s="104"/>
      <c r="H150" s="105">
        <f t="shared" si="2"/>
        <v>0</v>
      </c>
      <c r="L150" s="106"/>
      <c r="M150" s="106"/>
      <c r="N150" s="106"/>
    </row>
    <row r="151" spans="1:14" ht="14.75" customHeight="1" x14ac:dyDescent="0.4">
      <c r="A151" s="96">
        <v>146</v>
      </c>
      <c r="B151" s="101"/>
      <c r="C151" s="102"/>
      <c r="D151" s="103"/>
      <c r="E151" s="235"/>
      <c r="F151" s="104"/>
      <c r="G151" s="104"/>
      <c r="H151" s="105">
        <f t="shared" si="2"/>
        <v>0</v>
      </c>
      <c r="L151" s="106"/>
      <c r="M151" s="106"/>
      <c r="N151" s="106"/>
    </row>
    <row r="152" spans="1:14" ht="14.75" customHeight="1" x14ac:dyDescent="0.4">
      <c r="A152" s="96">
        <v>147</v>
      </c>
      <c r="B152" s="101"/>
      <c r="C152" s="102"/>
      <c r="D152" s="103"/>
      <c r="E152" s="235"/>
      <c r="F152" s="104"/>
      <c r="G152" s="104"/>
      <c r="H152" s="105">
        <f t="shared" si="2"/>
        <v>0</v>
      </c>
      <c r="L152" s="106"/>
      <c r="M152" s="106"/>
      <c r="N152" s="106"/>
    </row>
    <row r="153" spans="1:14" ht="14.75" customHeight="1" x14ac:dyDescent="0.4">
      <c r="A153" s="96">
        <v>148</v>
      </c>
      <c r="B153" s="101"/>
      <c r="C153" s="102"/>
      <c r="D153" s="103"/>
      <c r="E153" s="235"/>
      <c r="F153" s="104"/>
      <c r="G153" s="104"/>
      <c r="H153" s="105">
        <f t="shared" si="2"/>
        <v>0</v>
      </c>
      <c r="L153" s="106"/>
      <c r="M153" s="106"/>
      <c r="N153" s="106"/>
    </row>
    <row r="154" spans="1:14" ht="14.75" customHeight="1" x14ac:dyDescent="0.4">
      <c r="A154" s="96">
        <v>149</v>
      </c>
      <c r="B154" s="101"/>
      <c r="C154" s="102"/>
      <c r="D154" s="103"/>
      <c r="E154" s="235"/>
      <c r="F154" s="104"/>
      <c r="G154" s="104"/>
      <c r="H154" s="105">
        <f t="shared" si="2"/>
        <v>0</v>
      </c>
      <c r="L154" s="106"/>
      <c r="M154" s="106"/>
      <c r="N154" s="106"/>
    </row>
    <row r="155" spans="1:14" ht="14.75" customHeight="1" x14ac:dyDescent="0.4">
      <c r="A155" s="96">
        <v>150</v>
      </c>
      <c r="B155" s="101"/>
      <c r="C155" s="102"/>
      <c r="D155" s="103"/>
      <c r="E155" s="235"/>
      <c r="F155" s="104"/>
      <c r="G155" s="104"/>
      <c r="H155" s="105">
        <f t="shared" si="2"/>
        <v>0</v>
      </c>
      <c r="L155" s="106"/>
      <c r="M155" s="106"/>
      <c r="N155" s="106"/>
    </row>
    <row r="156" spans="1:14" ht="14.75" customHeight="1" x14ac:dyDescent="0.4">
      <c r="A156" s="96">
        <v>151</v>
      </c>
      <c r="B156" s="101"/>
      <c r="C156" s="102"/>
      <c r="D156" s="103"/>
      <c r="E156" s="235"/>
      <c r="F156" s="104"/>
      <c r="G156" s="104"/>
      <c r="H156" s="105">
        <f t="shared" si="2"/>
        <v>0</v>
      </c>
      <c r="L156" s="106"/>
      <c r="M156" s="106"/>
      <c r="N156" s="106"/>
    </row>
    <row r="157" spans="1:14" ht="14.75" customHeight="1" x14ac:dyDescent="0.4">
      <c r="A157" s="96">
        <v>152</v>
      </c>
      <c r="B157" s="101"/>
      <c r="C157" s="102"/>
      <c r="D157" s="103"/>
      <c r="E157" s="235"/>
      <c r="F157" s="104"/>
      <c r="G157" s="104"/>
      <c r="H157" s="105">
        <f t="shared" si="2"/>
        <v>0</v>
      </c>
      <c r="L157" s="106"/>
      <c r="M157" s="106"/>
      <c r="N157" s="106"/>
    </row>
    <row r="158" spans="1:14" ht="14.75" customHeight="1" x14ac:dyDescent="0.4">
      <c r="A158" s="96">
        <v>153</v>
      </c>
      <c r="B158" s="101"/>
      <c r="C158" s="102"/>
      <c r="D158" s="103"/>
      <c r="E158" s="235"/>
      <c r="F158" s="104"/>
      <c r="G158" s="104"/>
      <c r="H158" s="105">
        <f t="shared" si="2"/>
        <v>0</v>
      </c>
      <c r="L158" s="106"/>
      <c r="M158" s="106"/>
      <c r="N158" s="106"/>
    </row>
    <row r="159" spans="1:14" ht="14.75" customHeight="1" x14ac:dyDescent="0.4">
      <c r="A159" s="96">
        <v>154</v>
      </c>
      <c r="B159" s="101"/>
      <c r="C159" s="102"/>
      <c r="D159" s="103"/>
      <c r="E159" s="235"/>
      <c r="F159" s="104"/>
      <c r="G159" s="104"/>
      <c r="H159" s="105">
        <f t="shared" si="2"/>
        <v>0</v>
      </c>
      <c r="L159" s="106"/>
      <c r="M159" s="106"/>
      <c r="N159" s="106"/>
    </row>
    <row r="160" spans="1:14" ht="14.75" customHeight="1" x14ac:dyDescent="0.4">
      <c r="A160" s="96">
        <v>155</v>
      </c>
      <c r="B160" s="101"/>
      <c r="C160" s="102"/>
      <c r="D160" s="103"/>
      <c r="E160" s="235"/>
      <c r="F160" s="104"/>
      <c r="G160" s="104"/>
      <c r="H160" s="105">
        <f t="shared" si="2"/>
        <v>0</v>
      </c>
      <c r="L160" s="106"/>
      <c r="M160" s="106"/>
      <c r="N160" s="106"/>
    </row>
    <row r="161" spans="1:14" ht="14.75" customHeight="1" x14ac:dyDescent="0.4">
      <c r="A161" s="96">
        <v>156</v>
      </c>
      <c r="B161" s="101"/>
      <c r="C161" s="102"/>
      <c r="D161" s="103"/>
      <c r="E161" s="235"/>
      <c r="F161" s="104"/>
      <c r="G161" s="104"/>
      <c r="H161" s="105">
        <f t="shared" si="2"/>
        <v>0</v>
      </c>
      <c r="L161" s="106"/>
      <c r="M161" s="106"/>
      <c r="N161" s="106"/>
    </row>
    <row r="162" spans="1:14" ht="14.75" customHeight="1" x14ac:dyDescent="0.4">
      <c r="A162" s="96">
        <v>157</v>
      </c>
      <c r="B162" s="101"/>
      <c r="C162" s="102"/>
      <c r="D162" s="103"/>
      <c r="E162" s="235"/>
      <c r="F162" s="104"/>
      <c r="G162" s="104"/>
      <c r="H162" s="105">
        <f t="shared" si="2"/>
        <v>0</v>
      </c>
      <c r="L162" s="106"/>
      <c r="M162" s="106"/>
      <c r="N162" s="106"/>
    </row>
    <row r="163" spans="1:14" ht="14.75" customHeight="1" x14ac:dyDescent="0.4">
      <c r="A163" s="96">
        <v>158</v>
      </c>
      <c r="B163" s="101"/>
      <c r="C163" s="102"/>
      <c r="D163" s="103"/>
      <c r="E163" s="235"/>
      <c r="F163" s="104"/>
      <c r="G163" s="104"/>
      <c r="H163" s="105">
        <f t="shared" si="2"/>
        <v>0</v>
      </c>
      <c r="L163" s="106"/>
      <c r="M163" s="106"/>
      <c r="N163" s="106"/>
    </row>
    <row r="164" spans="1:14" ht="14.75" customHeight="1" x14ac:dyDescent="0.4">
      <c r="A164" s="96">
        <v>159</v>
      </c>
      <c r="B164" s="101"/>
      <c r="C164" s="102"/>
      <c r="D164" s="103"/>
      <c r="E164" s="235"/>
      <c r="F164" s="104"/>
      <c r="G164" s="104"/>
      <c r="H164" s="105">
        <f t="shared" si="2"/>
        <v>0</v>
      </c>
      <c r="L164" s="106"/>
      <c r="M164" s="106"/>
      <c r="N164" s="106"/>
    </row>
    <row r="165" spans="1:14" ht="14.75" customHeight="1" x14ac:dyDescent="0.4">
      <c r="A165" s="96">
        <v>160</v>
      </c>
      <c r="B165" s="101"/>
      <c r="C165" s="102"/>
      <c r="D165" s="103"/>
      <c r="E165" s="235"/>
      <c r="F165" s="104"/>
      <c r="G165" s="104"/>
      <c r="H165" s="105">
        <f t="shared" si="2"/>
        <v>0</v>
      </c>
      <c r="L165" s="106"/>
      <c r="M165" s="106"/>
      <c r="N165" s="106"/>
    </row>
    <row r="166" spans="1:14" ht="14.75" customHeight="1" x14ac:dyDescent="0.4">
      <c r="A166" s="96">
        <v>161</v>
      </c>
      <c r="B166" s="101"/>
      <c r="C166" s="102"/>
      <c r="D166" s="103"/>
      <c r="E166" s="235"/>
      <c r="F166" s="104"/>
      <c r="G166" s="104"/>
      <c r="H166" s="105">
        <f t="shared" si="2"/>
        <v>0</v>
      </c>
      <c r="L166" s="106"/>
      <c r="M166" s="106"/>
      <c r="N166" s="106"/>
    </row>
    <row r="167" spans="1:14" ht="14.75" customHeight="1" x14ac:dyDescent="0.4">
      <c r="A167" s="96">
        <v>162</v>
      </c>
      <c r="B167" s="101"/>
      <c r="C167" s="102"/>
      <c r="D167" s="103"/>
      <c r="E167" s="235"/>
      <c r="F167" s="104"/>
      <c r="G167" s="104"/>
      <c r="H167" s="105">
        <f t="shared" si="2"/>
        <v>0</v>
      </c>
      <c r="L167" s="106"/>
      <c r="M167" s="106"/>
      <c r="N167" s="106"/>
    </row>
    <row r="168" spans="1:14" ht="14.75" customHeight="1" x14ac:dyDescent="0.4">
      <c r="A168" s="96">
        <v>163</v>
      </c>
      <c r="B168" s="101"/>
      <c r="C168" s="102"/>
      <c r="D168" s="103"/>
      <c r="E168" s="235"/>
      <c r="F168" s="104"/>
      <c r="G168" s="104"/>
      <c r="H168" s="105">
        <f t="shared" si="2"/>
        <v>0</v>
      </c>
      <c r="L168" s="106"/>
      <c r="M168" s="106"/>
      <c r="N168" s="106"/>
    </row>
    <row r="169" spans="1:14" ht="14.75" customHeight="1" x14ac:dyDescent="0.4">
      <c r="A169" s="96">
        <v>164</v>
      </c>
      <c r="B169" s="101"/>
      <c r="C169" s="102"/>
      <c r="D169" s="103"/>
      <c r="E169" s="235"/>
      <c r="F169" s="104"/>
      <c r="G169" s="104"/>
      <c r="H169" s="105">
        <f t="shared" si="2"/>
        <v>0</v>
      </c>
      <c r="L169" s="106"/>
      <c r="M169" s="106"/>
      <c r="N169" s="106"/>
    </row>
    <row r="170" spans="1:14" ht="14.75" customHeight="1" x14ac:dyDescent="0.4">
      <c r="A170" s="96">
        <v>165</v>
      </c>
      <c r="B170" s="101"/>
      <c r="C170" s="102"/>
      <c r="D170" s="103"/>
      <c r="E170" s="235"/>
      <c r="F170" s="104"/>
      <c r="G170" s="104"/>
      <c r="H170" s="105">
        <f t="shared" si="2"/>
        <v>0</v>
      </c>
      <c r="L170" s="106"/>
      <c r="M170" s="106"/>
      <c r="N170" s="106"/>
    </row>
    <row r="171" spans="1:14" ht="14.75" customHeight="1" x14ac:dyDescent="0.4">
      <c r="A171" s="96">
        <v>166</v>
      </c>
      <c r="B171" s="101"/>
      <c r="C171" s="102"/>
      <c r="D171" s="103"/>
      <c r="E171" s="235"/>
      <c r="F171" s="104"/>
      <c r="G171" s="104"/>
      <c r="H171" s="105">
        <f t="shared" si="2"/>
        <v>0</v>
      </c>
      <c r="L171" s="106"/>
      <c r="M171" s="106"/>
      <c r="N171" s="106"/>
    </row>
    <row r="172" spans="1:14" ht="14.75" customHeight="1" x14ac:dyDescent="0.4">
      <c r="A172" s="96">
        <v>167</v>
      </c>
      <c r="B172" s="101"/>
      <c r="C172" s="102"/>
      <c r="D172" s="103"/>
      <c r="E172" s="235"/>
      <c r="F172" s="104"/>
      <c r="G172" s="104"/>
      <c r="H172" s="105">
        <f t="shared" si="2"/>
        <v>0</v>
      </c>
      <c r="L172" s="106"/>
      <c r="M172" s="106"/>
      <c r="N172" s="106"/>
    </row>
    <row r="173" spans="1:14" ht="14.75" customHeight="1" x14ac:dyDescent="0.4">
      <c r="A173" s="96">
        <v>168</v>
      </c>
      <c r="B173" s="101"/>
      <c r="C173" s="102"/>
      <c r="D173" s="103"/>
      <c r="E173" s="235"/>
      <c r="F173" s="104"/>
      <c r="G173" s="104"/>
      <c r="H173" s="105">
        <f t="shared" si="2"/>
        <v>0</v>
      </c>
      <c r="L173" s="106"/>
      <c r="M173" s="106"/>
      <c r="N173" s="106"/>
    </row>
    <row r="174" spans="1:14" ht="14.75" customHeight="1" x14ac:dyDescent="0.4">
      <c r="A174" s="96">
        <v>169</v>
      </c>
      <c r="B174" s="101"/>
      <c r="C174" s="102"/>
      <c r="D174" s="103"/>
      <c r="E174" s="235"/>
      <c r="F174" s="104"/>
      <c r="G174" s="104"/>
      <c r="H174" s="105">
        <f t="shared" si="2"/>
        <v>0</v>
      </c>
      <c r="L174" s="106"/>
      <c r="M174" s="106"/>
      <c r="N174" s="106"/>
    </row>
    <row r="175" spans="1:14" ht="14.75" customHeight="1" x14ac:dyDescent="0.4">
      <c r="A175" s="96">
        <v>170</v>
      </c>
      <c r="B175" s="101"/>
      <c r="C175" s="102"/>
      <c r="D175" s="103"/>
      <c r="E175" s="235"/>
      <c r="F175" s="104"/>
      <c r="G175" s="104"/>
      <c r="H175" s="105">
        <f t="shared" si="2"/>
        <v>0</v>
      </c>
      <c r="L175" s="106"/>
      <c r="M175" s="106"/>
      <c r="N175" s="106"/>
    </row>
    <row r="176" spans="1:14" ht="14.75" customHeight="1" x14ac:dyDescent="0.4">
      <c r="A176" s="96">
        <v>171</v>
      </c>
      <c r="B176" s="101"/>
      <c r="C176" s="102"/>
      <c r="D176" s="103"/>
      <c r="E176" s="235"/>
      <c r="F176" s="104"/>
      <c r="G176" s="104"/>
      <c r="H176" s="105">
        <f t="shared" si="2"/>
        <v>0</v>
      </c>
      <c r="L176" s="106"/>
      <c r="M176" s="106"/>
      <c r="N176" s="106"/>
    </row>
    <row r="177" spans="1:14" ht="14.75" customHeight="1" x14ac:dyDescent="0.4">
      <c r="A177" s="96">
        <v>172</v>
      </c>
      <c r="B177" s="101"/>
      <c r="C177" s="102"/>
      <c r="D177" s="103"/>
      <c r="E177" s="235"/>
      <c r="F177" s="104"/>
      <c r="G177" s="104"/>
      <c r="H177" s="105">
        <f t="shared" si="2"/>
        <v>0</v>
      </c>
      <c r="L177" s="106"/>
      <c r="M177" s="106"/>
      <c r="N177" s="106"/>
    </row>
    <row r="178" spans="1:14" ht="14.75" customHeight="1" x14ac:dyDescent="0.4">
      <c r="A178" s="96">
        <v>173</v>
      </c>
      <c r="B178" s="101"/>
      <c r="C178" s="102"/>
      <c r="D178" s="103"/>
      <c r="E178" s="235"/>
      <c r="F178" s="104"/>
      <c r="G178" s="104"/>
      <c r="H178" s="105">
        <f t="shared" si="2"/>
        <v>0</v>
      </c>
      <c r="L178" s="106"/>
      <c r="M178" s="106"/>
      <c r="N178" s="106"/>
    </row>
    <row r="179" spans="1:14" ht="14.75" customHeight="1" x14ac:dyDescent="0.4">
      <c r="A179" s="96">
        <v>174</v>
      </c>
      <c r="B179" s="101"/>
      <c r="C179" s="102"/>
      <c r="D179" s="103"/>
      <c r="E179" s="235"/>
      <c r="F179" s="104"/>
      <c r="G179" s="104"/>
      <c r="H179" s="105">
        <f t="shared" si="2"/>
        <v>0</v>
      </c>
      <c r="L179" s="106"/>
      <c r="M179" s="106"/>
      <c r="N179" s="106"/>
    </row>
    <row r="180" spans="1:14" ht="14.75" customHeight="1" x14ac:dyDescent="0.4">
      <c r="A180" s="96">
        <v>175</v>
      </c>
      <c r="B180" s="101"/>
      <c r="C180" s="102"/>
      <c r="D180" s="103"/>
      <c r="E180" s="235"/>
      <c r="F180" s="104"/>
      <c r="G180" s="104"/>
      <c r="H180" s="105">
        <f t="shared" si="2"/>
        <v>0</v>
      </c>
      <c r="L180" s="106"/>
      <c r="M180" s="106"/>
      <c r="N180" s="106"/>
    </row>
    <row r="181" spans="1:14" ht="14.75" customHeight="1" x14ac:dyDescent="0.4">
      <c r="A181" s="96">
        <v>176</v>
      </c>
      <c r="B181" s="101"/>
      <c r="C181" s="102"/>
      <c r="D181" s="103"/>
      <c r="E181" s="235"/>
      <c r="F181" s="104"/>
      <c r="G181" s="104"/>
      <c r="H181" s="105">
        <f t="shared" si="2"/>
        <v>0</v>
      </c>
      <c r="L181" s="106"/>
      <c r="M181" s="106"/>
      <c r="N181" s="106"/>
    </row>
    <row r="182" spans="1:14" ht="14.75" customHeight="1" x14ac:dyDescent="0.4">
      <c r="A182" s="96">
        <v>177</v>
      </c>
      <c r="B182" s="101"/>
      <c r="C182" s="102"/>
      <c r="D182" s="103"/>
      <c r="E182" s="235"/>
      <c r="F182" s="104"/>
      <c r="G182" s="104"/>
      <c r="H182" s="105">
        <f t="shared" si="2"/>
        <v>0</v>
      </c>
      <c r="L182" s="106"/>
      <c r="M182" s="106"/>
      <c r="N182" s="106"/>
    </row>
    <row r="183" spans="1:14" ht="14.75" customHeight="1" x14ac:dyDescent="0.4">
      <c r="A183" s="96">
        <v>178</v>
      </c>
      <c r="B183" s="101"/>
      <c r="C183" s="102"/>
      <c r="D183" s="103"/>
      <c r="E183" s="235"/>
      <c r="F183" s="104"/>
      <c r="G183" s="104"/>
      <c r="H183" s="105">
        <f t="shared" si="2"/>
        <v>0</v>
      </c>
      <c r="L183" s="106"/>
      <c r="M183" s="106"/>
      <c r="N183" s="106"/>
    </row>
    <row r="184" spans="1:14" ht="14.75" customHeight="1" x14ac:dyDescent="0.4">
      <c r="A184" s="96">
        <v>179</v>
      </c>
      <c r="B184" s="101"/>
      <c r="C184" s="102"/>
      <c r="D184" s="103"/>
      <c r="E184" s="235"/>
      <c r="F184" s="104"/>
      <c r="G184" s="104"/>
      <c r="H184" s="105">
        <f t="shared" si="2"/>
        <v>0</v>
      </c>
      <c r="L184" s="106"/>
      <c r="M184" s="106"/>
      <c r="N184" s="106"/>
    </row>
    <row r="185" spans="1:14" ht="14.75" customHeight="1" x14ac:dyDescent="0.4">
      <c r="A185" s="96">
        <v>180</v>
      </c>
      <c r="B185" s="101"/>
      <c r="C185" s="102"/>
      <c r="D185" s="103"/>
      <c r="E185" s="235"/>
      <c r="F185" s="104"/>
      <c r="G185" s="104"/>
      <c r="H185" s="105">
        <f t="shared" si="2"/>
        <v>0</v>
      </c>
      <c r="L185" s="106"/>
      <c r="M185" s="106"/>
      <c r="N185" s="106"/>
    </row>
    <row r="186" spans="1:14" ht="14.75" customHeight="1" x14ac:dyDescent="0.4">
      <c r="A186" s="96">
        <v>181</v>
      </c>
      <c r="B186" s="101"/>
      <c r="C186" s="102"/>
      <c r="D186" s="103"/>
      <c r="E186" s="235"/>
      <c r="F186" s="104"/>
      <c r="G186" s="104"/>
      <c r="H186" s="105">
        <f t="shared" si="2"/>
        <v>0</v>
      </c>
      <c r="L186" s="106"/>
      <c r="M186" s="106"/>
      <c r="N186" s="106"/>
    </row>
    <row r="187" spans="1:14" ht="14.75" customHeight="1" x14ac:dyDescent="0.4">
      <c r="A187" s="96">
        <v>182</v>
      </c>
      <c r="B187" s="101"/>
      <c r="C187" s="102"/>
      <c r="D187" s="103"/>
      <c r="E187" s="235"/>
      <c r="F187" s="104"/>
      <c r="G187" s="104"/>
      <c r="H187" s="105">
        <f t="shared" si="2"/>
        <v>0</v>
      </c>
      <c r="L187" s="106"/>
      <c r="M187" s="106"/>
      <c r="N187" s="106"/>
    </row>
    <row r="188" spans="1:14" ht="14.75" customHeight="1" x14ac:dyDescent="0.4">
      <c r="A188" s="96">
        <v>183</v>
      </c>
      <c r="B188" s="101"/>
      <c r="C188" s="102"/>
      <c r="D188" s="103"/>
      <c r="E188" s="235"/>
      <c r="F188" s="104"/>
      <c r="G188" s="104"/>
      <c r="H188" s="105">
        <f t="shared" si="2"/>
        <v>0</v>
      </c>
      <c r="L188" s="106"/>
      <c r="M188" s="106"/>
      <c r="N188" s="106"/>
    </row>
    <row r="189" spans="1:14" ht="14.75" customHeight="1" x14ac:dyDescent="0.4">
      <c r="A189" s="96">
        <v>184</v>
      </c>
      <c r="B189" s="101"/>
      <c r="C189" s="102"/>
      <c r="D189" s="103"/>
      <c r="E189" s="235"/>
      <c r="F189" s="104"/>
      <c r="G189" s="104"/>
      <c r="H189" s="105">
        <f t="shared" si="2"/>
        <v>0</v>
      </c>
      <c r="L189" s="106"/>
      <c r="M189" s="106"/>
      <c r="N189" s="106"/>
    </row>
    <row r="190" spans="1:14" ht="14.75" customHeight="1" x14ac:dyDescent="0.4">
      <c r="A190" s="96">
        <v>185</v>
      </c>
      <c r="B190" s="101"/>
      <c r="C190" s="102"/>
      <c r="D190" s="103"/>
      <c r="E190" s="235"/>
      <c r="F190" s="104"/>
      <c r="G190" s="104"/>
      <c r="H190" s="105">
        <f t="shared" si="2"/>
        <v>0</v>
      </c>
      <c r="L190" s="106"/>
      <c r="M190" s="106"/>
      <c r="N190" s="106"/>
    </row>
    <row r="191" spans="1:14" ht="14.75" customHeight="1" x14ac:dyDescent="0.4">
      <c r="A191" s="96">
        <v>186</v>
      </c>
      <c r="B191" s="101"/>
      <c r="C191" s="102"/>
      <c r="D191" s="103"/>
      <c r="E191" s="235"/>
      <c r="F191" s="104"/>
      <c r="G191" s="104"/>
      <c r="H191" s="105">
        <f t="shared" si="2"/>
        <v>0</v>
      </c>
      <c r="L191" s="106"/>
      <c r="M191" s="106"/>
      <c r="N191" s="106"/>
    </row>
    <row r="192" spans="1:14" ht="14.75" customHeight="1" x14ac:dyDescent="0.4">
      <c r="A192" s="96">
        <v>187</v>
      </c>
      <c r="B192" s="101"/>
      <c r="C192" s="102"/>
      <c r="D192" s="103"/>
      <c r="E192" s="235"/>
      <c r="F192" s="104"/>
      <c r="G192" s="104"/>
      <c r="H192" s="105">
        <f t="shared" si="2"/>
        <v>0</v>
      </c>
      <c r="L192" s="106"/>
      <c r="M192" s="106"/>
      <c r="N192" s="106"/>
    </row>
    <row r="193" spans="1:14" ht="14.75" customHeight="1" x14ac:dyDescent="0.4">
      <c r="A193" s="96">
        <v>188</v>
      </c>
      <c r="B193" s="101"/>
      <c r="C193" s="102"/>
      <c r="D193" s="103"/>
      <c r="E193" s="235"/>
      <c r="F193" s="104"/>
      <c r="G193" s="104"/>
      <c r="H193" s="105">
        <f t="shared" si="2"/>
        <v>0</v>
      </c>
      <c r="L193" s="106"/>
      <c r="M193" s="106"/>
      <c r="N193" s="106"/>
    </row>
    <row r="194" spans="1:14" ht="14.75" customHeight="1" x14ac:dyDescent="0.4">
      <c r="A194" s="96">
        <v>189</v>
      </c>
      <c r="B194" s="101"/>
      <c r="C194" s="102"/>
      <c r="D194" s="103"/>
      <c r="E194" s="235"/>
      <c r="F194" s="104"/>
      <c r="G194" s="104"/>
      <c r="H194" s="105">
        <f t="shared" si="2"/>
        <v>0</v>
      </c>
      <c r="L194" s="106"/>
      <c r="M194" s="106"/>
      <c r="N194" s="106"/>
    </row>
    <row r="195" spans="1:14" ht="14.75" customHeight="1" x14ac:dyDescent="0.4">
      <c r="A195" s="96">
        <v>190</v>
      </c>
      <c r="B195" s="101"/>
      <c r="C195" s="102"/>
      <c r="D195" s="103"/>
      <c r="E195" s="235"/>
      <c r="F195" s="104"/>
      <c r="G195" s="104"/>
      <c r="H195" s="105">
        <f t="shared" si="2"/>
        <v>0</v>
      </c>
      <c r="L195" s="106"/>
      <c r="M195" s="106"/>
      <c r="N195" s="106"/>
    </row>
    <row r="196" spans="1:14" ht="14.75" customHeight="1" x14ac:dyDescent="0.4">
      <c r="A196" s="96">
        <v>191</v>
      </c>
      <c r="B196" s="101"/>
      <c r="C196" s="102"/>
      <c r="D196" s="103"/>
      <c r="E196" s="235"/>
      <c r="F196" s="104"/>
      <c r="G196" s="104"/>
      <c r="H196" s="105">
        <f t="shared" si="2"/>
        <v>0</v>
      </c>
      <c r="L196" s="106"/>
      <c r="M196" s="106"/>
      <c r="N196" s="106"/>
    </row>
    <row r="197" spans="1:14" ht="14.75" customHeight="1" x14ac:dyDescent="0.4">
      <c r="A197" s="96">
        <v>192</v>
      </c>
      <c r="B197" s="101"/>
      <c r="C197" s="102"/>
      <c r="D197" s="103"/>
      <c r="E197" s="235"/>
      <c r="F197" s="104"/>
      <c r="G197" s="104"/>
      <c r="H197" s="105">
        <f t="shared" si="2"/>
        <v>0</v>
      </c>
      <c r="L197" s="106"/>
      <c r="M197" s="106"/>
      <c r="N197" s="106"/>
    </row>
    <row r="198" spans="1:14" ht="14.75" customHeight="1" x14ac:dyDescent="0.4">
      <c r="A198" s="96">
        <v>193</v>
      </c>
      <c r="B198" s="101"/>
      <c r="C198" s="102"/>
      <c r="D198" s="103"/>
      <c r="E198" s="235"/>
      <c r="F198" s="104"/>
      <c r="G198" s="104"/>
      <c r="H198" s="105">
        <f t="shared" si="2"/>
        <v>0</v>
      </c>
      <c r="L198" s="106"/>
      <c r="M198" s="106"/>
      <c r="N198" s="106"/>
    </row>
    <row r="199" spans="1:14" ht="14.75" customHeight="1" x14ac:dyDescent="0.4">
      <c r="A199" s="96">
        <v>194</v>
      </c>
      <c r="B199" s="101"/>
      <c r="C199" s="102"/>
      <c r="D199" s="103"/>
      <c r="E199" s="235"/>
      <c r="F199" s="104"/>
      <c r="G199" s="104"/>
      <c r="H199" s="105">
        <f t="shared" si="2"/>
        <v>0</v>
      </c>
      <c r="L199" s="106"/>
      <c r="M199" s="106"/>
      <c r="N199" s="106"/>
    </row>
    <row r="200" spans="1:14" ht="14.75" customHeight="1" x14ac:dyDescent="0.4">
      <c r="A200" s="96">
        <v>195</v>
      </c>
      <c r="B200" s="101"/>
      <c r="C200" s="102"/>
      <c r="D200" s="103"/>
      <c r="E200" s="235"/>
      <c r="F200" s="104"/>
      <c r="G200" s="104"/>
      <c r="H200" s="105">
        <f t="shared" si="2"/>
        <v>0</v>
      </c>
      <c r="L200" s="106"/>
      <c r="M200" s="106"/>
      <c r="N200" s="106"/>
    </row>
    <row r="201" spans="1:14" ht="14.75" customHeight="1" x14ac:dyDescent="0.4">
      <c r="A201" s="96">
        <v>196</v>
      </c>
      <c r="B201" s="101"/>
      <c r="C201" s="102"/>
      <c r="D201" s="103"/>
      <c r="E201" s="235"/>
      <c r="F201" s="104"/>
      <c r="G201" s="104"/>
      <c r="H201" s="105">
        <f t="shared" ref="H201:H264" si="3">H200+F201-G201</f>
        <v>0</v>
      </c>
      <c r="L201" s="106"/>
      <c r="M201" s="106"/>
      <c r="N201" s="106"/>
    </row>
    <row r="202" spans="1:14" ht="14.75" customHeight="1" x14ac:dyDescent="0.4">
      <c r="A202" s="96">
        <v>197</v>
      </c>
      <c r="B202" s="101"/>
      <c r="C202" s="102"/>
      <c r="D202" s="103"/>
      <c r="E202" s="235"/>
      <c r="F202" s="104"/>
      <c r="G202" s="104"/>
      <c r="H202" s="105">
        <f t="shared" si="3"/>
        <v>0</v>
      </c>
      <c r="L202" s="106"/>
      <c r="M202" s="106"/>
      <c r="N202" s="106"/>
    </row>
    <row r="203" spans="1:14" ht="14.75" customHeight="1" x14ac:dyDescent="0.4">
      <c r="A203" s="96">
        <v>198</v>
      </c>
      <c r="B203" s="101"/>
      <c r="C203" s="102"/>
      <c r="D203" s="103"/>
      <c r="E203" s="235"/>
      <c r="F203" s="104"/>
      <c r="G203" s="104"/>
      <c r="H203" s="105">
        <f t="shared" si="3"/>
        <v>0</v>
      </c>
      <c r="L203" s="106"/>
      <c r="M203" s="106"/>
      <c r="N203" s="106"/>
    </row>
    <row r="204" spans="1:14" ht="14.75" customHeight="1" x14ac:dyDescent="0.4">
      <c r="A204" s="96">
        <v>199</v>
      </c>
      <c r="B204" s="101"/>
      <c r="C204" s="102"/>
      <c r="D204" s="103"/>
      <c r="E204" s="235"/>
      <c r="F204" s="104"/>
      <c r="G204" s="104"/>
      <c r="H204" s="105">
        <f t="shared" si="3"/>
        <v>0</v>
      </c>
      <c r="L204" s="106"/>
      <c r="M204" s="106"/>
      <c r="N204" s="106"/>
    </row>
    <row r="205" spans="1:14" ht="14.75" customHeight="1" x14ac:dyDescent="0.4">
      <c r="A205" s="96">
        <v>200</v>
      </c>
      <c r="B205" s="101"/>
      <c r="C205" s="102"/>
      <c r="D205" s="103"/>
      <c r="E205" s="235"/>
      <c r="F205" s="104"/>
      <c r="G205" s="104"/>
      <c r="H205" s="105">
        <f t="shared" si="3"/>
        <v>0</v>
      </c>
      <c r="L205" s="106"/>
      <c r="M205" s="106"/>
      <c r="N205" s="106"/>
    </row>
    <row r="206" spans="1:14" ht="14.75" customHeight="1" x14ac:dyDescent="0.4">
      <c r="A206" s="96">
        <v>201</v>
      </c>
      <c r="B206" s="101"/>
      <c r="C206" s="102"/>
      <c r="D206" s="103"/>
      <c r="E206" s="235"/>
      <c r="F206" s="104"/>
      <c r="G206" s="104"/>
      <c r="H206" s="105">
        <f t="shared" si="3"/>
        <v>0</v>
      </c>
      <c r="L206" s="106"/>
      <c r="M206" s="106"/>
      <c r="N206" s="106"/>
    </row>
    <row r="207" spans="1:14" ht="14.75" customHeight="1" x14ac:dyDescent="0.4">
      <c r="A207" s="96">
        <v>202</v>
      </c>
      <c r="B207" s="101"/>
      <c r="C207" s="102"/>
      <c r="D207" s="103"/>
      <c r="E207" s="235"/>
      <c r="F207" s="104"/>
      <c r="G207" s="104"/>
      <c r="H207" s="105">
        <f t="shared" si="3"/>
        <v>0</v>
      </c>
      <c r="L207" s="106"/>
      <c r="M207" s="106"/>
      <c r="N207" s="106"/>
    </row>
    <row r="208" spans="1:14" ht="14.75" customHeight="1" x14ac:dyDescent="0.4">
      <c r="A208" s="96">
        <v>203</v>
      </c>
      <c r="B208" s="101"/>
      <c r="C208" s="102"/>
      <c r="D208" s="103"/>
      <c r="E208" s="235"/>
      <c r="F208" s="104"/>
      <c r="G208" s="104"/>
      <c r="H208" s="105">
        <f t="shared" si="3"/>
        <v>0</v>
      </c>
      <c r="L208" s="106"/>
      <c r="M208" s="106"/>
      <c r="N208" s="106"/>
    </row>
    <row r="209" spans="1:14" ht="14.75" customHeight="1" x14ac:dyDescent="0.4">
      <c r="A209" s="96">
        <v>204</v>
      </c>
      <c r="B209" s="101"/>
      <c r="C209" s="102"/>
      <c r="D209" s="103"/>
      <c r="E209" s="235"/>
      <c r="F209" s="104"/>
      <c r="G209" s="104"/>
      <c r="H209" s="105">
        <f t="shared" si="3"/>
        <v>0</v>
      </c>
      <c r="L209" s="106"/>
      <c r="M209" s="106"/>
      <c r="N209" s="106"/>
    </row>
    <row r="210" spans="1:14" ht="14.75" customHeight="1" x14ac:dyDescent="0.4">
      <c r="A210" s="96">
        <v>205</v>
      </c>
      <c r="B210" s="101"/>
      <c r="C210" s="102"/>
      <c r="D210" s="103"/>
      <c r="E210" s="235"/>
      <c r="F210" s="104"/>
      <c r="G210" s="104"/>
      <c r="H210" s="105">
        <f t="shared" si="3"/>
        <v>0</v>
      </c>
      <c r="L210" s="106"/>
      <c r="M210" s="106"/>
      <c r="N210" s="106"/>
    </row>
    <row r="211" spans="1:14" ht="14.75" customHeight="1" x14ac:dyDescent="0.4">
      <c r="A211" s="96">
        <v>206</v>
      </c>
      <c r="B211" s="101"/>
      <c r="C211" s="102"/>
      <c r="D211" s="103"/>
      <c r="E211" s="235"/>
      <c r="F211" s="104"/>
      <c r="G211" s="104"/>
      <c r="H211" s="105">
        <f t="shared" si="3"/>
        <v>0</v>
      </c>
      <c r="L211" s="106"/>
      <c r="M211" s="106"/>
      <c r="N211" s="106"/>
    </row>
    <row r="212" spans="1:14" ht="14.75" customHeight="1" x14ac:dyDescent="0.4">
      <c r="A212" s="96">
        <v>207</v>
      </c>
      <c r="B212" s="101"/>
      <c r="C212" s="102"/>
      <c r="D212" s="103"/>
      <c r="E212" s="235"/>
      <c r="F212" s="104"/>
      <c r="G212" s="104"/>
      <c r="H212" s="105">
        <f t="shared" si="3"/>
        <v>0</v>
      </c>
      <c r="L212" s="106"/>
      <c r="M212" s="106"/>
      <c r="N212" s="106"/>
    </row>
    <row r="213" spans="1:14" ht="14.75" customHeight="1" x14ac:dyDescent="0.4">
      <c r="A213" s="96">
        <v>208</v>
      </c>
      <c r="B213" s="101"/>
      <c r="C213" s="102"/>
      <c r="D213" s="103"/>
      <c r="E213" s="235"/>
      <c r="F213" s="104"/>
      <c r="G213" s="104"/>
      <c r="H213" s="105">
        <f t="shared" si="3"/>
        <v>0</v>
      </c>
      <c r="L213" s="106"/>
      <c r="M213" s="106"/>
      <c r="N213" s="106"/>
    </row>
    <row r="214" spans="1:14" ht="14.75" customHeight="1" x14ac:dyDescent="0.4">
      <c r="A214" s="96">
        <v>209</v>
      </c>
      <c r="B214" s="101"/>
      <c r="C214" s="102"/>
      <c r="D214" s="103"/>
      <c r="E214" s="235"/>
      <c r="F214" s="104"/>
      <c r="G214" s="104"/>
      <c r="H214" s="105">
        <f t="shared" si="3"/>
        <v>0</v>
      </c>
      <c r="L214" s="106"/>
      <c r="M214" s="106"/>
      <c r="N214" s="106"/>
    </row>
    <row r="215" spans="1:14" ht="14.75" customHeight="1" x14ac:dyDescent="0.4">
      <c r="A215" s="96">
        <v>210</v>
      </c>
      <c r="B215" s="101"/>
      <c r="C215" s="102"/>
      <c r="D215" s="103"/>
      <c r="E215" s="235"/>
      <c r="F215" s="104"/>
      <c r="G215" s="104"/>
      <c r="H215" s="105">
        <f t="shared" si="3"/>
        <v>0</v>
      </c>
      <c r="L215" s="106"/>
      <c r="M215" s="106"/>
      <c r="N215" s="106"/>
    </row>
    <row r="216" spans="1:14" ht="14.75" customHeight="1" x14ac:dyDescent="0.4">
      <c r="A216" s="96">
        <v>211</v>
      </c>
      <c r="B216" s="101"/>
      <c r="C216" s="102"/>
      <c r="D216" s="103"/>
      <c r="E216" s="235"/>
      <c r="F216" s="104"/>
      <c r="G216" s="104"/>
      <c r="H216" s="105">
        <f t="shared" si="3"/>
        <v>0</v>
      </c>
      <c r="L216" s="106"/>
      <c r="M216" s="106"/>
      <c r="N216" s="106"/>
    </row>
    <row r="217" spans="1:14" ht="14.75" customHeight="1" x14ac:dyDescent="0.4">
      <c r="A217" s="96">
        <v>212</v>
      </c>
      <c r="B217" s="101"/>
      <c r="C217" s="102"/>
      <c r="D217" s="103"/>
      <c r="E217" s="235"/>
      <c r="F217" s="104"/>
      <c r="G217" s="104"/>
      <c r="H217" s="105">
        <f t="shared" si="3"/>
        <v>0</v>
      </c>
      <c r="L217" s="106"/>
      <c r="M217" s="106"/>
      <c r="N217" s="106"/>
    </row>
    <row r="218" spans="1:14" ht="14.75" customHeight="1" x14ac:dyDescent="0.4">
      <c r="A218" s="96">
        <v>213</v>
      </c>
      <c r="B218" s="101"/>
      <c r="C218" s="102"/>
      <c r="D218" s="103"/>
      <c r="E218" s="235"/>
      <c r="F218" s="104"/>
      <c r="G218" s="104"/>
      <c r="H218" s="105">
        <f t="shared" si="3"/>
        <v>0</v>
      </c>
      <c r="L218" s="106"/>
      <c r="M218" s="106"/>
      <c r="N218" s="106"/>
    </row>
    <row r="219" spans="1:14" ht="14.75" customHeight="1" x14ac:dyDescent="0.4">
      <c r="A219" s="96">
        <v>214</v>
      </c>
      <c r="B219" s="101"/>
      <c r="C219" s="102"/>
      <c r="D219" s="103"/>
      <c r="E219" s="235"/>
      <c r="F219" s="104"/>
      <c r="G219" s="104"/>
      <c r="H219" s="105">
        <f t="shared" si="3"/>
        <v>0</v>
      </c>
      <c r="L219" s="106"/>
      <c r="M219" s="106"/>
      <c r="N219" s="106"/>
    </row>
    <row r="220" spans="1:14" ht="14.75" customHeight="1" x14ac:dyDescent="0.4">
      <c r="A220" s="96">
        <v>215</v>
      </c>
      <c r="B220" s="101"/>
      <c r="C220" s="102"/>
      <c r="D220" s="103"/>
      <c r="E220" s="235"/>
      <c r="F220" s="104"/>
      <c r="G220" s="104"/>
      <c r="H220" s="105">
        <f t="shared" si="3"/>
        <v>0</v>
      </c>
      <c r="L220" s="106"/>
      <c r="M220" s="106"/>
      <c r="N220" s="106"/>
    </row>
    <row r="221" spans="1:14" ht="14.75" customHeight="1" x14ac:dyDescent="0.4">
      <c r="A221" s="96">
        <v>216</v>
      </c>
      <c r="B221" s="101"/>
      <c r="C221" s="102"/>
      <c r="D221" s="103"/>
      <c r="E221" s="235"/>
      <c r="F221" s="104"/>
      <c r="G221" s="104"/>
      <c r="H221" s="105">
        <f t="shared" si="3"/>
        <v>0</v>
      </c>
      <c r="L221" s="106"/>
      <c r="M221" s="106"/>
      <c r="N221" s="106"/>
    </row>
    <row r="222" spans="1:14" ht="14.75" customHeight="1" x14ac:dyDescent="0.4">
      <c r="A222" s="96">
        <v>217</v>
      </c>
      <c r="B222" s="101"/>
      <c r="C222" s="102"/>
      <c r="D222" s="103"/>
      <c r="E222" s="235"/>
      <c r="F222" s="104"/>
      <c r="G222" s="104"/>
      <c r="H222" s="105">
        <f t="shared" si="3"/>
        <v>0</v>
      </c>
      <c r="L222" s="106"/>
      <c r="M222" s="106"/>
      <c r="N222" s="106"/>
    </row>
    <row r="223" spans="1:14" ht="14.75" customHeight="1" x14ac:dyDescent="0.4">
      <c r="A223" s="96">
        <v>218</v>
      </c>
      <c r="B223" s="101"/>
      <c r="C223" s="102"/>
      <c r="D223" s="103"/>
      <c r="E223" s="235"/>
      <c r="F223" s="104"/>
      <c r="G223" s="104"/>
      <c r="H223" s="105">
        <f t="shared" si="3"/>
        <v>0</v>
      </c>
      <c r="L223" s="106"/>
      <c r="M223" s="106"/>
      <c r="N223" s="106"/>
    </row>
    <row r="224" spans="1:14" ht="14.75" customHeight="1" x14ac:dyDescent="0.4">
      <c r="A224" s="96">
        <v>219</v>
      </c>
      <c r="B224" s="101"/>
      <c r="C224" s="102"/>
      <c r="D224" s="103"/>
      <c r="E224" s="235"/>
      <c r="F224" s="104"/>
      <c r="G224" s="104"/>
      <c r="H224" s="105">
        <f t="shared" si="3"/>
        <v>0</v>
      </c>
      <c r="L224" s="106"/>
      <c r="M224" s="106"/>
      <c r="N224" s="106"/>
    </row>
    <row r="225" spans="1:14" ht="14.75" customHeight="1" x14ac:dyDescent="0.4">
      <c r="A225" s="96">
        <v>220</v>
      </c>
      <c r="B225" s="101"/>
      <c r="C225" s="102"/>
      <c r="D225" s="103"/>
      <c r="E225" s="235"/>
      <c r="F225" s="104"/>
      <c r="G225" s="104"/>
      <c r="H225" s="105">
        <f t="shared" si="3"/>
        <v>0</v>
      </c>
      <c r="L225" s="106"/>
      <c r="M225" s="106"/>
      <c r="N225" s="106"/>
    </row>
    <row r="226" spans="1:14" ht="14.75" customHeight="1" x14ac:dyDescent="0.4">
      <c r="A226" s="96">
        <v>221</v>
      </c>
      <c r="B226" s="101"/>
      <c r="C226" s="102"/>
      <c r="D226" s="103"/>
      <c r="E226" s="235"/>
      <c r="F226" s="104"/>
      <c r="G226" s="104"/>
      <c r="H226" s="105">
        <f t="shared" si="3"/>
        <v>0</v>
      </c>
      <c r="L226" s="106"/>
      <c r="M226" s="106"/>
      <c r="N226" s="106"/>
    </row>
    <row r="227" spans="1:14" ht="14.75" customHeight="1" x14ac:dyDescent="0.4">
      <c r="A227" s="96">
        <v>222</v>
      </c>
      <c r="B227" s="101"/>
      <c r="C227" s="102"/>
      <c r="D227" s="103"/>
      <c r="E227" s="235"/>
      <c r="F227" s="104"/>
      <c r="G227" s="104"/>
      <c r="H227" s="105">
        <f t="shared" si="3"/>
        <v>0</v>
      </c>
      <c r="L227" s="106"/>
      <c r="M227" s="106"/>
      <c r="N227" s="106"/>
    </row>
    <row r="228" spans="1:14" ht="14.75" customHeight="1" x14ac:dyDescent="0.4">
      <c r="A228" s="96">
        <v>223</v>
      </c>
      <c r="B228" s="101"/>
      <c r="C228" s="102"/>
      <c r="D228" s="103"/>
      <c r="E228" s="235"/>
      <c r="F228" s="104"/>
      <c r="G228" s="104"/>
      <c r="H228" s="105">
        <f t="shared" si="3"/>
        <v>0</v>
      </c>
      <c r="L228" s="106"/>
      <c r="M228" s="106"/>
      <c r="N228" s="106"/>
    </row>
    <row r="229" spans="1:14" ht="14.75" customHeight="1" x14ac:dyDescent="0.4">
      <c r="A229" s="96">
        <v>224</v>
      </c>
      <c r="B229" s="101"/>
      <c r="C229" s="102"/>
      <c r="D229" s="103"/>
      <c r="E229" s="235"/>
      <c r="F229" s="104"/>
      <c r="G229" s="104"/>
      <c r="H229" s="105">
        <f t="shared" si="3"/>
        <v>0</v>
      </c>
      <c r="L229" s="106"/>
      <c r="M229" s="106"/>
      <c r="N229" s="106"/>
    </row>
    <row r="230" spans="1:14" ht="14.75" customHeight="1" x14ac:dyDescent="0.4">
      <c r="A230" s="96">
        <v>225</v>
      </c>
      <c r="B230" s="101"/>
      <c r="C230" s="102"/>
      <c r="D230" s="103"/>
      <c r="E230" s="235"/>
      <c r="F230" s="104"/>
      <c r="G230" s="104"/>
      <c r="H230" s="105">
        <f t="shared" si="3"/>
        <v>0</v>
      </c>
      <c r="L230" s="106"/>
      <c r="M230" s="106"/>
      <c r="N230" s="106"/>
    </row>
    <row r="231" spans="1:14" ht="14.75" customHeight="1" x14ac:dyDescent="0.4">
      <c r="A231" s="96">
        <v>226</v>
      </c>
      <c r="B231" s="101"/>
      <c r="C231" s="102"/>
      <c r="D231" s="103"/>
      <c r="E231" s="235"/>
      <c r="F231" s="104"/>
      <c r="G231" s="104"/>
      <c r="H231" s="105">
        <f t="shared" si="3"/>
        <v>0</v>
      </c>
      <c r="L231" s="106"/>
      <c r="M231" s="106"/>
      <c r="N231" s="106"/>
    </row>
    <row r="232" spans="1:14" ht="14.75" customHeight="1" x14ac:dyDescent="0.4">
      <c r="A232" s="96">
        <v>227</v>
      </c>
      <c r="B232" s="101"/>
      <c r="C232" s="102"/>
      <c r="D232" s="103"/>
      <c r="E232" s="235"/>
      <c r="F232" s="104"/>
      <c r="G232" s="104"/>
      <c r="H232" s="105">
        <f t="shared" si="3"/>
        <v>0</v>
      </c>
      <c r="L232" s="106"/>
      <c r="M232" s="106"/>
      <c r="N232" s="106"/>
    </row>
    <row r="233" spans="1:14" ht="14.75" customHeight="1" x14ac:dyDescent="0.4">
      <c r="A233" s="96">
        <v>228</v>
      </c>
      <c r="B233" s="101"/>
      <c r="C233" s="102"/>
      <c r="D233" s="103"/>
      <c r="E233" s="235"/>
      <c r="F233" s="104"/>
      <c r="G233" s="104"/>
      <c r="H233" s="105">
        <f t="shared" si="3"/>
        <v>0</v>
      </c>
      <c r="L233" s="106"/>
      <c r="M233" s="106"/>
      <c r="N233" s="106"/>
    </row>
    <row r="234" spans="1:14" ht="14.75" customHeight="1" x14ac:dyDescent="0.4">
      <c r="A234" s="96">
        <v>229</v>
      </c>
      <c r="B234" s="101"/>
      <c r="C234" s="102"/>
      <c r="D234" s="103"/>
      <c r="E234" s="235"/>
      <c r="F234" s="104"/>
      <c r="G234" s="104"/>
      <c r="H234" s="105">
        <f t="shared" si="3"/>
        <v>0</v>
      </c>
      <c r="L234" s="106"/>
      <c r="M234" s="106"/>
      <c r="N234" s="106"/>
    </row>
    <row r="235" spans="1:14" ht="14.75" customHeight="1" x14ac:dyDescent="0.4">
      <c r="A235" s="96">
        <v>230</v>
      </c>
      <c r="B235" s="101"/>
      <c r="C235" s="102"/>
      <c r="D235" s="103"/>
      <c r="E235" s="235"/>
      <c r="F235" s="104"/>
      <c r="G235" s="104"/>
      <c r="H235" s="105">
        <f t="shared" si="3"/>
        <v>0</v>
      </c>
      <c r="L235" s="106"/>
      <c r="M235" s="106"/>
      <c r="N235" s="106"/>
    </row>
    <row r="236" spans="1:14" ht="14.75" customHeight="1" x14ac:dyDescent="0.4">
      <c r="A236" s="96">
        <v>231</v>
      </c>
      <c r="B236" s="101"/>
      <c r="C236" s="102"/>
      <c r="D236" s="103"/>
      <c r="E236" s="235"/>
      <c r="F236" s="104"/>
      <c r="G236" s="104"/>
      <c r="H236" s="105">
        <f t="shared" si="3"/>
        <v>0</v>
      </c>
      <c r="L236" s="106"/>
      <c r="M236" s="106"/>
      <c r="N236" s="106"/>
    </row>
    <row r="237" spans="1:14" ht="14.75" customHeight="1" x14ac:dyDescent="0.4">
      <c r="A237" s="96">
        <v>232</v>
      </c>
      <c r="B237" s="101"/>
      <c r="C237" s="102"/>
      <c r="D237" s="103"/>
      <c r="E237" s="235"/>
      <c r="F237" s="104"/>
      <c r="G237" s="104"/>
      <c r="H237" s="105">
        <f t="shared" si="3"/>
        <v>0</v>
      </c>
      <c r="L237" s="106"/>
      <c r="M237" s="106"/>
      <c r="N237" s="106"/>
    </row>
    <row r="238" spans="1:14" ht="14.75" customHeight="1" x14ac:dyDescent="0.4">
      <c r="A238" s="96">
        <v>233</v>
      </c>
      <c r="B238" s="101"/>
      <c r="C238" s="102"/>
      <c r="D238" s="103"/>
      <c r="E238" s="235"/>
      <c r="F238" s="104"/>
      <c r="G238" s="104"/>
      <c r="H238" s="105">
        <f t="shared" si="3"/>
        <v>0</v>
      </c>
      <c r="L238" s="106"/>
      <c r="M238" s="106"/>
      <c r="N238" s="106"/>
    </row>
    <row r="239" spans="1:14" ht="14.75" customHeight="1" x14ac:dyDescent="0.4">
      <c r="A239" s="96">
        <v>234</v>
      </c>
      <c r="B239" s="101"/>
      <c r="C239" s="102"/>
      <c r="D239" s="103"/>
      <c r="E239" s="235"/>
      <c r="F239" s="104"/>
      <c r="G239" s="104"/>
      <c r="H239" s="105">
        <f t="shared" si="3"/>
        <v>0</v>
      </c>
      <c r="L239" s="106"/>
      <c r="M239" s="106"/>
      <c r="N239" s="106"/>
    </row>
    <row r="240" spans="1:14" ht="14.75" customHeight="1" x14ac:dyDescent="0.4">
      <c r="A240" s="96">
        <v>235</v>
      </c>
      <c r="B240" s="101"/>
      <c r="C240" s="102"/>
      <c r="D240" s="103"/>
      <c r="E240" s="235"/>
      <c r="F240" s="104"/>
      <c r="G240" s="104"/>
      <c r="H240" s="105">
        <f t="shared" si="3"/>
        <v>0</v>
      </c>
      <c r="L240" s="106"/>
      <c r="M240" s="106"/>
      <c r="N240" s="106"/>
    </row>
    <row r="241" spans="1:14" ht="14.75" customHeight="1" x14ac:dyDescent="0.4">
      <c r="A241" s="96">
        <v>236</v>
      </c>
      <c r="B241" s="101"/>
      <c r="C241" s="102"/>
      <c r="D241" s="103"/>
      <c r="E241" s="235"/>
      <c r="F241" s="104"/>
      <c r="G241" s="104"/>
      <c r="H241" s="105">
        <f t="shared" si="3"/>
        <v>0</v>
      </c>
      <c r="L241" s="106"/>
      <c r="M241" s="106"/>
      <c r="N241" s="106"/>
    </row>
    <row r="242" spans="1:14" ht="14.75" customHeight="1" x14ac:dyDescent="0.4">
      <c r="A242" s="96">
        <v>237</v>
      </c>
      <c r="B242" s="101"/>
      <c r="C242" s="102"/>
      <c r="D242" s="103"/>
      <c r="E242" s="235"/>
      <c r="F242" s="104"/>
      <c r="G242" s="104"/>
      <c r="H242" s="105">
        <f t="shared" si="3"/>
        <v>0</v>
      </c>
      <c r="L242" s="106"/>
      <c r="M242" s="106"/>
      <c r="N242" s="106"/>
    </row>
    <row r="243" spans="1:14" ht="14.75" customHeight="1" x14ac:dyDescent="0.4">
      <c r="A243" s="96">
        <v>238</v>
      </c>
      <c r="B243" s="101"/>
      <c r="C243" s="102"/>
      <c r="D243" s="103"/>
      <c r="E243" s="235"/>
      <c r="F243" s="104"/>
      <c r="G243" s="104"/>
      <c r="H243" s="105">
        <f t="shared" si="3"/>
        <v>0</v>
      </c>
      <c r="L243" s="106"/>
      <c r="M243" s="106"/>
      <c r="N243" s="106"/>
    </row>
    <row r="244" spans="1:14" ht="14.75" customHeight="1" x14ac:dyDescent="0.4">
      <c r="A244" s="96">
        <v>239</v>
      </c>
      <c r="B244" s="101"/>
      <c r="C244" s="102"/>
      <c r="D244" s="103"/>
      <c r="E244" s="235"/>
      <c r="F244" s="104"/>
      <c r="G244" s="104"/>
      <c r="H244" s="105">
        <f t="shared" si="3"/>
        <v>0</v>
      </c>
      <c r="L244" s="106"/>
      <c r="M244" s="106"/>
      <c r="N244" s="106"/>
    </row>
    <row r="245" spans="1:14" ht="14.75" customHeight="1" x14ac:dyDescent="0.4">
      <c r="A245" s="96">
        <v>240</v>
      </c>
      <c r="B245" s="101"/>
      <c r="C245" s="102"/>
      <c r="D245" s="103"/>
      <c r="E245" s="235"/>
      <c r="F245" s="104"/>
      <c r="G245" s="104"/>
      <c r="H245" s="105">
        <f t="shared" si="3"/>
        <v>0</v>
      </c>
      <c r="L245" s="106"/>
      <c r="M245" s="106"/>
      <c r="N245" s="106"/>
    </row>
    <row r="246" spans="1:14" ht="14.75" customHeight="1" x14ac:dyDescent="0.4">
      <c r="A246" s="96">
        <v>241</v>
      </c>
      <c r="B246" s="101"/>
      <c r="C246" s="102"/>
      <c r="D246" s="103"/>
      <c r="E246" s="235"/>
      <c r="F246" s="104"/>
      <c r="G246" s="104"/>
      <c r="H246" s="105">
        <f t="shared" si="3"/>
        <v>0</v>
      </c>
      <c r="L246" s="106"/>
      <c r="M246" s="106"/>
      <c r="N246" s="106"/>
    </row>
    <row r="247" spans="1:14" ht="14.75" customHeight="1" x14ac:dyDescent="0.4">
      <c r="A247" s="96">
        <v>242</v>
      </c>
      <c r="B247" s="101"/>
      <c r="C247" s="102"/>
      <c r="D247" s="103"/>
      <c r="E247" s="235"/>
      <c r="F247" s="104"/>
      <c r="G247" s="104"/>
      <c r="H247" s="105">
        <f t="shared" si="3"/>
        <v>0</v>
      </c>
      <c r="L247" s="106"/>
      <c r="M247" s="106"/>
      <c r="N247" s="106"/>
    </row>
    <row r="248" spans="1:14" ht="14.75" customHeight="1" x14ac:dyDescent="0.4">
      <c r="A248" s="96">
        <v>243</v>
      </c>
      <c r="B248" s="101"/>
      <c r="C248" s="102"/>
      <c r="D248" s="103"/>
      <c r="E248" s="235"/>
      <c r="F248" s="104"/>
      <c r="G248" s="104"/>
      <c r="H248" s="105">
        <f t="shared" si="3"/>
        <v>0</v>
      </c>
      <c r="L248" s="106"/>
      <c r="M248" s="106"/>
      <c r="N248" s="106"/>
    </row>
    <row r="249" spans="1:14" ht="14.75" customHeight="1" x14ac:dyDescent="0.4">
      <c r="A249" s="96">
        <v>244</v>
      </c>
      <c r="B249" s="101"/>
      <c r="C249" s="102"/>
      <c r="D249" s="103"/>
      <c r="E249" s="235"/>
      <c r="F249" s="104"/>
      <c r="G249" s="104"/>
      <c r="H249" s="105">
        <f t="shared" si="3"/>
        <v>0</v>
      </c>
      <c r="L249" s="106"/>
      <c r="M249" s="106"/>
      <c r="N249" s="106"/>
    </row>
    <row r="250" spans="1:14" ht="14.75" customHeight="1" x14ac:dyDescent="0.4">
      <c r="A250" s="96">
        <v>245</v>
      </c>
      <c r="B250" s="101"/>
      <c r="C250" s="102"/>
      <c r="D250" s="103"/>
      <c r="E250" s="235"/>
      <c r="F250" s="104"/>
      <c r="G250" s="104"/>
      <c r="H250" s="105">
        <f t="shared" si="3"/>
        <v>0</v>
      </c>
      <c r="L250" s="106"/>
      <c r="M250" s="106"/>
      <c r="N250" s="106"/>
    </row>
    <row r="251" spans="1:14" ht="14.75" customHeight="1" x14ac:dyDescent="0.4">
      <c r="A251" s="96">
        <v>246</v>
      </c>
      <c r="B251" s="101"/>
      <c r="C251" s="102"/>
      <c r="D251" s="103"/>
      <c r="E251" s="235"/>
      <c r="F251" s="104"/>
      <c r="G251" s="104"/>
      <c r="H251" s="105">
        <f t="shared" si="3"/>
        <v>0</v>
      </c>
      <c r="L251" s="106"/>
      <c r="M251" s="106"/>
      <c r="N251" s="106"/>
    </row>
    <row r="252" spans="1:14" ht="14.75" customHeight="1" x14ac:dyDescent="0.4">
      <c r="A252" s="96">
        <v>247</v>
      </c>
      <c r="B252" s="101"/>
      <c r="C252" s="102"/>
      <c r="D252" s="103"/>
      <c r="E252" s="235"/>
      <c r="F252" s="104"/>
      <c r="G252" s="104"/>
      <c r="H252" s="105">
        <f t="shared" si="3"/>
        <v>0</v>
      </c>
      <c r="L252" s="106"/>
      <c r="M252" s="106"/>
      <c r="N252" s="106"/>
    </row>
    <row r="253" spans="1:14" ht="14.75" customHeight="1" x14ac:dyDescent="0.4">
      <c r="A253" s="96">
        <v>248</v>
      </c>
      <c r="B253" s="101"/>
      <c r="C253" s="102"/>
      <c r="D253" s="103"/>
      <c r="E253" s="235"/>
      <c r="F253" s="104"/>
      <c r="G253" s="104"/>
      <c r="H253" s="105">
        <f t="shared" si="3"/>
        <v>0</v>
      </c>
      <c r="L253" s="106"/>
      <c r="M253" s="106"/>
      <c r="N253" s="106"/>
    </row>
    <row r="254" spans="1:14" ht="14.75" customHeight="1" x14ac:dyDescent="0.4">
      <c r="A254" s="96">
        <v>249</v>
      </c>
      <c r="B254" s="101"/>
      <c r="C254" s="102"/>
      <c r="D254" s="103"/>
      <c r="E254" s="235"/>
      <c r="F254" s="104"/>
      <c r="G254" s="104"/>
      <c r="H254" s="105">
        <f t="shared" si="3"/>
        <v>0</v>
      </c>
      <c r="L254" s="106"/>
      <c r="M254" s="106"/>
      <c r="N254" s="106"/>
    </row>
    <row r="255" spans="1:14" ht="14.75" customHeight="1" x14ac:dyDescent="0.4">
      <c r="A255" s="96">
        <v>250</v>
      </c>
      <c r="B255" s="101"/>
      <c r="C255" s="102"/>
      <c r="D255" s="103"/>
      <c r="E255" s="235"/>
      <c r="F255" s="104"/>
      <c r="G255" s="104"/>
      <c r="H255" s="105">
        <f t="shared" si="3"/>
        <v>0</v>
      </c>
      <c r="L255" s="106"/>
      <c r="M255" s="106"/>
      <c r="N255" s="106"/>
    </row>
    <row r="256" spans="1:14" ht="14.75" customHeight="1" x14ac:dyDescent="0.4">
      <c r="A256" s="96">
        <v>251</v>
      </c>
      <c r="B256" s="101"/>
      <c r="C256" s="102"/>
      <c r="D256" s="103"/>
      <c r="E256" s="235"/>
      <c r="F256" s="104"/>
      <c r="G256" s="104"/>
      <c r="H256" s="105">
        <f t="shared" si="3"/>
        <v>0</v>
      </c>
      <c r="L256" s="106"/>
      <c r="M256" s="106"/>
      <c r="N256" s="106"/>
    </row>
    <row r="257" spans="1:14" ht="14.75" customHeight="1" x14ac:dyDescent="0.4">
      <c r="A257" s="96">
        <v>252</v>
      </c>
      <c r="B257" s="101"/>
      <c r="C257" s="102"/>
      <c r="D257" s="103"/>
      <c r="E257" s="235"/>
      <c r="F257" s="104"/>
      <c r="G257" s="104"/>
      <c r="H257" s="105">
        <f t="shared" si="3"/>
        <v>0</v>
      </c>
      <c r="L257" s="106"/>
      <c r="M257" s="106"/>
      <c r="N257" s="106"/>
    </row>
    <row r="258" spans="1:14" ht="14.75" customHeight="1" x14ac:dyDescent="0.4">
      <c r="A258" s="96">
        <v>253</v>
      </c>
      <c r="B258" s="101"/>
      <c r="C258" s="102"/>
      <c r="D258" s="103"/>
      <c r="E258" s="235"/>
      <c r="F258" s="104"/>
      <c r="G258" s="104"/>
      <c r="H258" s="105">
        <f t="shared" si="3"/>
        <v>0</v>
      </c>
      <c r="L258" s="106"/>
      <c r="M258" s="106"/>
      <c r="N258" s="106"/>
    </row>
    <row r="259" spans="1:14" ht="14.75" customHeight="1" x14ac:dyDescent="0.4">
      <c r="A259" s="96">
        <v>254</v>
      </c>
      <c r="B259" s="101"/>
      <c r="C259" s="102"/>
      <c r="D259" s="103"/>
      <c r="E259" s="235"/>
      <c r="F259" s="104"/>
      <c r="G259" s="104"/>
      <c r="H259" s="105">
        <f t="shared" si="3"/>
        <v>0</v>
      </c>
      <c r="L259" s="106"/>
      <c r="M259" s="106"/>
      <c r="N259" s="106"/>
    </row>
    <row r="260" spans="1:14" ht="14.75" customHeight="1" x14ac:dyDescent="0.4">
      <c r="A260" s="96">
        <v>255</v>
      </c>
      <c r="B260" s="101"/>
      <c r="C260" s="102"/>
      <c r="D260" s="103"/>
      <c r="E260" s="235"/>
      <c r="F260" s="104"/>
      <c r="G260" s="104"/>
      <c r="H260" s="105">
        <f t="shared" si="3"/>
        <v>0</v>
      </c>
      <c r="L260" s="106"/>
      <c r="M260" s="106"/>
      <c r="N260" s="106"/>
    </row>
    <row r="261" spans="1:14" ht="14.75" customHeight="1" x14ac:dyDescent="0.4">
      <c r="A261" s="96">
        <v>256</v>
      </c>
      <c r="B261" s="101"/>
      <c r="C261" s="102"/>
      <c r="D261" s="103"/>
      <c r="E261" s="235"/>
      <c r="F261" s="104"/>
      <c r="G261" s="104"/>
      <c r="H261" s="105">
        <f t="shared" si="3"/>
        <v>0</v>
      </c>
      <c r="L261" s="106"/>
      <c r="M261" s="106"/>
      <c r="N261" s="106"/>
    </row>
    <row r="262" spans="1:14" ht="14.75" customHeight="1" x14ac:dyDescent="0.4">
      <c r="A262" s="96">
        <v>257</v>
      </c>
      <c r="B262" s="101"/>
      <c r="C262" s="102"/>
      <c r="D262" s="103"/>
      <c r="E262" s="235"/>
      <c r="F262" s="104"/>
      <c r="G262" s="104"/>
      <c r="H262" s="105">
        <f t="shared" si="3"/>
        <v>0</v>
      </c>
      <c r="L262" s="106"/>
      <c r="M262" s="106"/>
      <c r="N262" s="106"/>
    </row>
    <row r="263" spans="1:14" ht="14.75" customHeight="1" x14ac:dyDescent="0.4">
      <c r="A263" s="96">
        <v>258</v>
      </c>
      <c r="B263" s="101"/>
      <c r="C263" s="102"/>
      <c r="D263" s="103"/>
      <c r="E263" s="235"/>
      <c r="F263" s="104"/>
      <c r="G263" s="104"/>
      <c r="H263" s="105">
        <f t="shared" si="3"/>
        <v>0</v>
      </c>
      <c r="L263" s="106"/>
      <c r="M263" s="106"/>
      <c r="N263" s="106"/>
    </row>
    <row r="264" spans="1:14" ht="14.75" customHeight="1" x14ac:dyDescent="0.4">
      <c r="A264" s="96">
        <v>259</v>
      </c>
      <c r="B264" s="101"/>
      <c r="C264" s="102"/>
      <c r="D264" s="103"/>
      <c r="E264" s="235"/>
      <c r="F264" s="104"/>
      <c r="G264" s="104"/>
      <c r="H264" s="105">
        <f t="shared" si="3"/>
        <v>0</v>
      </c>
      <c r="L264" s="106"/>
      <c r="M264" s="106"/>
      <c r="N264" s="106"/>
    </row>
    <row r="265" spans="1:14" ht="14.75" customHeight="1" x14ac:dyDescent="0.4">
      <c r="A265" s="96">
        <v>260</v>
      </c>
      <c r="B265" s="101"/>
      <c r="C265" s="102"/>
      <c r="D265" s="103"/>
      <c r="E265" s="235"/>
      <c r="F265" s="104"/>
      <c r="G265" s="104"/>
      <c r="H265" s="105">
        <f t="shared" ref="H265:H328" si="4">H264+F265-G265</f>
        <v>0</v>
      </c>
      <c r="L265" s="106"/>
      <c r="M265" s="106"/>
      <c r="N265" s="106"/>
    </row>
    <row r="266" spans="1:14" ht="14.75" customHeight="1" x14ac:dyDescent="0.4">
      <c r="A266" s="96">
        <v>261</v>
      </c>
      <c r="B266" s="101"/>
      <c r="C266" s="102"/>
      <c r="D266" s="103"/>
      <c r="E266" s="235"/>
      <c r="F266" s="104"/>
      <c r="G266" s="104"/>
      <c r="H266" s="105">
        <f t="shared" si="4"/>
        <v>0</v>
      </c>
      <c r="L266" s="106"/>
      <c r="M266" s="106"/>
      <c r="N266" s="106"/>
    </row>
    <row r="267" spans="1:14" ht="14.75" customHeight="1" x14ac:dyDescent="0.4">
      <c r="A267" s="96">
        <v>262</v>
      </c>
      <c r="B267" s="101"/>
      <c r="C267" s="102"/>
      <c r="D267" s="103"/>
      <c r="E267" s="235"/>
      <c r="F267" s="104"/>
      <c r="G267" s="104"/>
      <c r="H267" s="105">
        <f t="shared" si="4"/>
        <v>0</v>
      </c>
      <c r="L267" s="106"/>
      <c r="M267" s="106"/>
      <c r="N267" s="106"/>
    </row>
    <row r="268" spans="1:14" ht="14.75" customHeight="1" x14ac:dyDescent="0.4">
      <c r="A268" s="96">
        <v>263</v>
      </c>
      <c r="B268" s="101"/>
      <c r="C268" s="102"/>
      <c r="D268" s="103"/>
      <c r="E268" s="235"/>
      <c r="F268" s="104"/>
      <c r="G268" s="104"/>
      <c r="H268" s="105">
        <f t="shared" si="4"/>
        <v>0</v>
      </c>
      <c r="L268" s="106"/>
      <c r="M268" s="106"/>
      <c r="N268" s="106"/>
    </row>
    <row r="269" spans="1:14" ht="14.75" customHeight="1" x14ac:dyDescent="0.4">
      <c r="A269" s="96">
        <v>264</v>
      </c>
      <c r="B269" s="101"/>
      <c r="C269" s="102"/>
      <c r="D269" s="103"/>
      <c r="E269" s="235"/>
      <c r="F269" s="104"/>
      <c r="G269" s="104"/>
      <c r="H269" s="105">
        <f t="shared" si="4"/>
        <v>0</v>
      </c>
      <c r="L269" s="106"/>
      <c r="M269" s="106"/>
      <c r="N269" s="106"/>
    </row>
    <row r="270" spans="1:14" ht="14.75" customHeight="1" x14ac:dyDescent="0.4">
      <c r="A270" s="96">
        <v>265</v>
      </c>
      <c r="B270" s="101"/>
      <c r="C270" s="102"/>
      <c r="D270" s="103"/>
      <c r="E270" s="235"/>
      <c r="F270" s="104"/>
      <c r="G270" s="104"/>
      <c r="H270" s="105">
        <f t="shared" si="4"/>
        <v>0</v>
      </c>
      <c r="L270" s="106"/>
      <c r="M270" s="106"/>
      <c r="N270" s="106"/>
    </row>
    <row r="271" spans="1:14" ht="14.75" customHeight="1" x14ac:dyDescent="0.4">
      <c r="A271" s="96">
        <v>266</v>
      </c>
      <c r="B271" s="101"/>
      <c r="C271" s="102"/>
      <c r="D271" s="103"/>
      <c r="E271" s="235"/>
      <c r="F271" s="104"/>
      <c r="G271" s="104"/>
      <c r="H271" s="105">
        <f t="shared" si="4"/>
        <v>0</v>
      </c>
      <c r="L271" s="106"/>
      <c r="M271" s="106"/>
      <c r="N271" s="106"/>
    </row>
    <row r="272" spans="1:14" ht="14.75" customHeight="1" x14ac:dyDescent="0.4">
      <c r="A272" s="96">
        <v>267</v>
      </c>
      <c r="B272" s="101"/>
      <c r="C272" s="102"/>
      <c r="D272" s="103"/>
      <c r="E272" s="235"/>
      <c r="F272" s="104"/>
      <c r="G272" s="104"/>
      <c r="H272" s="105">
        <f t="shared" si="4"/>
        <v>0</v>
      </c>
      <c r="L272" s="106"/>
      <c r="M272" s="106"/>
      <c r="N272" s="106"/>
    </row>
    <row r="273" spans="1:14" ht="14.75" customHeight="1" x14ac:dyDescent="0.4">
      <c r="A273" s="96">
        <v>268</v>
      </c>
      <c r="B273" s="101"/>
      <c r="C273" s="102"/>
      <c r="D273" s="103"/>
      <c r="E273" s="235"/>
      <c r="F273" s="104"/>
      <c r="G273" s="104"/>
      <c r="H273" s="105">
        <f t="shared" si="4"/>
        <v>0</v>
      </c>
      <c r="L273" s="106"/>
      <c r="M273" s="106"/>
      <c r="N273" s="106"/>
    </row>
    <row r="274" spans="1:14" ht="14.75" customHeight="1" x14ac:dyDescent="0.4">
      <c r="A274" s="96">
        <v>269</v>
      </c>
      <c r="B274" s="101"/>
      <c r="C274" s="102"/>
      <c r="D274" s="103"/>
      <c r="E274" s="235"/>
      <c r="F274" s="104"/>
      <c r="G274" s="104"/>
      <c r="H274" s="105">
        <f t="shared" si="4"/>
        <v>0</v>
      </c>
      <c r="L274" s="106"/>
      <c r="M274" s="106"/>
      <c r="N274" s="106"/>
    </row>
    <row r="275" spans="1:14" ht="14.75" customHeight="1" x14ac:dyDescent="0.4">
      <c r="A275" s="96">
        <v>270</v>
      </c>
      <c r="B275" s="101"/>
      <c r="C275" s="102"/>
      <c r="D275" s="103"/>
      <c r="E275" s="235"/>
      <c r="F275" s="104"/>
      <c r="G275" s="104"/>
      <c r="H275" s="105">
        <f t="shared" si="4"/>
        <v>0</v>
      </c>
      <c r="L275" s="106"/>
      <c r="M275" s="106"/>
      <c r="N275" s="106"/>
    </row>
    <row r="276" spans="1:14" ht="14.75" customHeight="1" x14ac:dyDescent="0.4">
      <c r="A276" s="96">
        <v>271</v>
      </c>
      <c r="B276" s="101"/>
      <c r="C276" s="102"/>
      <c r="D276" s="103"/>
      <c r="E276" s="235"/>
      <c r="F276" s="104"/>
      <c r="G276" s="104"/>
      <c r="H276" s="105">
        <f t="shared" si="4"/>
        <v>0</v>
      </c>
      <c r="L276" s="106"/>
      <c r="M276" s="106"/>
      <c r="N276" s="106"/>
    </row>
    <row r="277" spans="1:14" ht="14.75" customHeight="1" x14ac:dyDescent="0.4">
      <c r="A277" s="96">
        <v>272</v>
      </c>
      <c r="B277" s="101"/>
      <c r="C277" s="102"/>
      <c r="D277" s="103"/>
      <c r="E277" s="235"/>
      <c r="F277" s="104"/>
      <c r="G277" s="104"/>
      <c r="H277" s="105">
        <f t="shared" si="4"/>
        <v>0</v>
      </c>
      <c r="L277" s="106"/>
      <c r="M277" s="106"/>
      <c r="N277" s="106"/>
    </row>
    <row r="278" spans="1:14" ht="14.75" customHeight="1" x14ac:dyDescent="0.4">
      <c r="A278" s="96">
        <v>273</v>
      </c>
      <c r="B278" s="101"/>
      <c r="C278" s="102"/>
      <c r="D278" s="103"/>
      <c r="E278" s="235"/>
      <c r="F278" s="104"/>
      <c r="G278" s="104"/>
      <c r="H278" s="105">
        <f t="shared" si="4"/>
        <v>0</v>
      </c>
      <c r="L278" s="106"/>
      <c r="M278" s="106"/>
      <c r="N278" s="106"/>
    </row>
    <row r="279" spans="1:14" ht="14.75" customHeight="1" x14ac:dyDescent="0.4">
      <c r="A279" s="96">
        <v>274</v>
      </c>
      <c r="B279" s="101"/>
      <c r="C279" s="102"/>
      <c r="D279" s="103"/>
      <c r="E279" s="235"/>
      <c r="F279" s="104"/>
      <c r="G279" s="104"/>
      <c r="H279" s="105">
        <f t="shared" si="4"/>
        <v>0</v>
      </c>
      <c r="L279" s="106"/>
      <c r="M279" s="106"/>
      <c r="N279" s="106"/>
    </row>
    <row r="280" spans="1:14" ht="14.75" customHeight="1" x14ac:dyDescent="0.4">
      <c r="A280" s="96">
        <v>275</v>
      </c>
      <c r="B280" s="101"/>
      <c r="C280" s="102"/>
      <c r="D280" s="103"/>
      <c r="E280" s="235"/>
      <c r="F280" s="104"/>
      <c r="G280" s="104"/>
      <c r="H280" s="105">
        <f t="shared" si="4"/>
        <v>0</v>
      </c>
      <c r="L280" s="106"/>
      <c r="M280" s="106"/>
      <c r="N280" s="106"/>
    </row>
    <row r="281" spans="1:14" ht="14.75" customHeight="1" x14ac:dyDescent="0.4">
      <c r="A281" s="96">
        <v>276</v>
      </c>
      <c r="B281" s="101"/>
      <c r="C281" s="102"/>
      <c r="D281" s="103"/>
      <c r="E281" s="235"/>
      <c r="F281" s="104"/>
      <c r="G281" s="104"/>
      <c r="H281" s="105">
        <f t="shared" si="4"/>
        <v>0</v>
      </c>
      <c r="L281" s="106"/>
      <c r="M281" s="106"/>
      <c r="N281" s="106"/>
    </row>
    <row r="282" spans="1:14" ht="14.75" customHeight="1" x14ac:dyDescent="0.4">
      <c r="A282" s="96">
        <v>277</v>
      </c>
      <c r="B282" s="101"/>
      <c r="C282" s="102"/>
      <c r="D282" s="103"/>
      <c r="E282" s="235"/>
      <c r="F282" s="104"/>
      <c r="G282" s="104"/>
      <c r="H282" s="105">
        <f t="shared" si="4"/>
        <v>0</v>
      </c>
      <c r="L282" s="106"/>
      <c r="M282" s="106"/>
      <c r="N282" s="106"/>
    </row>
    <row r="283" spans="1:14" ht="14.75" customHeight="1" x14ac:dyDescent="0.4">
      <c r="A283" s="96">
        <v>278</v>
      </c>
      <c r="B283" s="101"/>
      <c r="C283" s="102"/>
      <c r="D283" s="103"/>
      <c r="E283" s="235"/>
      <c r="F283" s="104"/>
      <c r="G283" s="104"/>
      <c r="H283" s="105">
        <f t="shared" si="4"/>
        <v>0</v>
      </c>
      <c r="L283" s="106"/>
      <c r="M283" s="106"/>
      <c r="N283" s="106"/>
    </row>
    <row r="284" spans="1:14" ht="14.75" customHeight="1" x14ac:dyDescent="0.4">
      <c r="A284" s="96">
        <v>279</v>
      </c>
      <c r="B284" s="101"/>
      <c r="C284" s="102"/>
      <c r="D284" s="103"/>
      <c r="E284" s="235"/>
      <c r="F284" s="104"/>
      <c r="G284" s="104"/>
      <c r="H284" s="105">
        <f t="shared" si="4"/>
        <v>0</v>
      </c>
      <c r="L284" s="106"/>
      <c r="M284" s="106"/>
      <c r="N284" s="106"/>
    </row>
    <row r="285" spans="1:14" ht="14.75" customHeight="1" x14ac:dyDescent="0.4">
      <c r="A285" s="96">
        <v>280</v>
      </c>
      <c r="B285" s="101"/>
      <c r="C285" s="102"/>
      <c r="D285" s="103"/>
      <c r="E285" s="235"/>
      <c r="F285" s="104"/>
      <c r="G285" s="104"/>
      <c r="H285" s="105">
        <f t="shared" si="4"/>
        <v>0</v>
      </c>
      <c r="L285" s="106"/>
      <c r="M285" s="106"/>
      <c r="N285" s="106"/>
    </row>
    <row r="286" spans="1:14" ht="14.75" customHeight="1" x14ac:dyDescent="0.4">
      <c r="A286" s="96">
        <v>281</v>
      </c>
      <c r="B286" s="101"/>
      <c r="C286" s="102"/>
      <c r="D286" s="103"/>
      <c r="E286" s="235"/>
      <c r="F286" s="104"/>
      <c r="G286" s="104"/>
      <c r="H286" s="105">
        <f t="shared" si="4"/>
        <v>0</v>
      </c>
      <c r="L286" s="106"/>
      <c r="M286" s="106"/>
      <c r="N286" s="106"/>
    </row>
    <row r="287" spans="1:14" ht="14.75" customHeight="1" x14ac:dyDescent="0.4">
      <c r="A287" s="96">
        <v>282</v>
      </c>
      <c r="B287" s="101"/>
      <c r="C287" s="102"/>
      <c r="D287" s="103"/>
      <c r="E287" s="235"/>
      <c r="F287" s="104"/>
      <c r="G287" s="104"/>
      <c r="H287" s="105">
        <f t="shared" si="4"/>
        <v>0</v>
      </c>
      <c r="L287" s="106"/>
      <c r="M287" s="106"/>
      <c r="N287" s="106"/>
    </row>
    <row r="288" spans="1:14" ht="14.75" customHeight="1" x14ac:dyDescent="0.4">
      <c r="A288" s="96">
        <v>283</v>
      </c>
      <c r="B288" s="101"/>
      <c r="C288" s="102"/>
      <c r="D288" s="103"/>
      <c r="E288" s="235"/>
      <c r="F288" s="104"/>
      <c r="G288" s="104"/>
      <c r="H288" s="105">
        <f t="shared" si="4"/>
        <v>0</v>
      </c>
      <c r="L288" s="106"/>
      <c r="M288" s="106"/>
      <c r="N288" s="106"/>
    </row>
    <row r="289" spans="1:14" ht="14.75" customHeight="1" x14ac:dyDescent="0.4">
      <c r="A289" s="96">
        <v>284</v>
      </c>
      <c r="B289" s="101"/>
      <c r="C289" s="102"/>
      <c r="D289" s="103"/>
      <c r="E289" s="235"/>
      <c r="F289" s="104"/>
      <c r="G289" s="104"/>
      <c r="H289" s="105">
        <f t="shared" si="4"/>
        <v>0</v>
      </c>
      <c r="L289" s="106"/>
      <c r="M289" s="106"/>
      <c r="N289" s="106"/>
    </row>
    <row r="290" spans="1:14" ht="14.75" customHeight="1" x14ac:dyDescent="0.4">
      <c r="A290" s="96">
        <v>285</v>
      </c>
      <c r="B290" s="101"/>
      <c r="C290" s="102"/>
      <c r="D290" s="103"/>
      <c r="E290" s="235"/>
      <c r="F290" s="104"/>
      <c r="G290" s="104"/>
      <c r="H290" s="105">
        <f t="shared" si="4"/>
        <v>0</v>
      </c>
      <c r="L290" s="106"/>
      <c r="M290" s="106"/>
      <c r="N290" s="106"/>
    </row>
    <row r="291" spans="1:14" ht="14.75" customHeight="1" x14ac:dyDescent="0.4">
      <c r="A291" s="96">
        <v>286</v>
      </c>
      <c r="B291" s="101"/>
      <c r="C291" s="102"/>
      <c r="D291" s="103"/>
      <c r="E291" s="235"/>
      <c r="F291" s="104"/>
      <c r="G291" s="104"/>
      <c r="H291" s="105">
        <f t="shared" si="4"/>
        <v>0</v>
      </c>
      <c r="L291" s="106"/>
      <c r="M291" s="106"/>
      <c r="N291" s="106"/>
    </row>
    <row r="292" spans="1:14" ht="14.75" customHeight="1" x14ac:dyDescent="0.4">
      <c r="A292" s="96">
        <v>287</v>
      </c>
      <c r="B292" s="101"/>
      <c r="C292" s="102"/>
      <c r="D292" s="103"/>
      <c r="E292" s="235"/>
      <c r="F292" s="104"/>
      <c r="G292" s="104"/>
      <c r="H292" s="105">
        <f t="shared" si="4"/>
        <v>0</v>
      </c>
      <c r="L292" s="106"/>
      <c r="M292" s="106"/>
      <c r="N292" s="106"/>
    </row>
    <row r="293" spans="1:14" ht="14.75" customHeight="1" x14ac:dyDescent="0.4">
      <c r="A293" s="96">
        <v>288</v>
      </c>
      <c r="B293" s="101"/>
      <c r="C293" s="102"/>
      <c r="D293" s="103"/>
      <c r="E293" s="235"/>
      <c r="F293" s="104"/>
      <c r="G293" s="104"/>
      <c r="H293" s="105">
        <f t="shared" si="4"/>
        <v>0</v>
      </c>
      <c r="L293" s="106"/>
      <c r="M293" s="106"/>
      <c r="N293" s="106"/>
    </row>
    <row r="294" spans="1:14" ht="14.75" customHeight="1" x14ac:dyDescent="0.4">
      <c r="A294" s="96">
        <v>289</v>
      </c>
      <c r="B294" s="101"/>
      <c r="C294" s="102"/>
      <c r="D294" s="103"/>
      <c r="E294" s="235"/>
      <c r="F294" s="104"/>
      <c r="G294" s="104"/>
      <c r="H294" s="105">
        <f t="shared" si="4"/>
        <v>0</v>
      </c>
      <c r="L294" s="106"/>
      <c r="M294" s="106"/>
      <c r="N294" s="106"/>
    </row>
    <row r="295" spans="1:14" ht="14.75" customHeight="1" x14ac:dyDescent="0.4">
      <c r="A295" s="96">
        <v>290</v>
      </c>
      <c r="B295" s="101"/>
      <c r="C295" s="102"/>
      <c r="D295" s="103"/>
      <c r="E295" s="235"/>
      <c r="F295" s="104"/>
      <c r="G295" s="104"/>
      <c r="H295" s="105">
        <f t="shared" si="4"/>
        <v>0</v>
      </c>
      <c r="L295" s="106"/>
      <c r="M295" s="106"/>
      <c r="N295" s="106"/>
    </row>
    <row r="296" spans="1:14" ht="14.75" customHeight="1" x14ac:dyDescent="0.4">
      <c r="A296" s="96">
        <v>291</v>
      </c>
      <c r="B296" s="101"/>
      <c r="C296" s="102"/>
      <c r="D296" s="103"/>
      <c r="E296" s="235"/>
      <c r="F296" s="104"/>
      <c r="G296" s="104"/>
      <c r="H296" s="105">
        <f t="shared" si="4"/>
        <v>0</v>
      </c>
      <c r="L296" s="106"/>
      <c r="M296" s="106"/>
      <c r="N296" s="106"/>
    </row>
    <row r="297" spans="1:14" ht="14.75" customHeight="1" x14ac:dyDescent="0.4">
      <c r="A297" s="96">
        <v>292</v>
      </c>
      <c r="B297" s="101"/>
      <c r="C297" s="102"/>
      <c r="D297" s="103"/>
      <c r="E297" s="235"/>
      <c r="F297" s="104"/>
      <c r="G297" s="104"/>
      <c r="H297" s="105">
        <f t="shared" si="4"/>
        <v>0</v>
      </c>
      <c r="L297" s="106"/>
      <c r="M297" s="106"/>
      <c r="N297" s="106"/>
    </row>
    <row r="298" spans="1:14" ht="14.75" customHeight="1" x14ac:dyDescent="0.4">
      <c r="A298" s="96">
        <v>293</v>
      </c>
      <c r="B298" s="101"/>
      <c r="C298" s="102"/>
      <c r="D298" s="103"/>
      <c r="E298" s="235"/>
      <c r="F298" s="104"/>
      <c r="G298" s="104"/>
      <c r="H298" s="105">
        <f t="shared" si="4"/>
        <v>0</v>
      </c>
      <c r="L298" s="106"/>
      <c r="M298" s="106"/>
      <c r="N298" s="106"/>
    </row>
    <row r="299" spans="1:14" ht="14.75" customHeight="1" x14ac:dyDescent="0.4">
      <c r="A299" s="96">
        <v>294</v>
      </c>
      <c r="B299" s="101"/>
      <c r="C299" s="102"/>
      <c r="D299" s="103"/>
      <c r="E299" s="235"/>
      <c r="F299" s="104"/>
      <c r="G299" s="104"/>
      <c r="H299" s="105">
        <f t="shared" si="4"/>
        <v>0</v>
      </c>
      <c r="L299" s="106"/>
      <c r="M299" s="106"/>
      <c r="N299" s="106"/>
    </row>
    <row r="300" spans="1:14" ht="14.75" customHeight="1" x14ac:dyDescent="0.4">
      <c r="A300" s="96">
        <v>295</v>
      </c>
      <c r="B300" s="101"/>
      <c r="C300" s="102"/>
      <c r="D300" s="103"/>
      <c r="E300" s="235"/>
      <c r="F300" s="104"/>
      <c r="G300" s="104"/>
      <c r="H300" s="105">
        <f t="shared" si="4"/>
        <v>0</v>
      </c>
      <c r="L300" s="106"/>
      <c r="M300" s="106"/>
      <c r="N300" s="106"/>
    </row>
    <row r="301" spans="1:14" ht="14.75" customHeight="1" x14ac:dyDescent="0.4">
      <c r="A301" s="96">
        <v>296</v>
      </c>
      <c r="B301" s="101"/>
      <c r="C301" s="102"/>
      <c r="D301" s="103"/>
      <c r="E301" s="235"/>
      <c r="F301" s="104"/>
      <c r="G301" s="104"/>
      <c r="H301" s="105">
        <f t="shared" si="4"/>
        <v>0</v>
      </c>
      <c r="L301" s="106"/>
      <c r="M301" s="106"/>
      <c r="N301" s="106"/>
    </row>
    <row r="302" spans="1:14" ht="14.75" customHeight="1" x14ac:dyDescent="0.4">
      <c r="A302" s="96">
        <v>297</v>
      </c>
      <c r="B302" s="101"/>
      <c r="C302" s="102"/>
      <c r="D302" s="103"/>
      <c r="E302" s="235"/>
      <c r="F302" s="104"/>
      <c r="G302" s="104"/>
      <c r="H302" s="105">
        <f t="shared" si="4"/>
        <v>0</v>
      </c>
      <c r="L302" s="106"/>
      <c r="M302" s="106"/>
      <c r="N302" s="106"/>
    </row>
    <row r="303" spans="1:14" ht="14.75" customHeight="1" x14ac:dyDescent="0.4">
      <c r="A303" s="96">
        <v>298</v>
      </c>
      <c r="B303" s="101"/>
      <c r="C303" s="102"/>
      <c r="D303" s="103"/>
      <c r="E303" s="235"/>
      <c r="F303" s="104"/>
      <c r="G303" s="104"/>
      <c r="H303" s="105">
        <f t="shared" si="4"/>
        <v>0</v>
      </c>
      <c r="L303" s="106"/>
      <c r="M303" s="106"/>
      <c r="N303" s="106"/>
    </row>
    <row r="304" spans="1:14" ht="14.75" customHeight="1" x14ac:dyDescent="0.4">
      <c r="A304" s="96">
        <v>299</v>
      </c>
      <c r="B304" s="101"/>
      <c r="C304" s="102"/>
      <c r="D304" s="103"/>
      <c r="E304" s="235"/>
      <c r="F304" s="104"/>
      <c r="G304" s="104"/>
      <c r="H304" s="105">
        <f t="shared" si="4"/>
        <v>0</v>
      </c>
      <c r="L304" s="106"/>
      <c r="M304" s="106"/>
      <c r="N304" s="106"/>
    </row>
    <row r="305" spans="1:14" ht="14.75" customHeight="1" x14ac:dyDescent="0.4">
      <c r="A305" s="96">
        <v>300</v>
      </c>
      <c r="B305" s="101"/>
      <c r="C305" s="102"/>
      <c r="D305" s="103"/>
      <c r="E305" s="235"/>
      <c r="F305" s="104"/>
      <c r="G305" s="104"/>
      <c r="H305" s="105">
        <f t="shared" si="4"/>
        <v>0</v>
      </c>
      <c r="L305" s="106"/>
      <c r="M305" s="106"/>
      <c r="N305" s="106"/>
    </row>
    <row r="306" spans="1:14" ht="14.75" customHeight="1" x14ac:dyDescent="0.4">
      <c r="A306" s="96">
        <v>301</v>
      </c>
      <c r="B306" s="101"/>
      <c r="C306" s="102"/>
      <c r="D306" s="103"/>
      <c r="E306" s="235"/>
      <c r="F306" s="104"/>
      <c r="G306" s="104"/>
      <c r="H306" s="105">
        <f t="shared" si="4"/>
        <v>0</v>
      </c>
      <c r="L306" s="106"/>
      <c r="M306" s="106"/>
      <c r="N306" s="106"/>
    </row>
    <row r="307" spans="1:14" ht="14.75" customHeight="1" x14ac:dyDescent="0.4">
      <c r="A307" s="96">
        <v>302</v>
      </c>
      <c r="B307" s="101"/>
      <c r="C307" s="102"/>
      <c r="D307" s="103"/>
      <c r="E307" s="235"/>
      <c r="F307" s="104"/>
      <c r="G307" s="104"/>
      <c r="H307" s="105">
        <f t="shared" si="4"/>
        <v>0</v>
      </c>
      <c r="L307" s="106"/>
      <c r="M307" s="106"/>
      <c r="N307" s="106"/>
    </row>
    <row r="308" spans="1:14" ht="14.75" customHeight="1" x14ac:dyDescent="0.4">
      <c r="A308" s="96">
        <v>303</v>
      </c>
      <c r="B308" s="101"/>
      <c r="C308" s="102"/>
      <c r="D308" s="103"/>
      <c r="E308" s="235"/>
      <c r="F308" s="104"/>
      <c r="G308" s="104"/>
      <c r="H308" s="105">
        <f t="shared" si="4"/>
        <v>0</v>
      </c>
      <c r="L308" s="106"/>
      <c r="M308" s="106"/>
      <c r="N308" s="106"/>
    </row>
    <row r="309" spans="1:14" ht="14.75" customHeight="1" x14ac:dyDescent="0.4">
      <c r="A309" s="96">
        <v>304</v>
      </c>
      <c r="B309" s="101"/>
      <c r="C309" s="102"/>
      <c r="D309" s="103"/>
      <c r="E309" s="235"/>
      <c r="F309" s="104"/>
      <c r="G309" s="104"/>
      <c r="H309" s="105">
        <f t="shared" si="4"/>
        <v>0</v>
      </c>
      <c r="L309" s="106"/>
      <c r="M309" s="106"/>
      <c r="N309" s="106"/>
    </row>
    <row r="310" spans="1:14" ht="14.75" customHeight="1" x14ac:dyDescent="0.4">
      <c r="A310" s="96">
        <v>305</v>
      </c>
      <c r="B310" s="101"/>
      <c r="C310" s="102"/>
      <c r="D310" s="103"/>
      <c r="E310" s="235"/>
      <c r="F310" s="104"/>
      <c r="G310" s="104"/>
      <c r="H310" s="105">
        <f t="shared" si="4"/>
        <v>0</v>
      </c>
      <c r="L310" s="106"/>
      <c r="M310" s="106"/>
      <c r="N310" s="106"/>
    </row>
    <row r="311" spans="1:14" ht="14.75" customHeight="1" x14ac:dyDescent="0.4">
      <c r="A311" s="96">
        <v>306</v>
      </c>
      <c r="B311" s="101"/>
      <c r="C311" s="102"/>
      <c r="D311" s="103"/>
      <c r="E311" s="235"/>
      <c r="F311" s="104"/>
      <c r="G311" s="104"/>
      <c r="H311" s="105">
        <f t="shared" si="4"/>
        <v>0</v>
      </c>
      <c r="L311" s="106"/>
      <c r="M311" s="106"/>
      <c r="N311" s="106"/>
    </row>
    <row r="312" spans="1:14" ht="14.75" customHeight="1" x14ac:dyDescent="0.4">
      <c r="A312" s="96">
        <v>307</v>
      </c>
      <c r="B312" s="101"/>
      <c r="C312" s="102"/>
      <c r="D312" s="103"/>
      <c r="E312" s="235"/>
      <c r="F312" s="104"/>
      <c r="G312" s="104"/>
      <c r="H312" s="105">
        <f t="shared" si="4"/>
        <v>0</v>
      </c>
      <c r="L312" s="106"/>
      <c r="M312" s="106"/>
      <c r="N312" s="106"/>
    </row>
    <row r="313" spans="1:14" ht="14.75" customHeight="1" x14ac:dyDescent="0.4">
      <c r="A313" s="96">
        <v>308</v>
      </c>
      <c r="B313" s="101"/>
      <c r="C313" s="102"/>
      <c r="D313" s="103"/>
      <c r="E313" s="235"/>
      <c r="F313" s="104"/>
      <c r="G313" s="104"/>
      <c r="H313" s="105">
        <f t="shared" si="4"/>
        <v>0</v>
      </c>
      <c r="L313" s="106"/>
      <c r="M313" s="106"/>
      <c r="N313" s="106"/>
    </row>
    <row r="314" spans="1:14" ht="14.75" customHeight="1" x14ac:dyDescent="0.4">
      <c r="A314" s="96">
        <v>309</v>
      </c>
      <c r="B314" s="101"/>
      <c r="C314" s="102"/>
      <c r="D314" s="103"/>
      <c r="E314" s="235"/>
      <c r="F314" s="104"/>
      <c r="G314" s="104"/>
      <c r="H314" s="105">
        <f t="shared" si="4"/>
        <v>0</v>
      </c>
      <c r="L314" s="106"/>
      <c r="M314" s="106"/>
      <c r="N314" s="106"/>
    </row>
    <row r="315" spans="1:14" ht="14.75" customHeight="1" x14ac:dyDescent="0.4">
      <c r="A315" s="96">
        <v>310</v>
      </c>
      <c r="B315" s="101"/>
      <c r="C315" s="102"/>
      <c r="D315" s="103"/>
      <c r="E315" s="235"/>
      <c r="F315" s="104"/>
      <c r="G315" s="104"/>
      <c r="H315" s="105">
        <f t="shared" si="4"/>
        <v>0</v>
      </c>
      <c r="L315" s="106"/>
      <c r="M315" s="106"/>
      <c r="N315" s="106"/>
    </row>
    <row r="316" spans="1:14" ht="14.75" customHeight="1" x14ac:dyDescent="0.4">
      <c r="A316" s="96">
        <v>311</v>
      </c>
      <c r="B316" s="101"/>
      <c r="C316" s="102"/>
      <c r="D316" s="103"/>
      <c r="E316" s="235"/>
      <c r="F316" s="104"/>
      <c r="G316" s="104"/>
      <c r="H316" s="105">
        <f t="shared" si="4"/>
        <v>0</v>
      </c>
      <c r="L316" s="106"/>
      <c r="M316" s="106"/>
      <c r="N316" s="106"/>
    </row>
    <row r="317" spans="1:14" ht="14.75" customHeight="1" x14ac:dyDescent="0.4">
      <c r="A317" s="96">
        <v>312</v>
      </c>
      <c r="B317" s="101"/>
      <c r="C317" s="102"/>
      <c r="D317" s="103"/>
      <c r="E317" s="235"/>
      <c r="F317" s="104"/>
      <c r="G317" s="104"/>
      <c r="H317" s="105">
        <f t="shared" si="4"/>
        <v>0</v>
      </c>
      <c r="L317" s="106"/>
      <c r="M317" s="106"/>
      <c r="N317" s="106"/>
    </row>
    <row r="318" spans="1:14" ht="14.75" customHeight="1" x14ac:dyDescent="0.4">
      <c r="A318" s="96">
        <v>313</v>
      </c>
      <c r="B318" s="101"/>
      <c r="C318" s="102"/>
      <c r="D318" s="103"/>
      <c r="E318" s="235"/>
      <c r="F318" s="104"/>
      <c r="G318" s="104"/>
      <c r="H318" s="105">
        <f t="shared" si="4"/>
        <v>0</v>
      </c>
      <c r="L318" s="106"/>
      <c r="M318" s="106"/>
      <c r="N318" s="106"/>
    </row>
    <row r="319" spans="1:14" ht="14.75" customHeight="1" x14ac:dyDescent="0.4">
      <c r="A319" s="96">
        <v>314</v>
      </c>
      <c r="B319" s="101"/>
      <c r="C319" s="102"/>
      <c r="D319" s="103"/>
      <c r="E319" s="235"/>
      <c r="F319" s="104"/>
      <c r="G319" s="104"/>
      <c r="H319" s="105">
        <f t="shared" si="4"/>
        <v>0</v>
      </c>
      <c r="L319" s="106"/>
      <c r="M319" s="106"/>
      <c r="N319" s="106"/>
    </row>
    <row r="320" spans="1:14" ht="14.75" customHeight="1" x14ac:dyDescent="0.4">
      <c r="A320" s="96">
        <v>315</v>
      </c>
      <c r="B320" s="101"/>
      <c r="C320" s="102"/>
      <c r="D320" s="103"/>
      <c r="E320" s="235"/>
      <c r="F320" s="104"/>
      <c r="G320" s="104"/>
      <c r="H320" s="105">
        <f t="shared" si="4"/>
        <v>0</v>
      </c>
      <c r="L320" s="106"/>
      <c r="M320" s="106"/>
      <c r="N320" s="106"/>
    </row>
    <row r="321" spans="1:14" ht="14.75" customHeight="1" x14ac:dyDescent="0.4">
      <c r="A321" s="96">
        <v>316</v>
      </c>
      <c r="B321" s="101"/>
      <c r="C321" s="102"/>
      <c r="D321" s="103"/>
      <c r="E321" s="235"/>
      <c r="F321" s="104"/>
      <c r="G321" s="104"/>
      <c r="H321" s="105">
        <f t="shared" si="4"/>
        <v>0</v>
      </c>
      <c r="L321" s="106"/>
      <c r="M321" s="106"/>
      <c r="N321" s="106"/>
    </row>
    <row r="322" spans="1:14" ht="14.75" customHeight="1" x14ac:dyDescent="0.4">
      <c r="A322" s="96">
        <v>317</v>
      </c>
      <c r="B322" s="101"/>
      <c r="C322" s="102"/>
      <c r="D322" s="103"/>
      <c r="E322" s="235"/>
      <c r="F322" s="104"/>
      <c r="G322" s="104"/>
      <c r="H322" s="105">
        <f t="shared" si="4"/>
        <v>0</v>
      </c>
      <c r="L322" s="106"/>
      <c r="M322" s="106"/>
      <c r="N322" s="106"/>
    </row>
    <row r="323" spans="1:14" ht="14.75" customHeight="1" x14ac:dyDescent="0.4">
      <c r="A323" s="96">
        <v>318</v>
      </c>
      <c r="B323" s="101"/>
      <c r="C323" s="102"/>
      <c r="D323" s="103"/>
      <c r="E323" s="235"/>
      <c r="F323" s="104"/>
      <c r="G323" s="104"/>
      <c r="H323" s="105">
        <f t="shared" si="4"/>
        <v>0</v>
      </c>
      <c r="L323" s="106"/>
      <c r="M323" s="106"/>
      <c r="N323" s="106"/>
    </row>
    <row r="324" spans="1:14" ht="14.75" customHeight="1" x14ac:dyDescent="0.4">
      <c r="A324" s="96">
        <v>319</v>
      </c>
      <c r="B324" s="101"/>
      <c r="C324" s="102"/>
      <c r="D324" s="103"/>
      <c r="E324" s="235"/>
      <c r="F324" s="104"/>
      <c r="G324" s="104"/>
      <c r="H324" s="105">
        <f t="shared" si="4"/>
        <v>0</v>
      </c>
      <c r="L324" s="106"/>
      <c r="M324" s="106"/>
      <c r="N324" s="106"/>
    </row>
    <row r="325" spans="1:14" ht="14.75" customHeight="1" x14ac:dyDescent="0.4">
      <c r="A325" s="96">
        <v>320</v>
      </c>
      <c r="B325" s="101"/>
      <c r="C325" s="102"/>
      <c r="D325" s="103"/>
      <c r="E325" s="235"/>
      <c r="F325" s="104"/>
      <c r="G325" s="104"/>
      <c r="H325" s="105">
        <f t="shared" si="4"/>
        <v>0</v>
      </c>
      <c r="L325" s="106"/>
      <c r="M325" s="106"/>
      <c r="N325" s="106"/>
    </row>
    <row r="326" spans="1:14" ht="14.75" customHeight="1" x14ac:dyDescent="0.4">
      <c r="A326" s="96">
        <v>321</v>
      </c>
      <c r="B326" s="101"/>
      <c r="C326" s="102"/>
      <c r="D326" s="103"/>
      <c r="E326" s="235"/>
      <c r="F326" s="104"/>
      <c r="G326" s="104"/>
      <c r="H326" s="105">
        <f t="shared" si="4"/>
        <v>0</v>
      </c>
      <c r="L326" s="106"/>
      <c r="M326" s="106"/>
      <c r="N326" s="106"/>
    </row>
    <row r="327" spans="1:14" ht="14.75" customHeight="1" x14ac:dyDescent="0.4">
      <c r="A327" s="96">
        <v>322</v>
      </c>
      <c r="B327" s="101"/>
      <c r="C327" s="102"/>
      <c r="D327" s="103"/>
      <c r="E327" s="235"/>
      <c r="F327" s="104"/>
      <c r="G327" s="104"/>
      <c r="H327" s="105">
        <f t="shared" si="4"/>
        <v>0</v>
      </c>
      <c r="L327" s="106"/>
      <c r="M327" s="106"/>
      <c r="N327" s="106"/>
    </row>
    <row r="328" spans="1:14" ht="14.75" customHeight="1" x14ac:dyDescent="0.4">
      <c r="A328" s="96">
        <v>323</v>
      </c>
      <c r="B328" s="101"/>
      <c r="C328" s="102"/>
      <c r="D328" s="103"/>
      <c r="E328" s="235"/>
      <c r="F328" s="104"/>
      <c r="G328" s="104"/>
      <c r="H328" s="105">
        <f t="shared" si="4"/>
        <v>0</v>
      </c>
      <c r="L328" s="106"/>
      <c r="M328" s="106"/>
      <c r="N328" s="106"/>
    </row>
    <row r="329" spans="1:14" ht="14.75" customHeight="1" x14ac:dyDescent="0.4">
      <c r="A329" s="96">
        <v>324</v>
      </c>
      <c r="B329" s="101"/>
      <c r="C329" s="102"/>
      <c r="D329" s="103"/>
      <c r="E329" s="235"/>
      <c r="F329" s="104"/>
      <c r="G329" s="104"/>
      <c r="H329" s="105">
        <f t="shared" ref="H329:H392" si="5">H328+F329-G329</f>
        <v>0</v>
      </c>
      <c r="L329" s="106"/>
      <c r="M329" s="106"/>
      <c r="N329" s="106"/>
    </row>
    <row r="330" spans="1:14" ht="14.75" customHeight="1" x14ac:dyDescent="0.4">
      <c r="A330" s="96">
        <v>325</v>
      </c>
      <c r="B330" s="101"/>
      <c r="C330" s="102"/>
      <c r="D330" s="103"/>
      <c r="E330" s="235"/>
      <c r="F330" s="104"/>
      <c r="G330" s="104"/>
      <c r="H330" s="105">
        <f t="shared" si="5"/>
        <v>0</v>
      </c>
      <c r="L330" s="106"/>
      <c r="M330" s="106"/>
      <c r="N330" s="106"/>
    </row>
    <row r="331" spans="1:14" ht="14.75" customHeight="1" x14ac:dyDescent="0.4">
      <c r="A331" s="96">
        <v>326</v>
      </c>
      <c r="B331" s="101"/>
      <c r="C331" s="102"/>
      <c r="D331" s="103"/>
      <c r="E331" s="235"/>
      <c r="F331" s="104"/>
      <c r="G331" s="104"/>
      <c r="H331" s="105">
        <f t="shared" si="5"/>
        <v>0</v>
      </c>
      <c r="L331" s="106"/>
      <c r="M331" s="106"/>
      <c r="N331" s="106"/>
    </row>
    <row r="332" spans="1:14" ht="14.75" customHeight="1" x14ac:dyDescent="0.4">
      <c r="A332" s="96">
        <v>327</v>
      </c>
      <c r="B332" s="101"/>
      <c r="C332" s="102"/>
      <c r="D332" s="103"/>
      <c r="E332" s="235"/>
      <c r="F332" s="104"/>
      <c r="G332" s="104"/>
      <c r="H332" s="105">
        <f t="shared" si="5"/>
        <v>0</v>
      </c>
      <c r="L332" s="106"/>
      <c r="M332" s="106"/>
      <c r="N332" s="106"/>
    </row>
    <row r="333" spans="1:14" ht="14.75" customHeight="1" x14ac:dyDescent="0.4">
      <c r="A333" s="96">
        <v>328</v>
      </c>
      <c r="B333" s="101"/>
      <c r="C333" s="102"/>
      <c r="D333" s="103"/>
      <c r="E333" s="235"/>
      <c r="F333" s="104"/>
      <c r="G333" s="104"/>
      <c r="H333" s="105">
        <f t="shared" si="5"/>
        <v>0</v>
      </c>
      <c r="L333" s="106"/>
      <c r="M333" s="106"/>
      <c r="N333" s="106"/>
    </row>
    <row r="334" spans="1:14" ht="14.75" customHeight="1" x14ac:dyDescent="0.4">
      <c r="A334" s="96">
        <v>329</v>
      </c>
      <c r="B334" s="101"/>
      <c r="C334" s="102"/>
      <c r="D334" s="103"/>
      <c r="E334" s="235"/>
      <c r="F334" s="104"/>
      <c r="G334" s="104"/>
      <c r="H334" s="105">
        <f t="shared" si="5"/>
        <v>0</v>
      </c>
      <c r="L334" s="106"/>
      <c r="M334" s="106"/>
      <c r="N334" s="106"/>
    </row>
    <row r="335" spans="1:14" ht="14.75" customHeight="1" x14ac:dyDescent="0.4">
      <c r="A335" s="96">
        <v>330</v>
      </c>
      <c r="B335" s="101"/>
      <c r="C335" s="102"/>
      <c r="D335" s="103"/>
      <c r="E335" s="235"/>
      <c r="F335" s="104"/>
      <c r="G335" s="104"/>
      <c r="H335" s="105">
        <f t="shared" si="5"/>
        <v>0</v>
      </c>
      <c r="L335" s="106"/>
      <c r="M335" s="106"/>
      <c r="N335" s="106"/>
    </row>
    <row r="336" spans="1:14" ht="14.75" customHeight="1" x14ac:dyDescent="0.4">
      <c r="A336" s="96">
        <v>331</v>
      </c>
      <c r="B336" s="101"/>
      <c r="C336" s="102"/>
      <c r="D336" s="103"/>
      <c r="E336" s="235"/>
      <c r="F336" s="104"/>
      <c r="G336" s="104"/>
      <c r="H336" s="105">
        <f t="shared" si="5"/>
        <v>0</v>
      </c>
      <c r="L336" s="106"/>
      <c r="M336" s="106"/>
      <c r="N336" s="106"/>
    </row>
    <row r="337" spans="1:14" ht="14.75" customHeight="1" x14ac:dyDescent="0.4">
      <c r="A337" s="96">
        <v>332</v>
      </c>
      <c r="B337" s="101"/>
      <c r="C337" s="102"/>
      <c r="D337" s="103"/>
      <c r="E337" s="235"/>
      <c r="F337" s="104"/>
      <c r="G337" s="104"/>
      <c r="H337" s="105">
        <f t="shared" si="5"/>
        <v>0</v>
      </c>
      <c r="L337" s="106"/>
      <c r="M337" s="106"/>
      <c r="N337" s="106"/>
    </row>
    <row r="338" spans="1:14" ht="14.75" customHeight="1" x14ac:dyDescent="0.4">
      <c r="A338" s="96">
        <v>333</v>
      </c>
      <c r="B338" s="101"/>
      <c r="C338" s="102"/>
      <c r="D338" s="103"/>
      <c r="E338" s="235"/>
      <c r="F338" s="104"/>
      <c r="G338" s="104"/>
      <c r="H338" s="105">
        <f t="shared" si="5"/>
        <v>0</v>
      </c>
      <c r="L338" s="106"/>
      <c r="M338" s="106"/>
      <c r="N338" s="106"/>
    </row>
    <row r="339" spans="1:14" ht="14.75" customHeight="1" x14ac:dyDescent="0.4">
      <c r="A339" s="96">
        <v>334</v>
      </c>
      <c r="B339" s="101"/>
      <c r="C339" s="102"/>
      <c r="D339" s="103"/>
      <c r="E339" s="235"/>
      <c r="F339" s="104"/>
      <c r="G339" s="104"/>
      <c r="H339" s="105">
        <f t="shared" si="5"/>
        <v>0</v>
      </c>
      <c r="L339" s="106"/>
      <c r="M339" s="106"/>
      <c r="N339" s="106"/>
    </row>
    <row r="340" spans="1:14" ht="14.75" customHeight="1" x14ac:dyDescent="0.4">
      <c r="A340" s="96">
        <v>335</v>
      </c>
      <c r="B340" s="101"/>
      <c r="C340" s="102"/>
      <c r="D340" s="103"/>
      <c r="E340" s="235"/>
      <c r="F340" s="104"/>
      <c r="G340" s="104"/>
      <c r="H340" s="105">
        <f t="shared" si="5"/>
        <v>0</v>
      </c>
      <c r="L340" s="106"/>
      <c r="M340" s="106"/>
      <c r="N340" s="106"/>
    </row>
    <row r="341" spans="1:14" ht="14.75" customHeight="1" x14ac:dyDescent="0.4">
      <c r="A341" s="96">
        <v>336</v>
      </c>
      <c r="B341" s="101"/>
      <c r="C341" s="102"/>
      <c r="D341" s="103"/>
      <c r="E341" s="235"/>
      <c r="F341" s="104"/>
      <c r="G341" s="104"/>
      <c r="H341" s="105">
        <f t="shared" si="5"/>
        <v>0</v>
      </c>
      <c r="L341" s="106"/>
      <c r="M341" s="106"/>
      <c r="N341" s="106"/>
    </row>
    <row r="342" spans="1:14" ht="14.75" customHeight="1" x14ac:dyDescent="0.4">
      <c r="A342" s="96">
        <v>337</v>
      </c>
      <c r="B342" s="101"/>
      <c r="C342" s="102"/>
      <c r="D342" s="103"/>
      <c r="E342" s="235"/>
      <c r="F342" s="104"/>
      <c r="G342" s="104"/>
      <c r="H342" s="105">
        <f t="shared" si="5"/>
        <v>0</v>
      </c>
      <c r="L342" s="106"/>
      <c r="M342" s="106"/>
      <c r="N342" s="106"/>
    </row>
    <row r="343" spans="1:14" ht="14.75" customHeight="1" x14ac:dyDescent="0.4">
      <c r="A343" s="96">
        <v>338</v>
      </c>
      <c r="B343" s="101"/>
      <c r="C343" s="102"/>
      <c r="D343" s="103"/>
      <c r="E343" s="235"/>
      <c r="F343" s="104"/>
      <c r="G343" s="104"/>
      <c r="H343" s="105">
        <f t="shared" si="5"/>
        <v>0</v>
      </c>
      <c r="L343" s="106"/>
      <c r="M343" s="106"/>
      <c r="N343" s="106"/>
    </row>
    <row r="344" spans="1:14" ht="14.75" customHeight="1" x14ac:dyDescent="0.4">
      <c r="A344" s="96">
        <v>339</v>
      </c>
      <c r="B344" s="101"/>
      <c r="C344" s="102"/>
      <c r="D344" s="103"/>
      <c r="E344" s="235"/>
      <c r="F344" s="104"/>
      <c r="G344" s="104"/>
      <c r="H344" s="105">
        <f t="shared" si="5"/>
        <v>0</v>
      </c>
      <c r="L344" s="106"/>
      <c r="M344" s="106"/>
      <c r="N344" s="106"/>
    </row>
    <row r="345" spans="1:14" ht="14.75" customHeight="1" x14ac:dyDescent="0.4">
      <c r="A345" s="96">
        <v>340</v>
      </c>
      <c r="B345" s="101"/>
      <c r="C345" s="102"/>
      <c r="D345" s="103"/>
      <c r="E345" s="235"/>
      <c r="F345" s="104"/>
      <c r="G345" s="104"/>
      <c r="H345" s="105">
        <f t="shared" si="5"/>
        <v>0</v>
      </c>
      <c r="L345" s="106"/>
      <c r="M345" s="106"/>
      <c r="N345" s="106"/>
    </row>
    <row r="346" spans="1:14" ht="14.75" customHeight="1" x14ac:dyDescent="0.4">
      <c r="A346" s="96">
        <v>341</v>
      </c>
      <c r="B346" s="101"/>
      <c r="C346" s="102"/>
      <c r="D346" s="103"/>
      <c r="E346" s="235"/>
      <c r="F346" s="104"/>
      <c r="G346" s="104"/>
      <c r="H346" s="105">
        <f t="shared" si="5"/>
        <v>0</v>
      </c>
      <c r="L346" s="106"/>
      <c r="M346" s="106"/>
      <c r="N346" s="106"/>
    </row>
    <row r="347" spans="1:14" ht="14.75" customHeight="1" x14ac:dyDescent="0.4">
      <c r="A347" s="96">
        <v>342</v>
      </c>
      <c r="B347" s="101"/>
      <c r="C347" s="102"/>
      <c r="D347" s="103"/>
      <c r="E347" s="235"/>
      <c r="F347" s="104"/>
      <c r="G347" s="104"/>
      <c r="H347" s="105">
        <f t="shared" si="5"/>
        <v>0</v>
      </c>
      <c r="L347" s="106"/>
      <c r="M347" s="106"/>
      <c r="N347" s="106"/>
    </row>
    <row r="348" spans="1:14" ht="14.75" customHeight="1" x14ac:dyDescent="0.4">
      <c r="A348" s="96">
        <v>343</v>
      </c>
      <c r="B348" s="101"/>
      <c r="C348" s="102"/>
      <c r="D348" s="103"/>
      <c r="E348" s="235"/>
      <c r="F348" s="104"/>
      <c r="G348" s="104"/>
      <c r="H348" s="105">
        <f t="shared" si="5"/>
        <v>0</v>
      </c>
      <c r="L348" s="106"/>
      <c r="M348" s="106"/>
      <c r="N348" s="106"/>
    </row>
    <row r="349" spans="1:14" ht="14.75" customHeight="1" x14ac:dyDescent="0.4">
      <c r="A349" s="96">
        <v>344</v>
      </c>
      <c r="B349" s="101"/>
      <c r="C349" s="102"/>
      <c r="D349" s="103"/>
      <c r="E349" s="235"/>
      <c r="F349" s="104"/>
      <c r="G349" s="104"/>
      <c r="H349" s="105">
        <f t="shared" si="5"/>
        <v>0</v>
      </c>
      <c r="L349" s="106"/>
      <c r="M349" s="106"/>
      <c r="N349" s="106"/>
    </row>
    <row r="350" spans="1:14" ht="14.75" customHeight="1" x14ac:dyDescent="0.4">
      <c r="A350" s="96">
        <v>345</v>
      </c>
      <c r="B350" s="101"/>
      <c r="C350" s="102"/>
      <c r="D350" s="103"/>
      <c r="E350" s="235"/>
      <c r="F350" s="104"/>
      <c r="G350" s="104"/>
      <c r="H350" s="105">
        <f t="shared" si="5"/>
        <v>0</v>
      </c>
      <c r="L350" s="106"/>
      <c r="M350" s="106"/>
      <c r="N350" s="106"/>
    </row>
    <row r="351" spans="1:14" ht="14.75" customHeight="1" x14ac:dyDescent="0.4">
      <c r="A351" s="96">
        <v>346</v>
      </c>
      <c r="B351" s="101"/>
      <c r="C351" s="102"/>
      <c r="D351" s="103"/>
      <c r="E351" s="235"/>
      <c r="F351" s="104"/>
      <c r="G351" s="104"/>
      <c r="H351" s="105">
        <f t="shared" si="5"/>
        <v>0</v>
      </c>
      <c r="L351" s="106"/>
      <c r="M351" s="106"/>
      <c r="N351" s="106"/>
    </row>
    <row r="352" spans="1:14" ht="14.75" customHeight="1" x14ac:dyDescent="0.4">
      <c r="A352" s="96">
        <v>347</v>
      </c>
      <c r="B352" s="101"/>
      <c r="C352" s="102"/>
      <c r="D352" s="103"/>
      <c r="E352" s="235"/>
      <c r="F352" s="104"/>
      <c r="G352" s="104"/>
      <c r="H352" s="105">
        <f t="shared" si="5"/>
        <v>0</v>
      </c>
      <c r="L352" s="106"/>
      <c r="M352" s="106"/>
      <c r="N352" s="106"/>
    </row>
    <row r="353" spans="1:14" ht="14.75" customHeight="1" x14ac:dyDescent="0.4">
      <c r="A353" s="96">
        <v>348</v>
      </c>
      <c r="B353" s="101"/>
      <c r="C353" s="102"/>
      <c r="D353" s="103"/>
      <c r="E353" s="235"/>
      <c r="F353" s="104"/>
      <c r="G353" s="104"/>
      <c r="H353" s="105">
        <f t="shared" si="5"/>
        <v>0</v>
      </c>
      <c r="L353" s="106"/>
      <c r="M353" s="106"/>
      <c r="N353" s="106"/>
    </row>
    <row r="354" spans="1:14" ht="14.75" customHeight="1" x14ac:dyDescent="0.4">
      <c r="A354" s="96">
        <v>349</v>
      </c>
      <c r="B354" s="101"/>
      <c r="C354" s="102"/>
      <c r="D354" s="103"/>
      <c r="E354" s="235"/>
      <c r="F354" s="104"/>
      <c r="G354" s="104"/>
      <c r="H354" s="105">
        <f t="shared" si="5"/>
        <v>0</v>
      </c>
      <c r="L354" s="106"/>
      <c r="M354" s="106"/>
      <c r="N354" s="106"/>
    </row>
    <row r="355" spans="1:14" ht="14.75" customHeight="1" x14ac:dyDescent="0.4">
      <c r="A355" s="96">
        <v>350</v>
      </c>
      <c r="B355" s="101"/>
      <c r="C355" s="102"/>
      <c r="D355" s="103"/>
      <c r="E355" s="235"/>
      <c r="F355" s="104"/>
      <c r="G355" s="104"/>
      <c r="H355" s="105">
        <f t="shared" si="5"/>
        <v>0</v>
      </c>
      <c r="L355" s="106"/>
      <c r="M355" s="106"/>
      <c r="N355" s="106"/>
    </row>
    <row r="356" spans="1:14" ht="14.75" customHeight="1" x14ac:dyDescent="0.4">
      <c r="A356" s="96">
        <v>351</v>
      </c>
      <c r="B356" s="101"/>
      <c r="C356" s="102"/>
      <c r="D356" s="103"/>
      <c r="E356" s="235"/>
      <c r="F356" s="104"/>
      <c r="G356" s="104"/>
      <c r="H356" s="105">
        <f t="shared" si="5"/>
        <v>0</v>
      </c>
      <c r="L356" s="106"/>
      <c r="M356" s="106"/>
      <c r="N356" s="106"/>
    </row>
    <row r="357" spans="1:14" ht="14.75" customHeight="1" x14ac:dyDescent="0.4">
      <c r="A357" s="96">
        <v>352</v>
      </c>
      <c r="B357" s="101"/>
      <c r="C357" s="102"/>
      <c r="D357" s="103"/>
      <c r="E357" s="235"/>
      <c r="F357" s="104"/>
      <c r="G357" s="104"/>
      <c r="H357" s="105">
        <f t="shared" si="5"/>
        <v>0</v>
      </c>
      <c r="L357" s="106"/>
      <c r="M357" s="106"/>
      <c r="N357" s="106"/>
    </row>
    <row r="358" spans="1:14" ht="14.75" customHeight="1" x14ac:dyDescent="0.4">
      <c r="A358" s="96">
        <v>353</v>
      </c>
      <c r="B358" s="101"/>
      <c r="C358" s="102"/>
      <c r="D358" s="103"/>
      <c r="E358" s="235"/>
      <c r="F358" s="104"/>
      <c r="G358" s="104"/>
      <c r="H358" s="105">
        <f t="shared" si="5"/>
        <v>0</v>
      </c>
      <c r="L358" s="106"/>
      <c r="M358" s="106"/>
      <c r="N358" s="106"/>
    </row>
    <row r="359" spans="1:14" ht="14.75" customHeight="1" x14ac:dyDescent="0.4">
      <c r="A359" s="96">
        <v>354</v>
      </c>
      <c r="B359" s="101"/>
      <c r="C359" s="102"/>
      <c r="D359" s="103"/>
      <c r="E359" s="235"/>
      <c r="F359" s="104"/>
      <c r="G359" s="104"/>
      <c r="H359" s="105">
        <f t="shared" si="5"/>
        <v>0</v>
      </c>
      <c r="L359" s="106"/>
      <c r="M359" s="106"/>
      <c r="N359" s="106"/>
    </row>
    <row r="360" spans="1:14" ht="14.75" customHeight="1" x14ac:dyDescent="0.4">
      <c r="A360" s="96">
        <v>355</v>
      </c>
      <c r="B360" s="101"/>
      <c r="C360" s="102"/>
      <c r="D360" s="103"/>
      <c r="E360" s="235"/>
      <c r="F360" s="104"/>
      <c r="G360" s="104"/>
      <c r="H360" s="105">
        <f t="shared" si="5"/>
        <v>0</v>
      </c>
      <c r="L360" s="106"/>
      <c r="M360" s="106"/>
      <c r="N360" s="106"/>
    </row>
    <row r="361" spans="1:14" ht="14.75" customHeight="1" x14ac:dyDescent="0.4">
      <c r="A361" s="96">
        <v>356</v>
      </c>
      <c r="B361" s="101"/>
      <c r="C361" s="102"/>
      <c r="D361" s="103"/>
      <c r="E361" s="235"/>
      <c r="F361" s="104"/>
      <c r="G361" s="104"/>
      <c r="H361" s="105">
        <f t="shared" si="5"/>
        <v>0</v>
      </c>
      <c r="L361" s="106"/>
      <c r="M361" s="106"/>
      <c r="N361" s="106"/>
    </row>
    <row r="362" spans="1:14" ht="14.75" customHeight="1" x14ac:dyDescent="0.4">
      <c r="A362" s="96">
        <v>357</v>
      </c>
      <c r="B362" s="101"/>
      <c r="C362" s="102"/>
      <c r="D362" s="103"/>
      <c r="E362" s="235"/>
      <c r="F362" s="104"/>
      <c r="G362" s="104"/>
      <c r="H362" s="105">
        <f t="shared" si="5"/>
        <v>0</v>
      </c>
      <c r="L362" s="106"/>
      <c r="M362" s="106"/>
      <c r="N362" s="106"/>
    </row>
    <row r="363" spans="1:14" ht="14.75" customHeight="1" x14ac:dyDescent="0.4">
      <c r="A363" s="96">
        <v>358</v>
      </c>
      <c r="B363" s="101"/>
      <c r="C363" s="102"/>
      <c r="D363" s="103"/>
      <c r="E363" s="235"/>
      <c r="F363" s="104"/>
      <c r="G363" s="104"/>
      <c r="H363" s="105">
        <f t="shared" si="5"/>
        <v>0</v>
      </c>
      <c r="L363" s="106"/>
      <c r="M363" s="106"/>
      <c r="N363" s="106"/>
    </row>
    <row r="364" spans="1:14" ht="14.75" customHeight="1" x14ac:dyDescent="0.4">
      <c r="A364" s="96">
        <v>359</v>
      </c>
      <c r="B364" s="101"/>
      <c r="C364" s="102"/>
      <c r="D364" s="103"/>
      <c r="E364" s="235"/>
      <c r="F364" s="104"/>
      <c r="G364" s="104"/>
      <c r="H364" s="105">
        <f t="shared" si="5"/>
        <v>0</v>
      </c>
      <c r="L364" s="106"/>
      <c r="M364" s="106"/>
      <c r="N364" s="106"/>
    </row>
    <row r="365" spans="1:14" ht="14.75" customHeight="1" x14ac:dyDescent="0.4">
      <c r="A365" s="96">
        <v>360</v>
      </c>
      <c r="B365" s="101"/>
      <c r="C365" s="102"/>
      <c r="D365" s="103"/>
      <c r="E365" s="235"/>
      <c r="F365" s="104"/>
      <c r="G365" s="104"/>
      <c r="H365" s="105">
        <f t="shared" si="5"/>
        <v>0</v>
      </c>
      <c r="L365" s="106"/>
      <c r="M365" s="106"/>
      <c r="N365" s="106"/>
    </row>
    <row r="366" spans="1:14" ht="14.75" customHeight="1" x14ac:dyDescent="0.4">
      <c r="A366" s="96">
        <v>361</v>
      </c>
      <c r="B366" s="101"/>
      <c r="C366" s="102"/>
      <c r="D366" s="103"/>
      <c r="E366" s="235"/>
      <c r="F366" s="104"/>
      <c r="G366" s="104"/>
      <c r="H366" s="105">
        <f t="shared" si="5"/>
        <v>0</v>
      </c>
      <c r="L366" s="106"/>
      <c r="M366" s="106"/>
      <c r="N366" s="106"/>
    </row>
    <row r="367" spans="1:14" ht="14.75" customHeight="1" x14ac:dyDescent="0.4">
      <c r="A367" s="96">
        <v>362</v>
      </c>
      <c r="B367" s="101"/>
      <c r="C367" s="102"/>
      <c r="D367" s="103"/>
      <c r="E367" s="235"/>
      <c r="F367" s="104"/>
      <c r="G367" s="104"/>
      <c r="H367" s="105">
        <f t="shared" si="5"/>
        <v>0</v>
      </c>
      <c r="L367" s="106"/>
      <c r="M367" s="106"/>
      <c r="N367" s="106"/>
    </row>
    <row r="368" spans="1:14" ht="14.75" customHeight="1" x14ac:dyDescent="0.4">
      <c r="A368" s="96">
        <v>363</v>
      </c>
      <c r="B368" s="101"/>
      <c r="C368" s="102"/>
      <c r="D368" s="103"/>
      <c r="E368" s="235"/>
      <c r="F368" s="104"/>
      <c r="G368" s="104"/>
      <c r="H368" s="105">
        <f t="shared" si="5"/>
        <v>0</v>
      </c>
      <c r="L368" s="106"/>
      <c r="M368" s="106"/>
      <c r="N368" s="106"/>
    </row>
    <row r="369" spans="1:14" ht="14.75" customHeight="1" x14ac:dyDescent="0.4">
      <c r="A369" s="96">
        <v>364</v>
      </c>
      <c r="B369" s="101"/>
      <c r="C369" s="102"/>
      <c r="D369" s="103"/>
      <c r="E369" s="235"/>
      <c r="F369" s="104"/>
      <c r="G369" s="104"/>
      <c r="H369" s="105">
        <f t="shared" si="5"/>
        <v>0</v>
      </c>
      <c r="L369" s="106"/>
      <c r="M369" s="106"/>
      <c r="N369" s="106"/>
    </row>
    <row r="370" spans="1:14" ht="14.75" customHeight="1" x14ac:dyDescent="0.4">
      <c r="A370" s="96">
        <v>365</v>
      </c>
      <c r="B370" s="101"/>
      <c r="C370" s="102"/>
      <c r="D370" s="103"/>
      <c r="E370" s="235"/>
      <c r="F370" s="104"/>
      <c r="G370" s="104"/>
      <c r="H370" s="105">
        <f t="shared" si="5"/>
        <v>0</v>
      </c>
      <c r="L370" s="106"/>
      <c r="M370" s="106"/>
      <c r="N370" s="106"/>
    </row>
    <row r="371" spans="1:14" ht="14.75" customHeight="1" x14ac:dyDescent="0.4">
      <c r="A371" s="96">
        <v>366</v>
      </c>
      <c r="B371" s="101"/>
      <c r="C371" s="102"/>
      <c r="D371" s="103"/>
      <c r="E371" s="235"/>
      <c r="F371" s="104"/>
      <c r="G371" s="104"/>
      <c r="H371" s="105">
        <f t="shared" si="5"/>
        <v>0</v>
      </c>
      <c r="L371" s="106"/>
      <c r="M371" s="106"/>
      <c r="N371" s="106"/>
    </row>
    <row r="372" spans="1:14" ht="14.75" customHeight="1" x14ac:dyDescent="0.4">
      <c r="A372" s="96">
        <v>367</v>
      </c>
      <c r="B372" s="101"/>
      <c r="C372" s="102"/>
      <c r="D372" s="103"/>
      <c r="E372" s="235"/>
      <c r="F372" s="104"/>
      <c r="G372" s="104"/>
      <c r="H372" s="105">
        <f t="shared" si="5"/>
        <v>0</v>
      </c>
      <c r="L372" s="106"/>
      <c r="M372" s="106"/>
      <c r="N372" s="106"/>
    </row>
    <row r="373" spans="1:14" ht="14.75" customHeight="1" x14ac:dyDescent="0.4">
      <c r="A373" s="96">
        <v>368</v>
      </c>
      <c r="B373" s="101"/>
      <c r="C373" s="102"/>
      <c r="D373" s="103"/>
      <c r="E373" s="235"/>
      <c r="F373" s="104"/>
      <c r="G373" s="104"/>
      <c r="H373" s="105">
        <f t="shared" si="5"/>
        <v>0</v>
      </c>
      <c r="L373" s="106"/>
      <c r="M373" s="106"/>
      <c r="N373" s="106"/>
    </row>
    <row r="374" spans="1:14" ht="14.75" customHeight="1" x14ac:dyDescent="0.4">
      <c r="A374" s="96">
        <v>369</v>
      </c>
      <c r="B374" s="101"/>
      <c r="C374" s="102"/>
      <c r="D374" s="103"/>
      <c r="E374" s="235"/>
      <c r="F374" s="104"/>
      <c r="G374" s="104"/>
      <c r="H374" s="105">
        <f t="shared" si="5"/>
        <v>0</v>
      </c>
      <c r="L374" s="106"/>
      <c r="M374" s="106"/>
      <c r="N374" s="106"/>
    </row>
    <row r="375" spans="1:14" ht="14.75" customHeight="1" x14ac:dyDescent="0.4">
      <c r="A375" s="96">
        <v>370</v>
      </c>
      <c r="B375" s="101"/>
      <c r="C375" s="102"/>
      <c r="D375" s="103"/>
      <c r="E375" s="235"/>
      <c r="F375" s="104"/>
      <c r="G375" s="104"/>
      <c r="H375" s="105">
        <f t="shared" si="5"/>
        <v>0</v>
      </c>
      <c r="L375" s="106"/>
      <c r="M375" s="106"/>
      <c r="N375" s="106"/>
    </row>
    <row r="376" spans="1:14" ht="14.75" customHeight="1" x14ac:dyDescent="0.4">
      <c r="A376" s="96">
        <v>371</v>
      </c>
      <c r="B376" s="101"/>
      <c r="C376" s="102"/>
      <c r="D376" s="103"/>
      <c r="E376" s="235"/>
      <c r="F376" s="104"/>
      <c r="G376" s="104"/>
      <c r="H376" s="105">
        <f t="shared" si="5"/>
        <v>0</v>
      </c>
      <c r="L376" s="106"/>
      <c r="M376" s="106"/>
      <c r="N376" s="106"/>
    </row>
    <row r="377" spans="1:14" ht="14.75" customHeight="1" x14ac:dyDescent="0.4">
      <c r="A377" s="96">
        <v>372</v>
      </c>
      <c r="B377" s="101"/>
      <c r="C377" s="102"/>
      <c r="D377" s="103"/>
      <c r="E377" s="235"/>
      <c r="F377" s="104"/>
      <c r="G377" s="104"/>
      <c r="H377" s="105">
        <f t="shared" si="5"/>
        <v>0</v>
      </c>
      <c r="L377" s="106"/>
      <c r="M377" s="106"/>
      <c r="N377" s="106"/>
    </row>
    <row r="378" spans="1:14" ht="14.75" customHeight="1" x14ac:dyDescent="0.4">
      <c r="A378" s="96">
        <v>373</v>
      </c>
      <c r="B378" s="101"/>
      <c r="C378" s="102"/>
      <c r="D378" s="103"/>
      <c r="E378" s="235"/>
      <c r="F378" s="104"/>
      <c r="G378" s="104"/>
      <c r="H378" s="105">
        <f t="shared" si="5"/>
        <v>0</v>
      </c>
      <c r="L378" s="106"/>
      <c r="M378" s="106"/>
      <c r="N378" s="106"/>
    </row>
    <row r="379" spans="1:14" ht="14.75" customHeight="1" x14ac:dyDescent="0.4">
      <c r="A379" s="96">
        <v>374</v>
      </c>
      <c r="B379" s="101"/>
      <c r="C379" s="102"/>
      <c r="D379" s="103"/>
      <c r="E379" s="235"/>
      <c r="F379" s="104"/>
      <c r="G379" s="104"/>
      <c r="H379" s="105">
        <f t="shared" si="5"/>
        <v>0</v>
      </c>
      <c r="L379" s="106"/>
      <c r="M379" s="106"/>
      <c r="N379" s="106"/>
    </row>
    <row r="380" spans="1:14" ht="14.75" customHeight="1" x14ac:dyDescent="0.4">
      <c r="A380" s="96">
        <v>375</v>
      </c>
      <c r="B380" s="101"/>
      <c r="C380" s="102"/>
      <c r="D380" s="103"/>
      <c r="E380" s="235"/>
      <c r="F380" s="104"/>
      <c r="G380" s="104"/>
      <c r="H380" s="105">
        <f t="shared" si="5"/>
        <v>0</v>
      </c>
      <c r="L380" s="106"/>
      <c r="M380" s="106"/>
      <c r="N380" s="106"/>
    </row>
    <row r="381" spans="1:14" ht="14.75" customHeight="1" x14ac:dyDescent="0.4">
      <c r="A381" s="96">
        <v>376</v>
      </c>
      <c r="B381" s="101"/>
      <c r="C381" s="102"/>
      <c r="D381" s="103"/>
      <c r="E381" s="235"/>
      <c r="F381" s="104"/>
      <c r="G381" s="104"/>
      <c r="H381" s="105">
        <f t="shared" si="5"/>
        <v>0</v>
      </c>
      <c r="L381" s="106"/>
      <c r="M381" s="106"/>
      <c r="N381" s="106"/>
    </row>
    <row r="382" spans="1:14" ht="14.75" customHeight="1" x14ac:dyDescent="0.4">
      <c r="A382" s="96">
        <v>377</v>
      </c>
      <c r="B382" s="101"/>
      <c r="C382" s="102"/>
      <c r="D382" s="103"/>
      <c r="E382" s="235"/>
      <c r="F382" s="104"/>
      <c r="G382" s="104"/>
      <c r="H382" s="105">
        <f t="shared" si="5"/>
        <v>0</v>
      </c>
      <c r="L382" s="106"/>
      <c r="M382" s="106"/>
      <c r="N382" s="106"/>
    </row>
    <row r="383" spans="1:14" ht="14.75" customHeight="1" x14ac:dyDescent="0.4">
      <c r="A383" s="96">
        <v>378</v>
      </c>
      <c r="B383" s="101"/>
      <c r="C383" s="102"/>
      <c r="D383" s="103"/>
      <c r="E383" s="235"/>
      <c r="F383" s="104"/>
      <c r="G383" s="104"/>
      <c r="H383" s="105">
        <f t="shared" si="5"/>
        <v>0</v>
      </c>
      <c r="L383" s="106"/>
      <c r="M383" s="106"/>
      <c r="N383" s="106"/>
    </row>
    <row r="384" spans="1:14" ht="14.75" customHeight="1" x14ac:dyDescent="0.4">
      <c r="A384" s="96">
        <v>379</v>
      </c>
      <c r="B384" s="101"/>
      <c r="C384" s="102"/>
      <c r="D384" s="103"/>
      <c r="E384" s="235"/>
      <c r="F384" s="104"/>
      <c r="G384" s="104"/>
      <c r="H384" s="105">
        <f t="shared" si="5"/>
        <v>0</v>
      </c>
      <c r="L384" s="106"/>
      <c r="M384" s="106"/>
      <c r="N384" s="106"/>
    </row>
    <row r="385" spans="1:14" ht="14.75" customHeight="1" x14ac:dyDescent="0.4">
      <c r="A385" s="96">
        <v>380</v>
      </c>
      <c r="B385" s="101"/>
      <c r="C385" s="102"/>
      <c r="D385" s="103"/>
      <c r="E385" s="235"/>
      <c r="F385" s="104"/>
      <c r="G385" s="104"/>
      <c r="H385" s="105">
        <f t="shared" si="5"/>
        <v>0</v>
      </c>
      <c r="L385" s="106"/>
      <c r="M385" s="106"/>
      <c r="N385" s="106"/>
    </row>
    <row r="386" spans="1:14" ht="14.75" customHeight="1" x14ac:dyDescent="0.4">
      <c r="A386" s="96">
        <v>381</v>
      </c>
      <c r="B386" s="101"/>
      <c r="C386" s="102"/>
      <c r="D386" s="103"/>
      <c r="E386" s="235"/>
      <c r="F386" s="104"/>
      <c r="G386" s="104"/>
      <c r="H386" s="105">
        <f t="shared" si="5"/>
        <v>0</v>
      </c>
      <c r="L386" s="106"/>
      <c r="M386" s="106"/>
      <c r="N386" s="106"/>
    </row>
    <row r="387" spans="1:14" ht="14.75" customHeight="1" x14ac:dyDescent="0.4">
      <c r="A387" s="96">
        <v>382</v>
      </c>
      <c r="B387" s="101"/>
      <c r="C387" s="102"/>
      <c r="D387" s="103"/>
      <c r="E387" s="235"/>
      <c r="F387" s="104"/>
      <c r="G387" s="104"/>
      <c r="H387" s="105">
        <f t="shared" si="5"/>
        <v>0</v>
      </c>
      <c r="L387" s="106"/>
      <c r="M387" s="106"/>
      <c r="N387" s="106"/>
    </row>
    <row r="388" spans="1:14" ht="14.75" customHeight="1" x14ac:dyDescent="0.4">
      <c r="A388" s="96">
        <v>383</v>
      </c>
      <c r="B388" s="101"/>
      <c r="C388" s="102"/>
      <c r="D388" s="103"/>
      <c r="E388" s="235"/>
      <c r="F388" s="104"/>
      <c r="G388" s="104"/>
      <c r="H388" s="105">
        <f t="shared" si="5"/>
        <v>0</v>
      </c>
      <c r="L388" s="106"/>
      <c r="M388" s="106"/>
      <c r="N388" s="106"/>
    </row>
    <row r="389" spans="1:14" ht="14.75" customHeight="1" x14ac:dyDescent="0.4">
      <c r="A389" s="96">
        <v>384</v>
      </c>
      <c r="B389" s="101"/>
      <c r="C389" s="102"/>
      <c r="D389" s="103"/>
      <c r="E389" s="235"/>
      <c r="F389" s="104"/>
      <c r="G389" s="104"/>
      <c r="H389" s="105">
        <f t="shared" si="5"/>
        <v>0</v>
      </c>
      <c r="L389" s="106"/>
      <c r="M389" s="106"/>
      <c r="N389" s="106"/>
    </row>
    <row r="390" spans="1:14" ht="14.75" customHeight="1" x14ac:dyDescent="0.4">
      <c r="A390" s="96">
        <v>385</v>
      </c>
      <c r="B390" s="101"/>
      <c r="C390" s="102"/>
      <c r="D390" s="103"/>
      <c r="E390" s="235"/>
      <c r="F390" s="104"/>
      <c r="G390" s="104"/>
      <c r="H390" s="105">
        <f t="shared" si="5"/>
        <v>0</v>
      </c>
      <c r="L390" s="106"/>
      <c r="M390" s="106"/>
      <c r="N390" s="106"/>
    </row>
    <row r="391" spans="1:14" ht="14.75" customHeight="1" x14ac:dyDescent="0.4">
      <c r="A391" s="96">
        <v>386</v>
      </c>
      <c r="B391" s="101"/>
      <c r="C391" s="102"/>
      <c r="D391" s="103"/>
      <c r="E391" s="235"/>
      <c r="F391" s="104"/>
      <c r="G391" s="104"/>
      <c r="H391" s="105">
        <f t="shared" si="5"/>
        <v>0</v>
      </c>
      <c r="L391" s="106"/>
      <c r="M391" s="106"/>
      <c r="N391" s="106"/>
    </row>
    <row r="392" spans="1:14" ht="14.75" customHeight="1" x14ac:dyDescent="0.4">
      <c r="A392" s="96">
        <v>387</v>
      </c>
      <c r="B392" s="101"/>
      <c r="C392" s="102"/>
      <c r="D392" s="103"/>
      <c r="E392" s="235"/>
      <c r="F392" s="104"/>
      <c r="G392" s="104"/>
      <c r="H392" s="105">
        <f t="shared" si="5"/>
        <v>0</v>
      </c>
      <c r="L392" s="106"/>
      <c r="M392" s="106"/>
      <c r="N392" s="106"/>
    </row>
    <row r="393" spans="1:14" ht="14.75" customHeight="1" x14ac:dyDescent="0.4">
      <c r="A393" s="96">
        <v>388</v>
      </c>
      <c r="B393" s="101"/>
      <c r="C393" s="102"/>
      <c r="D393" s="103"/>
      <c r="E393" s="235"/>
      <c r="F393" s="104"/>
      <c r="G393" s="104"/>
      <c r="H393" s="105">
        <f t="shared" ref="H393:H456" si="6">H392+F393-G393</f>
        <v>0</v>
      </c>
      <c r="L393" s="106"/>
      <c r="M393" s="106"/>
      <c r="N393" s="106"/>
    </row>
    <row r="394" spans="1:14" ht="14.75" customHeight="1" x14ac:dyDescent="0.4">
      <c r="A394" s="96">
        <v>389</v>
      </c>
      <c r="B394" s="101"/>
      <c r="C394" s="102"/>
      <c r="D394" s="103"/>
      <c r="E394" s="235"/>
      <c r="F394" s="104"/>
      <c r="G394" s="104"/>
      <c r="H394" s="105">
        <f t="shared" si="6"/>
        <v>0</v>
      </c>
      <c r="L394" s="106"/>
      <c r="M394" s="106"/>
      <c r="N394" s="106"/>
    </row>
    <row r="395" spans="1:14" ht="14.75" customHeight="1" x14ac:dyDescent="0.4">
      <c r="A395" s="96">
        <v>390</v>
      </c>
      <c r="B395" s="101"/>
      <c r="C395" s="102"/>
      <c r="D395" s="103"/>
      <c r="E395" s="235"/>
      <c r="F395" s="104"/>
      <c r="G395" s="104"/>
      <c r="H395" s="105">
        <f t="shared" si="6"/>
        <v>0</v>
      </c>
      <c r="L395" s="106"/>
      <c r="M395" s="106"/>
      <c r="N395" s="106"/>
    </row>
    <row r="396" spans="1:14" ht="14.75" customHeight="1" x14ac:dyDescent="0.4">
      <c r="A396" s="96">
        <v>391</v>
      </c>
      <c r="B396" s="101"/>
      <c r="C396" s="102"/>
      <c r="D396" s="103"/>
      <c r="E396" s="235"/>
      <c r="F396" s="104"/>
      <c r="G396" s="104"/>
      <c r="H396" s="105">
        <f t="shared" si="6"/>
        <v>0</v>
      </c>
      <c r="L396" s="106"/>
      <c r="M396" s="106"/>
      <c r="N396" s="106"/>
    </row>
    <row r="397" spans="1:14" ht="14.75" customHeight="1" x14ac:dyDescent="0.4">
      <c r="A397" s="96">
        <v>392</v>
      </c>
      <c r="B397" s="101"/>
      <c r="C397" s="102"/>
      <c r="D397" s="103"/>
      <c r="E397" s="235"/>
      <c r="F397" s="104"/>
      <c r="G397" s="104"/>
      <c r="H397" s="105">
        <f t="shared" si="6"/>
        <v>0</v>
      </c>
      <c r="L397" s="106"/>
      <c r="M397" s="106"/>
      <c r="N397" s="106"/>
    </row>
    <row r="398" spans="1:14" ht="14.75" customHeight="1" x14ac:dyDescent="0.4">
      <c r="A398" s="96">
        <v>393</v>
      </c>
      <c r="B398" s="101"/>
      <c r="C398" s="102"/>
      <c r="D398" s="103"/>
      <c r="E398" s="235"/>
      <c r="F398" s="104"/>
      <c r="G398" s="104"/>
      <c r="H398" s="105">
        <f t="shared" si="6"/>
        <v>0</v>
      </c>
      <c r="L398" s="106"/>
      <c r="M398" s="106"/>
      <c r="N398" s="106"/>
    </row>
    <row r="399" spans="1:14" ht="14.75" customHeight="1" x14ac:dyDescent="0.4">
      <c r="A399" s="96">
        <v>394</v>
      </c>
      <c r="B399" s="101"/>
      <c r="C399" s="102"/>
      <c r="D399" s="103"/>
      <c r="E399" s="235"/>
      <c r="F399" s="104"/>
      <c r="G399" s="104"/>
      <c r="H399" s="105">
        <f t="shared" si="6"/>
        <v>0</v>
      </c>
      <c r="L399" s="106"/>
      <c r="M399" s="106"/>
      <c r="N399" s="106"/>
    </row>
    <row r="400" spans="1:14" ht="14.75" customHeight="1" x14ac:dyDescent="0.4">
      <c r="A400" s="96">
        <v>395</v>
      </c>
      <c r="B400" s="101"/>
      <c r="C400" s="102"/>
      <c r="D400" s="103"/>
      <c r="E400" s="235"/>
      <c r="F400" s="104"/>
      <c r="G400" s="104"/>
      <c r="H400" s="105">
        <f t="shared" si="6"/>
        <v>0</v>
      </c>
      <c r="L400" s="106"/>
      <c r="M400" s="106"/>
      <c r="N400" s="106"/>
    </row>
    <row r="401" spans="1:14" ht="14.75" customHeight="1" x14ac:dyDescent="0.4">
      <c r="A401" s="96">
        <v>396</v>
      </c>
      <c r="B401" s="101"/>
      <c r="C401" s="102"/>
      <c r="D401" s="103"/>
      <c r="E401" s="235"/>
      <c r="F401" s="104"/>
      <c r="G401" s="104"/>
      <c r="H401" s="105">
        <f t="shared" si="6"/>
        <v>0</v>
      </c>
      <c r="L401" s="106"/>
      <c r="M401" s="106"/>
      <c r="N401" s="106"/>
    </row>
    <row r="402" spans="1:14" ht="14.75" customHeight="1" x14ac:dyDescent="0.4">
      <c r="A402" s="96">
        <v>397</v>
      </c>
      <c r="B402" s="101"/>
      <c r="C402" s="102"/>
      <c r="D402" s="103"/>
      <c r="E402" s="235"/>
      <c r="F402" s="104"/>
      <c r="G402" s="104"/>
      <c r="H402" s="105">
        <f t="shared" si="6"/>
        <v>0</v>
      </c>
      <c r="L402" s="106"/>
      <c r="M402" s="106"/>
      <c r="N402" s="106"/>
    </row>
    <row r="403" spans="1:14" ht="14.75" customHeight="1" x14ac:dyDescent="0.4">
      <c r="A403" s="96">
        <v>398</v>
      </c>
      <c r="B403" s="101"/>
      <c r="C403" s="102"/>
      <c r="D403" s="103"/>
      <c r="E403" s="235"/>
      <c r="F403" s="104"/>
      <c r="G403" s="104"/>
      <c r="H403" s="105">
        <f t="shared" si="6"/>
        <v>0</v>
      </c>
      <c r="L403" s="106"/>
      <c r="M403" s="106"/>
      <c r="N403" s="106"/>
    </row>
    <row r="404" spans="1:14" ht="14.75" customHeight="1" x14ac:dyDescent="0.4">
      <c r="A404" s="96">
        <v>399</v>
      </c>
      <c r="B404" s="101"/>
      <c r="C404" s="102"/>
      <c r="D404" s="103"/>
      <c r="E404" s="235"/>
      <c r="F404" s="104"/>
      <c r="G404" s="104"/>
      <c r="H404" s="105">
        <f t="shared" si="6"/>
        <v>0</v>
      </c>
      <c r="L404" s="106"/>
      <c r="M404" s="106"/>
      <c r="N404" s="106"/>
    </row>
    <row r="405" spans="1:14" ht="14.75" customHeight="1" x14ac:dyDescent="0.4">
      <c r="A405" s="96">
        <v>400</v>
      </c>
      <c r="B405" s="101"/>
      <c r="C405" s="102"/>
      <c r="D405" s="103"/>
      <c r="E405" s="235"/>
      <c r="F405" s="104"/>
      <c r="G405" s="104"/>
      <c r="H405" s="105">
        <f t="shared" si="6"/>
        <v>0</v>
      </c>
      <c r="L405" s="106"/>
      <c r="M405" s="106"/>
      <c r="N405" s="106"/>
    </row>
    <row r="406" spans="1:14" ht="14.75" customHeight="1" x14ac:dyDescent="0.4">
      <c r="A406" s="96">
        <v>401</v>
      </c>
      <c r="B406" s="101"/>
      <c r="C406" s="102"/>
      <c r="D406" s="103"/>
      <c r="E406" s="235"/>
      <c r="F406" s="104"/>
      <c r="G406" s="104"/>
      <c r="H406" s="105">
        <f t="shared" si="6"/>
        <v>0</v>
      </c>
      <c r="L406" s="106"/>
      <c r="M406" s="106"/>
      <c r="N406" s="106"/>
    </row>
    <row r="407" spans="1:14" ht="14.75" customHeight="1" x14ac:dyDescent="0.4">
      <c r="A407" s="96">
        <v>402</v>
      </c>
      <c r="B407" s="101"/>
      <c r="C407" s="102"/>
      <c r="D407" s="103"/>
      <c r="E407" s="235"/>
      <c r="F407" s="104"/>
      <c r="G407" s="104"/>
      <c r="H407" s="105">
        <f t="shared" si="6"/>
        <v>0</v>
      </c>
      <c r="L407" s="106"/>
      <c r="M407" s="106"/>
      <c r="N407" s="106"/>
    </row>
    <row r="408" spans="1:14" ht="14.75" customHeight="1" x14ac:dyDescent="0.4">
      <c r="A408" s="96">
        <v>403</v>
      </c>
      <c r="B408" s="101"/>
      <c r="C408" s="102"/>
      <c r="D408" s="103"/>
      <c r="E408" s="235"/>
      <c r="F408" s="104"/>
      <c r="G408" s="104"/>
      <c r="H408" s="105">
        <f t="shared" si="6"/>
        <v>0</v>
      </c>
      <c r="L408" s="106"/>
      <c r="M408" s="106"/>
      <c r="N408" s="106"/>
    </row>
    <row r="409" spans="1:14" ht="14.75" customHeight="1" x14ac:dyDescent="0.4">
      <c r="A409" s="96">
        <v>404</v>
      </c>
      <c r="B409" s="101"/>
      <c r="C409" s="102"/>
      <c r="D409" s="103"/>
      <c r="E409" s="235"/>
      <c r="F409" s="104"/>
      <c r="G409" s="104"/>
      <c r="H409" s="105">
        <f t="shared" si="6"/>
        <v>0</v>
      </c>
      <c r="L409" s="106"/>
      <c r="M409" s="106"/>
      <c r="N409" s="106"/>
    </row>
    <row r="410" spans="1:14" ht="14.75" customHeight="1" x14ac:dyDescent="0.4">
      <c r="A410" s="96">
        <v>405</v>
      </c>
      <c r="B410" s="101"/>
      <c r="C410" s="102"/>
      <c r="D410" s="103"/>
      <c r="E410" s="235"/>
      <c r="F410" s="104"/>
      <c r="G410" s="104"/>
      <c r="H410" s="105">
        <f t="shared" si="6"/>
        <v>0</v>
      </c>
      <c r="L410" s="106"/>
      <c r="M410" s="106"/>
      <c r="N410" s="106"/>
    </row>
    <row r="411" spans="1:14" ht="14.75" customHeight="1" x14ac:dyDescent="0.4">
      <c r="A411" s="96">
        <v>406</v>
      </c>
      <c r="B411" s="101"/>
      <c r="C411" s="102"/>
      <c r="D411" s="103"/>
      <c r="E411" s="235"/>
      <c r="F411" s="104"/>
      <c r="G411" s="104"/>
      <c r="H411" s="105">
        <f t="shared" si="6"/>
        <v>0</v>
      </c>
      <c r="L411" s="106"/>
      <c r="M411" s="106"/>
      <c r="N411" s="106"/>
    </row>
    <row r="412" spans="1:14" ht="14.75" customHeight="1" x14ac:dyDescent="0.4">
      <c r="A412" s="96">
        <v>407</v>
      </c>
      <c r="B412" s="101"/>
      <c r="C412" s="102"/>
      <c r="D412" s="103"/>
      <c r="E412" s="235"/>
      <c r="F412" s="104"/>
      <c r="G412" s="104"/>
      <c r="H412" s="105">
        <f t="shared" si="6"/>
        <v>0</v>
      </c>
      <c r="L412" s="106"/>
      <c r="M412" s="106"/>
      <c r="N412" s="106"/>
    </row>
    <row r="413" spans="1:14" ht="14.75" customHeight="1" x14ac:dyDescent="0.4">
      <c r="A413" s="96">
        <v>408</v>
      </c>
      <c r="B413" s="101"/>
      <c r="C413" s="102"/>
      <c r="D413" s="103"/>
      <c r="E413" s="235"/>
      <c r="F413" s="104"/>
      <c r="G413" s="104"/>
      <c r="H413" s="105">
        <f t="shared" si="6"/>
        <v>0</v>
      </c>
      <c r="L413" s="106"/>
      <c r="M413" s="106"/>
      <c r="N413" s="106"/>
    </row>
    <row r="414" spans="1:14" ht="14.75" customHeight="1" x14ac:dyDescent="0.4">
      <c r="A414" s="96">
        <v>409</v>
      </c>
      <c r="B414" s="101"/>
      <c r="C414" s="102"/>
      <c r="D414" s="103"/>
      <c r="E414" s="235"/>
      <c r="F414" s="104"/>
      <c r="G414" s="104"/>
      <c r="H414" s="105">
        <f t="shared" si="6"/>
        <v>0</v>
      </c>
      <c r="L414" s="106"/>
      <c r="M414" s="106"/>
      <c r="N414" s="106"/>
    </row>
    <row r="415" spans="1:14" ht="14.75" customHeight="1" x14ac:dyDescent="0.4">
      <c r="A415" s="96">
        <v>410</v>
      </c>
      <c r="B415" s="101"/>
      <c r="C415" s="102"/>
      <c r="D415" s="103"/>
      <c r="E415" s="235"/>
      <c r="F415" s="104"/>
      <c r="G415" s="104"/>
      <c r="H415" s="105">
        <f t="shared" si="6"/>
        <v>0</v>
      </c>
      <c r="L415" s="106"/>
      <c r="M415" s="106"/>
      <c r="N415" s="106"/>
    </row>
    <row r="416" spans="1:14" ht="14.75" customHeight="1" x14ac:dyDescent="0.4">
      <c r="A416" s="96">
        <v>411</v>
      </c>
      <c r="B416" s="101"/>
      <c r="C416" s="102"/>
      <c r="D416" s="103"/>
      <c r="E416" s="235"/>
      <c r="F416" s="104"/>
      <c r="G416" s="104"/>
      <c r="H416" s="105">
        <f t="shared" si="6"/>
        <v>0</v>
      </c>
      <c r="L416" s="106"/>
      <c r="M416" s="106"/>
      <c r="N416" s="106"/>
    </row>
    <row r="417" spans="1:14" ht="14.75" customHeight="1" x14ac:dyDescent="0.4">
      <c r="A417" s="96">
        <v>412</v>
      </c>
      <c r="B417" s="101"/>
      <c r="C417" s="102"/>
      <c r="D417" s="103"/>
      <c r="E417" s="235"/>
      <c r="F417" s="104"/>
      <c r="G417" s="104"/>
      <c r="H417" s="105">
        <f t="shared" si="6"/>
        <v>0</v>
      </c>
      <c r="L417" s="106"/>
      <c r="M417" s="106"/>
      <c r="N417" s="106"/>
    </row>
    <row r="418" spans="1:14" ht="14.75" customHeight="1" x14ac:dyDescent="0.4">
      <c r="A418" s="96">
        <v>413</v>
      </c>
      <c r="B418" s="101"/>
      <c r="C418" s="102"/>
      <c r="D418" s="103"/>
      <c r="E418" s="235"/>
      <c r="F418" s="104"/>
      <c r="G418" s="104"/>
      <c r="H418" s="105">
        <f t="shared" si="6"/>
        <v>0</v>
      </c>
      <c r="L418" s="106"/>
      <c r="M418" s="106"/>
      <c r="N418" s="106"/>
    </row>
    <row r="419" spans="1:14" ht="14.75" customHeight="1" x14ac:dyDescent="0.4">
      <c r="A419" s="96">
        <v>414</v>
      </c>
      <c r="B419" s="101"/>
      <c r="C419" s="102"/>
      <c r="D419" s="103"/>
      <c r="E419" s="235"/>
      <c r="F419" s="104"/>
      <c r="G419" s="104"/>
      <c r="H419" s="105">
        <f t="shared" si="6"/>
        <v>0</v>
      </c>
      <c r="L419" s="106"/>
      <c r="M419" s="106"/>
      <c r="N419" s="106"/>
    </row>
    <row r="420" spans="1:14" ht="14.75" customHeight="1" x14ac:dyDescent="0.4">
      <c r="A420" s="96">
        <v>415</v>
      </c>
      <c r="B420" s="101"/>
      <c r="C420" s="102"/>
      <c r="D420" s="103"/>
      <c r="E420" s="235"/>
      <c r="F420" s="104"/>
      <c r="G420" s="104"/>
      <c r="H420" s="105">
        <f t="shared" si="6"/>
        <v>0</v>
      </c>
      <c r="L420" s="106"/>
      <c r="M420" s="106"/>
      <c r="N420" s="106"/>
    </row>
    <row r="421" spans="1:14" ht="14.75" customHeight="1" x14ac:dyDescent="0.4">
      <c r="A421" s="96">
        <v>416</v>
      </c>
      <c r="B421" s="101"/>
      <c r="C421" s="102"/>
      <c r="D421" s="103"/>
      <c r="E421" s="235"/>
      <c r="F421" s="104"/>
      <c r="G421" s="104"/>
      <c r="H421" s="105">
        <f t="shared" si="6"/>
        <v>0</v>
      </c>
      <c r="L421" s="106"/>
      <c r="M421" s="106"/>
      <c r="N421" s="106"/>
    </row>
    <row r="422" spans="1:14" ht="14.75" customHeight="1" x14ac:dyDescent="0.4">
      <c r="A422" s="96">
        <v>417</v>
      </c>
      <c r="B422" s="101"/>
      <c r="C422" s="102"/>
      <c r="D422" s="103"/>
      <c r="E422" s="235"/>
      <c r="F422" s="104"/>
      <c r="G422" s="104"/>
      <c r="H422" s="105">
        <f t="shared" si="6"/>
        <v>0</v>
      </c>
      <c r="L422" s="106"/>
      <c r="M422" s="106"/>
      <c r="N422" s="106"/>
    </row>
    <row r="423" spans="1:14" ht="14.75" customHeight="1" x14ac:dyDescent="0.4">
      <c r="A423" s="96">
        <v>418</v>
      </c>
      <c r="B423" s="101"/>
      <c r="C423" s="102"/>
      <c r="D423" s="103"/>
      <c r="E423" s="235"/>
      <c r="F423" s="104"/>
      <c r="G423" s="104"/>
      <c r="H423" s="105">
        <f t="shared" si="6"/>
        <v>0</v>
      </c>
      <c r="L423" s="106"/>
      <c r="M423" s="106"/>
      <c r="N423" s="106"/>
    </row>
    <row r="424" spans="1:14" ht="14.75" customHeight="1" x14ac:dyDescent="0.4">
      <c r="A424" s="96">
        <v>419</v>
      </c>
      <c r="B424" s="101"/>
      <c r="C424" s="102"/>
      <c r="D424" s="103"/>
      <c r="E424" s="235"/>
      <c r="F424" s="104"/>
      <c r="G424" s="104"/>
      <c r="H424" s="105">
        <f t="shared" si="6"/>
        <v>0</v>
      </c>
      <c r="L424" s="106"/>
      <c r="M424" s="106"/>
      <c r="N424" s="106"/>
    </row>
    <row r="425" spans="1:14" ht="14.75" customHeight="1" x14ac:dyDescent="0.4">
      <c r="A425" s="96">
        <v>420</v>
      </c>
      <c r="B425" s="101"/>
      <c r="C425" s="102"/>
      <c r="D425" s="103"/>
      <c r="E425" s="235"/>
      <c r="F425" s="104"/>
      <c r="G425" s="104"/>
      <c r="H425" s="105">
        <f t="shared" si="6"/>
        <v>0</v>
      </c>
      <c r="L425" s="106"/>
      <c r="M425" s="106"/>
      <c r="N425" s="106"/>
    </row>
    <row r="426" spans="1:14" ht="14.75" customHeight="1" x14ac:dyDescent="0.4">
      <c r="A426" s="96">
        <v>421</v>
      </c>
      <c r="B426" s="101"/>
      <c r="C426" s="102"/>
      <c r="D426" s="103"/>
      <c r="E426" s="235"/>
      <c r="F426" s="104"/>
      <c r="G426" s="104"/>
      <c r="H426" s="105">
        <f t="shared" si="6"/>
        <v>0</v>
      </c>
      <c r="L426" s="106"/>
      <c r="M426" s="106"/>
      <c r="N426" s="106"/>
    </row>
    <row r="427" spans="1:14" ht="14.75" customHeight="1" x14ac:dyDescent="0.4">
      <c r="A427" s="96">
        <v>422</v>
      </c>
      <c r="B427" s="101"/>
      <c r="C427" s="102"/>
      <c r="D427" s="103"/>
      <c r="E427" s="235"/>
      <c r="F427" s="104"/>
      <c r="G427" s="104"/>
      <c r="H427" s="105">
        <f t="shared" si="6"/>
        <v>0</v>
      </c>
      <c r="L427" s="106"/>
      <c r="M427" s="106"/>
      <c r="N427" s="106"/>
    </row>
    <row r="428" spans="1:14" ht="14.75" customHeight="1" x14ac:dyDescent="0.4">
      <c r="A428" s="96">
        <v>423</v>
      </c>
      <c r="B428" s="101"/>
      <c r="C428" s="102"/>
      <c r="D428" s="103"/>
      <c r="E428" s="235"/>
      <c r="F428" s="104"/>
      <c r="G428" s="104"/>
      <c r="H428" s="105">
        <f t="shared" si="6"/>
        <v>0</v>
      </c>
      <c r="L428" s="106"/>
      <c r="M428" s="106"/>
      <c r="N428" s="106"/>
    </row>
    <row r="429" spans="1:14" ht="14.75" customHeight="1" x14ac:dyDescent="0.4">
      <c r="A429" s="96">
        <v>424</v>
      </c>
      <c r="B429" s="101"/>
      <c r="C429" s="102"/>
      <c r="D429" s="103"/>
      <c r="E429" s="235"/>
      <c r="F429" s="104"/>
      <c r="G429" s="104"/>
      <c r="H429" s="105">
        <f t="shared" si="6"/>
        <v>0</v>
      </c>
      <c r="L429" s="106"/>
      <c r="M429" s="106"/>
      <c r="N429" s="106"/>
    </row>
    <row r="430" spans="1:14" ht="14.75" customHeight="1" x14ac:dyDescent="0.4">
      <c r="A430" s="96">
        <v>425</v>
      </c>
      <c r="B430" s="101"/>
      <c r="C430" s="102"/>
      <c r="D430" s="103"/>
      <c r="E430" s="235"/>
      <c r="F430" s="104"/>
      <c r="G430" s="104"/>
      <c r="H430" s="105">
        <f t="shared" si="6"/>
        <v>0</v>
      </c>
      <c r="L430" s="106"/>
      <c r="M430" s="106"/>
      <c r="N430" s="106"/>
    </row>
    <row r="431" spans="1:14" ht="14.75" customHeight="1" x14ac:dyDescent="0.4">
      <c r="A431" s="96">
        <v>426</v>
      </c>
      <c r="B431" s="101"/>
      <c r="C431" s="102"/>
      <c r="D431" s="103"/>
      <c r="E431" s="235"/>
      <c r="F431" s="104"/>
      <c r="G431" s="104"/>
      <c r="H431" s="105">
        <f t="shared" si="6"/>
        <v>0</v>
      </c>
      <c r="L431" s="106"/>
      <c r="M431" s="106"/>
      <c r="N431" s="106"/>
    </row>
    <row r="432" spans="1:14" ht="14.75" customHeight="1" x14ac:dyDescent="0.4">
      <c r="A432" s="96">
        <v>427</v>
      </c>
      <c r="B432" s="101"/>
      <c r="C432" s="102"/>
      <c r="D432" s="103"/>
      <c r="E432" s="235"/>
      <c r="F432" s="104"/>
      <c r="G432" s="104"/>
      <c r="H432" s="105">
        <f t="shared" si="6"/>
        <v>0</v>
      </c>
      <c r="L432" s="106"/>
      <c r="M432" s="106"/>
      <c r="N432" s="106"/>
    </row>
    <row r="433" spans="1:14" ht="14.75" customHeight="1" x14ac:dyDescent="0.4">
      <c r="A433" s="96">
        <v>428</v>
      </c>
      <c r="B433" s="101"/>
      <c r="C433" s="102"/>
      <c r="D433" s="103"/>
      <c r="E433" s="235"/>
      <c r="F433" s="104"/>
      <c r="G433" s="104"/>
      <c r="H433" s="105">
        <f t="shared" si="6"/>
        <v>0</v>
      </c>
      <c r="L433" s="106"/>
      <c r="M433" s="106"/>
      <c r="N433" s="106"/>
    </row>
    <row r="434" spans="1:14" ht="14.75" customHeight="1" x14ac:dyDescent="0.4">
      <c r="A434" s="96">
        <v>429</v>
      </c>
      <c r="B434" s="101"/>
      <c r="C434" s="102"/>
      <c r="D434" s="103"/>
      <c r="E434" s="235"/>
      <c r="F434" s="104"/>
      <c r="G434" s="104"/>
      <c r="H434" s="105">
        <f t="shared" si="6"/>
        <v>0</v>
      </c>
      <c r="L434" s="106"/>
      <c r="M434" s="106"/>
      <c r="N434" s="106"/>
    </row>
    <row r="435" spans="1:14" ht="14.75" customHeight="1" x14ac:dyDescent="0.4">
      <c r="A435" s="96">
        <v>430</v>
      </c>
      <c r="B435" s="101"/>
      <c r="C435" s="102"/>
      <c r="D435" s="103"/>
      <c r="E435" s="235"/>
      <c r="F435" s="104"/>
      <c r="G435" s="104"/>
      <c r="H435" s="105">
        <f t="shared" si="6"/>
        <v>0</v>
      </c>
      <c r="L435" s="106"/>
      <c r="M435" s="106"/>
      <c r="N435" s="106"/>
    </row>
    <row r="436" spans="1:14" ht="14.75" customHeight="1" x14ac:dyDescent="0.4">
      <c r="A436" s="96">
        <v>431</v>
      </c>
      <c r="B436" s="101"/>
      <c r="C436" s="102"/>
      <c r="D436" s="103"/>
      <c r="E436" s="235"/>
      <c r="F436" s="104"/>
      <c r="G436" s="104"/>
      <c r="H436" s="105">
        <f t="shared" si="6"/>
        <v>0</v>
      </c>
      <c r="L436" s="106"/>
      <c r="M436" s="106"/>
      <c r="N436" s="106"/>
    </row>
    <row r="437" spans="1:14" ht="14.75" customHeight="1" x14ac:dyDescent="0.4">
      <c r="A437" s="96">
        <v>432</v>
      </c>
      <c r="B437" s="101"/>
      <c r="C437" s="102"/>
      <c r="D437" s="103"/>
      <c r="E437" s="235"/>
      <c r="F437" s="104"/>
      <c r="G437" s="104"/>
      <c r="H437" s="105">
        <f t="shared" si="6"/>
        <v>0</v>
      </c>
      <c r="L437" s="106"/>
      <c r="M437" s="106"/>
      <c r="N437" s="106"/>
    </row>
    <row r="438" spans="1:14" ht="14.75" customHeight="1" x14ac:dyDescent="0.4">
      <c r="A438" s="96">
        <v>433</v>
      </c>
      <c r="B438" s="101"/>
      <c r="C438" s="102"/>
      <c r="D438" s="103"/>
      <c r="E438" s="235"/>
      <c r="F438" s="104"/>
      <c r="G438" s="104"/>
      <c r="H438" s="105">
        <f t="shared" si="6"/>
        <v>0</v>
      </c>
      <c r="L438" s="106"/>
      <c r="M438" s="106"/>
      <c r="N438" s="106"/>
    </row>
    <row r="439" spans="1:14" ht="14.75" customHeight="1" x14ac:dyDescent="0.4">
      <c r="A439" s="96">
        <v>434</v>
      </c>
      <c r="B439" s="101"/>
      <c r="C439" s="102"/>
      <c r="D439" s="103"/>
      <c r="E439" s="235"/>
      <c r="F439" s="104"/>
      <c r="G439" s="104"/>
      <c r="H439" s="105">
        <f t="shared" si="6"/>
        <v>0</v>
      </c>
      <c r="L439" s="106"/>
      <c r="M439" s="106"/>
      <c r="N439" s="106"/>
    </row>
    <row r="440" spans="1:14" ht="14.75" customHeight="1" x14ac:dyDescent="0.4">
      <c r="A440" s="96">
        <v>435</v>
      </c>
      <c r="B440" s="101"/>
      <c r="C440" s="102"/>
      <c r="D440" s="103"/>
      <c r="E440" s="235"/>
      <c r="F440" s="104"/>
      <c r="G440" s="104"/>
      <c r="H440" s="105">
        <f t="shared" si="6"/>
        <v>0</v>
      </c>
      <c r="L440" s="106"/>
      <c r="M440" s="106"/>
      <c r="N440" s="106"/>
    </row>
    <row r="441" spans="1:14" ht="14.75" customHeight="1" x14ac:dyDescent="0.4">
      <c r="A441" s="96">
        <v>436</v>
      </c>
      <c r="B441" s="101"/>
      <c r="C441" s="102"/>
      <c r="D441" s="103"/>
      <c r="E441" s="235"/>
      <c r="F441" s="104"/>
      <c r="G441" s="104"/>
      <c r="H441" s="105">
        <f t="shared" si="6"/>
        <v>0</v>
      </c>
      <c r="L441" s="106"/>
      <c r="M441" s="106"/>
      <c r="N441" s="106"/>
    </row>
    <row r="442" spans="1:14" ht="14.75" customHeight="1" x14ac:dyDescent="0.4">
      <c r="A442" s="96">
        <v>437</v>
      </c>
      <c r="B442" s="101"/>
      <c r="C442" s="102"/>
      <c r="D442" s="103"/>
      <c r="E442" s="235"/>
      <c r="F442" s="104"/>
      <c r="G442" s="104"/>
      <c r="H442" s="105">
        <f t="shared" si="6"/>
        <v>0</v>
      </c>
      <c r="L442" s="106"/>
      <c r="M442" s="106"/>
      <c r="N442" s="106"/>
    </row>
    <row r="443" spans="1:14" ht="14.75" customHeight="1" x14ac:dyDescent="0.4">
      <c r="A443" s="96">
        <v>438</v>
      </c>
      <c r="B443" s="101"/>
      <c r="C443" s="102"/>
      <c r="D443" s="103"/>
      <c r="E443" s="235"/>
      <c r="F443" s="104"/>
      <c r="G443" s="104"/>
      <c r="H443" s="105">
        <f t="shared" si="6"/>
        <v>0</v>
      </c>
      <c r="L443" s="106"/>
      <c r="M443" s="106"/>
      <c r="N443" s="106"/>
    </row>
    <row r="444" spans="1:14" ht="14.75" customHeight="1" x14ac:dyDescent="0.4">
      <c r="A444" s="96">
        <v>439</v>
      </c>
      <c r="B444" s="101"/>
      <c r="C444" s="102"/>
      <c r="D444" s="103"/>
      <c r="E444" s="235"/>
      <c r="F444" s="104"/>
      <c r="G444" s="104"/>
      <c r="H444" s="105">
        <f t="shared" si="6"/>
        <v>0</v>
      </c>
      <c r="L444" s="106"/>
      <c r="M444" s="106"/>
      <c r="N444" s="106"/>
    </row>
    <row r="445" spans="1:14" ht="14.75" customHeight="1" x14ac:dyDescent="0.4">
      <c r="A445" s="96">
        <v>440</v>
      </c>
      <c r="B445" s="101"/>
      <c r="C445" s="102"/>
      <c r="D445" s="103"/>
      <c r="E445" s="235"/>
      <c r="F445" s="104"/>
      <c r="G445" s="104"/>
      <c r="H445" s="105">
        <f t="shared" si="6"/>
        <v>0</v>
      </c>
      <c r="L445" s="106"/>
      <c r="M445" s="106"/>
      <c r="N445" s="106"/>
    </row>
    <row r="446" spans="1:14" ht="14.75" customHeight="1" x14ac:dyDescent="0.4">
      <c r="A446" s="96">
        <v>441</v>
      </c>
      <c r="B446" s="101"/>
      <c r="C446" s="102"/>
      <c r="D446" s="103"/>
      <c r="E446" s="235"/>
      <c r="F446" s="104"/>
      <c r="G446" s="104"/>
      <c r="H446" s="105">
        <f t="shared" si="6"/>
        <v>0</v>
      </c>
      <c r="L446" s="106"/>
      <c r="M446" s="106"/>
      <c r="N446" s="106"/>
    </row>
    <row r="447" spans="1:14" ht="14.75" customHeight="1" x14ac:dyDescent="0.4">
      <c r="A447" s="96">
        <v>442</v>
      </c>
      <c r="B447" s="101"/>
      <c r="C447" s="102"/>
      <c r="D447" s="103"/>
      <c r="E447" s="235"/>
      <c r="F447" s="104"/>
      <c r="G447" s="104"/>
      <c r="H447" s="105">
        <f t="shared" si="6"/>
        <v>0</v>
      </c>
      <c r="L447" s="106"/>
      <c r="M447" s="106"/>
      <c r="N447" s="106"/>
    </row>
    <row r="448" spans="1:14" ht="14.75" customHeight="1" x14ac:dyDescent="0.4">
      <c r="A448" s="96">
        <v>443</v>
      </c>
      <c r="B448" s="101"/>
      <c r="C448" s="102"/>
      <c r="D448" s="103"/>
      <c r="E448" s="235"/>
      <c r="F448" s="104"/>
      <c r="G448" s="104"/>
      <c r="H448" s="105">
        <f t="shared" si="6"/>
        <v>0</v>
      </c>
      <c r="L448" s="106"/>
      <c r="M448" s="106"/>
      <c r="N448" s="106"/>
    </row>
    <row r="449" spans="1:14" ht="14.75" customHeight="1" x14ac:dyDescent="0.4">
      <c r="A449" s="96">
        <v>444</v>
      </c>
      <c r="B449" s="101"/>
      <c r="C449" s="102"/>
      <c r="D449" s="103"/>
      <c r="E449" s="235"/>
      <c r="F449" s="104"/>
      <c r="G449" s="104"/>
      <c r="H449" s="105">
        <f t="shared" si="6"/>
        <v>0</v>
      </c>
      <c r="L449" s="106"/>
      <c r="M449" s="106"/>
      <c r="N449" s="106"/>
    </row>
    <row r="450" spans="1:14" ht="14.75" customHeight="1" x14ac:dyDescent="0.4">
      <c r="A450" s="96">
        <v>445</v>
      </c>
      <c r="B450" s="101"/>
      <c r="C450" s="102"/>
      <c r="D450" s="103"/>
      <c r="E450" s="235"/>
      <c r="F450" s="104"/>
      <c r="G450" s="104"/>
      <c r="H450" s="105">
        <f t="shared" si="6"/>
        <v>0</v>
      </c>
      <c r="L450" s="106"/>
      <c r="M450" s="106"/>
      <c r="N450" s="106"/>
    </row>
    <row r="451" spans="1:14" ht="14.75" customHeight="1" x14ac:dyDescent="0.4">
      <c r="A451" s="96">
        <v>446</v>
      </c>
      <c r="B451" s="101"/>
      <c r="C451" s="102"/>
      <c r="D451" s="103"/>
      <c r="E451" s="235"/>
      <c r="F451" s="104"/>
      <c r="G451" s="104"/>
      <c r="H451" s="105">
        <f t="shared" si="6"/>
        <v>0</v>
      </c>
      <c r="L451" s="106"/>
      <c r="M451" s="106"/>
      <c r="N451" s="106"/>
    </row>
    <row r="452" spans="1:14" ht="14.75" customHeight="1" x14ac:dyDescent="0.4">
      <c r="A452" s="96">
        <v>447</v>
      </c>
      <c r="B452" s="101"/>
      <c r="C452" s="102"/>
      <c r="D452" s="103"/>
      <c r="E452" s="235"/>
      <c r="F452" s="104"/>
      <c r="G452" s="104"/>
      <c r="H452" s="105">
        <f t="shared" si="6"/>
        <v>0</v>
      </c>
      <c r="L452" s="106"/>
      <c r="M452" s="106"/>
      <c r="N452" s="106"/>
    </row>
    <row r="453" spans="1:14" ht="14.75" customHeight="1" x14ac:dyDescent="0.4">
      <c r="A453" s="96">
        <v>448</v>
      </c>
      <c r="B453" s="101"/>
      <c r="C453" s="102"/>
      <c r="D453" s="103"/>
      <c r="E453" s="235"/>
      <c r="F453" s="104"/>
      <c r="G453" s="104"/>
      <c r="H453" s="105">
        <f t="shared" si="6"/>
        <v>0</v>
      </c>
      <c r="L453" s="106"/>
      <c r="M453" s="106"/>
      <c r="N453" s="106"/>
    </row>
    <row r="454" spans="1:14" ht="14.75" customHeight="1" x14ac:dyDescent="0.4">
      <c r="A454" s="96">
        <v>449</v>
      </c>
      <c r="B454" s="101"/>
      <c r="C454" s="102"/>
      <c r="D454" s="103"/>
      <c r="E454" s="235"/>
      <c r="F454" s="104"/>
      <c r="G454" s="104"/>
      <c r="H454" s="105">
        <f t="shared" si="6"/>
        <v>0</v>
      </c>
      <c r="L454" s="106"/>
      <c r="M454" s="106"/>
      <c r="N454" s="106"/>
    </row>
    <row r="455" spans="1:14" ht="14.75" customHeight="1" x14ac:dyDescent="0.4">
      <c r="A455" s="96">
        <v>450</v>
      </c>
      <c r="B455" s="101"/>
      <c r="C455" s="102"/>
      <c r="D455" s="103"/>
      <c r="E455" s="235"/>
      <c r="F455" s="104"/>
      <c r="G455" s="104"/>
      <c r="H455" s="105">
        <f t="shared" si="6"/>
        <v>0</v>
      </c>
      <c r="L455" s="106"/>
      <c r="M455" s="106"/>
      <c r="N455" s="106"/>
    </row>
    <row r="456" spans="1:14" ht="14.75" customHeight="1" x14ac:dyDescent="0.4">
      <c r="A456" s="96">
        <v>451</v>
      </c>
      <c r="B456" s="101"/>
      <c r="C456" s="102"/>
      <c r="D456" s="103"/>
      <c r="E456" s="235"/>
      <c r="F456" s="104"/>
      <c r="G456" s="104"/>
      <c r="H456" s="105">
        <f t="shared" si="6"/>
        <v>0</v>
      </c>
      <c r="L456" s="106"/>
      <c r="M456" s="106"/>
      <c r="N456" s="106"/>
    </row>
    <row r="457" spans="1:14" ht="14.75" customHeight="1" x14ac:dyDescent="0.4">
      <c r="A457" s="96">
        <v>452</v>
      </c>
      <c r="B457" s="101"/>
      <c r="C457" s="102"/>
      <c r="D457" s="103"/>
      <c r="E457" s="235"/>
      <c r="F457" s="104"/>
      <c r="G457" s="104"/>
      <c r="H457" s="105">
        <f t="shared" ref="H457:H520" si="7">H456+F457-G457</f>
        <v>0</v>
      </c>
      <c r="L457" s="106"/>
      <c r="M457" s="106"/>
      <c r="N457" s="106"/>
    </row>
    <row r="458" spans="1:14" ht="14.75" customHeight="1" x14ac:dyDescent="0.4">
      <c r="A458" s="96">
        <v>453</v>
      </c>
      <c r="B458" s="101"/>
      <c r="C458" s="102"/>
      <c r="D458" s="103"/>
      <c r="E458" s="235"/>
      <c r="F458" s="104"/>
      <c r="G458" s="104"/>
      <c r="H458" s="105">
        <f t="shared" si="7"/>
        <v>0</v>
      </c>
      <c r="L458" s="106"/>
      <c r="M458" s="106"/>
      <c r="N458" s="106"/>
    </row>
    <row r="459" spans="1:14" ht="14.75" customHeight="1" x14ac:dyDescent="0.4">
      <c r="A459" s="96">
        <v>454</v>
      </c>
      <c r="B459" s="101"/>
      <c r="C459" s="102"/>
      <c r="D459" s="103"/>
      <c r="E459" s="235"/>
      <c r="F459" s="104"/>
      <c r="G459" s="104"/>
      <c r="H459" s="105">
        <f t="shared" si="7"/>
        <v>0</v>
      </c>
      <c r="L459" s="106"/>
      <c r="M459" s="106"/>
      <c r="N459" s="106"/>
    </row>
    <row r="460" spans="1:14" ht="14.75" customHeight="1" x14ac:dyDescent="0.4">
      <c r="A460" s="96">
        <v>455</v>
      </c>
      <c r="B460" s="101"/>
      <c r="C460" s="102"/>
      <c r="D460" s="103"/>
      <c r="E460" s="235"/>
      <c r="F460" s="104"/>
      <c r="G460" s="104"/>
      <c r="H460" s="105">
        <f t="shared" si="7"/>
        <v>0</v>
      </c>
      <c r="L460" s="106"/>
      <c r="M460" s="106"/>
      <c r="N460" s="106"/>
    </row>
    <row r="461" spans="1:14" ht="14.75" customHeight="1" x14ac:dyDescent="0.4">
      <c r="A461" s="96">
        <v>456</v>
      </c>
      <c r="B461" s="101"/>
      <c r="C461" s="102"/>
      <c r="D461" s="103"/>
      <c r="E461" s="235"/>
      <c r="F461" s="104"/>
      <c r="G461" s="104"/>
      <c r="H461" s="105">
        <f t="shared" si="7"/>
        <v>0</v>
      </c>
      <c r="L461" s="106"/>
      <c r="M461" s="106"/>
      <c r="N461" s="106"/>
    </row>
    <row r="462" spans="1:14" ht="14.75" customHeight="1" x14ac:dyDescent="0.4">
      <c r="A462" s="96">
        <v>457</v>
      </c>
      <c r="B462" s="101"/>
      <c r="C462" s="102"/>
      <c r="D462" s="103"/>
      <c r="E462" s="235"/>
      <c r="F462" s="104"/>
      <c r="G462" s="104"/>
      <c r="H462" s="105">
        <f t="shared" si="7"/>
        <v>0</v>
      </c>
      <c r="L462" s="106"/>
      <c r="M462" s="106"/>
      <c r="N462" s="106"/>
    </row>
    <row r="463" spans="1:14" ht="14.75" customHeight="1" x14ac:dyDescent="0.4">
      <c r="A463" s="96">
        <v>458</v>
      </c>
      <c r="B463" s="101"/>
      <c r="C463" s="102"/>
      <c r="D463" s="103"/>
      <c r="E463" s="235"/>
      <c r="F463" s="104"/>
      <c r="G463" s="104"/>
      <c r="H463" s="105">
        <f t="shared" si="7"/>
        <v>0</v>
      </c>
      <c r="L463" s="106"/>
      <c r="M463" s="106"/>
      <c r="N463" s="106"/>
    </row>
    <row r="464" spans="1:14" ht="14.75" customHeight="1" x14ac:dyDescent="0.4">
      <c r="A464" s="96">
        <v>459</v>
      </c>
      <c r="B464" s="101"/>
      <c r="C464" s="102"/>
      <c r="D464" s="103"/>
      <c r="E464" s="235"/>
      <c r="F464" s="104"/>
      <c r="G464" s="104"/>
      <c r="H464" s="105">
        <f t="shared" si="7"/>
        <v>0</v>
      </c>
      <c r="L464" s="106"/>
      <c r="M464" s="106"/>
      <c r="N464" s="106"/>
    </row>
    <row r="465" spans="1:14" ht="14.75" customHeight="1" x14ac:dyDescent="0.4">
      <c r="A465" s="96">
        <v>460</v>
      </c>
      <c r="B465" s="101"/>
      <c r="C465" s="102"/>
      <c r="D465" s="103"/>
      <c r="E465" s="235"/>
      <c r="F465" s="104"/>
      <c r="G465" s="104"/>
      <c r="H465" s="105">
        <f t="shared" si="7"/>
        <v>0</v>
      </c>
      <c r="L465" s="106"/>
      <c r="M465" s="106"/>
      <c r="N465" s="106"/>
    </row>
    <row r="466" spans="1:14" ht="14.75" customHeight="1" x14ac:dyDescent="0.4">
      <c r="A466" s="96">
        <v>461</v>
      </c>
      <c r="B466" s="101"/>
      <c r="C466" s="102"/>
      <c r="D466" s="103"/>
      <c r="E466" s="235"/>
      <c r="F466" s="104"/>
      <c r="G466" s="104"/>
      <c r="H466" s="105">
        <f t="shared" si="7"/>
        <v>0</v>
      </c>
      <c r="L466" s="106"/>
      <c r="M466" s="106"/>
      <c r="N466" s="106"/>
    </row>
    <row r="467" spans="1:14" ht="14.75" customHeight="1" x14ac:dyDescent="0.4">
      <c r="A467" s="96">
        <v>462</v>
      </c>
      <c r="B467" s="101"/>
      <c r="C467" s="102"/>
      <c r="D467" s="103"/>
      <c r="E467" s="235"/>
      <c r="F467" s="104"/>
      <c r="G467" s="104"/>
      <c r="H467" s="105">
        <f t="shared" si="7"/>
        <v>0</v>
      </c>
      <c r="L467" s="106"/>
      <c r="M467" s="106"/>
      <c r="N467" s="106"/>
    </row>
    <row r="468" spans="1:14" ht="14.75" customHeight="1" x14ac:dyDescent="0.4">
      <c r="A468" s="96">
        <v>463</v>
      </c>
      <c r="B468" s="101"/>
      <c r="C468" s="102"/>
      <c r="D468" s="103"/>
      <c r="E468" s="235"/>
      <c r="F468" s="104"/>
      <c r="G468" s="104"/>
      <c r="H468" s="105">
        <f t="shared" si="7"/>
        <v>0</v>
      </c>
      <c r="L468" s="106"/>
      <c r="M468" s="106"/>
      <c r="N468" s="106"/>
    </row>
    <row r="469" spans="1:14" ht="14.75" customHeight="1" x14ac:dyDescent="0.4">
      <c r="A469" s="96">
        <v>464</v>
      </c>
      <c r="B469" s="101"/>
      <c r="C469" s="102"/>
      <c r="D469" s="103"/>
      <c r="E469" s="235"/>
      <c r="F469" s="104"/>
      <c r="G469" s="104"/>
      <c r="H469" s="105">
        <f t="shared" si="7"/>
        <v>0</v>
      </c>
      <c r="L469" s="106"/>
      <c r="M469" s="106"/>
      <c r="N469" s="106"/>
    </row>
    <row r="470" spans="1:14" ht="14.75" customHeight="1" x14ac:dyDescent="0.4">
      <c r="A470" s="96">
        <v>465</v>
      </c>
      <c r="B470" s="101"/>
      <c r="C470" s="102"/>
      <c r="D470" s="103"/>
      <c r="E470" s="235"/>
      <c r="F470" s="104"/>
      <c r="G470" s="104"/>
      <c r="H470" s="105">
        <f t="shared" si="7"/>
        <v>0</v>
      </c>
      <c r="L470" s="106"/>
      <c r="M470" s="106"/>
      <c r="N470" s="106"/>
    </row>
    <row r="471" spans="1:14" ht="14.75" customHeight="1" x14ac:dyDescent="0.4">
      <c r="A471" s="96">
        <v>466</v>
      </c>
      <c r="B471" s="101"/>
      <c r="C471" s="102"/>
      <c r="D471" s="103"/>
      <c r="E471" s="235"/>
      <c r="F471" s="104"/>
      <c r="G471" s="104"/>
      <c r="H471" s="105">
        <f t="shared" si="7"/>
        <v>0</v>
      </c>
      <c r="L471" s="106"/>
      <c r="M471" s="106"/>
      <c r="N471" s="106"/>
    </row>
    <row r="472" spans="1:14" ht="14.75" customHeight="1" x14ac:dyDescent="0.4">
      <c r="A472" s="96">
        <v>467</v>
      </c>
      <c r="B472" s="101"/>
      <c r="C472" s="102"/>
      <c r="D472" s="103"/>
      <c r="E472" s="235"/>
      <c r="F472" s="104"/>
      <c r="G472" s="104"/>
      <c r="H472" s="105">
        <f t="shared" si="7"/>
        <v>0</v>
      </c>
      <c r="L472" s="106"/>
      <c r="M472" s="106"/>
      <c r="N472" s="106"/>
    </row>
    <row r="473" spans="1:14" ht="14.75" customHeight="1" x14ac:dyDescent="0.4">
      <c r="A473" s="96">
        <v>468</v>
      </c>
      <c r="B473" s="101"/>
      <c r="C473" s="102"/>
      <c r="D473" s="103"/>
      <c r="E473" s="235"/>
      <c r="F473" s="104"/>
      <c r="G473" s="104"/>
      <c r="H473" s="105">
        <f t="shared" si="7"/>
        <v>0</v>
      </c>
      <c r="L473" s="106"/>
      <c r="M473" s="106"/>
      <c r="N473" s="106"/>
    </row>
    <row r="474" spans="1:14" ht="14.75" customHeight="1" x14ac:dyDescent="0.4">
      <c r="A474" s="96">
        <v>469</v>
      </c>
      <c r="B474" s="101"/>
      <c r="C474" s="102"/>
      <c r="D474" s="103"/>
      <c r="E474" s="235"/>
      <c r="F474" s="104"/>
      <c r="G474" s="104"/>
      <c r="H474" s="105">
        <f t="shared" si="7"/>
        <v>0</v>
      </c>
      <c r="L474" s="106"/>
      <c r="M474" s="106"/>
      <c r="N474" s="106"/>
    </row>
    <row r="475" spans="1:14" ht="14.75" customHeight="1" x14ac:dyDescent="0.4">
      <c r="A475" s="96">
        <v>470</v>
      </c>
      <c r="B475" s="101"/>
      <c r="C475" s="102"/>
      <c r="D475" s="103"/>
      <c r="E475" s="235"/>
      <c r="F475" s="104"/>
      <c r="G475" s="104"/>
      <c r="H475" s="105">
        <f t="shared" si="7"/>
        <v>0</v>
      </c>
      <c r="L475" s="106"/>
      <c r="M475" s="106"/>
      <c r="N475" s="106"/>
    </row>
    <row r="476" spans="1:14" ht="14.75" customHeight="1" x14ac:dyDescent="0.4">
      <c r="A476" s="96">
        <v>471</v>
      </c>
      <c r="B476" s="101"/>
      <c r="C476" s="102"/>
      <c r="D476" s="103"/>
      <c r="E476" s="235"/>
      <c r="F476" s="104"/>
      <c r="G476" s="104"/>
      <c r="H476" s="105">
        <f t="shared" si="7"/>
        <v>0</v>
      </c>
      <c r="L476" s="106"/>
      <c r="M476" s="106"/>
      <c r="N476" s="106"/>
    </row>
    <row r="477" spans="1:14" ht="14.75" customHeight="1" x14ac:dyDescent="0.4">
      <c r="A477" s="96">
        <v>472</v>
      </c>
      <c r="B477" s="101"/>
      <c r="C477" s="102"/>
      <c r="D477" s="103"/>
      <c r="E477" s="235"/>
      <c r="F477" s="104"/>
      <c r="G477" s="104"/>
      <c r="H477" s="105">
        <f t="shared" si="7"/>
        <v>0</v>
      </c>
      <c r="L477" s="106"/>
      <c r="M477" s="106"/>
      <c r="N477" s="106"/>
    </row>
    <row r="478" spans="1:14" ht="14.75" customHeight="1" x14ac:dyDescent="0.4">
      <c r="A478" s="96">
        <v>473</v>
      </c>
      <c r="B478" s="101"/>
      <c r="C478" s="102"/>
      <c r="D478" s="103"/>
      <c r="E478" s="235"/>
      <c r="F478" s="104"/>
      <c r="G478" s="104"/>
      <c r="H478" s="105">
        <f t="shared" si="7"/>
        <v>0</v>
      </c>
      <c r="L478" s="106"/>
      <c r="M478" s="106"/>
      <c r="N478" s="106"/>
    </row>
    <row r="479" spans="1:14" ht="14.75" customHeight="1" x14ac:dyDescent="0.4">
      <c r="A479" s="96">
        <v>474</v>
      </c>
      <c r="B479" s="101"/>
      <c r="C479" s="102"/>
      <c r="D479" s="103"/>
      <c r="E479" s="235"/>
      <c r="F479" s="104"/>
      <c r="G479" s="104"/>
      <c r="H479" s="105">
        <f t="shared" si="7"/>
        <v>0</v>
      </c>
      <c r="L479" s="106"/>
      <c r="M479" s="106"/>
      <c r="N479" s="106"/>
    </row>
    <row r="480" spans="1:14" ht="14.75" customHeight="1" x14ac:dyDescent="0.4">
      <c r="A480" s="96">
        <v>475</v>
      </c>
      <c r="B480" s="101"/>
      <c r="C480" s="102"/>
      <c r="D480" s="103"/>
      <c r="E480" s="235"/>
      <c r="F480" s="104"/>
      <c r="G480" s="104"/>
      <c r="H480" s="105">
        <f t="shared" si="7"/>
        <v>0</v>
      </c>
      <c r="L480" s="106"/>
      <c r="M480" s="106"/>
      <c r="N480" s="106"/>
    </row>
    <row r="481" spans="1:14" ht="14.75" customHeight="1" x14ac:dyDescent="0.4">
      <c r="A481" s="96">
        <v>476</v>
      </c>
      <c r="B481" s="101"/>
      <c r="C481" s="102"/>
      <c r="D481" s="103"/>
      <c r="E481" s="235"/>
      <c r="F481" s="104"/>
      <c r="G481" s="104"/>
      <c r="H481" s="105">
        <f t="shared" si="7"/>
        <v>0</v>
      </c>
      <c r="L481" s="106"/>
      <c r="M481" s="106"/>
      <c r="N481" s="106"/>
    </row>
    <row r="482" spans="1:14" ht="14.75" customHeight="1" x14ac:dyDescent="0.4">
      <c r="A482" s="96">
        <v>477</v>
      </c>
      <c r="B482" s="101"/>
      <c r="C482" s="102"/>
      <c r="D482" s="103"/>
      <c r="E482" s="235"/>
      <c r="F482" s="104"/>
      <c r="G482" s="104"/>
      <c r="H482" s="105">
        <f t="shared" si="7"/>
        <v>0</v>
      </c>
      <c r="L482" s="106"/>
      <c r="M482" s="106"/>
      <c r="N482" s="106"/>
    </row>
    <row r="483" spans="1:14" ht="14.75" customHeight="1" x14ac:dyDescent="0.4">
      <c r="A483" s="96">
        <v>478</v>
      </c>
      <c r="B483" s="101"/>
      <c r="C483" s="102"/>
      <c r="D483" s="103"/>
      <c r="E483" s="235"/>
      <c r="F483" s="104"/>
      <c r="G483" s="104"/>
      <c r="H483" s="105">
        <f t="shared" si="7"/>
        <v>0</v>
      </c>
      <c r="L483" s="106"/>
      <c r="M483" s="106"/>
      <c r="N483" s="106"/>
    </row>
    <row r="484" spans="1:14" ht="14.75" customHeight="1" x14ac:dyDescent="0.4">
      <c r="A484" s="96">
        <v>479</v>
      </c>
      <c r="B484" s="101"/>
      <c r="C484" s="102"/>
      <c r="D484" s="103"/>
      <c r="E484" s="235"/>
      <c r="F484" s="104"/>
      <c r="G484" s="104"/>
      <c r="H484" s="105">
        <f t="shared" si="7"/>
        <v>0</v>
      </c>
      <c r="L484" s="106"/>
      <c r="M484" s="106"/>
      <c r="N484" s="106"/>
    </row>
    <row r="485" spans="1:14" ht="14.75" customHeight="1" x14ac:dyDescent="0.4">
      <c r="A485" s="96">
        <v>480</v>
      </c>
      <c r="B485" s="101"/>
      <c r="C485" s="102"/>
      <c r="D485" s="103"/>
      <c r="E485" s="235"/>
      <c r="F485" s="104"/>
      <c r="G485" s="104"/>
      <c r="H485" s="105">
        <f t="shared" si="7"/>
        <v>0</v>
      </c>
      <c r="L485" s="106"/>
      <c r="M485" s="106"/>
      <c r="N485" s="106"/>
    </row>
    <row r="486" spans="1:14" ht="14.75" customHeight="1" x14ac:dyDescent="0.4">
      <c r="A486" s="96">
        <v>481</v>
      </c>
      <c r="B486" s="101"/>
      <c r="C486" s="102"/>
      <c r="D486" s="103"/>
      <c r="E486" s="235"/>
      <c r="F486" s="104"/>
      <c r="G486" s="104"/>
      <c r="H486" s="105">
        <f t="shared" si="7"/>
        <v>0</v>
      </c>
      <c r="L486" s="106"/>
      <c r="M486" s="106"/>
      <c r="N486" s="106"/>
    </row>
    <row r="487" spans="1:14" ht="14.75" customHeight="1" x14ac:dyDescent="0.4">
      <c r="A487" s="96">
        <v>482</v>
      </c>
      <c r="B487" s="101"/>
      <c r="C487" s="102"/>
      <c r="D487" s="103"/>
      <c r="E487" s="235"/>
      <c r="F487" s="104"/>
      <c r="G487" s="104"/>
      <c r="H487" s="105">
        <f t="shared" si="7"/>
        <v>0</v>
      </c>
      <c r="L487" s="106"/>
      <c r="M487" s="106"/>
      <c r="N487" s="106"/>
    </row>
    <row r="488" spans="1:14" ht="14.75" customHeight="1" x14ac:dyDescent="0.4">
      <c r="A488" s="96">
        <v>483</v>
      </c>
      <c r="B488" s="101"/>
      <c r="C488" s="102"/>
      <c r="D488" s="103"/>
      <c r="E488" s="235"/>
      <c r="F488" s="104"/>
      <c r="G488" s="104"/>
      <c r="H488" s="105">
        <f t="shared" si="7"/>
        <v>0</v>
      </c>
      <c r="L488" s="106"/>
      <c r="M488" s="106"/>
      <c r="N488" s="106"/>
    </row>
    <row r="489" spans="1:14" ht="14.75" customHeight="1" x14ac:dyDescent="0.4">
      <c r="A489" s="96">
        <v>484</v>
      </c>
      <c r="B489" s="101"/>
      <c r="C489" s="102"/>
      <c r="D489" s="103"/>
      <c r="E489" s="235"/>
      <c r="F489" s="104"/>
      <c r="G489" s="104"/>
      <c r="H489" s="105">
        <f t="shared" si="7"/>
        <v>0</v>
      </c>
      <c r="L489" s="106"/>
      <c r="M489" s="106"/>
      <c r="N489" s="106"/>
    </row>
    <row r="490" spans="1:14" ht="14.75" customHeight="1" x14ac:dyDescent="0.4">
      <c r="A490" s="96">
        <v>485</v>
      </c>
      <c r="B490" s="101"/>
      <c r="C490" s="102"/>
      <c r="D490" s="103"/>
      <c r="E490" s="235"/>
      <c r="F490" s="104"/>
      <c r="G490" s="104"/>
      <c r="H490" s="105">
        <f t="shared" si="7"/>
        <v>0</v>
      </c>
      <c r="L490" s="106"/>
      <c r="M490" s="106"/>
      <c r="N490" s="106"/>
    </row>
    <row r="491" spans="1:14" ht="14.75" customHeight="1" x14ac:dyDescent="0.4">
      <c r="A491" s="96">
        <v>486</v>
      </c>
      <c r="B491" s="101"/>
      <c r="C491" s="102"/>
      <c r="D491" s="103"/>
      <c r="E491" s="235"/>
      <c r="F491" s="104"/>
      <c r="G491" s="104"/>
      <c r="H491" s="105">
        <f t="shared" si="7"/>
        <v>0</v>
      </c>
      <c r="L491" s="106"/>
      <c r="M491" s="106"/>
      <c r="N491" s="106"/>
    </row>
    <row r="492" spans="1:14" ht="14.75" customHeight="1" x14ac:dyDescent="0.4">
      <c r="A492" s="96">
        <v>487</v>
      </c>
      <c r="B492" s="101"/>
      <c r="C492" s="102"/>
      <c r="D492" s="103"/>
      <c r="E492" s="235"/>
      <c r="F492" s="104"/>
      <c r="G492" s="104"/>
      <c r="H492" s="105">
        <f t="shared" si="7"/>
        <v>0</v>
      </c>
      <c r="L492" s="106"/>
      <c r="M492" s="106"/>
      <c r="N492" s="106"/>
    </row>
    <row r="493" spans="1:14" ht="14.75" customHeight="1" x14ac:dyDescent="0.4">
      <c r="A493" s="96">
        <v>488</v>
      </c>
      <c r="B493" s="101"/>
      <c r="C493" s="102"/>
      <c r="D493" s="103"/>
      <c r="E493" s="235"/>
      <c r="F493" s="104"/>
      <c r="G493" s="104"/>
      <c r="H493" s="105">
        <f t="shared" si="7"/>
        <v>0</v>
      </c>
      <c r="L493" s="106"/>
      <c r="M493" s="106"/>
      <c r="N493" s="106"/>
    </row>
    <row r="494" spans="1:14" ht="14.75" customHeight="1" x14ac:dyDescent="0.4">
      <c r="A494" s="96">
        <v>489</v>
      </c>
      <c r="B494" s="101"/>
      <c r="C494" s="102"/>
      <c r="D494" s="103"/>
      <c r="E494" s="235"/>
      <c r="F494" s="104"/>
      <c r="G494" s="104"/>
      <c r="H494" s="105">
        <f t="shared" si="7"/>
        <v>0</v>
      </c>
      <c r="L494" s="106"/>
      <c r="M494" s="106"/>
      <c r="N494" s="106"/>
    </row>
    <row r="495" spans="1:14" ht="14.75" customHeight="1" x14ac:dyDescent="0.4">
      <c r="A495" s="96">
        <v>490</v>
      </c>
      <c r="B495" s="101"/>
      <c r="C495" s="102"/>
      <c r="D495" s="103"/>
      <c r="E495" s="235"/>
      <c r="F495" s="104"/>
      <c r="G495" s="104"/>
      <c r="H495" s="105">
        <f t="shared" si="7"/>
        <v>0</v>
      </c>
      <c r="L495" s="106"/>
      <c r="M495" s="106"/>
      <c r="N495" s="106"/>
    </row>
    <row r="496" spans="1:14" ht="14.75" customHeight="1" x14ac:dyDescent="0.4">
      <c r="A496" s="96">
        <v>491</v>
      </c>
      <c r="B496" s="101"/>
      <c r="C496" s="102"/>
      <c r="D496" s="103"/>
      <c r="E496" s="235"/>
      <c r="F496" s="104"/>
      <c r="G496" s="104"/>
      <c r="H496" s="105">
        <f t="shared" si="7"/>
        <v>0</v>
      </c>
      <c r="L496" s="106"/>
      <c r="M496" s="106"/>
      <c r="N496" s="106"/>
    </row>
    <row r="497" spans="1:14" ht="14.75" customHeight="1" x14ac:dyDescent="0.4">
      <c r="A497" s="96">
        <v>492</v>
      </c>
      <c r="B497" s="101"/>
      <c r="C497" s="102"/>
      <c r="D497" s="103"/>
      <c r="E497" s="235"/>
      <c r="F497" s="104"/>
      <c r="G497" s="104"/>
      <c r="H497" s="105">
        <f t="shared" si="7"/>
        <v>0</v>
      </c>
      <c r="L497" s="106"/>
      <c r="M497" s="106"/>
      <c r="N497" s="106"/>
    </row>
    <row r="498" spans="1:14" ht="14.75" customHeight="1" x14ac:dyDescent="0.4">
      <c r="A498" s="96">
        <v>493</v>
      </c>
      <c r="B498" s="101"/>
      <c r="C498" s="102"/>
      <c r="D498" s="103"/>
      <c r="E498" s="235"/>
      <c r="F498" s="104"/>
      <c r="G498" s="104"/>
      <c r="H498" s="105">
        <f t="shared" si="7"/>
        <v>0</v>
      </c>
      <c r="L498" s="106"/>
      <c r="M498" s="106"/>
      <c r="N498" s="106"/>
    </row>
    <row r="499" spans="1:14" ht="14.75" customHeight="1" x14ac:dyDescent="0.4">
      <c r="A499" s="96">
        <v>494</v>
      </c>
      <c r="B499" s="101"/>
      <c r="C499" s="102"/>
      <c r="D499" s="103"/>
      <c r="E499" s="235"/>
      <c r="F499" s="104"/>
      <c r="G499" s="104"/>
      <c r="H499" s="105">
        <f t="shared" si="7"/>
        <v>0</v>
      </c>
      <c r="L499" s="106"/>
      <c r="M499" s="106"/>
      <c r="N499" s="106"/>
    </row>
    <row r="500" spans="1:14" ht="14.75" customHeight="1" x14ac:dyDescent="0.4">
      <c r="A500" s="96">
        <v>495</v>
      </c>
      <c r="B500" s="101"/>
      <c r="C500" s="102"/>
      <c r="D500" s="103"/>
      <c r="E500" s="235"/>
      <c r="F500" s="104"/>
      <c r="G500" s="104"/>
      <c r="H500" s="105">
        <f t="shared" si="7"/>
        <v>0</v>
      </c>
      <c r="L500" s="106"/>
      <c r="M500" s="106"/>
      <c r="N500" s="106"/>
    </row>
    <row r="501" spans="1:14" ht="14.75" customHeight="1" x14ac:dyDescent="0.4">
      <c r="A501" s="96">
        <v>496</v>
      </c>
      <c r="B501" s="101"/>
      <c r="C501" s="102"/>
      <c r="D501" s="103"/>
      <c r="E501" s="235"/>
      <c r="F501" s="104"/>
      <c r="G501" s="104"/>
      <c r="H501" s="105">
        <f t="shared" si="7"/>
        <v>0</v>
      </c>
      <c r="L501" s="106"/>
      <c r="M501" s="106"/>
      <c r="N501" s="106"/>
    </row>
    <row r="502" spans="1:14" ht="14.75" customHeight="1" x14ac:dyDescent="0.4">
      <c r="A502" s="96">
        <v>497</v>
      </c>
      <c r="B502" s="101"/>
      <c r="C502" s="102"/>
      <c r="D502" s="103"/>
      <c r="E502" s="235"/>
      <c r="F502" s="104"/>
      <c r="G502" s="104"/>
      <c r="H502" s="105">
        <f t="shared" si="7"/>
        <v>0</v>
      </c>
      <c r="L502" s="106"/>
      <c r="M502" s="106"/>
      <c r="N502" s="106"/>
    </row>
    <row r="503" spans="1:14" ht="14.75" customHeight="1" x14ac:dyDescent="0.4">
      <c r="A503" s="96">
        <v>498</v>
      </c>
      <c r="B503" s="101"/>
      <c r="C503" s="102"/>
      <c r="D503" s="103"/>
      <c r="E503" s="235"/>
      <c r="F503" s="104"/>
      <c r="G503" s="104"/>
      <c r="H503" s="105">
        <f t="shared" si="7"/>
        <v>0</v>
      </c>
      <c r="L503" s="106"/>
      <c r="M503" s="106"/>
      <c r="N503" s="106"/>
    </row>
    <row r="504" spans="1:14" ht="14.75" customHeight="1" x14ac:dyDescent="0.4">
      <c r="A504" s="96">
        <v>499</v>
      </c>
      <c r="B504" s="101"/>
      <c r="C504" s="102"/>
      <c r="D504" s="103"/>
      <c r="E504" s="235"/>
      <c r="F504" s="104"/>
      <c r="G504" s="104"/>
      <c r="H504" s="105">
        <f t="shared" si="7"/>
        <v>0</v>
      </c>
      <c r="L504" s="106"/>
      <c r="M504" s="106"/>
      <c r="N504" s="106"/>
    </row>
    <row r="505" spans="1:14" ht="14.75" customHeight="1" x14ac:dyDescent="0.4">
      <c r="A505" s="96">
        <v>500</v>
      </c>
      <c r="B505" s="101"/>
      <c r="C505" s="102"/>
      <c r="D505" s="103"/>
      <c r="E505" s="235"/>
      <c r="F505" s="104"/>
      <c r="G505" s="104"/>
      <c r="H505" s="105">
        <f t="shared" si="7"/>
        <v>0</v>
      </c>
      <c r="L505" s="106"/>
      <c r="M505" s="106"/>
      <c r="N505" s="106"/>
    </row>
    <row r="506" spans="1:14" ht="14.75" customHeight="1" x14ac:dyDescent="0.4">
      <c r="A506" s="96">
        <v>501</v>
      </c>
      <c r="B506" s="101"/>
      <c r="C506" s="102"/>
      <c r="D506" s="103"/>
      <c r="E506" s="235"/>
      <c r="F506" s="104"/>
      <c r="G506" s="104"/>
      <c r="H506" s="105">
        <f t="shared" si="7"/>
        <v>0</v>
      </c>
      <c r="L506" s="106"/>
      <c r="M506" s="106"/>
      <c r="N506" s="106"/>
    </row>
    <row r="507" spans="1:14" ht="14.75" customHeight="1" x14ac:dyDescent="0.4">
      <c r="A507" s="96">
        <v>502</v>
      </c>
      <c r="B507" s="101"/>
      <c r="C507" s="102"/>
      <c r="D507" s="103"/>
      <c r="E507" s="235"/>
      <c r="F507" s="104"/>
      <c r="G507" s="104"/>
      <c r="H507" s="105">
        <f t="shared" si="7"/>
        <v>0</v>
      </c>
      <c r="L507" s="106"/>
      <c r="M507" s="106"/>
      <c r="N507" s="106"/>
    </row>
    <row r="508" spans="1:14" ht="14.75" customHeight="1" x14ac:dyDescent="0.4">
      <c r="A508" s="96">
        <v>503</v>
      </c>
      <c r="B508" s="101"/>
      <c r="C508" s="102"/>
      <c r="D508" s="103"/>
      <c r="E508" s="235"/>
      <c r="F508" s="104"/>
      <c r="G508" s="104"/>
      <c r="H508" s="105">
        <f t="shared" si="7"/>
        <v>0</v>
      </c>
      <c r="L508" s="106"/>
      <c r="M508" s="106"/>
      <c r="N508" s="106"/>
    </row>
    <row r="509" spans="1:14" ht="14.75" customHeight="1" x14ac:dyDescent="0.4">
      <c r="A509" s="96">
        <v>504</v>
      </c>
      <c r="B509" s="101"/>
      <c r="C509" s="102"/>
      <c r="D509" s="103"/>
      <c r="E509" s="235"/>
      <c r="F509" s="104"/>
      <c r="G509" s="104"/>
      <c r="H509" s="105">
        <f t="shared" si="7"/>
        <v>0</v>
      </c>
      <c r="L509" s="106"/>
      <c r="M509" s="106"/>
      <c r="N509" s="106"/>
    </row>
    <row r="510" spans="1:14" ht="14.75" customHeight="1" x14ac:dyDescent="0.4">
      <c r="A510" s="96">
        <v>505</v>
      </c>
      <c r="B510" s="101"/>
      <c r="C510" s="102"/>
      <c r="D510" s="103"/>
      <c r="E510" s="235"/>
      <c r="F510" s="104"/>
      <c r="G510" s="104"/>
      <c r="H510" s="105">
        <f t="shared" si="7"/>
        <v>0</v>
      </c>
      <c r="L510" s="106"/>
      <c r="M510" s="106"/>
      <c r="N510" s="106"/>
    </row>
    <row r="511" spans="1:14" ht="14.75" customHeight="1" x14ac:dyDescent="0.4">
      <c r="A511" s="96">
        <v>506</v>
      </c>
      <c r="B511" s="101"/>
      <c r="C511" s="102"/>
      <c r="D511" s="103"/>
      <c r="E511" s="235"/>
      <c r="F511" s="104"/>
      <c r="G511" s="104"/>
      <c r="H511" s="105">
        <f t="shared" si="7"/>
        <v>0</v>
      </c>
      <c r="L511" s="106"/>
      <c r="M511" s="106"/>
      <c r="N511" s="106"/>
    </row>
    <row r="512" spans="1:14" ht="14.75" customHeight="1" x14ac:dyDescent="0.4">
      <c r="A512" s="96">
        <v>507</v>
      </c>
      <c r="B512" s="101"/>
      <c r="C512" s="102"/>
      <c r="D512" s="103"/>
      <c r="E512" s="235"/>
      <c r="F512" s="104"/>
      <c r="G512" s="104"/>
      <c r="H512" s="105">
        <f t="shared" si="7"/>
        <v>0</v>
      </c>
      <c r="L512" s="106"/>
      <c r="M512" s="106"/>
      <c r="N512" s="106"/>
    </row>
    <row r="513" spans="1:14" ht="14.75" customHeight="1" x14ac:dyDescent="0.4">
      <c r="A513" s="96">
        <v>508</v>
      </c>
      <c r="B513" s="101"/>
      <c r="C513" s="102"/>
      <c r="D513" s="103"/>
      <c r="E513" s="235"/>
      <c r="F513" s="104"/>
      <c r="G513" s="104"/>
      <c r="H513" s="105">
        <f t="shared" si="7"/>
        <v>0</v>
      </c>
      <c r="L513" s="106"/>
      <c r="M513" s="106"/>
      <c r="N513" s="106"/>
    </row>
    <row r="514" spans="1:14" ht="14.75" customHeight="1" x14ac:dyDescent="0.4">
      <c r="A514" s="96">
        <v>509</v>
      </c>
      <c r="B514" s="101"/>
      <c r="C514" s="102"/>
      <c r="D514" s="103"/>
      <c r="E514" s="235"/>
      <c r="F514" s="104"/>
      <c r="G514" s="104"/>
      <c r="H514" s="105">
        <f t="shared" si="7"/>
        <v>0</v>
      </c>
      <c r="L514" s="106"/>
      <c r="M514" s="106"/>
      <c r="N514" s="106"/>
    </row>
    <row r="515" spans="1:14" ht="14.75" customHeight="1" x14ac:dyDescent="0.4">
      <c r="A515" s="96">
        <v>510</v>
      </c>
      <c r="B515" s="101"/>
      <c r="C515" s="102"/>
      <c r="D515" s="103"/>
      <c r="E515" s="235"/>
      <c r="F515" s="104"/>
      <c r="G515" s="104"/>
      <c r="H515" s="105">
        <f t="shared" si="7"/>
        <v>0</v>
      </c>
      <c r="L515" s="106"/>
      <c r="M515" s="106"/>
      <c r="N515" s="106"/>
    </row>
    <row r="516" spans="1:14" ht="14.75" customHeight="1" x14ac:dyDescent="0.4">
      <c r="A516" s="96">
        <v>511</v>
      </c>
      <c r="B516" s="101"/>
      <c r="C516" s="102"/>
      <c r="D516" s="103"/>
      <c r="E516" s="235"/>
      <c r="F516" s="104"/>
      <c r="G516" s="104"/>
      <c r="H516" s="105">
        <f t="shared" si="7"/>
        <v>0</v>
      </c>
      <c r="L516" s="106"/>
      <c r="M516" s="106"/>
      <c r="N516" s="106"/>
    </row>
    <row r="517" spans="1:14" ht="14.75" customHeight="1" x14ac:dyDescent="0.4">
      <c r="A517" s="96">
        <v>512</v>
      </c>
      <c r="B517" s="101"/>
      <c r="C517" s="102"/>
      <c r="D517" s="103"/>
      <c r="E517" s="235"/>
      <c r="F517" s="104"/>
      <c r="G517" s="104"/>
      <c r="H517" s="105">
        <f t="shared" si="7"/>
        <v>0</v>
      </c>
      <c r="L517" s="106"/>
      <c r="M517" s="106"/>
      <c r="N517" s="106"/>
    </row>
    <row r="518" spans="1:14" ht="14.75" customHeight="1" x14ac:dyDescent="0.4">
      <c r="A518" s="96">
        <v>513</v>
      </c>
      <c r="B518" s="101"/>
      <c r="C518" s="102"/>
      <c r="D518" s="103"/>
      <c r="E518" s="235"/>
      <c r="F518" s="104"/>
      <c r="G518" s="104"/>
      <c r="H518" s="105">
        <f t="shared" si="7"/>
        <v>0</v>
      </c>
      <c r="L518" s="106"/>
      <c r="M518" s="106"/>
      <c r="N518" s="106"/>
    </row>
    <row r="519" spans="1:14" ht="14.75" customHeight="1" x14ac:dyDescent="0.4">
      <c r="A519" s="96">
        <v>514</v>
      </c>
      <c r="B519" s="101"/>
      <c r="C519" s="102"/>
      <c r="D519" s="103"/>
      <c r="E519" s="235"/>
      <c r="F519" s="104"/>
      <c r="G519" s="104"/>
      <c r="H519" s="105">
        <f t="shared" si="7"/>
        <v>0</v>
      </c>
      <c r="L519" s="106"/>
      <c r="M519" s="106"/>
      <c r="N519" s="106"/>
    </row>
    <row r="520" spans="1:14" ht="14.75" customHeight="1" x14ac:dyDescent="0.4">
      <c r="A520" s="96">
        <v>515</v>
      </c>
      <c r="B520" s="101"/>
      <c r="C520" s="102"/>
      <c r="D520" s="103"/>
      <c r="E520" s="235"/>
      <c r="F520" s="104"/>
      <c r="G520" s="104"/>
      <c r="H520" s="105">
        <f t="shared" si="7"/>
        <v>0</v>
      </c>
      <c r="L520" s="106"/>
      <c r="M520" s="106"/>
      <c r="N520" s="106"/>
    </row>
    <row r="521" spans="1:14" ht="14.75" customHeight="1" x14ac:dyDescent="0.4">
      <c r="A521" s="96">
        <v>516</v>
      </c>
      <c r="B521" s="101"/>
      <c r="C521" s="102"/>
      <c r="D521" s="103"/>
      <c r="E521" s="235"/>
      <c r="F521" s="104"/>
      <c r="G521" s="104"/>
      <c r="H521" s="105">
        <f t="shared" ref="H521:H584" si="8">H520+F521-G521</f>
        <v>0</v>
      </c>
      <c r="L521" s="106"/>
      <c r="M521" s="106"/>
      <c r="N521" s="106"/>
    </row>
    <row r="522" spans="1:14" ht="14.75" customHeight="1" x14ac:dyDescent="0.4">
      <c r="A522" s="96">
        <v>517</v>
      </c>
      <c r="B522" s="101"/>
      <c r="C522" s="102"/>
      <c r="D522" s="103"/>
      <c r="E522" s="235"/>
      <c r="F522" s="104"/>
      <c r="G522" s="104"/>
      <c r="H522" s="105">
        <f t="shared" si="8"/>
        <v>0</v>
      </c>
      <c r="L522" s="106"/>
      <c r="M522" s="106"/>
      <c r="N522" s="106"/>
    </row>
    <row r="523" spans="1:14" ht="14.75" customHeight="1" x14ac:dyDescent="0.4">
      <c r="A523" s="96">
        <v>518</v>
      </c>
      <c r="B523" s="101"/>
      <c r="C523" s="102"/>
      <c r="D523" s="103"/>
      <c r="E523" s="235"/>
      <c r="F523" s="104"/>
      <c r="G523" s="104"/>
      <c r="H523" s="105">
        <f t="shared" si="8"/>
        <v>0</v>
      </c>
      <c r="L523" s="106"/>
      <c r="M523" s="106"/>
      <c r="N523" s="106"/>
    </row>
    <row r="524" spans="1:14" ht="14.75" customHeight="1" x14ac:dyDescent="0.4">
      <c r="A524" s="96">
        <v>519</v>
      </c>
      <c r="B524" s="101"/>
      <c r="C524" s="102"/>
      <c r="D524" s="103"/>
      <c r="E524" s="235"/>
      <c r="F524" s="104"/>
      <c r="G524" s="104"/>
      <c r="H524" s="105">
        <f t="shared" si="8"/>
        <v>0</v>
      </c>
      <c r="L524" s="106"/>
      <c r="M524" s="106"/>
      <c r="N524" s="106"/>
    </row>
    <row r="525" spans="1:14" ht="14.75" customHeight="1" x14ac:dyDescent="0.4">
      <c r="A525" s="96">
        <v>520</v>
      </c>
      <c r="B525" s="101"/>
      <c r="C525" s="102"/>
      <c r="D525" s="103"/>
      <c r="E525" s="235"/>
      <c r="F525" s="104"/>
      <c r="G525" s="104"/>
      <c r="H525" s="105">
        <f t="shared" si="8"/>
        <v>0</v>
      </c>
      <c r="L525" s="106"/>
      <c r="M525" s="106"/>
      <c r="N525" s="106"/>
    </row>
    <row r="526" spans="1:14" ht="14.75" customHeight="1" x14ac:dyDescent="0.4">
      <c r="A526" s="96">
        <v>521</v>
      </c>
      <c r="B526" s="101"/>
      <c r="C526" s="102"/>
      <c r="D526" s="103"/>
      <c r="E526" s="235"/>
      <c r="F526" s="104"/>
      <c r="G526" s="104"/>
      <c r="H526" s="105">
        <f t="shared" si="8"/>
        <v>0</v>
      </c>
      <c r="L526" s="106"/>
      <c r="M526" s="106"/>
      <c r="N526" s="106"/>
    </row>
    <row r="527" spans="1:14" ht="14.75" customHeight="1" x14ac:dyDescent="0.4">
      <c r="A527" s="96">
        <v>522</v>
      </c>
      <c r="B527" s="101"/>
      <c r="C527" s="102"/>
      <c r="D527" s="103"/>
      <c r="E527" s="235"/>
      <c r="F527" s="104"/>
      <c r="G527" s="104"/>
      <c r="H527" s="105">
        <f t="shared" si="8"/>
        <v>0</v>
      </c>
      <c r="L527" s="106"/>
      <c r="M527" s="106"/>
      <c r="N527" s="106"/>
    </row>
    <row r="528" spans="1:14" ht="14.75" customHeight="1" x14ac:dyDescent="0.4">
      <c r="A528" s="96">
        <v>523</v>
      </c>
      <c r="B528" s="101"/>
      <c r="C528" s="102"/>
      <c r="D528" s="103"/>
      <c r="E528" s="235"/>
      <c r="F528" s="104"/>
      <c r="G528" s="104"/>
      <c r="H528" s="105">
        <f t="shared" si="8"/>
        <v>0</v>
      </c>
      <c r="L528" s="106"/>
      <c r="M528" s="106"/>
      <c r="N528" s="106"/>
    </row>
    <row r="529" spans="1:14" ht="14.75" customHeight="1" x14ac:dyDescent="0.4">
      <c r="A529" s="96">
        <v>524</v>
      </c>
      <c r="B529" s="101"/>
      <c r="C529" s="102"/>
      <c r="D529" s="103"/>
      <c r="E529" s="235"/>
      <c r="F529" s="104"/>
      <c r="G529" s="104"/>
      <c r="H529" s="105">
        <f t="shared" si="8"/>
        <v>0</v>
      </c>
      <c r="L529" s="106"/>
      <c r="M529" s="106"/>
      <c r="N529" s="106"/>
    </row>
    <row r="530" spans="1:14" ht="14.75" customHeight="1" x14ac:dyDescent="0.4">
      <c r="A530" s="96">
        <v>525</v>
      </c>
      <c r="B530" s="101"/>
      <c r="C530" s="102"/>
      <c r="D530" s="103"/>
      <c r="E530" s="235"/>
      <c r="F530" s="104"/>
      <c r="G530" s="104"/>
      <c r="H530" s="105">
        <f t="shared" si="8"/>
        <v>0</v>
      </c>
      <c r="L530" s="106"/>
      <c r="M530" s="106"/>
      <c r="N530" s="106"/>
    </row>
    <row r="531" spans="1:14" ht="14.75" customHeight="1" x14ac:dyDescent="0.4">
      <c r="A531" s="96">
        <v>526</v>
      </c>
      <c r="B531" s="101"/>
      <c r="C531" s="102"/>
      <c r="D531" s="103"/>
      <c r="E531" s="235"/>
      <c r="F531" s="104"/>
      <c r="G531" s="104"/>
      <c r="H531" s="105">
        <f t="shared" si="8"/>
        <v>0</v>
      </c>
      <c r="L531" s="106"/>
      <c r="M531" s="106"/>
      <c r="N531" s="106"/>
    </row>
    <row r="532" spans="1:14" ht="14.75" customHeight="1" x14ac:dyDescent="0.4">
      <c r="A532" s="96">
        <v>527</v>
      </c>
      <c r="B532" s="101"/>
      <c r="C532" s="102"/>
      <c r="D532" s="103"/>
      <c r="E532" s="235"/>
      <c r="F532" s="104"/>
      <c r="G532" s="104"/>
      <c r="H532" s="105">
        <f t="shared" si="8"/>
        <v>0</v>
      </c>
      <c r="L532" s="106"/>
      <c r="M532" s="106"/>
      <c r="N532" s="106"/>
    </row>
    <row r="533" spans="1:14" ht="14.75" customHeight="1" x14ac:dyDescent="0.4">
      <c r="A533" s="96">
        <v>528</v>
      </c>
      <c r="B533" s="101"/>
      <c r="C533" s="102"/>
      <c r="D533" s="103"/>
      <c r="E533" s="235"/>
      <c r="F533" s="104"/>
      <c r="G533" s="104"/>
      <c r="H533" s="105">
        <f t="shared" si="8"/>
        <v>0</v>
      </c>
      <c r="L533" s="106"/>
      <c r="M533" s="106"/>
      <c r="N533" s="106"/>
    </row>
    <row r="534" spans="1:14" ht="14.75" customHeight="1" x14ac:dyDescent="0.4">
      <c r="A534" s="96">
        <v>529</v>
      </c>
      <c r="B534" s="101"/>
      <c r="C534" s="102"/>
      <c r="D534" s="103"/>
      <c r="E534" s="235"/>
      <c r="F534" s="104"/>
      <c r="G534" s="104"/>
      <c r="H534" s="105">
        <f t="shared" si="8"/>
        <v>0</v>
      </c>
      <c r="L534" s="106"/>
      <c r="M534" s="106"/>
      <c r="N534" s="106"/>
    </row>
    <row r="535" spans="1:14" ht="14.75" customHeight="1" x14ac:dyDescent="0.4">
      <c r="A535" s="96">
        <v>530</v>
      </c>
      <c r="B535" s="101"/>
      <c r="C535" s="102"/>
      <c r="D535" s="103"/>
      <c r="E535" s="235"/>
      <c r="F535" s="104"/>
      <c r="G535" s="104"/>
      <c r="H535" s="105">
        <f t="shared" si="8"/>
        <v>0</v>
      </c>
      <c r="L535" s="106"/>
      <c r="M535" s="106"/>
      <c r="N535" s="106"/>
    </row>
    <row r="536" spans="1:14" ht="14.75" customHeight="1" x14ac:dyDescent="0.4">
      <c r="A536" s="96">
        <v>531</v>
      </c>
      <c r="B536" s="101"/>
      <c r="C536" s="102"/>
      <c r="D536" s="103"/>
      <c r="E536" s="235"/>
      <c r="F536" s="104"/>
      <c r="G536" s="104"/>
      <c r="H536" s="105">
        <f t="shared" si="8"/>
        <v>0</v>
      </c>
      <c r="L536" s="106"/>
      <c r="M536" s="106"/>
      <c r="N536" s="106"/>
    </row>
    <row r="537" spans="1:14" ht="14.75" customHeight="1" x14ac:dyDescent="0.4">
      <c r="A537" s="96">
        <v>532</v>
      </c>
      <c r="B537" s="101"/>
      <c r="C537" s="102"/>
      <c r="D537" s="103"/>
      <c r="E537" s="235"/>
      <c r="F537" s="104"/>
      <c r="G537" s="104"/>
      <c r="H537" s="105">
        <f t="shared" si="8"/>
        <v>0</v>
      </c>
      <c r="L537" s="106"/>
      <c r="M537" s="106"/>
      <c r="N537" s="106"/>
    </row>
    <row r="538" spans="1:14" ht="14.75" customHeight="1" x14ac:dyDescent="0.4">
      <c r="A538" s="96">
        <v>533</v>
      </c>
      <c r="B538" s="101"/>
      <c r="C538" s="102"/>
      <c r="D538" s="103"/>
      <c r="E538" s="235"/>
      <c r="F538" s="104"/>
      <c r="G538" s="104"/>
      <c r="H538" s="105">
        <f t="shared" si="8"/>
        <v>0</v>
      </c>
      <c r="L538" s="106"/>
      <c r="M538" s="106"/>
      <c r="N538" s="106"/>
    </row>
    <row r="539" spans="1:14" ht="14.75" customHeight="1" x14ac:dyDescent="0.4">
      <c r="A539" s="96">
        <v>534</v>
      </c>
      <c r="B539" s="101"/>
      <c r="C539" s="102"/>
      <c r="D539" s="103"/>
      <c r="E539" s="235"/>
      <c r="F539" s="104"/>
      <c r="G539" s="104"/>
      <c r="H539" s="105">
        <f t="shared" si="8"/>
        <v>0</v>
      </c>
      <c r="L539" s="106"/>
      <c r="M539" s="106"/>
      <c r="N539" s="106"/>
    </row>
    <row r="540" spans="1:14" ht="14.75" customHeight="1" x14ac:dyDescent="0.4">
      <c r="A540" s="96">
        <v>535</v>
      </c>
      <c r="B540" s="101"/>
      <c r="C540" s="102"/>
      <c r="D540" s="103"/>
      <c r="E540" s="235"/>
      <c r="F540" s="104"/>
      <c r="G540" s="104"/>
      <c r="H540" s="105">
        <f t="shared" si="8"/>
        <v>0</v>
      </c>
      <c r="L540" s="106"/>
      <c r="M540" s="106"/>
      <c r="N540" s="106"/>
    </row>
    <row r="541" spans="1:14" ht="14.75" customHeight="1" x14ac:dyDescent="0.4">
      <c r="A541" s="96">
        <v>536</v>
      </c>
      <c r="B541" s="101"/>
      <c r="C541" s="102"/>
      <c r="D541" s="103"/>
      <c r="E541" s="235"/>
      <c r="F541" s="104"/>
      <c r="G541" s="104"/>
      <c r="H541" s="105">
        <f t="shared" si="8"/>
        <v>0</v>
      </c>
      <c r="L541" s="106"/>
      <c r="M541" s="106"/>
      <c r="N541" s="106"/>
    </row>
    <row r="542" spans="1:14" ht="14.75" customHeight="1" x14ac:dyDescent="0.4">
      <c r="A542" s="96">
        <v>537</v>
      </c>
      <c r="B542" s="101"/>
      <c r="C542" s="102"/>
      <c r="D542" s="103"/>
      <c r="E542" s="235"/>
      <c r="F542" s="104"/>
      <c r="G542" s="104"/>
      <c r="H542" s="105">
        <f t="shared" si="8"/>
        <v>0</v>
      </c>
      <c r="L542" s="106"/>
      <c r="M542" s="106"/>
      <c r="N542" s="106"/>
    </row>
    <row r="543" spans="1:14" ht="14.75" customHeight="1" x14ac:dyDescent="0.4">
      <c r="A543" s="96">
        <v>538</v>
      </c>
      <c r="B543" s="101"/>
      <c r="C543" s="102"/>
      <c r="D543" s="103"/>
      <c r="E543" s="235"/>
      <c r="F543" s="104"/>
      <c r="G543" s="104"/>
      <c r="H543" s="105">
        <f t="shared" si="8"/>
        <v>0</v>
      </c>
      <c r="L543" s="106"/>
      <c r="M543" s="106"/>
      <c r="N543" s="106"/>
    </row>
    <row r="544" spans="1:14" ht="14.75" customHeight="1" x14ac:dyDescent="0.4">
      <c r="A544" s="96">
        <v>539</v>
      </c>
      <c r="B544" s="101"/>
      <c r="C544" s="102"/>
      <c r="D544" s="103"/>
      <c r="E544" s="235"/>
      <c r="F544" s="104"/>
      <c r="G544" s="104"/>
      <c r="H544" s="105">
        <f t="shared" si="8"/>
        <v>0</v>
      </c>
      <c r="L544" s="106"/>
      <c r="M544" s="106"/>
      <c r="N544" s="106"/>
    </row>
    <row r="545" spans="1:14" ht="14.75" customHeight="1" x14ac:dyDescent="0.4">
      <c r="A545" s="96">
        <v>540</v>
      </c>
      <c r="B545" s="101"/>
      <c r="C545" s="102"/>
      <c r="D545" s="103"/>
      <c r="E545" s="235"/>
      <c r="F545" s="104"/>
      <c r="G545" s="104"/>
      <c r="H545" s="105">
        <f t="shared" si="8"/>
        <v>0</v>
      </c>
      <c r="L545" s="106"/>
      <c r="M545" s="106"/>
      <c r="N545" s="106"/>
    </row>
    <row r="546" spans="1:14" ht="14.75" customHeight="1" x14ac:dyDescent="0.4">
      <c r="A546" s="96">
        <v>541</v>
      </c>
      <c r="B546" s="101"/>
      <c r="C546" s="102"/>
      <c r="D546" s="103"/>
      <c r="E546" s="235"/>
      <c r="F546" s="104"/>
      <c r="G546" s="104"/>
      <c r="H546" s="105">
        <f t="shared" si="8"/>
        <v>0</v>
      </c>
      <c r="L546" s="106"/>
      <c r="M546" s="106"/>
      <c r="N546" s="106"/>
    </row>
    <row r="547" spans="1:14" ht="14.75" customHeight="1" x14ac:dyDescent="0.4">
      <c r="A547" s="96">
        <v>542</v>
      </c>
      <c r="B547" s="101"/>
      <c r="C547" s="102"/>
      <c r="D547" s="103"/>
      <c r="E547" s="235"/>
      <c r="F547" s="104"/>
      <c r="G547" s="104"/>
      <c r="H547" s="105">
        <f t="shared" si="8"/>
        <v>0</v>
      </c>
      <c r="L547" s="106"/>
      <c r="M547" s="106"/>
      <c r="N547" s="106"/>
    </row>
    <row r="548" spans="1:14" ht="14.75" customHeight="1" x14ac:dyDescent="0.4">
      <c r="A548" s="96">
        <v>543</v>
      </c>
      <c r="B548" s="101"/>
      <c r="C548" s="102"/>
      <c r="D548" s="103"/>
      <c r="E548" s="235"/>
      <c r="F548" s="104"/>
      <c r="G548" s="104"/>
      <c r="H548" s="105">
        <f t="shared" si="8"/>
        <v>0</v>
      </c>
      <c r="L548" s="106"/>
      <c r="M548" s="106"/>
      <c r="N548" s="106"/>
    </row>
    <row r="549" spans="1:14" ht="14.75" customHeight="1" x14ac:dyDescent="0.4">
      <c r="A549" s="96">
        <v>544</v>
      </c>
      <c r="B549" s="101"/>
      <c r="C549" s="102"/>
      <c r="D549" s="103"/>
      <c r="E549" s="235"/>
      <c r="F549" s="104"/>
      <c r="G549" s="104"/>
      <c r="H549" s="105">
        <f t="shared" si="8"/>
        <v>0</v>
      </c>
      <c r="L549" s="106"/>
      <c r="M549" s="106"/>
      <c r="N549" s="106"/>
    </row>
    <row r="550" spans="1:14" ht="14.75" customHeight="1" x14ac:dyDescent="0.4">
      <c r="A550" s="96">
        <v>545</v>
      </c>
      <c r="B550" s="101"/>
      <c r="C550" s="102"/>
      <c r="D550" s="103"/>
      <c r="E550" s="235"/>
      <c r="F550" s="104"/>
      <c r="G550" s="104"/>
      <c r="H550" s="105">
        <f t="shared" si="8"/>
        <v>0</v>
      </c>
      <c r="L550" s="106"/>
      <c r="M550" s="106"/>
      <c r="N550" s="106"/>
    </row>
    <row r="551" spans="1:14" ht="14.75" customHeight="1" x14ac:dyDescent="0.4">
      <c r="A551" s="96">
        <v>546</v>
      </c>
      <c r="B551" s="101"/>
      <c r="C551" s="102"/>
      <c r="D551" s="103"/>
      <c r="E551" s="235"/>
      <c r="F551" s="104"/>
      <c r="G551" s="104"/>
      <c r="H551" s="105">
        <f t="shared" si="8"/>
        <v>0</v>
      </c>
      <c r="L551" s="106"/>
      <c r="M551" s="106"/>
      <c r="N551" s="106"/>
    </row>
    <row r="552" spans="1:14" ht="14.75" customHeight="1" x14ac:dyDescent="0.4">
      <c r="A552" s="96">
        <v>547</v>
      </c>
      <c r="B552" s="101"/>
      <c r="C552" s="102"/>
      <c r="D552" s="103"/>
      <c r="E552" s="235"/>
      <c r="F552" s="104"/>
      <c r="G552" s="104"/>
      <c r="H552" s="105">
        <f t="shared" si="8"/>
        <v>0</v>
      </c>
      <c r="L552" s="106"/>
      <c r="M552" s="106"/>
      <c r="N552" s="106"/>
    </row>
    <row r="553" spans="1:14" ht="14.75" customHeight="1" x14ac:dyDescent="0.4">
      <c r="A553" s="96">
        <v>548</v>
      </c>
      <c r="B553" s="101"/>
      <c r="C553" s="102"/>
      <c r="D553" s="103"/>
      <c r="E553" s="235"/>
      <c r="F553" s="104"/>
      <c r="G553" s="104"/>
      <c r="H553" s="105">
        <f t="shared" si="8"/>
        <v>0</v>
      </c>
      <c r="L553" s="106"/>
      <c r="M553" s="106"/>
      <c r="N553" s="106"/>
    </row>
    <row r="554" spans="1:14" ht="14.75" customHeight="1" x14ac:dyDescent="0.4">
      <c r="A554" s="96">
        <v>549</v>
      </c>
      <c r="B554" s="101"/>
      <c r="C554" s="102"/>
      <c r="D554" s="103"/>
      <c r="E554" s="235"/>
      <c r="F554" s="104"/>
      <c r="G554" s="104"/>
      <c r="H554" s="105">
        <f t="shared" si="8"/>
        <v>0</v>
      </c>
      <c r="L554" s="106"/>
      <c r="M554" s="106"/>
      <c r="N554" s="106"/>
    </row>
    <row r="555" spans="1:14" ht="14.75" customHeight="1" x14ac:dyDescent="0.4">
      <c r="A555" s="96">
        <v>550</v>
      </c>
      <c r="B555" s="101"/>
      <c r="C555" s="102"/>
      <c r="D555" s="103"/>
      <c r="E555" s="235"/>
      <c r="F555" s="104"/>
      <c r="G555" s="104"/>
      <c r="H555" s="105">
        <f t="shared" si="8"/>
        <v>0</v>
      </c>
      <c r="L555" s="106"/>
      <c r="M555" s="106"/>
      <c r="N555" s="106"/>
    </row>
    <row r="556" spans="1:14" ht="14.75" customHeight="1" x14ac:dyDescent="0.4">
      <c r="A556" s="96">
        <v>551</v>
      </c>
      <c r="B556" s="101"/>
      <c r="C556" s="102"/>
      <c r="D556" s="103"/>
      <c r="E556" s="235"/>
      <c r="F556" s="104"/>
      <c r="G556" s="104"/>
      <c r="H556" s="105">
        <f t="shared" si="8"/>
        <v>0</v>
      </c>
      <c r="L556" s="106"/>
      <c r="M556" s="106"/>
      <c r="N556" s="106"/>
    </row>
    <row r="557" spans="1:14" ht="14.75" customHeight="1" x14ac:dyDescent="0.4">
      <c r="A557" s="96">
        <v>552</v>
      </c>
      <c r="B557" s="101"/>
      <c r="C557" s="102"/>
      <c r="D557" s="103"/>
      <c r="E557" s="235"/>
      <c r="F557" s="104"/>
      <c r="G557" s="104"/>
      <c r="H557" s="105">
        <f t="shared" si="8"/>
        <v>0</v>
      </c>
      <c r="L557" s="106"/>
      <c r="M557" s="106"/>
      <c r="N557" s="106"/>
    </row>
    <row r="558" spans="1:14" ht="14.75" customHeight="1" x14ac:dyDescent="0.4">
      <c r="A558" s="96">
        <v>553</v>
      </c>
      <c r="B558" s="101"/>
      <c r="C558" s="102"/>
      <c r="D558" s="103"/>
      <c r="E558" s="235"/>
      <c r="F558" s="104"/>
      <c r="G558" s="104"/>
      <c r="H558" s="105">
        <f t="shared" si="8"/>
        <v>0</v>
      </c>
      <c r="L558" s="106"/>
      <c r="M558" s="106"/>
      <c r="N558" s="106"/>
    </row>
    <row r="559" spans="1:14" ht="14.75" customHeight="1" x14ac:dyDescent="0.4">
      <c r="A559" s="96">
        <v>554</v>
      </c>
      <c r="B559" s="101"/>
      <c r="C559" s="102"/>
      <c r="D559" s="103"/>
      <c r="E559" s="235"/>
      <c r="F559" s="104"/>
      <c r="G559" s="104"/>
      <c r="H559" s="105">
        <f t="shared" si="8"/>
        <v>0</v>
      </c>
      <c r="L559" s="106"/>
      <c r="M559" s="106"/>
      <c r="N559" s="106"/>
    </row>
    <row r="560" spans="1:14" ht="14.75" customHeight="1" x14ac:dyDescent="0.4">
      <c r="A560" s="96">
        <v>555</v>
      </c>
      <c r="B560" s="101"/>
      <c r="C560" s="102"/>
      <c r="D560" s="103"/>
      <c r="E560" s="235"/>
      <c r="F560" s="104"/>
      <c r="G560" s="104"/>
      <c r="H560" s="105">
        <f t="shared" si="8"/>
        <v>0</v>
      </c>
      <c r="L560" s="106"/>
      <c r="M560" s="106"/>
      <c r="N560" s="106"/>
    </row>
    <row r="561" spans="1:14" ht="14.75" customHeight="1" x14ac:dyDescent="0.4">
      <c r="A561" s="96">
        <v>556</v>
      </c>
      <c r="B561" s="101"/>
      <c r="C561" s="102"/>
      <c r="D561" s="103"/>
      <c r="E561" s="235"/>
      <c r="F561" s="104"/>
      <c r="G561" s="104"/>
      <c r="H561" s="105">
        <f t="shared" si="8"/>
        <v>0</v>
      </c>
      <c r="L561" s="106"/>
      <c r="M561" s="106"/>
      <c r="N561" s="106"/>
    </row>
    <row r="562" spans="1:14" ht="14.75" customHeight="1" x14ac:dyDescent="0.4">
      <c r="A562" s="96">
        <v>557</v>
      </c>
      <c r="B562" s="101"/>
      <c r="C562" s="102"/>
      <c r="D562" s="103"/>
      <c r="E562" s="235"/>
      <c r="F562" s="104"/>
      <c r="G562" s="104"/>
      <c r="H562" s="105">
        <f t="shared" si="8"/>
        <v>0</v>
      </c>
      <c r="L562" s="106"/>
      <c r="M562" s="106"/>
      <c r="N562" s="106"/>
    </row>
    <row r="563" spans="1:14" ht="14.75" customHeight="1" x14ac:dyDescent="0.4">
      <c r="A563" s="96">
        <v>558</v>
      </c>
      <c r="B563" s="101"/>
      <c r="C563" s="102"/>
      <c r="D563" s="103"/>
      <c r="E563" s="235"/>
      <c r="F563" s="104"/>
      <c r="G563" s="104"/>
      <c r="H563" s="105">
        <f t="shared" si="8"/>
        <v>0</v>
      </c>
      <c r="L563" s="106"/>
      <c r="M563" s="106"/>
      <c r="N563" s="106"/>
    </row>
    <row r="564" spans="1:14" ht="14.75" customHeight="1" x14ac:dyDescent="0.4">
      <c r="A564" s="96">
        <v>559</v>
      </c>
      <c r="B564" s="101"/>
      <c r="C564" s="102"/>
      <c r="D564" s="103"/>
      <c r="E564" s="235"/>
      <c r="F564" s="104"/>
      <c r="G564" s="104"/>
      <c r="H564" s="105">
        <f t="shared" si="8"/>
        <v>0</v>
      </c>
      <c r="L564" s="106"/>
      <c r="M564" s="106"/>
      <c r="N564" s="106"/>
    </row>
    <row r="565" spans="1:14" ht="14.75" customHeight="1" x14ac:dyDescent="0.4">
      <c r="A565" s="96">
        <v>560</v>
      </c>
      <c r="B565" s="101"/>
      <c r="C565" s="102"/>
      <c r="D565" s="103"/>
      <c r="E565" s="235"/>
      <c r="F565" s="104"/>
      <c r="G565" s="104"/>
      <c r="H565" s="105">
        <f t="shared" si="8"/>
        <v>0</v>
      </c>
      <c r="L565" s="106"/>
      <c r="M565" s="106"/>
      <c r="N565" s="106"/>
    </row>
    <row r="566" spans="1:14" ht="14.75" customHeight="1" x14ac:dyDescent="0.4">
      <c r="A566" s="96">
        <v>561</v>
      </c>
      <c r="B566" s="101"/>
      <c r="C566" s="102"/>
      <c r="D566" s="103"/>
      <c r="E566" s="235"/>
      <c r="F566" s="104"/>
      <c r="G566" s="104"/>
      <c r="H566" s="105">
        <f t="shared" si="8"/>
        <v>0</v>
      </c>
      <c r="L566" s="106"/>
      <c r="M566" s="106"/>
      <c r="N566" s="106"/>
    </row>
    <row r="567" spans="1:14" ht="14.75" customHeight="1" x14ac:dyDescent="0.4">
      <c r="A567" s="96">
        <v>562</v>
      </c>
      <c r="B567" s="101"/>
      <c r="C567" s="102"/>
      <c r="D567" s="103"/>
      <c r="E567" s="235"/>
      <c r="F567" s="104"/>
      <c r="G567" s="104"/>
      <c r="H567" s="105">
        <f t="shared" si="8"/>
        <v>0</v>
      </c>
      <c r="L567" s="106"/>
      <c r="M567" s="106"/>
      <c r="N567" s="106"/>
    </row>
    <row r="568" spans="1:14" ht="14.75" customHeight="1" x14ac:dyDescent="0.4">
      <c r="A568" s="96">
        <v>563</v>
      </c>
      <c r="B568" s="101"/>
      <c r="C568" s="102"/>
      <c r="D568" s="103"/>
      <c r="E568" s="235"/>
      <c r="F568" s="104"/>
      <c r="G568" s="104"/>
      <c r="H568" s="105">
        <f t="shared" si="8"/>
        <v>0</v>
      </c>
      <c r="L568" s="106"/>
      <c r="M568" s="106"/>
      <c r="N568" s="106"/>
    </row>
    <row r="569" spans="1:14" ht="14.75" customHeight="1" x14ac:dyDescent="0.4">
      <c r="A569" s="96">
        <v>564</v>
      </c>
      <c r="B569" s="101"/>
      <c r="C569" s="102"/>
      <c r="D569" s="103"/>
      <c r="E569" s="235"/>
      <c r="F569" s="104"/>
      <c r="G569" s="104"/>
      <c r="H569" s="105">
        <f t="shared" si="8"/>
        <v>0</v>
      </c>
      <c r="L569" s="106"/>
      <c r="M569" s="106"/>
      <c r="N569" s="106"/>
    </row>
    <row r="570" spans="1:14" ht="14.75" customHeight="1" x14ac:dyDescent="0.4">
      <c r="A570" s="96">
        <v>565</v>
      </c>
      <c r="B570" s="101"/>
      <c r="C570" s="102"/>
      <c r="D570" s="103"/>
      <c r="E570" s="235"/>
      <c r="F570" s="104"/>
      <c r="G570" s="104"/>
      <c r="H570" s="105">
        <f t="shared" si="8"/>
        <v>0</v>
      </c>
      <c r="L570" s="106"/>
      <c r="M570" s="106"/>
      <c r="N570" s="106"/>
    </row>
    <row r="571" spans="1:14" ht="14.75" customHeight="1" x14ac:dyDescent="0.4">
      <c r="A571" s="96">
        <v>566</v>
      </c>
      <c r="B571" s="101"/>
      <c r="C571" s="102"/>
      <c r="D571" s="103"/>
      <c r="E571" s="235"/>
      <c r="F571" s="104"/>
      <c r="G571" s="104"/>
      <c r="H571" s="105">
        <f t="shared" si="8"/>
        <v>0</v>
      </c>
      <c r="L571" s="106"/>
      <c r="M571" s="106"/>
      <c r="N571" s="106"/>
    </row>
    <row r="572" spans="1:14" ht="14.75" customHeight="1" x14ac:dyDescent="0.4">
      <c r="A572" s="96">
        <v>567</v>
      </c>
      <c r="B572" s="101"/>
      <c r="C572" s="102"/>
      <c r="D572" s="103"/>
      <c r="E572" s="235"/>
      <c r="F572" s="104"/>
      <c r="G572" s="104"/>
      <c r="H572" s="105">
        <f t="shared" si="8"/>
        <v>0</v>
      </c>
      <c r="L572" s="106"/>
      <c r="M572" s="106"/>
      <c r="N572" s="106"/>
    </row>
    <row r="573" spans="1:14" ht="14.75" customHeight="1" x14ac:dyDescent="0.4">
      <c r="A573" s="96">
        <v>568</v>
      </c>
      <c r="B573" s="101"/>
      <c r="C573" s="102"/>
      <c r="D573" s="103"/>
      <c r="E573" s="235"/>
      <c r="F573" s="104"/>
      <c r="G573" s="104"/>
      <c r="H573" s="105">
        <f t="shared" si="8"/>
        <v>0</v>
      </c>
      <c r="L573" s="106"/>
      <c r="M573" s="106"/>
      <c r="N573" s="106"/>
    </row>
    <row r="574" spans="1:14" ht="14.75" customHeight="1" x14ac:dyDescent="0.4">
      <c r="A574" s="96">
        <v>569</v>
      </c>
      <c r="B574" s="101"/>
      <c r="C574" s="102"/>
      <c r="D574" s="103"/>
      <c r="E574" s="235"/>
      <c r="F574" s="104"/>
      <c r="G574" s="104"/>
      <c r="H574" s="105">
        <f t="shared" si="8"/>
        <v>0</v>
      </c>
      <c r="L574" s="106"/>
      <c r="M574" s="106"/>
      <c r="N574" s="106"/>
    </row>
    <row r="575" spans="1:14" ht="14.75" customHeight="1" x14ac:dyDescent="0.4">
      <c r="A575" s="96">
        <v>570</v>
      </c>
      <c r="B575" s="101"/>
      <c r="C575" s="102"/>
      <c r="D575" s="103"/>
      <c r="E575" s="235"/>
      <c r="F575" s="104"/>
      <c r="G575" s="104"/>
      <c r="H575" s="105">
        <f t="shared" si="8"/>
        <v>0</v>
      </c>
      <c r="L575" s="106"/>
      <c r="M575" s="106"/>
      <c r="N575" s="106"/>
    </row>
    <row r="576" spans="1:14" ht="14.75" customHeight="1" x14ac:dyDescent="0.4">
      <c r="A576" s="96">
        <v>571</v>
      </c>
      <c r="B576" s="101"/>
      <c r="C576" s="102"/>
      <c r="D576" s="103"/>
      <c r="E576" s="235"/>
      <c r="F576" s="104"/>
      <c r="G576" s="104"/>
      <c r="H576" s="105">
        <f t="shared" si="8"/>
        <v>0</v>
      </c>
      <c r="L576" s="106"/>
      <c r="M576" s="106"/>
      <c r="N576" s="106"/>
    </row>
    <row r="577" spans="1:14" ht="14.75" customHeight="1" x14ac:dyDescent="0.4">
      <c r="A577" s="96">
        <v>572</v>
      </c>
      <c r="B577" s="101"/>
      <c r="C577" s="102"/>
      <c r="D577" s="103"/>
      <c r="E577" s="235"/>
      <c r="F577" s="104"/>
      <c r="G577" s="104"/>
      <c r="H577" s="105">
        <f t="shared" si="8"/>
        <v>0</v>
      </c>
      <c r="L577" s="106"/>
      <c r="M577" s="106"/>
      <c r="N577" s="106"/>
    </row>
    <row r="578" spans="1:14" ht="14.75" customHeight="1" x14ac:dyDescent="0.4">
      <c r="A578" s="96">
        <v>573</v>
      </c>
      <c r="B578" s="101"/>
      <c r="C578" s="102"/>
      <c r="D578" s="103"/>
      <c r="E578" s="235"/>
      <c r="F578" s="104"/>
      <c r="G578" s="104"/>
      <c r="H578" s="105">
        <f t="shared" si="8"/>
        <v>0</v>
      </c>
      <c r="L578" s="106"/>
      <c r="M578" s="106"/>
      <c r="N578" s="106"/>
    </row>
    <row r="579" spans="1:14" ht="14.75" customHeight="1" x14ac:dyDescent="0.4">
      <c r="A579" s="96">
        <v>574</v>
      </c>
      <c r="B579" s="101"/>
      <c r="C579" s="102"/>
      <c r="D579" s="103"/>
      <c r="E579" s="235"/>
      <c r="F579" s="104"/>
      <c r="G579" s="104"/>
      <c r="H579" s="105">
        <f t="shared" si="8"/>
        <v>0</v>
      </c>
      <c r="L579" s="106"/>
      <c r="M579" s="106"/>
      <c r="N579" s="106"/>
    </row>
    <row r="580" spans="1:14" ht="14.75" customHeight="1" x14ac:dyDescent="0.4">
      <c r="A580" s="96">
        <v>575</v>
      </c>
      <c r="B580" s="101"/>
      <c r="C580" s="102"/>
      <c r="D580" s="103"/>
      <c r="E580" s="235"/>
      <c r="F580" s="104"/>
      <c r="G580" s="104"/>
      <c r="H580" s="105">
        <f t="shared" si="8"/>
        <v>0</v>
      </c>
      <c r="L580" s="106"/>
      <c r="M580" s="106"/>
      <c r="N580" s="106"/>
    </row>
    <row r="581" spans="1:14" ht="14.75" customHeight="1" x14ac:dyDescent="0.4">
      <c r="A581" s="96">
        <v>576</v>
      </c>
      <c r="B581" s="101"/>
      <c r="C581" s="102"/>
      <c r="D581" s="103"/>
      <c r="E581" s="235"/>
      <c r="F581" s="104"/>
      <c r="G581" s="104"/>
      <c r="H581" s="105">
        <f t="shared" si="8"/>
        <v>0</v>
      </c>
      <c r="L581" s="106"/>
      <c r="M581" s="106"/>
      <c r="N581" s="106"/>
    </row>
    <row r="582" spans="1:14" ht="14.75" customHeight="1" x14ac:dyDescent="0.4">
      <c r="A582" s="96">
        <v>577</v>
      </c>
      <c r="B582" s="101"/>
      <c r="C582" s="102"/>
      <c r="D582" s="103"/>
      <c r="E582" s="235"/>
      <c r="F582" s="104"/>
      <c r="G582" s="104"/>
      <c r="H582" s="105">
        <f t="shared" si="8"/>
        <v>0</v>
      </c>
      <c r="L582" s="106"/>
      <c r="M582" s="106"/>
      <c r="N582" s="106"/>
    </row>
    <row r="583" spans="1:14" ht="14.75" customHeight="1" x14ac:dyDescent="0.4">
      <c r="A583" s="96">
        <v>578</v>
      </c>
      <c r="B583" s="101"/>
      <c r="C583" s="102"/>
      <c r="D583" s="103"/>
      <c r="E583" s="235"/>
      <c r="F583" s="104"/>
      <c r="G583" s="104"/>
      <c r="H583" s="105">
        <f t="shared" si="8"/>
        <v>0</v>
      </c>
      <c r="L583" s="106"/>
      <c r="M583" s="106"/>
      <c r="N583" s="106"/>
    </row>
    <row r="584" spans="1:14" ht="14.75" customHeight="1" x14ac:dyDescent="0.4">
      <c r="A584" s="96">
        <v>579</v>
      </c>
      <c r="B584" s="101"/>
      <c r="C584" s="102"/>
      <c r="D584" s="103"/>
      <c r="E584" s="235"/>
      <c r="F584" s="104"/>
      <c r="G584" s="104"/>
      <c r="H584" s="105">
        <f t="shared" si="8"/>
        <v>0</v>
      </c>
      <c r="L584" s="106"/>
      <c r="M584" s="106"/>
      <c r="N584" s="106"/>
    </row>
    <row r="585" spans="1:14" ht="14.75" customHeight="1" x14ac:dyDescent="0.4">
      <c r="A585" s="96">
        <v>580</v>
      </c>
      <c r="B585" s="101"/>
      <c r="C585" s="102"/>
      <c r="D585" s="103"/>
      <c r="E585" s="235"/>
      <c r="F585" s="104"/>
      <c r="G585" s="104"/>
      <c r="H585" s="105">
        <f t="shared" ref="H585:H648" si="9">H584+F585-G585</f>
        <v>0</v>
      </c>
      <c r="L585" s="106"/>
      <c r="M585" s="106"/>
      <c r="N585" s="106"/>
    </row>
    <row r="586" spans="1:14" ht="14.75" customHeight="1" x14ac:dyDescent="0.4">
      <c r="A586" s="96">
        <v>581</v>
      </c>
      <c r="B586" s="101"/>
      <c r="C586" s="102"/>
      <c r="D586" s="103"/>
      <c r="E586" s="235"/>
      <c r="F586" s="104"/>
      <c r="G586" s="104"/>
      <c r="H586" s="105">
        <f t="shared" si="9"/>
        <v>0</v>
      </c>
      <c r="L586" s="106"/>
      <c r="M586" s="106"/>
      <c r="N586" s="106"/>
    </row>
    <row r="587" spans="1:14" ht="14.75" customHeight="1" x14ac:dyDescent="0.4">
      <c r="A587" s="96">
        <v>582</v>
      </c>
      <c r="B587" s="101"/>
      <c r="C587" s="102"/>
      <c r="D587" s="103"/>
      <c r="E587" s="235"/>
      <c r="F587" s="104"/>
      <c r="G587" s="104"/>
      <c r="H587" s="105">
        <f t="shared" si="9"/>
        <v>0</v>
      </c>
      <c r="L587" s="106"/>
      <c r="M587" s="106"/>
      <c r="N587" s="106"/>
    </row>
    <row r="588" spans="1:14" ht="14.75" customHeight="1" x14ac:dyDescent="0.4">
      <c r="A588" s="96">
        <v>583</v>
      </c>
      <c r="B588" s="101"/>
      <c r="C588" s="102"/>
      <c r="D588" s="103"/>
      <c r="E588" s="235"/>
      <c r="F588" s="104"/>
      <c r="G588" s="104"/>
      <c r="H588" s="105">
        <f t="shared" si="9"/>
        <v>0</v>
      </c>
      <c r="L588" s="106"/>
      <c r="M588" s="106"/>
      <c r="N588" s="106"/>
    </row>
    <row r="589" spans="1:14" ht="14.75" customHeight="1" x14ac:dyDescent="0.4">
      <c r="A589" s="96">
        <v>584</v>
      </c>
      <c r="B589" s="101"/>
      <c r="C589" s="102"/>
      <c r="D589" s="103"/>
      <c r="E589" s="235"/>
      <c r="F589" s="104"/>
      <c r="G589" s="104"/>
      <c r="H589" s="105">
        <f t="shared" si="9"/>
        <v>0</v>
      </c>
      <c r="L589" s="106"/>
      <c r="M589" s="106"/>
      <c r="N589" s="106"/>
    </row>
    <row r="590" spans="1:14" ht="14.75" customHeight="1" x14ac:dyDescent="0.4">
      <c r="A590" s="96">
        <v>585</v>
      </c>
      <c r="B590" s="101"/>
      <c r="C590" s="102"/>
      <c r="D590" s="103"/>
      <c r="E590" s="235"/>
      <c r="F590" s="104"/>
      <c r="G590" s="104"/>
      <c r="H590" s="105">
        <f t="shared" si="9"/>
        <v>0</v>
      </c>
      <c r="L590" s="106"/>
      <c r="M590" s="106"/>
      <c r="N590" s="106"/>
    </row>
    <row r="591" spans="1:14" ht="14.75" customHeight="1" x14ac:dyDescent="0.4">
      <c r="A591" s="96">
        <v>586</v>
      </c>
      <c r="B591" s="101"/>
      <c r="C591" s="102"/>
      <c r="D591" s="103"/>
      <c r="E591" s="235"/>
      <c r="F591" s="104"/>
      <c r="G591" s="104"/>
      <c r="H591" s="105">
        <f t="shared" si="9"/>
        <v>0</v>
      </c>
      <c r="L591" s="106"/>
      <c r="M591" s="106"/>
      <c r="N591" s="106"/>
    </row>
    <row r="592" spans="1:14" ht="14.75" customHeight="1" x14ac:dyDescent="0.4">
      <c r="A592" s="96">
        <v>587</v>
      </c>
      <c r="B592" s="101"/>
      <c r="C592" s="102"/>
      <c r="D592" s="103"/>
      <c r="E592" s="235"/>
      <c r="F592" s="104"/>
      <c r="G592" s="104"/>
      <c r="H592" s="105">
        <f t="shared" si="9"/>
        <v>0</v>
      </c>
      <c r="L592" s="106"/>
      <c r="M592" s="106"/>
      <c r="N592" s="106"/>
    </row>
    <row r="593" spans="1:14" ht="14.75" customHeight="1" x14ac:dyDescent="0.4">
      <c r="A593" s="96">
        <v>588</v>
      </c>
      <c r="B593" s="101"/>
      <c r="C593" s="102"/>
      <c r="D593" s="103"/>
      <c r="E593" s="235"/>
      <c r="F593" s="104"/>
      <c r="G593" s="104"/>
      <c r="H593" s="105">
        <f t="shared" si="9"/>
        <v>0</v>
      </c>
      <c r="L593" s="106"/>
      <c r="M593" s="106"/>
      <c r="N593" s="106"/>
    </row>
    <row r="594" spans="1:14" ht="14.75" customHeight="1" x14ac:dyDescent="0.4">
      <c r="A594" s="96">
        <v>589</v>
      </c>
      <c r="B594" s="101"/>
      <c r="C594" s="102"/>
      <c r="D594" s="103"/>
      <c r="E594" s="235"/>
      <c r="F594" s="104"/>
      <c r="G594" s="104"/>
      <c r="H594" s="105">
        <f t="shared" si="9"/>
        <v>0</v>
      </c>
      <c r="L594" s="106"/>
      <c r="M594" s="106"/>
      <c r="N594" s="106"/>
    </row>
    <row r="595" spans="1:14" ht="14.75" customHeight="1" x14ac:dyDescent="0.4">
      <c r="A595" s="96">
        <v>590</v>
      </c>
      <c r="B595" s="101"/>
      <c r="C595" s="102"/>
      <c r="D595" s="103"/>
      <c r="E595" s="235"/>
      <c r="F595" s="104"/>
      <c r="G595" s="104"/>
      <c r="H595" s="105">
        <f t="shared" si="9"/>
        <v>0</v>
      </c>
      <c r="L595" s="106"/>
      <c r="M595" s="106"/>
      <c r="N595" s="106"/>
    </row>
    <row r="596" spans="1:14" ht="14.75" customHeight="1" x14ac:dyDescent="0.4">
      <c r="A596" s="96">
        <v>591</v>
      </c>
      <c r="B596" s="101"/>
      <c r="C596" s="102"/>
      <c r="D596" s="103"/>
      <c r="E596" s="235"/>
      <c r="F596" s="104"/>
      <c r="G596" s="104"/>
      <c r="H596" s="105">
        <f t="shared" si="9"/>
        <v>0</v>
      </c>
      <c r="L596" s="106"/>
      <c r="M596" s="106"/>
      <c r="N596" s="106"/>
    </row>
    <row r="597" spans="1:14" ht="14.75" customHeight="1" x14ac:dyDescent="0.4">
      <c r="A597" s="96">
        <v>592</v>
      </c>
      <c r="B597" s="101"/>
      <c r="C597" s="102"/>
      <c r="D597" s="103"/>
      <c r="E597" s="235"/>
      <c r="F597" s="104"/>
      <c r="G597" s="104"/>
      <c r="H597" s="105">
        <f t="shared" si="9"/>
        <v>0</v>
      </c>
      <c r="L597" s="106"/>
      <c r="M597" s="106"/>
      <c r="N597" s="106"/>
    </row>
    <row r="598" spans="1:14" ht="14.75" customHeight="1" x14ac:dyDescent="0.4">
      <c r="A598" s="96">
        <v>593</v>
      </c>
      <c r="B598" s="101"/>
      <c r="C598" s="102"/>
      <c r="D598" s="103"/>
      <c r="E598" s="235"/>
      <c r="F598" s="104"/>
      <c r="G598" s="104"/>
      <c r="H598" s="105">
        <f t="shared" si="9"/>
        <v>0</v>
      </c>
      <c r="L598" s="106"/>
      <c r="M598" s="106"/>
      <c r="N598" s="106"/>
    </row>
    <row r="599" spans="1:14" ht="14.75" customHeight="1" x14ac:dyDescent="0.4">
      <c r="A599" s="96">
        <v>594</v>
      </c>
      <c r="B599" s="101"/>
      <c r="C599" s="102"/>
      <c r="D599" s="103"/>
      <c r="E599" s="235"/>
      <c r="F599" s="104"/>
      <c r="G599" s="104"/>
      <c r="H599" s="105">
        <f t="shared" si="9"/>
        <v>0</v>
      </c>
      <c r="L599" s="106"/>
      <c r="M599" s="106"/>
      <c r="N599" s="106"/>
    </row>
    <row r="600" spans="1:14" ht="14.75" customHeight="1" x14ac:dyDescent="0.4">
      <c r="A600" s="96">
        <v>595</v>
      </c>
      <c r="B600" s="101"/>
      <c r="C600" s="102"/>
      <c r="D600" s="103"/>
      <c r="E600" s="235"/>
      <c r="F600" s="104"/>
      <c r="G600" s="104"/>
      <c r="H600" s="105">
        <f t="shared" si="9"/>
        <v>0</v>
      </c>
      <c r="L600" s="106"/>
      <c r="M600" s="106"/>
      <c r="N600" s="106"/>
    </row>
    <row r="601" spans="1:14" ht="14.75" customHeight="1" x14ac:dyDescent="0.4">
      <c r="A601" s="96">
        <v>596</v>
      </c>
      <c r="B601" s="101"/>
      <c r="C601" s="102"/>
      <c r="D601" s="103"/>
      <c r="E601" s="235"/>
      <c r="F601" s="104"/>
      <c r="G601" s="104"/>
      <c r="H601" s="105">
        <f t="shared" si="9"/>
        <v>0</v>
      </c>
      <c r="L601" s="106"/>
      <c r="M601" s="106"/>
      <c r="N601" s="106"/>
    </row>
    <row r="602" spans="1:14" ht="14.75" customHeight="1" x14ac:dyDescent="0.4">
      <c r="A602" s="96">
        <v>597</v>
      </c>
      <c r="B602" s="101"/>
      <c r="C602" s="102"/>
      <c r="D602" s="103"/>
      <c r="E602" s="235"/>
      <c r="F602" s="104"/>
      <c r="G602" s="104"/>
      <c r="H602" s="105">
        <f t="shared" si="9"/>
        <v>0</v>
      </c>
      <c r="L602" s="106"/>
      <c r="M602" s="106"/>
      <c r="N602" s="106"/>
    </row>
    <row r="603" spans="1:14" ht="14.75" customHeight="1" x14ac:dyDescent="0.4">
      <c r="A603" s="96">
        <v>598</v>
      </c>
      <c r="B603" s="101"/>
      <c r="C603" s="102"/>
      <c r="D603" s="103"/>
      <c r="E603" s="235"/>
      <c r="F603" s="104"/>
      <c r="G603" s="104"/>
      <c r="H603" s="105">
        <f t="shared" si="9"/>
        <v>0</v>
      </c>
      <c r="L603" s="106"/>
      <c r="M603" s="106"/>
      <c r="N603" s="106"/>
    </row>
    <row r="604" spans="1:14" ht="14.75" customHeight="1" x14ac:dyDescent="0.4">
      <c r="A604" s="96">
        <v>599</v>
      </c>
      <c r="B604" s="101"/>
      <c r="C604" s="102"/>
      <c r="D604" s="103"/>
      <c r="E604" s="235"/>
      <c r="F604" s="104"/>
      <c r="G604" s="104"/>
      <c r="H604" s="105">
        <f t="shared" si="9"/>
        <v>0</v>
      </c>
      <c r="L604" s="106"/>
      <c r="M604" s="106"/>
      <c r="N604" s="106"/>
    </row>
    <row r="605" spans="1:14" ht="14.75" customHeight="1" x14ac:dyDescent="0.4">
      <c r="A605" s="96">
        <v>600</v>
      </c>
      <c r="B605" s="101"/>
      <c r="C605" s="102"/>
      <c r="D605" s="103"/>
      <c r="E605" s="235"/>
      <c r="F605" s="104"/>
      <c r="G605" s="104"/>
      <c r="H605" s="105">
        <f t="shared" si="9"/>
        <v>0</v>
      </c>
      <c r="L605" s="106"/>
      <c r="M605" s="106"/>
      <c r="N605" s="106"/>
    </row>
    <row r="606" spans="1:14" ht="14.75" customHeight="1" x14ac:dyDescent="0.4">
      <c r="A606" s="96">
        <v>601</v>
      </c>
      <c r="B606" s="101"/>
      <c r="C606" s="102"/>
      <c r="D606" s="103"/>
      <c r="E606" s="235"/>
      <c r="F606" s="104"/>
      <c r="G606" s="104"/>
      <c r="H606" s="105">
        <f t="shared" si="9"/>
        <v>0</v>
      </c>
      <c r="L606" s="106"/>
      <c r="M606" s="106"/>
      <c r="N606" s="106"/>
    </row>
    <row r="607" spans="1:14" ht="14.75" customHeight="1" x14ac:dyDescent="0.4">
      <c r="A607" s="96">
        <v>602</v>
      </c>
      <c r="B607" s="101"/>
      <c r="C607" s="102"/>
      <c r="D607" s="103"/>
      <c r="E607" s="235"/>
      <c r="F607" s="104"/>
      <c r="G607" s="104"/>
      <c r="H607" s="105">
        <f t="shared" si="9"/>
        <v>0</v>
      </c>
      <c r="L607" s="106"/>
      <c r="M607" s="106"/>
      <c r="N607" s="106"/>
    </row>
    <row r="608" spans="1:14" ht="14.75" customHeight="1" x14ac:dyDescent="0.4">
      <c r="A608" s="96">
        <v>603</v>
      </c>
      <c r="B608" s="101"/>
      <c r="C608" s="102"/>
      <c r="D608" s="103"/>
      <c r="E608" s="235"/>
      <c r="F608" s="104"/>
      <c r="G608" s="104"/>
      <c r="H608" s="105">
        <f t="shared" si="9"/>
        <v>0</v>
      </c>
      <c r="L608" s="106"/>
      <c r="M608" s="106"/>
      <c r="N608" s="106"/>
    </row>
    <row r="609" spans="1:14" ht="14.75" customHeight="1" x14ac:dyDescent="0.4">
      <c r="A609" s="96">
        <v>604</v>
      </c>
      <c r="B609" s="101"/>
      <c r="C609" s="102"/>
      <c r="D609" s="103"/>
      <c r="E609" s="235"/>
      <c r="F609" s="104"/>
      <c r="G609" s="104"/>
      <c r="H609" s="105">
        <f t="shared" si="9"/>
        <v>0</v>
      </c>
      <c r="L609" s="106"/>
      <c r="M609" s="106"/>
      <c r="N609" s="106"/>
    </row>
    <row r="610" spans="1:14" ht="14.75" customHeight="1" x14ac:dyDescent="0.4">
      <c r="A610" s="96">
        <v>605</v>
      </c>
      <c r="B610" s="101"/>
      <c r="C610" s="102"/>
      <c r="D610" s="103"/>
      <c r="E610" s="235"/>
      <c r="F610" s="104"/>
      <c r="G610" s="104"/>
      <c r="H610" s="105">
        <f t="shared" si="9"/>
        <v>0</v>
      </c>
      <c r="L610" s="106"/>
      <c r="M610" s="106"/>
      <c r="N610" s="106"/>
    </row>
    <row r="611" spans="1:14" ht="14.75" customHeight="1" x14ac:dyDescent="0.4">
      <c r="A611" s="96">
        <v>606</v>
      </c>
      <c r="B611" s="101"/>
      <c r="C611" s="102"/>
      <c r="D611" s="103"/>
      <c r="E611" s="235"/>
      <c r="F611" s="104"/>
      <c r="G611" s="104"/>
      <c r="H611" s="105">
        <f t="shared" si="9"/>
        <v>0</v>
      </c>
      <c r="L611" s="106"/>
      <c r="M611" s="106"/>
      <c r="N611" s="106"/>
    </row>
    <row r="612" spans="1:14" ht="14.75" customHeight="1" x14ac:dyDescent="0.4">
      <c r="A612" s="96">
        <v>607</v>
      </c>
      <c r="B612" s="101"/>
      <c r="C612" s="102"/>
      <c r="D612" s="103"/>
      <c r="E612" s="235"/>
      <c r="F612" s="104"/>
      <c r="G612" s="104"/>
      <c r="H612" s="105">
        <f t="shared" si="9"/>
        <v>0</v>
      </c>
      <c r="L612" s="106"/>
      <c r="M612" s="106"/>
      <c r="N612" s="106"/>
    </row>
    <row r="613" spans="1:14" ht="14.75" customHeight="1" x14ac:dyDescent="0.4">
      <c r="A613" s="96">
        <v>608</v>
      </c>
      <c r="B613" s="101"/>
      <c r="C613" s="102"/>
      <c r="D613" s="103"/>
      <c r="E613" s="235"/>
      <c r="F613" s="104"/>
      <c r="G613" s="104"/>
      <c r="H613" s="105">
        <f t="shared" si="9"/>
        <v>0</v>
      </c>
      <c r="L613" s="106"/>
      <c r="M613" s="106"/>
      <c r="N613" s="106"/>
    </row>
    <row r="614" spans="1:14" ht="14.75" customHeight="1" x14ac:dyDescent="0.4">
      <c r="A614" s="96">
        <v>609</v>
      </c>
      <c r="B614" s="101"/>
      <c r="C614" s="102"/>
      <c r="D614" s="103"/>
      <c r="E614" s="235"/>
      <c r="F614" s="104"/>
      <c r="G614" s="104"/>
      <c r="H614" s="105">
        <f t="shared" si="9"/>
        <v>0</v>
      </c>
      <c r="L614" s="106"/>
      <c r="M614" s="106"/>
      <c r="N614" s="106"/>
    </row>
    <row r="615" spans="1:14" ht="14.75" customHeight="1" x14ac:dyDescent="0.4">
      <c r="A615" s="96">
        <v>610</v>
      </c>
      <c r="B615" s="101"/>
      <c r="C615" s="102"/>
      <c r="D615" s="103"/>
      <c r="E615" s="235"/>
      <c r="F615" s="104"/>
      <c r="G615" s="104"/>
      <c r="H615" s="105">
        <f t="shared" si="9"/>
        <v>0</v>
      </c>
      <c r="L615" s="106"/>
      <c r="M615" s="106"/>
      <c r="N615" s="106"/>
    </row>
    <row r="616" spans="1:14" ht="14.75" customHeight="1" x14ac:dyDescent="0.4">
      <c r="A616" s="96">
        <v>611</v>
      </c>
      <c r="B616" s="101"/>
      <c r="C616" s="102"/>
      <c r="D616" s="103"/>
      <c r="E616" s="235"/>
      <c r="F616" s="104"/>
      <c r="G616" s="104"/>
      <c r="H616" s="105">
        <f t="shared" si="9"/>
        <v>0</v>
      </c>
      <c r="L616" s="106"/>
      <c r="M616" s="106"/>
      <c r="N616" s="106"/>
    </row>
    <row r="617" spans="1:14" ht="14.75" customHeight="1" x14ac:dyDescent="0.4">
      <c r="A617" s="96">
        <v>612</v>
      </c>
      <c r="B617" s="101"/>
      <c r="C617" s="102"/>
      <c r="D617" s="103"/>
      <c r="E617" s="235"/>
      <c r="F617" s="104"/>
      <c r="G617" s="104"/>
      <c r="H617" s="105">
        <f t="shared" si="9"/>
        <v>0</v>
      </c>
      <c r="L617" s="106"/>
      <c r="M617" s="106"/>
      <c r="N617" s="106"/>
    </row>
    <row r="618" spans="1:14" ht="14.75" customHeight="1" x14ac:dyDescent="0.4">
      <c r="A618" s="96">
        <v>613</v>
      </c>
      <c r="B618" s="101"/>
      <c r="C618" s="102"/>
      <c r="D618" s="103"/>
      <c r="E618" s="235"/>
      <c r="F618" s="104"/>
      <c r="G618" s="104"/>
      <c r="H618" s="105">
        <f t="shared" si="9"/>
        <v>0</v>
      </c>
      <c r="L618" s="106"/>
      <c r="M618" s="106"/>
      <c r="N618" s="106"/>
    </row>
    <row r="619" spans="1:14" ht="14.75" customHeight="1" x14ac:dyDescent="0.4">
      <c r="A619" s="96">
        <v>614</v>
      </c>
      <c r="B619" s="101"/>
      <c r="C619" s="102"/>
      <c r="D619" s="103"/>
      <c r="E619" s="235"/>
      <c r="F619" s="104"/>
      <c r="G619" s="104"/>
      <c r="H619" s="105">
        <f t="shared" si="9"/>
        <v>0</v>
      </c>
      <c r="L619" s="106"/>
      <c r="M619" s="106"/>
      <c r="N619" s="106"/>
    </row>
    <row r="620" spans="1:14" ht="14.75" customHeight="1" x14ac:dyDescent="0.4">
      <c r="A620" s="96">
        <v>615</v>
      </c>
      <c r="B620" s="101"/>
      <c r="C620" s="102"/>
      <c r="D620" s="103"/>
      <c r="E620" s="235"/>
      <c r="F620" s="104"/>
      <c r="G620" s="104"/>
      <c r="H620" s="105">
        <f t="shared" si="9"/>
        <v>0</v>
      </c>
      <c r="L620" s="106"/>
      <c r="M620" s="106"/>
      <c r="N620" s="106"/>
    </row>
    <row r="621" spans="1:14" ht="14.75" customHeight="1" x14ac:dyDescent="0.4">
      <c r="A621" s="96">
        <v>616</v>
      </c>
      <c r="B621" s="101"/>
      <c r="C621" s="102"/>
      <c r="D621" s="103"/>
      <c r="E621" s="235"/>
      <c r="F621" s="104"/>
      <c r="G621" s="104"/>
      <c r="H621" s="105">
        <f t="shared" si="9"/>
        <v>0</v>
      </c>
      <c r="L621" s="106"/>
      <c r="M621" s="106"/>
      <c r="N621" s="106"/>
    </row>
    <row r="622" spans="1:14" ht="14.75" customHeight="1" x14ac:dyDescent="0.4">
      <c r="A622" s="96">
        <v>617</v>
      </c>
      <c r="B622" s="101"/>
      <c r="C622" s="102"/>
      <c r="D622" s="103"/>
      <c r="E622" s="235"/>
      <c r="F622" s="104"/>
      <c r="G622" s="104"/>
      <c r="H622" s="105">
        <f t="shared" si="9"/>
        <v>0</v>
      </c>
      <c r="L622" s="106"/>
      <c r="M622" s="106"/>
      <c r="N622" s="106"/>
    </row>
    <row r="623" spans="1:14" ht="14.75" customHeight="1" x14ac:dyDescent="0.4">
      <c r="A623" s="96">
        <v>618</v>
      </c>
      <c r="B623" s="101"/>
      <c r="C623" s="102"/>
      <c r="D623" s="103"/>
      <c r="E623" s="235"/>
      <c r="F623" s="104"/>
      <c r="G623" s="104"/>
      <c r="H623" s="105">
        <f t="shared" si="9"/>
        <v>0</v>
      </c>
      <c r="L623" s="106"/>
      <c r="M623" s="106"/>
      <c r="N623" s="106"/>
    </row>
    <row r="624" spans="1:14" ht="14.75" customHeight="1" x14ac:dyDescent="0.4">
      <c r="A624" s="96">
        <v>619</v>
      </c>
      <c r="B624" s="101"/>
      <c r="C624" s="102"/>
      <c r="D624" s="103"/>
      <c r="E624" s="235"/>
      <c r="F624" s="104"/>
      <c r="G624" s="104"/>
      <c r="H624" s="105">
        <f t="shared" si="9"/>
        <v>0</v>
      </c>
      <c r="L624" s="106"/>
      <c r="M624" s="106"/>
      <c r="N624" s="106"/>
    </row>
    <row r="625" spans="1:14" ht="14.75" customHeight="1" x14ac:dyDescent="0.4">
      <c r="A625" s="96">
        <v>620</v>
      </c>
      <c r="B625" s="101"/>
      <c r="C625" s="102"/>
      <c r="D625" s="103"/>
      <c r="E625" s="235"/>
      <c r="F625" s="104"/>
      <c r="G625" s="104"/>
      <c r="H625" s="105">
        <f t="shared" si="9"/>
        <v>0</v>
      </c>
      <c r="L625" s="106"/>
      <c r="M625" s="106"/>
      <c r="N625" s="106"/>
    </row>
    <row r="626" spans="1:14" ht="14.75" customHeight="1" x14ac:dyDescent="0.4">
      <c r="A626" s="96">
        <v>621</v>
      </c>
      <c r="B626" s="101"/>
      <c r="C626" s="102"/>
      <c r="D626" s="103"/>
      <c r="E626" s="235"/>
      <c r="F626" s="104"/>
      <c r="G626" s="104"/>
      <c r="H626" s="105">
        <f t="shared" si="9"/>
        <v>0</v>
      </c>
      <c r="L626" s="106"/>
      <c r="M626" s="106"/>
      <c r="N626" s="106"/>
    </row>
    <row r="627" spans="1:14" ht="14.75" customHeight="1" x14ac:dyDescent="0.4">
      <c r="A627" s="96">
        <v>622</v>
      </c>
      <c r="B627" s="101"/>
      <c r="C627" s="102"/>
      <c r="D627" s="103"/>
      <c r="E627" s="235"/>
      <c r="F627" s="104"/>
      <c r="G627" s="104"/>
      <c r="H627" s="105">
        <f t="shared" si="9"/>
        <v>0</v>
      </c>
      <c r="L627" s="106"/>
      <c r="M627" s="106"/>
      <c r="N627" s="106"/>
    </row>
    <row r="628" spans="1:14" ht="14.75" customHeight="1" x14ac:dyDescent="0.4">
      <c r="A628" s="96">
        <v>623</v>
      </c>
      <c r="B628" s="101"/>
      <c r="C628" s="102"/>
      <c r="D628" s="103"/>
      <c r="E628" s="235"/>
      <c r="F628" s="104"/>
      <c r="G628" s="104"/>
      <c r="H628" s="105">
        <f t="shared" si="9"/>
        <v>0</v>
      </c>
      <c r="L628" s="106"/>
      <c r="M628" s="106"/>
      <c r="N628" s="106"/>
    </row>
    <row r="629" spans="1:14" ht="14.75" customHeight="1" x14ac:dyDescent="0.4">
      <c r="A629" s="96">
        <v>624</v>
      </c>
      <c r="B629" s="101"/>
      <c r="C629" s="102"/>
      <c r="D629" s="103"/>
      <c r="E629" s="235"/>
      <c r="F629" s="104"/>
      <c r="G629" s="104"/>
      <c r="H629" s="105">
        <f t="shared" si="9"/>
        <v>0</v>
      </c>
      <c r="L629" s="106"/>
      <c r="M629" s="106"/>
      <c r="N629" s="106"/>
    </row>
    <row r="630" spans="1:14" ht="14.75" customHeight="1" x14ac:dyDescent="0.4">
      <c r="A630" s="96">
        <v>625</v>
      </c>
      <c r="B630" s="101"/>
      <c r="C630" s="102"/>
      <c r="D630" s="103"/>
      <c r="E630" s="235"/>
      <c r="F630" s="104"/>
      <c r="G630" s="104"/>
      <c r="H630" s="105">
        <f t="shared" si="9"/>
        <v>0</v>
      </c>
      <c r="L630" s="106"/>
      <c r="M630" s="106"/>
      <c r="N630" s="106"/>
    </row>
    <row r="631" spans="1:14" ht="14.75" customHeight="1" x14ac:dyDescent="0.4">
      <c r="A631" s="96">
        <v>626</v>
      </c>
      <c r="B631" s="101"/>
      <c r="C631" s="102"/>
      <c r="D631" s="103"/>
      <c r="E631" s="235"/>
      <c r="F631" s="104"/>
      <c r="G631" s="104"/>
      <c r="H631" s="105">
        <f t="shared" si="9"/>
        <v>0</v>
      </c>
      <c r="L631" s="106"/>
      <c r="M631" s="106"/>
      <c r="N631" s="106"/>
    </row>
    <row r="632" spans="1:14" ht="14.75" customHeight="1" x14ac:dyDescent="0.4">
      <c r="A632" s="96">
        <v>627</v>
      </c>
      <c r="B632" s="101"/>
      <c r="C632" s="102"/>
      <c r="D632" s="103"/>
      <c r="E632" s="235"/>
      <c r="F632" s="104"/>
      <c r="G632" s="104"/>
      <c r="H632" s="105">
        <f t="shared" si="9"/>
        <v>0</v>
      </c>
      <c r="L632" s="106"/>
      <c r="M632" s="106"/>
      <c r="N632" s="106"/>
    </row>
    <row r="633" spans="1:14" ht="14.75" customHeight="1" x14ac:dyDescent="0.4">
      <c r="A633" s="96">
        <v>628</v>
      </c>
      <c r="B633" s="101"/>
      <c r="C633" s="102"/>
      <c r="D633" s="103"/>
      <c r="E633" s="235"/>
      <c r="F633" s="104"/>
      <c r="G633" s="104"/>
      <c r="H633" s="105">
        <f t="shared" si="9"/>
        <v>0</v>
      </c>
      <c r="L633" s="106"/>
      <c r="M633" s="106"/>
      <c r="N633" s="106"/>
    </row>
    <row r="634" spans="1:14" ht="14.75" customHeight="1" x14ac:dyDescent="0.4">
      <c r="A634" s="96">
        <v>629</v>
      </c>
      <c r="B634" s="101"/>
      <c r="C634" s="102"/>
      <c r="D634" s="103"/>
      <c r="E634" s="235"/>
      <c r="F634" s="104"/>
      <c r="G634" s="104"/>
      <c r="H634" s="105">
        <f t="shared" si="9"/>
        <v>0</v>
      </c>
      <c r="L634" s="106"/>
      <c r="M634" s="106"/>
      <c r="N634" s="106"/>
    </row>
    <row r="635" spans="1:14" ht="14.75" customHeight="1" x14ac:dyDescent="0.4">
      <c r="A635" s="96">
        <v>630</v>
      </c>
      <c r="B635" s="101"/>
      <c r="C635" s="102"/>
      <c r="D635" s="103"/>
      <c r="E635" s="235"/>
      <c r="F635" s="104"/>
      <c r="G635" s="104"/>
      <c r="H635" s="105">
        <f t="shared" si="9"/>
        <v>0</v>
      </c>
      <c r="L635" s="106"/>
      <c r="M635" s="106"/>
      <c r="N635" s="106"/>
    </row>
    <row r="636" spans="1:14" ht="14.75" customHeight="1" x14ac:dyDescent="0.4">
      <c r="A636" s="96">
        <v>631</v>
      </c>
      <c r="B636" s="101"/>
      <c r="C636" s="102"/>
      <c r="D636" s="103"/>
      <c r="E636" s="235"/>
      <c r="F636" s="104"/>
      <c r="G636" s="104"/>
      <c r="H636" s="105">
        <f t="shared" si="9"/>
        <v>0</v>
      </c>
      <c r="L636" s="106"/>
      <c r="M636" s="106"/>
      <c r="N636" s="106"/>
    </row>
    <row r="637" spans="1:14" ht="14.75" customHeight="1" x14ac:dyDescent="0.4">
      <c r="A637" s="96">
        <v>632</v>
      </c>
      <c r="B637" s="101"/>
      <c r="C637" s="102"/>
      <c r="D637" s="103"/>
      <c r="E637" s="235"/>
      <c r="F637" s="104"/>
      <c r="G637" s="104"/>
      <c r="H637" s="105">
        <f t="shared" si="9"/>
        <v>0</v>
      </c>
      <c r="L637" s="106"/>
      <c r="M637" s="106"/>
      <c r="N637" s="106"/>
    </row>
    <row r="638" spans="1:14" ht="14.75" customHeight="1" x14ac:dyDescent="0.4">
      <c r="A638" s="96">
        <v>633</v>
      </c>
      <c r="B638" s="101"/>
      <c r="C638" s="102"/>
      <c r="D638" s="103"/>
      <c r="E638" s="235"/>
      <c r="F638" s="104"/>
      <c r="G638" s="104"/>
      <c r="H638" s="105">
        <f t="shared" si="9"/>
        <v>0</v>
      </c>
      <c r="L638" s="106"/>
      <c r="M638" s="106"/>
      <c r="N638" s="106"/>
    </row>
    <row r="639" spans="1:14" ht="14.75" customHeight="1" x14ac:dyDescent="0.4">
      <c r="A639" s="96">
        <v>634</v>
      </c>
      <c r="B639" s="101"/>
      <c r="C639" s="102"/>
      <c r="D639" s="103"/>
      <c r="E639" s="235"/>
      <c r="F639" s="104"/>
      <c r="G639" s="104"/>
      <c r="H639" s="105">
        <f t="shared" si="9"/>
        <v>0</v>
      </c>
      <c r="L639" s="106"/>
      <c r="M639" s="106"/>
      <c r="N639" s="106"/>
    </row>
    <row r="640" spans="1:14" ht="14.75" customHeight="1" x14ac:dyDescent="0.4">
      <c r="A640" s="96">
        <v>635</v>
      </c>
      <c r="B640" s="101"/>
      <c r="C640" s="102"/>
      <c r="D640" s="103"/>
      <c r="E640" s="235"/>
      <c r="F640" s="104"/>
      <c r="G640" s="104"/>
      <c r="H640" s="105">
        <f t="shared" si="9"/>
        <v>0</v>
      </c>
      <c r="L640" s="106"/>
      <c r="M640" s="106"/>
      <c r="N640" s="106"/>
    </row>
    <row r="641" spans="1:14" ht="14.75" customHeight="1" x14ac:dyDescent="0.4">
      <c r="A641" s="96">
        <v>636</v>
      </c>
      <c r="B641" s="101"/>
      <c r="C641" s="102"/>
      <c r="D641" s="103"/>
      <c r="E641" s="235"/>
      <c r="F641" s="104"/>
      <c r="G641" s="104"/>
      <c r="H641" s="105">
        <f t="shared" si="9"/>
        <v>0</v>
      </c>
      <c r="L641" s="106"/>
      <c r="M641" s="106"/>
      <c r="N641" s="106"/>
    </row>
    <row r="642" spans="1:14" ht="14.75" customHeight="1" x14ac:dyDescent="0.4">
      <c r="A642" s="96">
        <v>637</v>
      </c>
      <c r="B642" s="101"/>
      <c r="C642" s="102"/>
      <c r="D642" s="103"/>
      <c r="E642" s="235"/>
      <c r="F642" s="104"/>
      <c r="G642" s="104"/>
      <c r="H642" s="105">
        <f t="shared" si="9"/>
        <v>0</v>
      </c>
      <c r="L642" s="106"/>
      <c r="M642" s="106"/>
      <c r="N642" s="106"/>
    </row>
    <row r="643" spans="1:14" ht="14.75" customHeight="1" x14ac:dyDescent="0.4">
      <c r="A643" s="96">
        <v>638</v>
      </c>
      <c r="B643" s="101"/>
      <c r="C643" s="102"/>
      <c r="D643" s="103"/>
      <c r="E643" s="235"/>
      <c r="F643" s="104"/>
      <c r="G643" s="104"/>
      <c r="H643" s="105">
        <f t="shared" si="9"/>
        <v>0</v>
      </c>
      <c r="L643" s="106"/>
      <c r="M643" s="106"/>
      <c r="N643" s="106"/>
    </row>
    <row r="644" spans="1:14" ht="14.75" customHeight="1" x14ac:dyDescent="0.4">
      <c r="A644" s="96">
        <v>639</v>
      </c>
      <c r="B644" s="101"/>
      <c r="C644" s="102"/>
      <c r="D644" s="103"/>
      <c r="E644" s="235"/>
      <c r="F644" s="104"/>
      <c r="G644" s="104"/>
      <c r="H644" s="105">
        <f t="shared" si="9"/>
        <v>0</v>
      </c>
      <c r="L644" s="106"/>
      <c r="M644" s="106"/>
      <c r="N644" s="106"/>
    </row>
    <row r="645" spans="1:14" ht="14.75" customHeight="1" x14ac:dyDescent="0.4">
      <c r="A645" s="96">
        <v>640</v>
      </c>
      <c r="B645" s="101"/>
      <c r="C645" s="102"/>
      <c r="D645" s="103"/>
      <c r="E645" s="235"/>
      <c r="F645" s="104"/>
      <c r="G645" s="104"/>
      <c r="H645" s="105">
        <f t="shared" si="9"/>
        <v>0</v>
      </c>
      <c r="L645" s="106"/>
      <c r="M645" s="106"/>
      <c r="N645" s="106"/>
    </row>
    <row r="646" spans="1:14" ht="14.75" customHeight="1" x14ac:dyDescent="0.4">
      <c r="A646" s="96">
        <v>641</v>
      </c>
      <c r="B646" s="101"/>
      <c r="C646" s="102"/>
      <c r="D646" s="103"/>
      <c r="E646" s="235"/>
      <c r="F646" s="104"/>
      <c r="G646" s="104"/>
      <c r="H646" s="105">
        <f t="shared" si="9"/>
        <v>0</v>
      </c>
      <c r="L646" s="106"/>
      <c r="M646" s="106"/>
      <c r="N646" s="106"/>
    </row>
    <row r="647" spans="1:14" ht="14.75" customHeight="1" x14ac:dyDescent="0.4">
      <c r="A647" s="96">
        <v>642</v>
      </c>
      <c r="B647" s="101"/>
      <c r="C647" s="102"/>
      <c r="D647" s="103"/>
      <c r="E647" s="235"/>
      <c r="F647" s="104"/>
      <c r="G647" s="104"/>
      <c r="H647" s="105">
        <f t="shared" si="9"/>
        <v>0</v>
      </c>
      <c r="L647" s="106"/>
      <c r="M647" s="106"/>
      <c r="N647" s="106"/>
    </row>
    <row r="648" spans="1:14" ht="14.75" customHeight="1" x14ac:dyDescent="0.4">
      <c r="A648" s="96">
        <v>643</v>
      </c>
      <c r="B648" s="101"/>
      <c r="C648" s="102"/>
      <c r="D648" s="103"/>
      <c r="E648" s="235"/>
      <c r="F648" s="104"/>
      <c r="G648" s="104"/>
      <c r="H648" s="105">
        <f t="shared" si="9"/>
        <v>0</v>
      </c>
      <c r="L648" s="106"/>
      <c r="M648" s="106"/>
      <c r="N648" s="106"/>
    </row>
    <row r="649" spans="1:14" ht="14.75" customHeight="1" x14ac:dyDescent="0.4">
      <c r="A649" s="96">
        <v>644</v>
      </c>
      <c r="B649" s="101"/>
      <c r="C649" s="102"/>
      <c r="D649" s="103"/>
      <c r="E649" s="235"/>
      <c r="F649" s="104"/>
      <c r="G649" s="104"/>
      <c r="H649" s="105">
        <f t="shared" ref="H649:H712" si="10">H648+F649-G649</f>
        <v>0</v>
      </c>
      <c r="L649" s="106"/>
      <c r="M649" s="106"/>
      <c r="N649" s="106"/>
    </row>
    <row r="650" spans="1:14" ht="14.75" customHeight="1" x14ac:dyDescent="0.4">
      <c r="A650" s="96">
        <v>645</v>
      </c>
      <c r="B650" s="101"/>
      <c r="C650" s="102"/>
      <c r="D650" s="103"/>
      <c r="E650" s="235"/>
      <c r="F650" s="104"/>
      <c r="G650" s="104"/>
      <c r="H650" s="105">
        <f t="shared" si="10"/>
        <v>0</v>
      </c>
      <c r="L650" s="106"/>
      <c r="M650" s="106"/>
      <c r="N650" s="106"/>
    </row>
    <row r="651" spans="1:14" ht="14.75" customHeight="1" x14ac:dyDescent="0.4">
      <c r="A651" s="96">
        <v>646</v>
      </c>
      <c r="B651" s="101"/>
      <c r="C651" s="102"/>
      <c r="D651" s="103"/>
      <c r="E651" s="235"/>
      <c r="F651" s="104"/>
      <c r="G651" s="104"/>
      <c r="H651" s="105">
        <f t="shared" si="10"/>
        <v>0</v>
      </c>
      <c r="L651" s="106"/>
      <c r="M651" s="106"/>
      <c r="N651" s="106"/>
    </row>
    <row r="652" spans="1:14" ht="14.75" customHeight="1" x14ac:dyDescent="0.4">
      <c r="A652" s="96">
        <v>647</v>
      </c>
      <c r="B652" s="101"/>
      <c r="C652" s="102"/>
      <c r="D652" s="103"/>
      <c r="E652" s="235"/>
      <c r="F652" s="104"/>
      <c r="G652" s="104"/>
      <c r="H652" s="105">
        <f t="shared" si="10"/>
        <v>0</v>
      </c>
      <c r="L652" s="106"/>
      <c r="M652" s="106"/>
      <c r="N652" s="106"/>
    </row>
    <row r="653" spans="1:14" ht="14.75" customHeight="1" x14ac:dyDescent="0.4">
      <c r="A653" s="96">
        <v>648</v>
      </c>
      <c r="B653" s="101"/>
      <c r="C653" s="102"/>
      <c r="D653" s="103"/>
      <c r="E653" s="235"/>
      <c r="F653" s="104"/>
      <c r="G653" s="104"/>
      <c r="H653" s="105">
        <f t="shared" si="10"/>
        <v>0</v>
      </c>
      <c r="L653" s="106"/>
      <c r="M653" s="106"/>
      <c r="N653" s="106"/>
    </row>
    <row r="654" spans="1:14" ht="14.75" customHeight="1" x14ac:dyDescent="0.4">
      <c r="A654" s="96">
        <v>649</v>
      </c>
      <c r="B654" s="101"/>
      <c r="C654" s="102"/>
      <c r="D654" s="103"/>
      <c r="E654" s="235"/>
      <c r="F654" s="104"/>
      <c r="G654" s="104"/>
      <c r="H654" s="105">
        <f t="shared" si="10"/>
        <v>0</v>
      </c>
      <c r="L654" s="106"/>
      <c r="M654" s="106"/>
      <c r="N654" s="106"/>
    </row>
    <row r="655" spans="1:14" ht="14.75" customHeight="1" x14ac:dyDescent="0.4">
      <c r="A655" s="96">
        <v>650</v>
      </c>
      <c r="B655" s="101"/>
      <c r="C655" s="102"/>
      <c r="D655" s="103"/>
      <c r="E655" s="235"/>
      <c r="F655" s="104"/>
      <c r="G655" s="104"/>
      <c r="H655" s="105">
        <f t="shared" si="10"/>
        <v>0</v>
      </c>
      <c r="L655" s="106"/>
      <c r="M655" s="106"/>
      <c r="N655" s="106"/>
    </row>
    <row r="656" spans="1:14" ht="14.75" customHeight="1" x14ac:dyDescent="0.4">
      <c r="A656" s="96">
        <v>651</v>
      </c>
      <c r="B656" s="101"/>
      <c r="C656" s="102"/>
      <c r="D656" s="103"/>
      <c r="E656" s="235"/>
      <c r="F656" s="104"/>
      <c r="G656" s="104"/>
      <c r="H656" s="105">
        <f t="shared" si="10"/>
        <v>0</v>
      </c>
      <c r="L656" s="106"/>
      <c r="M656" s="106"/>
      <c r="N656" s="106"/>
    </row>
    <row r="657" spans="1:14" ht="14.75" customHeight="1" x14ac:dyDescent="0.4">
      <c r="A657" s="96">
        <v>652</v>
      </c>
      <c r="B657" s="101"/>
      <c r="C657" s="102"/>
      <c r="D657" s="103"/>
      <c r="E657" s="235"/>
      <c r="F657" s="104"/>
      <c r="G657" s="104"/>
      <c r="H657" s="105">
        <f t="shared" si="10"/>
        <v>0</v>
      </c>
      <c r="L657" s="106"/>
      <c r="M657" s="106"/>
      <c r="N657" s="106"/>
    </row>
    <row r="658" spans="1:14" ht="14.75" customHeight="1" x14ac:dyDescent="0.4">
      <c r="A658" s="96">
        <v>653</v>
      </c>
      <c r="B658" s="101"/>
      <c r="C658" s="102"/>
      <c r="D658" s="103"/>
      <c r="E658" s="235"/>
      <c r="F658" s="104"/>
      <c r="G658" s="104"/>
      <c r="H658" s="105">
        <f t="shared" si="10"/>
        <v>0</v>
      </c>
      <c r="L658" s="106"/>
      <c r="M658" s="106"/>
      <c r="N658" s="106"/>
    </row>
    <row r="659" spans="1:14" ht="14.75" customHeight="1" x14ac:dyDescent="0.4">
      <c r="A659" s="96">
        <v>654</v>
      </c>
      <c r="B659" s="101"/>
      <c r="C659" s="102"/>
      <c r="D659" s="103"/>
      <c r="E659" s="235"/>
      <c r="F659" s="104"/>
      <c r="G659" s="104"/>
      <c r="H659" s="105">
        <f t="shared" si="10"/>
        <v>0</v>
      </c>
      <c r="L659" s="106"/>
      <c r="M659" s="106"/>
      <c r="N659" s="106"/>
    </row>
    <row r="660" spans="1:14" ht="14.75" customHeight="1" x14ac:dyDescent="0.4">
      <c r="A660" s="96">
        <v>655</v>
      </c>
      <c r="B660" s="101"/>
      <c r="C660" s="102"/>
      <c r="D660" s="103"/>
      <c r="E660" s="235"/>
      <c r="F660" s="104"/>
      <c r="G660" s="104"/>
      <c r="H660" s="105">
        <f t="shared" si="10"/>
        <v>0</v>
      </c>
      <c r="L660" s="106"/>
      <c r="M660" s="106"/>
      <c r="N660" s="106"/>
    </row>
    <row r="661" spans="1:14" ht="14.75" customHeight="1" x14ac:dyDescent="0.4">
      <c r="A661" s="96">
        <v>656</v>
      </c>
      <c r="B661" s="101"/>
      <c r="C661" s="102"/>
      <c r="D661" s="103"/>
      <c r="E661" s="235"/>
      <c r="F661" s="104"/>
      <c r="G661" s="104"/>
      <c r="H661" s="105">
        <f t="shared" si="10"/>
        <v>0</v>
      </c>
      <c r="L661" s="106"/>
      <c r="M661" s="106"/>
      <c r="N661" s="106"/>
    </row>
    <row r="662" spans="1:14" ht="14.75" customHeight="1" x14ac:dyDescent="0.4">
      <c r="A662" s="96">
        <v>657</v>
      </c>
      <c r="B662" s="101"/>
      <c r="C662" s="102"/>
      <c r="D662" s="103"/>
      <c r="E662" s="235"/>
      <c r="F662" s="104"/>
      <c r="G662" s="104"/>
      <c r="H662" s="105">
        <f t="shared" si="10"/>
        <v>0</v>
      </c>
      <c r="L662" s="106"/>
      <c r="M662" s="106"/>
      <c r="N662" s="106"/>
    </row>
    <row r="663" spans="1:14" ht="14.75" customHeight="1" x14ac:dyDescent="0.4">
      <c r="A663" s="96">
        <v>658</v>
      </c>
      <c r="B663" s="101"/>
      <c r="C663" s="102"/>
      <c r="D663" s="103"/>
      <c r="E663" s="235"/>
      <c r="F663" s="104"/>
      <c r="G663" s="104"/>
      <c r="H663" s="105">
        <f t="shared" si="10"/>
        <v>0</v>
      </c>
      <c r="L663" s="106"/>
      <c r="M663" s="106"/>
      <c r="N663" s="106"/>
    </row>
    <row r="664" spans="1:14" ht="14.75" customHeight="1" x14ac:dyDescent="0.4">
      <c r="A664" s="96">
        <v>659</v>
      </c>
      <c r="B664" s="101"/>
      <c r="C664" s="102"/>
      <c r="D664" s="103"/>
      <c r="E664" s="235"/>
      <c r="F664" s="104"/>
      <c r="G664" s="104"/>
      <c r="H664" s="105">
        <f t="shared" si="10"/>
        <v>0</v>
      </c>
      <c r="L664" s="106"/>
      <c r="M664" s="106"/>
      <c r="N664" s="106"/>
    </row>
    <row r="665" spans="1:14" ht="14.75" customHeight="1" x14ac:dyDescent="0.4">
      <c r="A665" s="96">
        <v>660</v>
      </c>
      <c r="B665" s="101"/>
      <c r="C665" s="102"/>
      <c r="D665" s="103"/>
      <c r="E665" s="235"/>
      <c r="F665" s="104"/>
      <c r="G665" s="104"/>
      <c r="H665" s="105">
        <f t="shared" si="10"/>
        <v>0</v>
      </c>
      <c r="L665" s="106"/>
      <c r="M665" s="106"/>
      <c r="N665" s="106"/>
    </row>
    <row r="666" spans="1:14" ht="14.75" customHeight="1" x14ac:dyDescent="0.4">
      <c r="A666" s="96">
        <v>661</v>
      </c>
      <c r="B666" s="101"/>
      <c r="C666" s="102"/>
      <c r="D666" s="103"/>
      <c r="E666" s="235"/>
      <c r="F666" s="104"/>
      <c r="G666" s="104"/>
      <c r="H666" s="105">
        <f t="shared" si="10"/>
        <v>0</v>
      </c>
      <c r="L666" s="106"/>
      <c r="M666" s="106"/>
      <c r="N666" s="106"/>
    </row>
    <row r="667" spans="1:14" ht="14.75" customHeight="1" x14ac:dyDescent="0.4">
      <c r="A667" s="96">
        <v>662</v>
      </c>
      <c r="B667" s="101"/>
      <c r="C667" s="102"/>
      <c r="D667" s="103"/>
      <c r="E667" s="235"/>
      <c r="F667" s="104"/>
      <c r="G667" s="104"/>
      <c r="H667" s="105">
        <f t="shared" si="10"/>
        <v>0</v>
      </c>
      <c r="L667" s="106"/>
      <c r="M667" s="106"/>
      <c r="N667" s="106"/>
    </row>
    <row r="668" spans="1:14" ht="14.75" customHeight="1" x14ac:dyDescent="0.4">
      <c r="A668" s="96">
        <v>663</v>
      </c>
      <c r="B668" s="101"/>
      <c r="C668" s="102"/>
      <c r="D668" s="103"/>
      <c r="E668" s="235"/>
      <c r="F668" s="104"/>
      <c r="G668" s="104"/>
      <c r="H668" s="105">
        <f t="shared" si="10"/>
        <v>0</v>
      </c>
      <c r="L668" s="106"/>
      <c r="M668" s="106"/>
      <c r="N668" s="106"/>
    </row>
    <row r="669" spans="1:14" ht="14.75" customHeight="1" x14ac:dyDescent="0.4">
      <c r="A669" s="96">
        <v>664</v>
      </c>
      <c r="B669" s="101"/>
      <c r="C669" s="102"/>
      <c r="D669" s="103"/>
      <c r="E669" s="235"/>
      <c r="F669" s="104"/>
      <c r="G669" s="104"/>
      <c r="H669" s="105">
        <f t="shared" si="10"/>
        <v>0</v>
      </c>
      <c r="L669" s="106"/>
      <c r="M669" s="106"/>
      <c r="N669" s="106"/>
    </row>
    <row r="670" spans="1:14" ht="14.75" customHeight="1" x14ac:dyDescent="0.4">
      <c r="A670" s="96">
        <v>665</v>
      </c>
      <c r="B670" s="101"/>
      <c r="C670" s="102"/>
      <c r="D670" s="103"/>
      <c r="E670" s="235"/>
      <c r="F670" s="104"/>
      <c r="G670" s="104"/>
      <c r="H670" s="105">
        <f t="shared" si="10"/>
        <v>0</v>
      </c>
      <c r="L670" s="106"/>
      <c r="M670" s="106"/>
      <c r="N670" s="106"/>
    </row>
    <row r="671" spans="1:14" ht="14.75" customHeight="1" x14ac:dyDescent="0.4">
      <c r="A671" s="96">
        <v>666</v>
      </c>
      <c r="B671" s="101"/>
      <c r="C671" s="102"/>
      <c r="D671" s="103"/>
      <c r="E671" s="235"/>
      <c r="F671" s="104"/>
      <c r="G671" s="104"/>
      <c r="H671" s="105">
        <f t="shared" si="10"/>
        <v>0</v>
      </c>
      <c r="L671" s="106"/>
      <c r="M671" s="106"/>
      <c r="N671" s="106"/>
    </row>
    <row r="672" spans="1:14" ht="14.75" customHeight="1" x14ac:dyDescent="0.4">
      <c r="A672" s="96">
        <v>667</v>
      </c>
      <c r="B672" s="101"/>
      <c r="C672" s="102"/>
      <c r="D672" s="103"/>
      <c r="E672" s="235"/>
      <c r="F672" s="104"/>
      <c r="G672" s="104"/>
      <c r="H672" s="105">
        <f t="shared" si="10"/>
        <v>0</v>
      </c>
      <c r="L672" s="106"/>
      <c r="M672" s="106"/>
      <c r="N672" s="106"/>
    </row>
    <row r="673" spans="1:14" ht="14.75" customHeight="1" x14ac:dyDescent="0.4">
      <c r="A673" s="96">
        <v>668</v>
      </c>
      <c r="B673" s="101"/>
      <c r="C673" s="102"/>
      <c r="D673" s="103"/>
      <c r="E673" s="235"/>
      <c r="F673" s="104"/>
      <c r="G673" s="104"/>
      <c r="H673" s="105">
        <f t="shared" si="10"/>
        <v>0</v>
      </c>
      <c r="L673" s="106"/>
      <c r="M673" s="106"/>
      <c r="N673" s="106"/>
    </row>
    <row r="674" spans="1:14" ht="14.75" customHeight="1" x14ac:dyDescent="0.4">
      <c r="A674" s="96">
        <v>669</v>
      </c>
      <c r="B674" s="101"/>
      <c r="C674" s="102"/>
      <c r="D674" s="103"/>
      <c r="E674" s="235"/>
      <c r="F674" s="104"/>
      <c r="G674" s="104"/>
      <c r="H674" s="105">
        <f t="shared" si="10"/>
        <v>0</v>
      </c>
      <c r="L674" s="106"/>
      <c r="M674" s="106"/>
      <c r="N674" s="106"/>
    </row>
    <row r="675" spans="1:14" ht="14.75" customHeight="1" x14ac:dyDescent="0.4">
      <c r="A675" s="96">
        <v>670</v>
      </c>
      <c r="B675" s="101"/>
      <c r="C675" s="102"/>
      <c r="D675" s="103"/>
      <c r="E675" s="235"/>
      <c r="F675" s="104"/>
      <c r="G675" s="104"/>
      <c r="H675" s="105">
        <f t="shared" si="10"/>
        <v>0</v>
      </c>
      <c r="L675" s="106"/>
      <c r="M675" s="106"/>
      <c r="N675" s="106"/>
    </row>
    <row r="676" spans="1:14" ht="14.75" customHeight="1" x14ac:dyDescent="0.4">
      <c r="A676" s="96">
        <v>671</v>
      </c>
      <c r="B676" s="101"/>
      <c r="C676" s="102"/>
      <c r="D676" s="103"/>
      <c r="E676" s="235"/>
      <c r="F676" s="104"/>
      <c r="G676" s="104"/>
      <c r="H676" s="105">
        <f t="shared" si="10"/>
        <v>0</v>
      </c>
      <c r="L676" s="106"/>
      <c r="M676" s="106"/>
      <c r="N676" s="106"/>
    </row>
    <row r="677" spans="1:14" ht="14.75" customHeight="1" x14ac:dyDescent="0.4">
      <c r="A677" s="96">
        <v>672</v>
      </c>
      <c r="B677" s="101"/>
      <c r="C677" s="102"/>
      <c r="D677" s="103"/>
      <c r="E677" s="235"/>
      <c r="F677" s="104"/>
      <c r="G677" s="104"/>
      <c r="H677" s="105">
        <f t="shared" si="10"/>
        <v>0</v>
      </c>
      <c r="L677" s="106"/>
      <c r="M677" s="106"/>
      <c r="N677" s="106"/>
    </row>
    <row r="678" spans="1:14" ht="14.75" customHeight="1" x14ac:dyDescent="0.4">
      <c r="A678" s="96">
        <v>673</v>
      </c>
      <c r="B678" s="101"/>
      <c r="C678" s="102"/>
      <c r="D678" s="103"/>
      <c r="E678" s="235"/>
      <c r="F678" s="104"/>
      <c r="G678" s="104"/>
      <c r="H678" s="105">
        <f t="shared" si="10"/>
        <v>0</v>
      </c>
      <c r="L678" s="106"/>
      <c r="M678" s="106"/>
      <c r="N678" s="106"/>
    </row>
    <row r="679" spans="1:14" ht="14.75" customHeight="1" x14ac:dyDescent="0.4">
      <c r="A679" s="96">
        <v>674</v>
      </c>
      <c r="B679" s="101"/>
      <c r="C679" s="102"/>
      <c r="D679" s="103"/>
      <c r="E679" s="235"/>
      <c r="F679" s="104"/>
      <c r="G679" s="104"/>
      <c r="H679" s="105">
        <f t="shared" si="10"/>
        <v>0</v>
      </c>
      <c r="L679" s="106"/>
      <c r="M679" s="106"/>
      <c r="N679" s="106"/>
    </row>
    <row r="680" spans="1:14" ht="14.75" customHeight="1" x14ac:dyDescent="0.4">
      <c r="A680" s="96">
        <v>675</v>
      </c>
      <c r="B680" s="101"/>
      <c r="C680" s="102"/>
      <c r="D680" s="103"/>
      <c r="E680" s="235"/>
      <c r="F680" s="104"/>
      <c r="G680" s="104"/>
      <c r="H680" s="105">
        <f t="shared" si="10"/>
        <v>0</v>
      </c>
      <c r="L680" s="106"/>
      <c r="M680" s="106"/>
      <c r="N680" s="106"/>
    </row>
    <row r="681" spans="1:14" ht="14.75" customHeight="1" x14ac:dyDescent="0.4">
      <c r="A681" s="96">
        <v>676</v>
      </c>
      <c r="B681" s="101"/>
      <c r="C681" s="102"/>
      <c r="D681" s="103"/>
      <c r="E681" s="235"/>
      <c r="F681" s="104"/>
      <c r="G681" s="104"/>
      <c r="H681" s="105">
        <f t="shared" si="10"/>
        <v>0</v>
      </c>
      <c r="L681" s="106"/>
      <c r="M681" s="106"/>
      <c r="N681" s="106"/>
    </row>
    <row r="682" spans="1:14" ht="14.75" customHeight="1" x14ac:dyDescent="0.4">
      <c r="A682" s="96">
        <v>677</v>
      </c>
      <c r="B682" s="101"/>
      <c r="C682" s="102"/>
      <c r="D682" s="103"/>
      <c r="E682" s="235"/>
      <c r="F682" s="104"/>
      <c r="G682" s="104"/>
      <c r="H682" s="105">
        <f t="shared" si="10"/>
        <v>0</v>
      </c>
      <c r="L682" s="106"/>
      <c r="M682" s="106"/>
      <c r="N682" s="106"/>
    </row>
    <row r="683" spans="1:14" ht="14.75" customHeight="1" x14ac:dyDescent="0.4">
      <c r="A683" s="96">
        <v>678</v>
      </c>
      <c r="B683" s="101"/>
      <c r="C683" s="102"/>
      <c r="D683" s="103"/>
      <c r="E683" s="235"/>
      <c r="F683" s="104"/>
      <c r="G683" s="104"/>
      <c r="H683" s="105">
        <f t="shared" si="10"/>
        <v>0</v>
      </c>
      <c r="L683" s="106"/>
      <c r="M683" s="106"/>
      <c r="N683" s="106"/>
    </row>
    <row r="684" spans="1:14" ht="14.75" customHeight="1" x14ac:dyDescent="0.4">
      <c r="A684" s="96">
        <v>679</v>
      </c>
      <c r="B684" s="101"/>
      <c r="C684" s="102"/>
      <c r="D684" s="103"/>
      <c r="E684" s="235"/>
      <c r="F684" s="104"/>
      <c r="G684" s="104"/>
      <c r="H684" s="105">
        <f t="shared" si="10"/>
        <v>0</v>
      </c>
      <c r="L684" s="106"/>
      <c r="M684" s="106"/>
      <c r="N684" s="106"/>
    </row>
    <row r="685" spans="1:14" ht="14.75" customHeight="1" x14ac:dyDescent="0.4">
      <c r="A685" s="96">
        <v>680</v>
      </c>
      <c r="B685" s="101"/>
      <c r="C685" s="102"/>
      <c r="D685" s="103"/>
      <c r="E685" s="235"/>
      <c r="F685" s="104"/>
      <c r="G685" s="104"/>
      <c r="H685" s="105">
        <f t="shared" si="10"/>
        <v>0</v>
      </c>
      <c r="L685" s="106"/>
      <c r="M685" s="106"/>
      <c r="N685" s="106"/>
    </row>
    <row r="686" spans="1:14" ht="14.75" customHeight="1" x14ac:dyDescent="0.4">
      <c r="A686" s="96">
        <v>681</v>
      </c>
      <c r="B686" s="101"/>
      <c r="C686" s="102"/>
      <c r="D686" s="103"/>
      <c r="E686" s="235"/>
      <c r="F686" s="104"/>
      <c r="G686" s="104"/>
      <c r="H686" s="105">
        <f t="shared" si="10"/>
        <v>0</v>
      </c>
      <c r="L686" s="106"/>
      <c r="M686" s="106"/>
      <c r="N686" s="106"/>
    </row>
    <row r="687" spans="1:14" ht="14.75" customHeight="1" x14ac:dyDescent="0.4">
      <c r="A687" s="96">
        <v>682</v>
      </c>
      <c r="B687" s="101"/>
      <c r="C687" s="102"/>
      <c r="D687" s="103"/>
      <c r="E687" s="235"/>
      <c r="F687" s="104"/>
      <c r="G687" s="104"/>
      <c r="H687" s="105">
        <f t="shared" si="10"/>
        <v>0</v>
      </c>
      <c r="L687" s="106"/>
      <c r="M687" s="106"/>
      <c r="N687" s="106"/>
    </row>
    <row r="688" spans="1:14" ht="14.75" customHeight="1" x14ac:dyDescent="0.4">
      <c r="A688" s="96">
        <v>683</v>
      </c>
      <c r="B688" s="101"/>
      <c r="C688" s="102"/>
      <c r="D688" s="103"/>
      <c r="E688" s="235"/>
      <c r="F688" s="104"/>
      <c r="G688" s="104"/>
      <c r="H688" s="105">
        <f t="shared" si="10"/>
        <v>0</v>
      </c>
      <c r="L688" s="106"/>
      <c r="M688" s="106"/>
      <c r="N688" s="106"/>
    </row>
    <row r="689" spans="1:14" ht="14.75" customHeight="1" x14ac:dyDescent="0.4">
      <c r="A689" s="96">
        <v>684</v>
      </c>
      <c r="B689" s="101"/>
      <c r="C689" s="102"/>
      <c r="D689" s="103"/>
      <c r="E689" s="235"/>
      <c r="F689" s="104"/>
      <c r="G689" s="104"/>
      <c r="H689" s="105">
        <f t="shared" si="10"/>
        <v>0</v>
      </c>
      <c r="L689" s="106"/>
      <c r="M689" s="106"/>
      <c r="N689" s="106"/>
    </row>
    <row r="690" spans="1:14" ht="14.75" customHeight="1" x14ac:dyDescent="0.4">
      <c r="A690" s="96">
        <v>685</v>
      </c>
      <c r="B690" s="101"/>
      <c r="C690" s="102"/>
      <c r="D690" s="103"/>
      <c r="E690" s="235"/>
      <c r="F690" s="104"/>
      <c r="G690" s="104"/>
      <c r="H690" s="105">
        <f t="shared" si="10"/>
        <v>0</v>
      </c>
      <c r="L690" s="106"/>
      <c r="M690" s="106"/>
      <c r="N690" s="106"/>
    </row>
    <row r="691" spans="1:14" ht="14.75" customHeight="1" x14ac:dyDescent="0.4">
      <c r="A691" s="96">
        <v>686</v>
      </c>
      <c r="B691" s="101"/>
      <c r="C691" s="102"/>
      <c r="D691" s="103"/>
      <c r="E691" s="235"/>
      <c r="F691" s="104"/>
      <c r="G691" s="104"/>
      <c r="H691" s="105">
        <f t="shared" si="10"/>
        <v>0</v>
      </c>
      <c r="L691" s="106"/>
      <c r="M691" s="106"/>
      <c r="N691" s="106"/>
    </row>
    <row r="692" spans="1:14" ht="14.75" customHeight="1" x14ac:dyDescent="0.4">
      <c r="A692" s="96">
        <v>687</v>
      </c>
      <c r="B692" s="101"/>
      <c r="C692" s="102"/>
      <c r="D692" s="103"/>
      <c r="E692" s="235"/>
      <c r="F692" s="104"/>
      <c r="G692" s="104"/>
      <c r="H692" s="105">
        <f t="shared" si="10"/>
        <v>0</v>
      </c>
      <c r="L692" s="106"/>
      <c r="M692" s="106"/>
      <c r="N692" s="106"/>
    </row>
    <row r="693" spans="1:14" ht="14.75" customHeight="1" x14ac:dyDescent="0.4">
      <c r="A693" s="96">
        <v>688</v>
      </c>
      <c r="B693" s="101"/>
      <c r="C693" s="102"/>
      <c r="D693" s="103"/>
      <c r="E693" s="235"/>
      <c r="F693" s="104"/>
      <c r="G693" s="104"/>
      <c r="H693" s="105">
        <f t="shared" si="10"/>
        <v>0</v>
      </c>
      <c r="L693" s="106"/>
      <c r="M693" s="106"/>
      <c r="N693" s="106"/>
    </row>
    <row r="694" spans="1:14" ht="14.75" customHeight="1" x14ac:dyDescent="0.4">
      <c r="A694" s="96">
        <v>689</v>
      </c>
      <c r="B694" s="101"/>
      <c r="C694" s="102"/>
      <c r="D694" s="103"/>
      <c r="E694" s="235"/>
      <c r="F694" s="104"/>
      <c r="G694" s="104"/>
      <c r="H694" s="105">
        <f t="shared" si="10"/>
        <v>0</v>
      </c>
      <c r="L694" s="106"/>
      <c r="M694" s="106"/>
      <c r="N694" s="106"/>
    </row>
    <row r="695" spans="1:14" ht="14.75" customHeight="1" x14ac:dyDescent="0.4">
      <c r="A695" s="96">
        <v>690</v>
      </c>
      <c r="B695" s="101"/>
      <c r="C695" s="102"/>
      <c r="D695" s="103"/>
      <c r="E695" s="235"/>
      <c r="F695" s="104"/>
      <c r="G695" s="104"/>
      <c r="H695" s="105">
        <f t="shared" si="10"/>
        <v>0</v>
      </c>
      <c r="L695" s="106"/>
      <c r="M695" s="106"/>
      <c r="N695" s="106"/>
    </row>
    <row r="696" spans="1:14" ht="14.75" customHeight="1" x14ac:dyDescent="0.4">
      <c r="A696" s="96">
        <v>691</v>
      </c>
      <c r="B696" s="101"/>
      <c r="C696" s="102"/>
      <c r="D696" s="103"/>
      <c r="E696" s="235"/>
      <c r="F696" s="104"/>
      <c r="G696" s="104"/>
      <c r="H696" s="105">
        <f t="shared" si="10"/>
        <v>0</v>
      </c>
      <c r="L696" s="106"/>
      <c r="M696" s="106"/>
      <c r="N696" s="106"/>
    </row>
    <row r="697" spans="1:14" ht="14.75" customHeight="1" x14ac:dyDescent="0.4">
      <c r="A697" s="96">
        <v>692</v>
      </c>
      <c r="B697" s="101"/>
      <c r="C697" s="102"/>
      <c r="D697" s="103"/>
      <c r="E697" s="235"/>
      <c r="F697" s="104"/>
      <c r="G697" s="104"/>
      <c r="H697" s="105">
        <f t="shared" si="10"/>
        <v>0</v>
      </c>
      <c r="L697" s="106"/>
      <c r="M697" s="106"/>
      <c r="N697" s="106"/>
    </row>
    <row r="698" spans="1:14" ht="14.75" customHeight="1" x14ac:dyDescent="0.4">
      <c r="A698" s="96">
        <v>693</v>
      </c>
      <c r="B698" s="101"/>
      <c r="C698" s="102"/>
      <c r="D698" s="103"/>
      <c r="E698" s="235"/>
      <c r="F698" s="104"/>
      <c r="G698" s="104"/>
      <c r="H698" s="105">
        <f t="shared" si="10"/>
        <v>0</v>
      </c>
      <c r="L698" s="106"/>
      <c r="M698" s="106"/>
      <c r="N698" s="106"/>
    </row>
    <row r="699" spans="1:14" ht="14.75" customHeight="1" x14ac:dyDescent="0.4">
      <c r="A699" s="96">
        <v>694</v>
      </c>
      <c r="B699" s="101"/>
      <c r="C699" s="102"/>
      <c r="D699" s="103"/>
      <c r="E699" s="235"/>
      <c r="F699" s="104"/>
      <c r="G699" s="104"/>
      <c r="H699" s="105">
        <f t="shared" si="10"/>
        <v>0</v>
      </c>
      <c r="L699" s="106"/>
      <c r="M699" s="106"/>
      <c r="N699" s="106"/>
    </row>
    <row r="700" spans="1:14" ht="14.75" customHeight="1" x14ac:dyDescent="0.4">
      <c r="A700" s="96">
        <v>695</v>
      </c>
      <c r="B700" s="101"/>
      <c r="C700" s="102"/>
      <c r="D700" s="103"/>
      <c r="E700" s="235"/>
      <c r="F700" s="104"/>
      <c r="G700" s="104"/>
      <c r="H700" s="105">
        <f t="shared" si="10"/>
        <v>0</v>
      </c>
      <c r="L700" s="106"/>
      <c r="M700" s="106"/>
      <c r="N700" s="106"/>
    </row>
    <row r="701" spans="1:14" ht="14.75" customHeight="1" x14ac:dyDescent="0.4">
      <c r="A701" s="96">
        <v>696</v>
      </c>
      <c r="B701" s="101"/>
      <c r="C701" s="102"/>
      <c r="D701" s="103"/>
      <c r="E701" s="235"/>
      <c r="F701" s="104"/>
      <c r="G701" s="104"/>
      <c r="H701" s="105">
        <f t="shared" si="10"/>
        <v>0</v>
      </c>
      <c r="L701" s="106"/>
      <c r="M701" s="106"/>
      <c r="N701" s="106"/>
    </row>
    <row r="702" spans="1:14" ht="14.75" customHeight="1" x14ac:dyDescent="0.4">
      <c r="A702" s="96">
        <v>697</v>
      </c>
      <c r="B702" s="101"/>
      <c r="C702" s="102"/>
      <c r="D702" s="103"/>
      <c r="E702" s="235"/>
      <c r="F702" s="104"/>
      <c r="G702" s="104"/>
      <c r="H702" s="105">
        <f t="shared" si="10"/>
        <v>0</v>
      </c>
      <c r="L702" s="106"/>
      <c r="M702" s="106"/>
      <c r="N702" s="106"/>
    </row>
    <row r="703" spans="1:14" ht="14.75" customHeight="1" x14ac:dyDescent="0.4">
      <c r="A703" s="96">
        <v>698</v>
      </c>
      <c r="B703" s="101"/>
      <c r="C703" s="102"/>
      <c r="D703" s="103"/>
      <c r="E703" s="235"/>
      <c r="F703" s="104"/>
      <c r="G703" s="104"/>
      <c r="H703" s="105">
        <f t="shared" si="10"/>
        <v>0</v>
      </c>
      <c r="L703" s="106"/>
      <c r="M703" s="106"/>
      <c r="N703" s="106"/>
    </row>
    <row r="704" spans="1:14" ht="14.75" customHeight="1" x14ac:dyDescent="0.4">
      <c r="A704" s="96">
        <v>699</v>
      </c>
      <c r="B704" s="101"/>
      <c r="C704" s="102"/>
      <c r="D704" s="103"/>
      <c r="E704" s="235"/>
      <c r="F704" s="104"/>
      <c r="G704" s="104"/>
      <c r="H704" s="105">
        <f t="shared" si="10"/>
        <v>0</v>
      </c>
      <c r="L704" s="106"/>
      <c r="M704" s="106"/>
      <c r="N704" s="106"/>
    </row>
    <row r="705" spans="1:14" ht="14.75" customHeight="1" x14ac:dyDescent="0.4">
      <c r="A705" s="96">
        <v>700</v>
      </c>
      <c r="B705" s="101"/>
      <c r="C705" s="102"/>
      <c r="D705" s="103"/>
      <c r="E705" s="235"/>
      <c r="F705" s="104"/>
      <c r="G705" s="104"/>
      <c r="H705" s="105">
        <f t="shared" si="10"/>
        <v>0</v>
      </c>
      <c r="L705" s="106"/>
      <c r="M705" s="106"/>
      <c r="N705" s="106"/>
    </row>
    <row r="706" spans="1:14" ht="14.75" customHeight="1" x14ac:dyDescent="0.4">
      <c r="A706" s="96">
        <v>701</v>
      </c>
      <c r="B706" s="101"/>
      <c r="C706" s="102"/>
      <c r="D706" s="103"/>
      <c r="E706" s="235"/>
      <c r="F706" s="104"/>
      <c r="G706" s="104"/>
      <c r="H706" s="105">
        <f t="shared" si="10"/>
        <v>0</v>
      </c>
      <c r="L706" s="106"/>
      <c r="M706" s="106"/>
      <c r="N706" s="106"/>
    </row>
    <row r="707" spans="1:14" ht="14.75" customHeight="1" x14ac:dyDescent="0.4">
      <c r="A707" s="96">
        <v>702</v>
      </c>
      <c r="B707" s="101"/>
      <c r="C707" s="102"/>
      <c r="D707" s="103"/>
      <c r="E707" s="235"/>
      <c r="F707" s="104"/>
      <c r="G707" s="104"/>
      <c r="H707" s="105">
        <f t="shared" si="10"/>
        <v>0</v>
      </c>
      <c r="L707" s="106"/>
      <c r="M707" s="106"/>
      <c r="N707" s="106"/>
    </row>
    <row r="708" spans="1:14" ht="14.75" customHeight="1" x14ac:dyDescent="0.4">
      <c r="A708" s="96">
        <v>703</v>
      </c>
      <c r="B708" s="101"/>
      <c r="C708" s="102"/>
      <c r="D708" s="103"/>
      <c r="E708" s="235"/>
      <c r="F708" s="104"/>
      <c r="G708" s="104"/>
      <c r="H708" s="105">
        <f t="shared" si="10"/>
        <v>0</v>
      </c>
      <c r="L708" s="106"/>
      <c r="M708" s="106"/>
      <c r="N708" s="106"/>
    </row>
    <row r="709" spans="1:14" ht="14.75" customHeight="1" x14ac:dyDescent="0.4">
      <c r="A709" s="96">
        <v>704</v>
      </c>
      <c r="B709" s="101"/>
      <c r="C709" s="102"/>
      <c r="D709" s="103"/>
      <c r="E709" s="235"/>
      <c r="F709" s="104"/>
      <c r="G709" s="104"/>
      <c r="H709" s="105">
        <f t="shared" si="10"/>
        <v>0</v>
      </c>
      <c r="L709" s="106"/>
      <c r="M709" s="106"/>
      <c r="N709" s="106"/>
    </row>
    <row r="710" spans="1:14" ht="14.75" customHeight="1" x14ac:dyDescent="0.4">
      <c r="A710" s="96">
        <v>705</v>
      </c>
      <c r="B710" s="101"/>
      <c r="C710" s="102"/>
      <c r="D710" s="103"/>
      <c r="E710" s="235"/>
      <c r="F710" s="104"/>
      <c r="G710" s="104"/>
      <c r="H710" s="105">
        <f t="shared" si="10"/>
        <v>0</v>
      </c>
      <c r="L710" s="106"/>
      <c r="M710" s="106"/>
      <c r="N710" s="106"/>
    </row>
    <row r="711" spans="1:14" ht="14.75" customHeight="1" x14ac:dyDescent="0.4">
      <c r="A711" s="96">
        <v>706</v>
      </c>
      <c r="B711" s="101"/>
      <c r="C711" s="102"/>
      <c r="D711" s="103"/>
      <c r="E711" s="235"/>
      <c r="F711" s="104"/>
      <c r="G711" s="104"/>
      <c r="H711" s="105">
        <f t="shared" si="10"/>
        <v>0</v>
      </c>
      <c r="L711" s="106"/>
      <c r="M711" s="106"/>
      <c r="N711" s="106"/>
    </row>
    <row r="712" spans="1:14" ht="14.75" customHeight="1" x14ac:dyDescent="0.4">
      <c r="A712" s="96">
        <v>707</v>
      </c>
      <c r="B712" s="101"/>
      <c r="C712" s="102"/>
      <c r="D712" s="103"/>
      <c r="E712" s="235"/>
      <c r="F712" s="104"/>
      <c r="G712" s="104"/>
      <c r="H712" s="105">
        <f t="shared" si="10"/>
        <v>0</v>
      </c>
      <c r="L712" s="106"/>
      <c r="M712" s="106"/>
      <c r="N712" s="106"/>
    </row>
    <row r="713" spans="1:14" ht="14.75" customHeight="1" x14ac:dyDescent="0.4">
      <c r="A713" s="96">
        <v>708</v>
      </c>
      <c r="B713" s="101"/>
      <c r="C713" s="102"/>
      <c r="D713" s="103"/>
      <c r="E713" s="235"/>
      <c r="F713" s="104"/>
      <c r="G713" s="104"/>
      <c r="H713" s="105">
        <f t="shared" ref="H713:H776" si="11">H712+F713-G713</f>
        <v>0</v>
      </c>
      <c r="L713" s="106"/>
      <c r="M713" s="106"/>
      <c r="N713" s="106"/>
    </row>
    <row r="714" spans="1:14" ht="14.75" customHeight="1" x14ac:dyDescent="0.4">
      <c r="A714" s="96">
        <v>709</v>
      </c>
      <c r="B714" s="101"/>
      <c r="C714" s="102"/>
      <c r="D714" s="103"/>
      <c r="E714" s="235"/>
      <c r="F714" s="104"/>
      <c r="G714" s="104"/>
      <c r="H714" s="105">
        <f t="shared" si="11"/>
        <v>0</v>
      </c>
      <c r="L714" s="106"/>
      <c r="M714" s="106"/>
      <c r="N714" s="106"/>
    </row>
    <row r="715" spans="1:14" ht="14.75" customHeight="1" x14ac:dyDescent="0.4">
      <c r="A715" s="96">
        <v>710</v>
      </c>
      <c r="B715" s="101"/>
      <c r="C715" s="102"/>
      <c r="D715" s="103"/>
      <c r="E715" s="235"/>
      <c r="F715" s="104"/>
      <c r="G715" s="104"/>
      <c r="H715" s="105">
        <f t="shared" si="11"/>
        <v>0</v>
      </c>
      <c r="L715" s="106"/>
      <c r="M715" s="106"/>
      <c r="N715" s="106"/>
    </row>
    <row r="716" spans="1:14" ht="14.75" customHeight="1" x14ac:dyDescent="0.4">
      <c r="A716" s="96">
        <v>711</v>
      </c>
      <c r="B716" s="101"/>
      <c r="C716" s="102"/>
      <c r="D716" s="103"/>
      <c r="E716" s="235"/>
      <c r="F716" s="104"/>
      <c r="G716" s="104"/>
      <c r="H716" s="105">
        <f t="shared" si="11"/>
        <v>0</v>
      </c>
      <c r="L716" s="106"/>
      <c r="M716" s="106"/>
      <c r="N716" s="106"/>
    </row>
    <row r="717" spans="1:14" ht="14.75" customHeight="1" x14ac:dyDescent="0.4">
      <c r="A717" s="96">
        <v>712</v>
      </c>
      <c r="B717" s="101"/>
      <c r="C717" s="102"/>
      <c r="D717" s="103"/>
      <c r="E717" s="235"/>
      <c r="F717" s="104"/>
      <c r="G717" s="104"/>
      <c r="H717" s="105">
        <f t="shared" si="11"/>
        <v>0</v>
      </c>
      <c r="L717" s="106"/>
      <c r="M717" s="106"/>
      <c r="N717" s="106"/>
    </row>
    <row r="718" spans="1:14" ht="14.75" customHeight="1" x14ac:dyDescent="0.4">
      <c r="A718" s="96">
        <v>713</v>
      </c>
      <c r="B718" s="101"/>
      <c r="C718" s="102"/>
      <c r="D718" s="103"/>
      <c r="E718" s="235"/>
      <c r="F718" s="104"/>
      <c r="G718" s="104"/>
      <c r="H718" s="105">
        <f t="shared" si="11"/>
        <v>0</v>
      </c>
      <c r="L718" s="106"/>
      <c r="M718" s="106"/>
      <c r="N718" s="106"/>
    </row>
    <row r="719" spans="1:14" ht="14.75" customHeight="1" x14ac:dyDescent="0.4">
      <c r="A719" s="96">
        <v>714</v>
      </c>
      <c r="B719" s="101"/>
      <c r="C719" s="102"/>
      <c r="D719" s="103"/>
      <c r="E719" s="235"/>
      <c r="F719" s="104"/>
      <c r="G719" s="104"/>
      <c r="H719" s="105">
        <f t="shared" si="11"/>
        <v>0</v>
      </c>
      <c r="L719" s="106"/>
      <c r="M719" s="106"/>
      <c r="N719" s="106"/>
    </row>
    <row r="720" spans="1:14" ht="14.75" customHeight="1" x14ac:dyDescent="0.4">
      <c r="A720" s="96">
        <v>715</v>
      </c>
      <c r="B720" s="101"/>
      <c r="C720" s="102"/>
      <c r="D720" s="103"/>
      <c r="E720" s="235"/>
      <c r="F720" s="104"/>
      <c r="G720" s="104"/>
      <c r="H720" s="105">
        <f t="shared" si="11"/>
        <v>0</v>
      </c>
      <c r="L720" s="106"/>
      <c r="M720" s="106"/>
      <c r="N720" s="106"/>
    </row>
    <row r="721" spans="1:14" ht="14.75" customHeight="1" x14ac:dyDescent="0.4">
      <c r="A721" s="96">
        <v>716</v>
      </c>
      <c r="B721" s="101"/>
      <c r="C721" s="102"/>
      <c r="D721" s="103"/>
      <c r="E721" s="235"/>
      <c r="F721" s="104"/>
      <c r="G721" s="104"/>
      <c r="H721" s="105">
        <f t="shared" si="11"/>
        <v>0</v>
      </c>
      <c r="L721" s="106"/>
      <c r="M721" s="106"/>
      <c r="N721" s="106"/>
    </row>
    <row r="722" spans="1:14" ht="14.75" customHeight="1" x14ac:dyDescent="0.4">
      <c r="A722" s="96">
        <v>717</v>
      </c>
      <c r="B722" s="101"/>
      <c r="C722" s="102"/>
      <c r="D722" s="103"/>
      <c r="E722" s="235"/>
      <c r="F722" s="104"/>
      <c r="G722" s="104"/>
      <c r="H722" s="105">
        <f t="shared" si="11"/>
        <v>0</v>
      </c>
      <c r="L722" s="106"/>
      <c r="M722" s="106"/>
      <c r="N722" s="106"/>
    </row>
    <row r="723" spans="1:14" ht="14.75" customHeight="1" x14ac:dyDescent="0.4">
      <c r="A723" s="96">
        <v>718</v>
      </c>
      <c r="B723" s="101"/>
      <c r="C723" s="102"/>
      <c r="D723" s="103"/>
      <c r="E723" s="235"/>
      <c r="F723" s="104"/>
      <c r="G723" s="104"/>
      <c r="H723" s="105">
        <f t="shared" si="11"/>
        <v>0</v>
      </c>
      <c r="L723" s="106"/>
      <c r="M723" s="106"/>
      <c r="N723" s="106"/>
    </row>
    <row r="724" spans="1:14" ht="14.75" customHeight="1" x14ac:dyDescent="0.4">
      <c r="A724" s="96">
        <v>719</v>
      </c>
      <c r="B724" s="101"/>
      <c r="C724" s="102"/>
      <c r="D724" s="103"/>
      <c r="E724" s="235"/>
      <c r="F724" s="104"/>
      <c r="G724" s="104"/>
      <c r="H724" s="105">
        <f t="shared" si="11"/>
        <v>0</v>
      </c>
      <c r="L724" s="106"/>
      <c r="M724" s="106"/>
      <c r="N724" s="106"/>
    </row>
    <row r="725" spans="1:14" ht="14.75" customHeight="1" x14ac:dyDescent="0.4">
      <c r="A725" s="96">
        <v>720</v>
      </c>
      <c r="B725" s="101"/>
      <c r="C725" s="102"/>
      <c r="D725" s="103"/>
      <c r="E725" s="235"/>
      <c r="F725" s="104"/>
      <c r="G725" s="104"/>
      <c r="H725" s="105">
        <f t="shared" si="11"/>
        <v>0</v>
      </c>
      <c r="L725" s="106"/>
      <c r="M725" s="106"/>
      <c r="N725" s="106"/>
    </row>
    <row r="726" spans="1:14" ht="14.75" customHeight="1" x14ac:dyDescent="0.4">
      <c r="A726" s="96">
        <v>721</v>
      </c>
      <c r="B726" s="101"/>
      <c r="C726" s="102"/>
      <c r="D726" s="103"/>
      <c r="E726" s="235"/>
      <c r="F726" s="104"/>
      <c r="G726" s="104"/>
      <c r="H726" s="105">
        <f t="shared" si="11"/>
        <v>0</v>
      </c>
      <c r="L726" s="106"/>
      <c r="M726" s="106"/>
      <c r="N726" s="106"/>
    </row>
    <row r="727" spans="1:14" ht="14.75" customHeight="1" x14ac:dyDescent="0.4">
      <c r="A727" s="96">
        <v>722</v>
      </c>
      <c r="B727" s="101"/>
      <c r="C727" s="102"/>
      <c r="D727" s="103"/>
      <c r="E727" s="235"/>
      <c r="F727" s="104"/>
      <c r="G727" s="104"/>
      <c r="H727" s="105">
        <f t="shared" si="11"/>
        <v>0</v>
      </c>
      <c r="L727" s="106"/>
      <c r="M727" s="106"/>
      <c r="N727" s="106"/>
    </row>
    <row r="728" spans="1:14" ht="14.75" customHeight="1" x14ac:dyDescent="0.4">
      <c r="A728" s="96">
        <v>723</v>
      </c>
      <c r="B728" s="101"/>
      <c r="C728" s="102"/>
      <c r="D728" s="103"/>
      <c r="E728" s="235"/>
      <c r="F728" s="104"/>
      <c r="G728" s="104"/>
      <c r="H728" s="105">
        <f t="shared" si="11"/>
        <v>0</v>
      </c>
      <c r="L728" s="106"/>
      <c r="M728" s="106"/>
      <c r="N728" s="106"/>
    </row>
    <row r="729" spans="1:14" ht="14.75" customHeight="1" x14ac:dyDescent="0.4">
      <c r="A729" s="96">
        <v>724</v>
      </c>
      <c r="B729" s="101"/>
      <c r="C729" s="102"/>
      <c r="D729" s="103"/>
      <c r="E729" s="235"/>
      <c r="F729" s="104"/>
      <c r="G729" s="104"/>
      <c r="H729" s="105">
        <f t="shared" si="11"/>
        <v>0</v>
      </c>
      <c r="L729" s="106"/>
      <c r="M729" s="106"/>
      <c r="N729" s="106"/>
    </row>
    <row r="730" spans="1:14" ht="14.75" customHeight="1" x14ac:dyDescent="0.4">
      <c r="A730" s="96">
        <v>725</v>
      </c>
      <c r="B730" s="101"/>
      <c r="C730" s="102"/>
      <c r="D730" s="103"/>
      <c r="E730" s="235"/>
      <c r="F730" s="104"/>
      <c r="G730" s="104"/>
      <c r="H730" s="105">
        <f t="shared" si="11"/>
        <v>0</v>
      </c>
      <c r="L730" s="106"/>
      <c r="M730" s="106"/>
      <c r="N730" s="106"/>
    </row>
    <row r="731" spans="1:14" ht="14.75" customHeight="1" x14ac:dyDescent="0.4">
      <c r="A731" s="96">
        <v>726</v>
      </c>
      <c r="B731" s="101"/>
      <c r="C731" s="102"/>
      <c r="D731" s="103"/>
      <c r="E731" s="235"/>
      <c r="F731" s="104"/>
      <c r="G731" s="104"/>
      <c r="H731" s="105">
        <f t="shared" si="11"/>
        <v>0</v>
      </c>
      <c r="L731" s="106"/>
      <c r="M731" s="106"/>
      <c r="N731" s="106"/>
    </row>
    <row r="732" spans="1:14" ht="14.75" customHeight="1" x14ac:dyDescent="0.4">
      <c r="A732" s="96">
        <v>727</v>
      </c>
      <c r="B732" s="101"/>
      <c r="C732" s="102"/>
      <c r="D732" s="103"/>
      <c r="E732" s="235"/>
      <c r="F732" s="104"/>
      <c r="G732" s="104"/>
      <c r="H732" s="105">
        <f t="shared" si="11"/>
        <v>0</v>
      </c>
      <c r="L732" s="106"/>
      <c r="M732" s="106"/>
      <c r="N732" s="106"/>
    </row>
    <row r="733" spans="1:14" ht="14.75" customHeight="1" x14ac:dyDescent="0.4">
      <c r="A733" s="96">
        <v>728</v>
      </c>
      <c r="B733" s="101"/>
      <c r="C733" s="102"/>
      <c r="D733" s="103"/>
      <c r="E733" s="235"/>
      <c r="F733" s="104"/>
      <c r="G733" s="104"/>
      <c r="H733" s="105">
        <f t="shared" si="11"/>
        <v>0</v>
      </c>
      <c r="L733" s="106"/>
      <c r="M733" s="106"/>
      <c r="N733" s="106"/>
    </row>
    <row r="734" spans="1:14" ht="14.75" customHeight="1" x14ac:dyDescent="0.4">
      <c r="A734" s="96">
        <v>729</v>
      </c>
      <c r="B734" s="101"/>
      <c r="C734" s="102"/>
      <c r="D734" s="103"/>
      <c r="E734" s="235"/>
      <c r="F734" s="104"/>
      <c r="G734" s="104"/>
      <c r="H734" s="105">
        <f t="shared" si="11"/>
        <v>0</v>
      </c>
      <c r="L734" s="106"/>
      <c r="M734" s="106"/>
      <c r="N734" s="106"/>
    </row>
    <row r="735" spans="1:14" ht="14.75" customHeight="1" x14ac:dyDescent="0.4">
      <c r="A735" s="96">
        <v>730</v>
      </c>
      <c r="B735" s="101"/>
      <c r="C735" s="102"/>
      <c r="D735" s="103"/>
      <c r="E735" s="235"/>
      <c r="F735" s="104"/>
      <c r="G735" s="104"/>
      <c r="H735" s="105">
        <f t="shared" si="11"/>
        <v>0</v>
      </c>
      <c r="L735" s="106"/>
      <c r="M735" s="106"/>
      <c r="N735" s="106"/>
    </row>
    <row r="736" spans="1:14" ht="14.75" customHeight="1" x14ac:dyDescent="0.4">
      <c r="A736" s="96">
        <v>731</v>
      </c>
      <c r="B736" s="101"/>
      <c r="C736" s="102"/>
      <c r="D736" s="103"/>
      <c r="E736" s="235"/>
      <c r="F736" s="104"/>
      <c r="G736" s="104"/>
      <c r="H736" s="105">
        <f t="shared" si="11"/>
        <v>0</v>
      </c>
      <c r="L736" s="106"/>
      <c r="M736" s="106"/>
      <c r="N736" s="106"/>
    </row>
    <row r="737" spans="1:14" ht="14.75" customHeight="1" x14ac:dyDescent="0.4">
      <c r="A737" s="96">
        <v>732</v>
      </c>
      <c r="B737" s="101"/>
      <c r="C737" s="102"/>
      <c r="D737" s="103"/>
      <c r="E737" s="235"/>
      <c r="F737" s="104"/>
      <c r="G737" s="104"/>
      <c r="H737" s="105">
        <f t="shared" si="11"/>
        <v>0</v>
      </c>
      <c r="L737" s="106"/>
      <c r="M737" s="106"/>
      <c r="N737" s="106"/>
    </row>
    <row r="738" spans="1:14" ht="14.75" customHeight="1" x14ac:dyDescent="0.4">
      <c r="A738" s="96">
        <v>733</v>
      </c>
      <c r="B738" s="101"/>
      <c r="C738" s="102"/>
      <c r="D738" s="103"/>
      <c r="E738" s="235"/>
      <c r="F738" s="104"/>
      <c r="G738" s="104"/>
      <c r="H738" s="105">
        <f t="shared" si="11"/>
        <v>0</v>
      </c>
      <c r="L738" s="106"/>
      <c r="M738" s="106"/>
      <c r="N738" s="106"/>
    </row>
    <row r="739" spans="1:14" ht="14.75" customHeight="1" x14ac:dyDescent="0.4">
      <c r="A739" s="96">
        <v>734</v>
      </c>
      <c r="B739" s="101"/>
      <c r="C739" s="102"/>
      <c r="D739" s="103"/>
      <c r="E739" s="235"/>
      <c r="F739" s="104"/>
      <c r="G739" s="104"/>
      <c r="H739" s="105">
        <f t="shared" si="11"/>
        <v>0</v>
      </c>
      <c r="L739" s="106"/>
      <c r="M739" s="106"/>
      <c r="N739" s="106"/>
    </row>
    <row r="740" spans="1:14" ht="14.75" customHeight="1" x14ac:dyDescent="0.4">
      <c r="A740" s="96">
        <v>735</v>
      </c>
      <c r="B740" s="101"/>
      <c r="C740" s="102"/>
      <c r="D740" s="103"/>
      <c r="E740" s="235"/>
      <c r="F740" s="104"/>
      <c r="G740" s="104"/>
      <c r="H740" s="105">
        <f t="shared" si="11"/>
        <v>0</v>
      </c>
      <c r="L740" s="106"/>
      <c r="M740" s="106"/>
      <c r="N740" s="106"/>
    </row>
    <row r="741" spans="1:14" ht="14.75" customHeight="1" x14ac:dyDescent="0.4">
      <c r="A741" s="96">
        <v>736</v>
      </c>
      <c r="B741" s="101"/>
      <c r="C741" s="102"/>
      <c r="D741" s="103"/>
      <c r="E741" s="235"/>
      <c r="F741" s="104"/>
      <c r="G741" s="104"/>
      <c r="H741" s="105">
        <f t="shared" si="11"/>
        <v>0</v>
      </c>
      <c r="L741" s="106"/>
      <c r="M741" s="106"/>
      <c r="N741" s="106"/>
    </row>
    <row r="742" spans="1:14" ht="14.75" customHeight="1" x14ac:dyDescent="0.4">
      <c r="A742" s="96">
        <v>737</v>
      </c>
      <c r="B742" s="101"/>
      <c r="C742" s="102"/>
      <c r="D742" s="103"/>
      <c r="E742" s="235"/>
      <c r="F742" s="104"/>
      <c r="G742" s="104"/>
      <c r="H742" s="105">
        <f t="shared" si="11"/>
        <v>0</v>
      </c>
      <c r="L742" s="106"/>
      <c r="M742" s="106"/>
      <c r="N742" s="106"/>
    </row>
    <row r="743" spans="1:14" ht="14.75" customHeight="1" x14ac:dyDescent="0.4">
      <c r="A743" s="96">
        <v>738</v>
      </c>
      <c r="B743" s="101"/>
      <c r="C743" s="102"/>
      <c r="D743" s="103"/>
      <c r="E743" s="235"/>
      <c r="F743" s="104"/>
      <c r="G743" s="104"/>
      <c r="H743" s="105">
        <f t="shared" si="11"/>
        <v>0</v>
      </c>
      <c r="L743" s="106"/>
      <c r="M743" s="106"/>
      <c r="N743" s="106"/>
    </row>
    <row r="744" spans="1:14" ht="14.75" customHeight="1" x14ac:dyDescent="0.4">
      <c r="A744" s="96">
        <v>739</v>
      </c>
      <c r="B744" s="101"/>
      <c r="C744" s="102"/>
      <c r="D744" s="103"/>
      <c r="E744" s="235"/>
      <c r="F744" s="104"/>
      <c r="G744" s="104"/>
      <c r="H744" s="105">
        <f t="shared" si="11"/>
        <v>0</v>
      </c>
      <c r="L744" s="106"/>
      <c r="M744" s="106"/>
      <c r="N744" s="106"/>
    </row>
    <row r="745" spans="1:14" ht="14.75" customHeight="1" x14ac:dyDescent="0.4">
      <c r="A745" s="96">
        <v>740</v>
      </c>
      <c r="B745" s="101"/>
      <c r="C745" s="102"/>
      <c r="D745" s="103"/>
      <c r="E745" s="235"/>
      <c r="F745" s="104"/>
      <c r="G745" s="104"/>
      <c r="H745" s="105">
        <f t="shared" si="11"/>
        <v>0</v>
      </c>
      <c r="L745" s="106"/>
      <c r="M745" s="106"/>
      <c r="N745" s="106"/>
    </row>
    <row r="746" spans="1:14" ht="14.75" customHeight="1" x14ac:dyDescent="0.4">
      <c r="A746" s="96">
        <v>741</v>
      </c>
      <c r="B746" s="101"/>
      <c r="C746" s="102"/>
      <c r="D746" s="103"/>
      <c r="E746" s="235"/>
      <c r="F746" s="104"/>
      <c r="G746" s="104"/>
      <c r="H746" s="105">
        <f t="shared" si="11"/>
        <v>0</v>
      </c>
      <c r="L746" s="106"/>
      <c r="M746" s="106"/>
      <c r="N746" s="106"/>
    </row>
    <row r="747" spans="1:14" ht="14.75" customHeight="1" x14ac:dyDescent="0.4">
      <c r="A747" s="96">
        <v>742</v>
      </c>
      <c r="B747" s="101"/>
      <c r="C747" s="102"/>
      <c r="D747" s="103"/>
      <c r="E747" s="235"/>
      <c r="F747" s="104"/>
      <c r="G747" s="104"/>
      <c r="H747" s="105">
        <f t="shared" si="11"/>
        <v>0</v>
      </c>
      <c r="L747" s="106"/>
      <c r="M747" s="106"/>
      <c r="N747" s="106"/>
    </row>
    <row r="748" spans="1:14" ht="14.75" customHeight="1" x14ac:dyDescent="0.4">
      <c r="A748" s="96">
        <v>743</v>
      </c>
      <c r="B748" s="101"/>
      <c r="C748" s="102"/>
      <c r="D748" s="103"/>
      <c r="E748" s="235"/>
      <c r="F748" s="104"/>
      <c r="G748" s="104"/>
      <c r="H748" s="105">
        <f t="shared" si="11"/>
        <v>0</v>
      </c>
      <c r="L748" s="106"/>
      <c r="M748" s="106"/>
      <c r="N748" s="106"/>
    </row>
    <row r="749" spans="1:14" ht="14.75" customHeight="1" x14ac:dyDescent="0.4">
      <c r="A749" s="96">
        <v>744</v>
      </c>
      <c r="B749" s="101"/>
      <c r="C749" s="102"/>
      <c r="D749" s="103"/>
      <c r="E749" s="235"/>
      <c r="F749" s="104"/>
      <c r="G749" s="104"/>
      <c r="H749" s="105">
        <f t="shared" si="11"/>
        <v>0</v>
      </c>
      <c r="L749" s="106"/>
      <c r="M749" s="106"/>
      <c r="N749" s="106"/>
    </row>
    <row r="750" spans="1:14" ht="14.75" customHeight="1" x14ac:dyDescent="0.4">
      <c r="A750" s="96">
        <v>745</v>
      </c>
      <c r="B750" s="101"/>
      <c r="C750" s="102"/>
      <c r="D750" s="103"/>
      <c r="E750" s="235"/>
      <c r="F750" s="104"/>
      <c r="G750" s="104"/>
      <c r="H750" s="105">
        <f t="shared" si="11"/>
        <v>0</v>
      </c>
      <c r="L750" s="106"/>
      <c r="M750" s="106"/>
      <c r="N750" s="106"/>
    </row>
    <row r="751" spans="1:14" ht="14.75" customHeight="1" x14ac:dyDescent="0.4">
      <c r="A751" s="96">
        <v>746</v>
      </c>
      <c r="B751" s="101"/>
      <c r="C751" s="102"/>
      <c r="D751" s="103"/>
      <c r="E751" s="235"/>
      <c r="F751" s="104"/>
      <c r="G751" s="104"/>
      <c r="H751" s="105">
        <f t="shared" si="11"/>
        <v>0</v>
      </c>
      <c r="L751" s="106"/>
      <c r="M751" s="106"/>
      <c r="N751" s="106"/>
    </row>
    <row r="752" spans="1:14" ht="14.75" customHeight="1" x14ac:dyDescent="0.4">
      <c r="A752" s="96">
        <v>747</v>
      </c>
      <c r="B752" s="101"/>
      <c r="C752" s="102"/>
      <c r="D752" s="103"/>
      <c r="E752" s="235"/>
      <c r="F752" s="104"/>
      <c r="G752" s="104"/>
      <c r="H752" s="105">
        <f t="shared" si="11"/>
        <v>0</v>
      </c>
      <c r="L752" s="106"/>
      <c r="M752" s="106"/>
      <c r="N752" s="106"/>
    </row>
    <row r="753" spans="1:14" ht="14.75" customHeight="1" x14ac:dyDescent="0.4">
      <c r="A753" s="96">
        <v>748</v>
      </c>
      <c r="B753" s="101"/>
      <c r="C753" s="102"/>
      <c r="D753" s="103"/>
      <c r="E753" s="235"/>
      <c r="F753" s="104"/>
      <c r="G753" s="104"/>
      <c r="H753" s="105">
        <f t="shared" si="11"/>
        <v>0</v>
      </c>
      <c r="L753" s="106"/>
      <c r="M753" s="106"/>
      <c r="N753" s="106"/>
    </row>
    <row r="754" spans="1:14" ht="14.75" customHeight="1" x14ac:dyDescent="0.4">
      <c r="A754" s="96">
        <v>749</v>
      </c>
      <c r="B754" s="101"/>
      <c r="C754" s="102"/>
      <c r="D754" s="103"/>
      <c r="E754" s="235"/>
      <c r="F754" s="104"/>
      <c r="G754" s="104"/>
      <c r="H754" s="105">
        <f t="shared" si="11"/>
        <v>0</v>
      </c>
      <c r="L754" s="106"/>
      <c r="M754" s="106"/>
      <c r="N754" s="106"/>
    </row>
    <row r="755" spans="1:14" ht="14.75" customHeight="1" x14ac:dyDescent="0.4">
      <c r="A755" s="96">
        <v>750</v>
      </c>
      <c r="B755" s="101"/>
      <c r="C755" s="102"/>
      <c r="D755" s="103"/>
      <c r="E755" s="235"/>
      <c r="F755" s="104"/>
      <c r="G755" s="104"/>
      <c r="H755" s="105">
        <f t="shared" si="11"/>
        <v>0</v>
      </c>
      <c r="L755" s="106"/>
      <c r="M755" s="106"/>
      <c r="N755" s="106"/>
    </row>
    <row r="756" spans="1:14" ht="14.75" customHeight="1" x14ac:dyDescent="0.4">
      <c r="A756" s="96">
        <v>751</v>
      </c>
      <c r="B756" s="101"/>
      <c r="C756" s="102"/>
      <c r="D756" s="103"/>
      <c r="E756" s="235"/>
      <c r="F756" s="104"/>
      <c r="G756" s="104"/>
      <c r="H756" s="105">
        <f t="shared" si="11"/>
        <v>0</v>
      </c>
      <c r="L756" s="106"/>
      <c r="M756" s="106"/>
      <c r="N756" s="106"/>
    </row>
    <row r="757" spans="1:14" ht="14.75" customHeight="1" x14ac:dyDescent="0.4">
      <c r="A757" s="96">
        <v>752</v>
      </c>
      <c r="B757" s="101"/>
      <c r="C757" s="102"/>
      <c r="D757" s="103"/>
      <c r="E757" s="235"/>
      <c r="F757" s="104"/>
      <c r="G757" s="104"/>
      <c r="H757" s="105">
        <f t="shared" si="11"/>
        <v>0</v>
      </c>
      <c r="L757" s="106"/>
      <c r="M757" s="106"/>
      <c r="N757" s="106"/>
    </row>
    <row r="758" spans="1:14" ht="14.75" customHeight="1" x14ac:dyDescent="0.4">
      <c r="A758" s="96">
        <v>753</v>
      </c>
      <c r="B758" s="101"/>
      <c r="C758" s="102"/>
      <c r="D758" s="103"/>
      <c r="E758" s="235"/>
      <c r="F758" s="104"/>
      <c r="G758" s="104"/>
      <c r="H758" s="105">
        <f t="shared" si="11"/>
        <v>0</v>
      </c>
      <c r="L758" s="106"/>
      <c r="M758" s="106"/>
      <c r="N758" s="106"/>
    </row>
    <row r="759" spans="1:14" ht="14.75" customHeight="1" x14ac:dyDescent="0.4">
      <c r="A759" s="96">
        <v>754</v>
      </c>
      <c r="B759" s="101"/>
      <c r="C759" s="102"/>
      <c r="D759" s="103"/>
      <c r="E759" s="235"/>
      <c r="F759" s="104"/>
      <c r="G759" s="104"/>
      <c r="H759" s="105">
        <f t="shared" si="11"/>
        <v>0</v>
      </c>
      <c r="L759" s="106"/>
      <c r="M759" s="106"/>
      <c r="N759" s="106"/>
    </row>
    <row r="760" spans="1:14" ht="14.75" customHeight="1" x14ac:dyDescent="0.4">
      <c r="A760" s="96">
        <v>755</v>
      </c>
      <c r="B760" s="101"/>
      <c r="C760" s="102"/>
      <c r="D760" s="103"/>
      <c r="E760" s="235"/>
      <c r="F760" s="104"/>
      <c r="G760" s="104"/>
      <c r="H760" s="105">
        <f t="shared" si="11"/>
        <v>0</v>
      </c>
      <c r="L760" s="106"/>
      <c r="M760" s="106"/>
      <c r="N760" s="106"/>
    </row>
    <row r="761" spans="1:14" ht="14.75" customHeight="1" x14ac:dyDescent="0.4">
      <c r="A761" s="96">
        <v>756</v>
      </c>
      <c r="B761" s="101"/>
      <c r="C761" s="102"/>
      <c r="D761" s="103"/>
      <c r="E761" s="235"/>
      <c r="F761" s="104"/>
      <c r="G761" s="104"/>
      <c r="H761" s="105">
        <f t="shared" si="11"/>
        <v>0</v>
      </c>
      <c r="L761" s="106"/>
      <c r="M761" s="106"/>
      <c r="N761" s="106"/>
    </row>
    <row r="762" spans="1:14" ht="14.75" customHeight="1" x14ac:dyDescent="0.4">
      <c r="A762" s="96">
        <v>757</v>
      </c>
      <c r="B762" s="101"/>
      <c r="C762" s="102"/>
      <c r="D762" s="103"/>
      <c r="E762" s="235"/>
      <c r="F762" s="104"/>
      <c r="G762" s="104"/>
      <c r="H762" s="105">
        <f t="shared" si="11"/>
        <v>0</v>
      </c>
      <c r="L762" s="106"/>
      <c r="M762" s="106"/>
      <c r="N762" s="106"/>
    </row>
    <row r="763" spans="1:14" ht="14.75" customHeight="1" x14ac:dyDescent="0.4">
      <c r="A763" s="96">
        <v>758</v>
      </c>
      <c r="B763" s="101"/>
      <c r="C763" s="102"/>
      <c r="D763" s="103"/>
      <c r="E763" s="235"/>
      <c r="F763" s="104"/>
      <c r="G763" s="104"/>
      <c r="H763" s="105">
        <f t="shared" si="11"/>
        <v>0</v>
      </c>
      <c r="L763" s="106"/>
      <c r="M763" s="106"/>
      <c r="N763" s="106"/>
    </row>
    <row r="764" spans="1:14" ht="14.75" customHeight="1" x14ac:dyDescent="0.4">
      <c r="A764" s="96">
        <v>759</v>
      </c>
      <c r="B764" s="101"/>
      <c r="C764" s="102"/>
      <c r="D764" s="103"/>
      <c r="E764" s="235"/>
      <c r="F764" s="104"/>
      <c r="G764" s="104"/>
      <c r="H764" s="105">
        <f t="shared" si="11"/>
        <v>0</v>
      </c>
      <c r="L764" s="106"/>
      <c r="M764" s="106"/>
      <c r="N764" s="106"/>
    </row>
    <row r="765" spans="1:14" ht="14.75" customHeight="1" x14ac:dyDescent="0.4">
      <c r="A765" s="96">
        <v>760</v>
      </c>
      <c r="B765" s="101"/>
      <c r="C765" s="102"/>
      <c r="D765" s="103"/>
      <c r="E765" s="235"/>
      <c r="F765" s="104"/>
      <c r="G765" s="104"/>
      <c r="H765" s="105">
        <f t="shared" si="11"/>
        <v>0</v>
      </c>
      <c r="L765" s="106"/>
      <c r="M765" s="106"/>
      <c r="N765" s="106"/>
    </row>
    <row r="766" spans="1:14" ht="14.75" customHeight="1" x14ac:dyDescent="0.4">
      <c r="A766" s="96">
        <v>761</v>
      </c>
      <c r="B766" s="101"/>
      <c r="C766" s="102"/>
      <c r="D766" s="103"/>
      <c r="E766" s="235"/>
      <c r="F766" s="104"/>
      <c r="G766" s="104"/>
      <c r="H766" s="105">
        <f t="shared" si="11"/>
        <v>0</v>
      </c>
      <c r="L766" s="106"/>
      <c r="M766" s="106"/>
      <c r="N766" s="106"/>
    </row>
    <row r="767" spans="1:14" ht="14.75" customHeight="1" x14ac:dyDescent="0.4">
      <c r="A767" s="96">
        <v>762</v>
      </c>
      <c r="B767" s="101"/>
      <c r="C767" s="102"/>
      <c r="D767" s="103"/>
      <c r="E767" s="235"/>
      <c r="F767" s="104"/>
      <c r="G767" s="104"/>
      <c r="H767" s="105">
        <f t="shared" si="11"/>
        <v>0</v>
      </c>
      <c r="L767" s="106"/>
      <c r="M767" s="106"/>
      <c r="N767" s="106"/>
    </row>
    <row r="768" spans="1:14" ht="14.75" customHeight="1" x14ac:dyDescent="0.4">
      <c r="A768" s="96">
        <v>763</v>
      </c>
      <c r="B768" s="101"/>
      <c r="C768" s="102"/>
      <c r="D768" s="103"/>
      <c r="E768" s="235"/>
      <c r="F768" s="104"/>
      <c r="G768" s="104"/>
      <c r="H768" s="105">
        <f t="shared" si="11"/>
        <v>0</v>
      </c>
      <c r="L768" s="106"/>
      <c r="M768" s="106"/>
      <c r="N768" s="106"/>
    </row>
    <row r="769" spans="1:14" ht="14.75" customHeight="1" x14ac:dyDescent="0.4">
      <c r="A769" s="96">
        <v>764</v>
      </c>
      <c r="B769" s="101"/>
      <c r="C769" s="102"/>
      <c r="D769" s="103"/>
      <c r="E769" s="235"/>
      <c r="F769" s="104"/>
      <c r="G769" s="104"/>
      <c r="H769" s="105">
        <f t="shared" si="11"/>
        <v>0</v>
      </c>
      <c r="L769" s="106"/>
      <c r="M769" s="106"/>
      <c r="N769" s="106"/>
    </row>
    <row r="770" spans="1:14" ht="14.75" customHeight="1" x14ac:dyDescent="0.4">
      <c r="A770" s="96">
        <v>765</v>
      </c>
      <c r="B770" s="101"/>
      <c r="C770" s="102"/>
      <c r="D770" s="103"/>
      <c r="E770" s="235"/>
      <c r="F770" s="104"/>
      <c r="G770" s="104"/>
      <c r="H770" s="105">
        <f t="shared" si="11"/>
        <v>0</v>
      </c>
      <c r="L770" s="106"/>
      <c r="M770" s="106"/>
      <c r="N770" s="106"/>
    </row>
    <row r="771" spans="1:14" ht="14.75" customHeight="1" x14ac:dyDescent="0.4">
      <c r="A771" s="96">
        <v>766</v>
      </c>
      <c r="B771" s="101"/>
      <c r="C771" s="102"/>
      <c r="D771" s="103"/>
      <c r="E771" s="235"/>
      <c r="F771" s="104"/>
      <c r="G771" s="104"/>
      <c r="H771" s="105">
        <f t="shared" si="11"/>
        <v>0</v>
      </c>
      <c r="L771" s="106"/>
      <c r="M771" s="106"/>
      <c r="N771" s="106"/>
    </row>
    <row r="772" spans="1:14" ht="14.75" customHeight="1" x14ac:dyDescent="0.4">
      <c r="A772" s="96">
        <v>767</v>
      </c>
      <c r="B772" s="101"/>
      <c r="C772" s="102"/>
      <c r="D772" s="103"/>
      <c r="E772" s="235"/>
      <c r="F772" s="104"/>
      <c r="G772" s="104"/>
      <c r="H772" s="105">
        <f t="shared" si="11"/>
        <v>0</v>
      </c>
      <c r="L772" s="106"/>
      <c r="M772" s="106"/>
      <c r="N772" s="106"/>
    </row>
    <row r="773" spans="1:14" ht="14.75" customHeight="1" x14ac:dyDescent="0.4">
      <c r="A773" s="96">
        <v>768</v>
      </c>
      <c r="B773" s="101"/>
      <c r="C773" s="102"/>
      <c r="D773" s="103"/>
      <c r="E773" s="235"/>
      <c r="F773" s="104"/>
      <c r="G773" s="104"/>
      <c r="H773" s="105">
        <f t="shared" si="11"/>
        <v>0</v>
      </c>
      <c r="L773" s="106"/>
      <c r="M773" s="106"/>
      <c r="N773" s="106"/>
    </row>
    <row r="774" spans="1:14" ht="14.75" customHeight="1" x14ac:dyDescent="0.4">
      <c r="A774" s="96">
        <v>769</v>
      </c>
      <c r="B774" s="101"/>
      <c r="C774" s="102"/>
      <c r="D774" s="103"/>
      <c r="E774" s="235"/>
      <c r="F774" s="104"/>
      <c r="G774" s="104"/>
      <c r="H774" s="105">
        <f t="shared" si="11"/>
        <v>0</v>
      </c>
      <c r="L774" s="106"/>
      <c r="M774" s="106"/>
      <c r="N774" s="106"/>
    </row>
    <row r="775" spans="1:14" ht="14.75" customHeight="1" x14ac:dyDescent="0.4">
      <c r="A775" s="96">
        <v>770</v>
      </c>
      <c r="B775" s="101"/>
      <c r="C775" s="102"/>
      <c r="D775" s="103"/>
      <c r="E775" s="235"/>
      <c r="F775" s="104"/>
      <c r="G775" s="104"/>
      <c r="H775" s="105">
        <f t="shared" si="11"/>
        <v>0</v>
      </c>
      <c r="L775" s="106"/>
      <c r="M775" s="106"/>
      <c r="N775" s="106"/>
    </row>
    <row r="776" spans="1:14" ht="14.75" customHeight="1" x14ac:dyDescent="0.4">
      <c r="A776" s="96">
        <v>771</v>
      </c>
      <c r="B776" s="101"/>
      <c r="C776" s="102"/>
      <c r="D776" s="103"/>
      <c r="E776" s="235"/>
      <c r="F776" s="104"/>
      <c r="G776" s="104"/>
      <c r="H776" s="105">
        <f t="shared" si="11"/>
        <v>0</v>
      </c>
      <c r="L776" s="106"/>
      <c r="M776" s="106"/>
      <c r="N776" s="106"/>
    </row>
    <row r="777" spans="1:14" ht="14.75" customHeight="1" x14ac:dyDescent="0.4">
      <c r="A777" s="96">
        <v>772</v>
      </c>
      <c r="B777" s="101"/>
      <c r="C777" s="102"/>
      <c r="D777" s="103"/>
      <c r="E777" s="235"/>
      <c r="F777" s="104"/>
      <c r="G777" s="104"/>
      <c r="H777" s="105">
        <f t="shared" ref="H777:H840" si="12">H776+F777-G777</f>
        <v>0</v>
      </c>
      <c r="L777" s="106"/>
      <c r="M777" s="106"/>
      <c r="N777" s="106"/>
    </row>
    <row r="778" spans="1:14" ht="14.75" customHeight="1" x14ac:dyDescent="0.4">
      <c r="A778" s="96">
        <v>773</v>
      </c>
      <c r="B778" s="101"/>
      <c r="C778" s="102"/>
      <c r="D778" s="103"/>
      <c r="E778" s="235"/>
      <c r="F778" s="104"/>
      <c r="G778" s="104"/>
      <c r="H778" s="105">
        <f t="shared" si="12"/>
        <v>0</v>
      </c>
      <c r="L778" s="106"/>
      <c r="M778" s="106"/>
      <c r="N778" s="106"/>
    </row>
    <row r="779" spans="1:14" ht="14.75" customHeight="1" x14ac:dyDescent="0.4">
      <c r="A779" s="96">
        <v>774</v>
      </c>
      <c r="B779" s="101"/>
      <c r="C779" s="102"/>
      <c r="D779" s="103"/>
      <c r="E779" s="235"/>
      <c r="F779" s="104"/>
      <c r="G779" s="104"/>
      <c r="H779" s="105">
        <f t="shared" si="12"/>
        <v>0</v>
      </c>
      <c r="L779" s="106"/>
      <c r="M779" s="106"/>
      <c r="N779" s="106"/>
    </row>
    <row r="780" spans="1:14" ht="14.75" customHeight="1" x14ac:dyDescent="0.4">
      <c r="A780" s="96">
        <v>775</v>
      </c>
      <c r="B780" s="101"/>
      <c r="C780" s="102"/>
      <c r="D780" s="103"/>
      <c r="E780" s="235"/>
      <c r="F780" s="104"/>
      <c r="G780" s="104"/>
      <c r="H780" s="105">
        <f t="shared" si="12"/>
        <v>0</v>
      </c>
      <c r="L780" s="106"/>
      <c r="M780" s="106"/>
      <c r="N780" s="106"/>
    </row>
    <row r="781" spans="1:14" ht="14.75" customHeight="1" x14ac:dyDescent="0.4">
      <c r="A781" s="96">
        <v>776</v>
      </c>
      <c r="B781" s="101"/>
      <c r="C781" s="102"/>
      <c r="D781" s="103"/>
      <c r="E781" s="235"/>
      <c r="F781" s="104"/>
      <c r="G781" s="104"/>
      <c r="H781" s="105">
        <f t="shared" si="12"/>
        <v>0</v>
      </c>
      <c r="L781" s="106"/>
      <c r="M781" s="106"/>
      <c r="N781" s="106"/>
    </row>
    <row r="782" spans="1:14" ht="14.75" customHeight="1" x14ac:dyDescent="0.4">
      <c r="A782" s="96">
        <v>777</v>
      </c>
      <c r="B782" s="101"/>
      <c r="C782" s="102"/>
      <c r="D782" s="103"/>
      <c r="E782" s="235"/>
      <c r="F782" s="104"/>
      <c r="G782" s="104"/>
      <c r="H782" s="105">
        <f t="shared" si="12"/>
        <v>0</v>
      </c>
      <c r="L782" s="106"/>
      <c r="M782" s="106"/>
      <c r="N782" s="106"/>
    </row>
    <row r="783" spans="1:14" ht="14.75" customHeight="1" x14ac:dyDescent="0.4">
      <c r="A783" s="96">
        <v>778</v>
      </c>
      <c r="B783" s="101"/>
      <c r="C783" s="102"/>
      <c r="D783" s="103"/>
      <c r="E783" s="235"/>
      <c r="F783" s="104"/>
      <c r="G783" s="104"/>
      <c r="H783" s="105">
        <f t="shared" si="12"/>
        <v>0</v>
      </c>
      <c r="L783" s="106"/>
      <c r="M783" s="106"/>
      <c r="N783" s="106"/>
    </row>
    <row r="784" spans="1:14" ht="14.75" customHeight="1" x14ac:dyDescent="0.4">
      <c r="A784" s="96">
        <v>779</v>
      </c>
      <c r="B784" s="101"/>
      <c r="C784" s="102"/>
      <c r="D784" s="103"/>
      <c r="E784" s="235"/>
      <c r="F784" s="104"/>
      <c r="G784" s="104"/>
      <c r="H784" s="105">
        <f t="shared" si="12"/>
        <v>0</v>
      </c>
      <c r="L784" s="106"/>
      <c r="M784" s="106"/>
      <c r="N784" s="106"/>
    </row>
    <row r="785" spans="1:14" ht="14.75" customHeight="1" x14ac:dyDescent="0.4">
      <c r="A785" s="96">
        <v>780</v>
      </c>
      <c r="B785" s="101"/>
      <c r="C785" s="102"/>
      <c r="D785" s="103"/>
      <c r="E785" s="235"/>
      <c r="F785" s="104"/>
      <c r="G785" s="104"/>
      <c r="H785" s="105">
        <f t="shared" si="12"/>
        <v>0</v>
      </c>
      <c r="L785" s="106"/>
      <c r="M785" s="106"/>
      <c r="N785" s="106"/>
    </row>
    <row r="786" spans="1:14" ht="14.75" customHeight="1" x14ac:dyDescent="0.4">
      <c r="A786" s="96">
        <v>781</v>
      </c>
      <c r="B786" s="101"/>
      <c r="C786" s="102"/>
      <c r="D786" s="103"/>
      <c r="E786" s="235"/>
      <c r="F786" s="104"/>
      <c r="G786" s="104"/>
      <c r="H786" s="105">
        <f t="shared" si="12"/>
        <v>0</v>
      </c>
      <c r="L786" s="106"/>
      <c r="M786" s="106"/>
      <c r="N786" s="106"/>
    </row>
    <row r="787" spans="1:14" ht="14.75" customHeight="1" x14ac:dyDescent="0.4">
      <c r="A787" s="96">
        <v>782</v>
      </c>
      <c r="B787" s="101"/>
      <c r="C787" s="102"/>
      <c r="D787" s="103"/>
      <c r="E787" s="235"/>
      <c r="F787" s="104"/>
      <c r="G787" s="104"/>
      <c r="H787" s="105">
        <f t="shared" si="12"/>
        <v>0</v>
      </c>
      <c r="L787" s="106"/>
      <c r="M787" s="106"/>
      <c r="N787" s="106"/>
    </row>
    <row r="788" spans="1:14" ht="14.75" customHeight="1" x14ac:dyDescent="0.4">
      <c r="A788" s="96">
        <v>783</v>
      </c>
      <c r="B788" s="101"/>
      <c r="C788" s="102"/>
      <c r="D788" s="103"/>
      <c r="E788" s="235"/>
      <c r="F788" s="104"/>
      <c r="G788" s="104"/>
      <c r="H788" s="105">
        <f t="shared" si="12"/>
        <v>0</v>
      </c>
      <c r="L788" s="106"/>
      <c r="M788" s="106"/>
      <c r="N788" s="106"/>
    </row>
    <row r="789" spans="1:14" ht="14.75" customHeight="1" x14ac:dyDescent="0.4">
      <c r="A789" s="96">
        <v>784</v>
      </c>
      <c r="B789" s="101"/>
      <c r="C789" s="102"/>
      <c r="D789" s="103"/>
      <c r="E789" s="235"/>
      <c r="F789" s="104"/>
      <c r="G789" s="104"/>
      <c r="H789" s="105">
        <f t="shared" si="12"/>
        <v>0</v>
      </c>
      <c r="L789" s="106"/>
      <c r="M789" s="106"/>
      <c r="N789" s="106"/>
    </row>
    <row r="790" spans="1:14" ht="14.75" customHeight="1" x14ac:dyDescent="0.4">
      <c r="A790" s="96">
        <v>785</v>
      </c>
      <c r="B790" s="101"/>
      <c r="C790" s="102"/>
      <c r="D790" s="103"/>
      <c r="E790" s="235"/>
      <c r="F790" s="104"/>
      <c r="G790" s="104"/>
      <c r="H790" s="105">
        <f t="shared" si="12"/>
        <v>0</v>
      </c>
      <c r="L790" s="106"/>
      <c r="M790" s="106"/>
      <c r="N790" s="106"/>
    </row>
    <row r="791" spans="1:14" ht="14.75" customHeight="1" x14ac:dyDescent="0.4">
      <c r="A791" s="96">
        <v>786</v>
      </c>
      <c r="B791" s="101"/>
      <c r="C791" s="102"/>
      <c r="D791" s="103"/>
      <c r="E791" s="235"/>
      <c r="F791" s="104"/>
      <c r="G791" s="104"/>
      <c r="H791" s="105">
        <f t="shared" si="12"/>
        <v>0</v>
      </c>
      <c r="L791" s="106"/>
      <c r="M791" s="106"/>
      <c r="N791" s="106"/>
    </row>
    <row r="792" spans="1:14" ht="14.75" customHeight="1" x14ac:dyDescent="0.4">
      <c r="A792" s="96">
        <v>787</v>
      </c>
      <c r="B792" s="101"/>
      <c r="C792" s="102"/>
      <c r="D792" s="103"/>
      <c r="E792" s="235"/>
      <c r="F792" s="104"/>
      <c r="G792" s="104"/>
      <c r="H792" s="105">
        <f t="shared" si="12"/>
        <v>0</v>
      </c>
      <c r="L792" s="106"/>
      <c r="M792" s="106"/>
      <c r="N792" s="106"/>
    </row>
    <row r="793" spans="1:14" ht="14.75" customHeight="1" x14ac:dyDescent="0.4">
      <c r="A793" s="96">
        <v>788</v>
      </c>
      <c r="B793" s="101"/>
      <c r="C793" s="102"/>
      <c r="D793" s="103"/>
      <c r="E793" s="235"/>
      <c r="F793" s="104"/>
      <c r="G793" s="104"/>
      <c r="H793" s="105">
        <f t="shared" si="12"/>
        <v>0</v>
      </c>
      <c r="L793" s="106"/>
      <c r="M793" s="106"/>
      <c r="N793" s="106"/>
    </row>
    <row r="794" spans="1:14" ht="14.75" customHeight="1" x14ac:dyDescent="0.4">
      <c r="A794" s="96">
        <v>789</v>
      </c>
      <c r="B794" s="101"/>
      <c r="C794" s="102"/>
      <c r="D794" s="103"/>
      <c r="E794" s="235"/>
      <c r="F794" s="104"/>
      <c r="G794" s="104"/>
      <c r="H794" s="105">
        <f t="shared" si="12"/>
        <v>0</v>
      </c>
      <c r="L794" s="106"/>
      <c r="M794" s="106"/>
      <c r="N794" s="106"/>
    </row>
    <row r="795" spans="1:14" ht="14.75" customHeight="1" x14ac:dyDescent="0.4">
      <c r="A795" s="96">
        <v>790</v>
      </c>
      <c r="B795" s="101"/>
      <c r="C795" s="102"/>
      <c r="D795" s="103"/>
      <c r="E795" s="235"/>
      <c r="F795" s="104"/>
      <c r="G795" s="104"/>
      <c r="H795" s="105">
        <f t="shared" si="12"/>
        <v>0</v>
      </c>
      <c r="J795" s="107"/>
      <c r="L795" s="106"/>
      <c r="M795" s="106"/>
      <c r="N795" s="106"/>
    </row>
    <row r="796" spans="1:14" ht="14.75" customHeight="1" x14ac:dyDescent="0.4">
      <c r="A796" s="96">
        <v>791</v>
      </c>
      <c r="B796" s="101"/>
      <c r="C796" s="102"/>
      <c r="D796" s="103"/>
      <c r="E796" s="235"/>
      <c r="F796" s="104"/>
      <c r="G796" s="104"/>
      <c r="H796" s="105">
        <f t="shared" si="12"/>
        <v>0</v>
      </c>
      <c r="J796" s="107"/>
      <c r="L796" s="106"/>
      <c r="M796" s="106"/>
      <c r="N796" s="106"/>
    </row>
    <row r="797" spans="1:14" ht="14.75" customHeight="1" x14ac:dyDescent="0.4">
      <c r="A797" s="96">
        <v>792</v>
      </c>
      <c r="B797" s="101"/>
      <c r="C797" s="102"/>
      <c r="D797" s="103"/>
      <c r="E797" s="235"/>
      <c r="F797" s="104"/>
      <c r="G797" s="104"/>
      <c r="H797" s="105">
        <f t="shared" si="12"/>
        <v>0</v>
      </c>
      <c r="J797" s="107"/>
      <c r="L797" s="106"/>
      <c r="M797" s="106"/>
      <c r="N797" s="106"/>
    </row>
    <row r="798" spans="1:14" ht="14.75" customHeight="1" x14ac:dyDescent="0.4">
      <c r="A798" s="96">
        <v>793</v>
      </c>
      <c r="B798" s="101"/>
      <c r="C798" s="102"/>
      <c r="D798" s="103"/>
      <c r="E798" s="235"/>
      <c r="F798" s="104"/>
      <c r="G798" s="104"/>
      <c r="H798" s="105">
        <f t="shared" si="12"/>
        <v>0</v>
      </c>
      <c r="J798" s="107"/>
      <c r="L798" s="106"/>
      <c r="M798" s="106"/>
      <c r="N798" s="106"/>
    </row>
    <row r="799" spans="1:14" ht="14.75" customHeight="1" x14ac:dyDescent="0.4">
      <c r="A799" s="96">
        <v>794</v>
      </c>
      <c r="B799" s="101"/>
      <c r="C799" s="102"/>
      <c r="D799" s="103"/>
      <c r="E799" s="235"/>
      <c r="F799" s="104"/>
      <c r="G799" s="104"/>
      <c r="H799" s="105">
        <f t="shared" si="12"/>
        <v>0</v>
      </c>
      <c r="J799" s="107"/>
      <c r="L799" s="106"/>
      <c r="M799" s="106"/>
      <c r="N799" s="106"/>
    </row>
    <row r="800" spans="1:14" ht="14.75" customHeight="1" x14ac:dyDescent="0.4">
      <c r="A800" s="96">
        <v>795</v>
      </c>
      <c r="B800" s="101"/>
      <c r="C800" s="102"/>
      <c r="D800" s="103"/>
      <c r="E800" s="235"/>
      <c r="F800" s="104"/>
      <c r="G800" s="104"/>
      <c r="H800" s="105">
        <f t="shared" si="12"/>
        <v>0</v>
      </c>
      <c r="J800" s="107"/>
      <c r="L800" s="106"/>
      <c r="M800" s="106"/>
      <c r="N800" s="106"/>
    </row>
    <row r="801" spans="1:14" ht="14.75" customHeight="1" x14ac:dyDescent="0.4">
      <c r="A801" s="96">
        <v>796</v>
      </c>
      <c r="B801" s="101"/>
      <c r="C801" s="102"/>
      <c r="D801" s="103"/>
      <c r="E801" s="235"/>
      <c r="F801" s="104"/>
      <c r="G801" s="104"/>
      <c r="H801" s="105">
        <f t="shared" si="12"/>
        <v>0</v>
      </c>
      <c r="J801" s="107"/>
      <c r="L801" s="106"/>
      <c r="M801" s="106"/>
      <c r="N801" s="106"/>
    </row>
    <row r="802" spans="1:14" ht="14.75" customHeight="1" x14ac:dyDescent="0.4">
      <c r="A802" s="96">
        <v>797</v>
      </c>
      <c r="B802" s="101"/>
      <c r="C802" s="102"/>
      <c r="D802" s="103"/>
      <c r="E802" s="235"/>
      <c r="F802" s="104"/>
      <c r="G802" s="104"/>
      <c r="H802" s="105">
        <f t="shared" si="12"/>
        <v>0</v>
      </c>
      <c r="J802" s="107"/>
      <c r="L802" s="106"/>
      <c r="M802" s="106"/>
      <c r="N802" s="106"/>
    </row>
    <row r="803" spans="1:14" ht="14.75" customHeight="1" x14ac:dyDescent="0.4">
      <c r="A803" s="96">
        <v>798</v>
      </c>
      <c r="B803" s="101"/>
      <c r="C803" s="102"/>
      <c r="D803" s="103"/>
      <c r="E803" s="235"/>
      <c r="F803" s="104"/>
      <c r="G803" s="104"/>
      <c r="H803" s="105">
        <f t="shared" si="12"/>
        <v>0</v>
      </c>
      <c r="J803" s="107"/>
      <c r="L803" s="106"/>
      <c r="M803" s="106"/>
      <c r="N803" s="106"/>
    </row>
    <row r="804" spans="1:14" ht="14.75" customHeight="1" x14ac:dyDescent="0.4">
      <c r="A804" s="96">
        <v>799</v>
      </c>
      <c r="B804" s="101"/>
      <c r="C804" s="102"/>
      <c r="D804" s="103"/>
      <c r="E804" s="235"/>
      <c r="F804" s="104"/>
      <c r="G804" s="104"/>
      <c r="H804" s="105">
        <f t="shared" si="12"/>
        <v>0</v>
      </c>
      <c r="J804" s="107"/>
      <c r="L804" s="106"/>
      <c r="M804" s="106"/>
      <c r="N804" s="106"/>
    </row>
    <row r="805" spans="1:14" ht="14.75" customHeight="1" x14ac:dyDescent="0.4">
      <c r="A805" s="96">
        <v>800</v>
      </c>
      <c r="B805" s="101"/>
      <c r="C805" s="102"/>
      <c r="D805" s="103"/>
      <c r="E805" s="235"/>
      <c r="F805" s="104"/>
      <c r="G805" s="104"/>
      <c r="H805" s="105">
        <f t="shared" si="12"/>
        <v>0</v>
      </c>
      <c r="J805" s="107"/>
      <c r="L805" s="106"/>
      <c r="M805" s="106"/>
      <c r="N805" s="106"/>
    </row>
    <row r="806" spans="1:14" ht="14.75" customHeight="1" x14ac:dyDescent="0.4">
      <c r="A806" s="96">
        <v>801</v>
      </c>
      <c r="B806" s="101"/>
      <c r="C806" s="102"/>
      <c r="D806" s="108"/>
      <c r="E806" s="235"/>
      <c r="F806" s="104"/>
      <c r="G806" s="104"/>
      <c r="H806" s="105">
        <f t="shared" si="12"/>
        <v>0</v>
      </c>
      <c r="J806" s="107"/>
      <c r="L806" s="106"/>
      <c r="M806" s="106"/>
      <c r="N806" s="106"/>
    </row>
    <row r="807" spans="1:14" ht="14.75" customHeight="1" x14ac:dyDescent="0.4">
      <c r="A807" s="96">
        <v>802</v>
      </c>
      <c r="B807" s="101"/>
      <c r="C807" s="102"/>
      <c r="D807" s="108"/>
      <c r="E807" s="235"/>
      <c r="F807" s="104"/>
      <c r="G807" s="104"/>
      <c r="H807" s="105">
        <f t="shared" si="12"/>
        <v>0</v>
      </c>
      <c r="L807" s="106"/>
      <c r="M807" s="106"/>
      <c r="N807" s="106"/>
    </row>
    <row r="808" spans="1:14" ht="14.75" customHeight="1" x14ac:dyDescent="0.4">
      <c r="A808" s="96">
        <v>803</v>
      </c>
      <c r="B808" s="101"/>
      <c r="C808" s="102"/>
      <c r="D808" s="108"/>
      <c r="E808" s="235"/>
      <c r="F808" s="104"/>
      <c r="G808" s="104"/>
      <c r="H808" s="105">
        <f t="shared" si="12"/>
        <v>0</v>
      </c>
      <c r="L808" s="106"/>
      <c r="M808" s="106"/>
      <c r="N808" s="106"/>
    </row>
    <row r="809" spans="1:14" ht="14.75" customHeight="1" x14ac:dyDescent="0.4">
      <c r="A809" s="96">
        <v>804</v>
      </c>
      <c r="B809" s="101"/>
      <c r="C809" s="102"/>
      <c r="D809" s="108"/>
      <c r="E809" s="235"/>
      <c r="F809" s="104"/>
      <c r="G809" s="104"/>
      <c r="H809" s="105">
        <f t="shared" si="12"/>
        <v>0</v>
      </c>
      <c r="L809" s="106"/>
      <c r="M809" s="106"/>
      <c r="N809" s="106"/>
    </row>
    <row r="810" spans="1:14" ht="14.75" customHeight="1" x14ac:dyDescent="0.4">
      <c r="A810" s="96">
        <v>805</v>
      </c>
      <c r="B810" s="101"/>
      <c r="C810" s="102"/>
      <c r="D810" s="108"/>
      <c r="E810" s="235"/>
      <c r="F810" s="104"/>
      <c r="G810" s="104"/>
      <c r="H810" s="105">
        <f t="shared" si="12"/>
        <v>0</v>
      </c>
      <c r="L810" s="106"/>
      <c r="M810" s="106"/>
      <c r="N810" s="106"/>
    </row>
    <row r="811" spans="1:14" ht="14.75" customHeight="1" x14ac:dyDescent="0.4">
      <c r="A811" s="96">
        <v>806</v>
      </c>
      <c r="B811" s="101"/>
      <c r="C811" s="102"/>
      <c r="D811" s="108"/>
      <c r="E811" s="235"/>
      <c r="F811" s="104"/>
      <c r="G811" s="104"/>
      <c r="H811" s="105">
        <f t="shared" si="12"/>
        <v>0</v>
      </c>
      <c r="L811" s="106"/>
      <c r="M811" s="106"/>
      <c r="N811" s="106"/>
    </row>
    <row r="812" spans="1:14" ht="14.75" customHeight="1" x14ac:dyDescent="0.4">
      <c r="A812" s="96">
        <v>807</v>
      </c>
      <c r="B812" s="101"/>
      <c r="C812" s="102"/>
      <c r="D812" s="108"/>
      <c r="E812" s="235"/>
      <c r="F812" s="104"/>
      <c r="G812" s="104"/>
      <c r="H812" s="105">
        <f t="shared" si="12"/>
        <v>0</v>
      </c>
      <c r="L812" s="106"/>
      <c r="M812" s="106"/>
      <c r="N812" s="106"/>
    </row>
    <row r="813" spans="1:14" ht="14.75" customHeight="1" x14ac:dyDescent="0.4">
      <c r="A813" s="96">
        <v>808</v>
      </c>
      <c r="B813" s="101"/>
      <c r="C813" s="102"/>
      <c r="D813" s="108"/>
      <c r="E813" s="235"/>
      <c r="F813" s="104"/>
      <c r="G813" s="104"/>
      <c r="H813" s="105">
        <f t="shared" si="12"/>
        <v>0</v>
      </c>
      <c r="L813" s="106"/>
      <c r="M813" s="106"/>
      <c r="N813" s="106"/>
    </row>
    <row r="814" spans="1:14" ht="14.75" customHeight="1" x14ac:dyDescent="0.4">
      <c r="A814" s="96">
        <v>809</v>
      </c>
      <c r="B814" s="101"/>
      <c r="C814" s="102"/>
      <c r="D814" s="108"/>
      <c r="E814" s="235"/>
      <c r="F814" s="104"/>
      <c r="G814" s="104"/>
      <c r="H814" s="105">
        <f t="shared" si="12"/>
        <v>0</v>
      </c>
      <c r="L814" s="106"/>
      <c r="M814" s="106"/>
      <c r="N814" s="106"/>
    </row>
    <row r="815" spans="1:14" ht="14.75" customHeight="1" x14ac:dyDescent="0.4">
      <c r="A815" s="96">
        <v>810</v>
      </c>
      <c r="B815" s="101"/>
      <c r="C815" s="102"/>
      <c r="D815" s="108"/>
      <c r="E815" s="235"/>
      <c r="F815" s="104"/>
      <c r="G815" s="104"/>
      <c r="H815" s="105">
        <f t="shared" si="12"/>
        <v>0</v>
      </c>
      <c r="J815" s="109"/>
      <c r="L815" s="106"/>
      <c r="M815" s="106"/>
      <c r="N815" s="106"/>
    </row>
    <row r="816" spans="1:14" ht="14.75" customHeight="1" x14ac:dyDescent="0.4">
      <c r="A816" s="96">
        <v>811</v>
      </c>
      <c r="B816" s="101"/>
      <c r="C816" s="102"/>
      <c r="D816" s="108"/>
      <c r="E816" s="235"/>
      <c r="F816" s="104"/>
      <c r="G816" s="104"/>
      <c r="H816" s="105">
        <f t="shared" si="12"/>
        <v>0</v>
      </c>
      <c r="L816" s="106"/>
      <c r="M816" s="106"/>
      <c r="N816" s="106"/>
    </row>
    <row r="817" spans="1:14" ht="14.75" customHeight="1" x14ac:dyDescent="0.4">
      <c r="A817" s="96">
        <v>812</v>
      </c>
      <c r="B817" s="101"/>
      <c r="C817" s="102"/>
      <c r="D817" s="108"/>
      <c r="E817" s="235"/>
      <c r="F817" s="104"/>
      <c r="G817" s="104"/>
      <c r="H817" s="105">
        <f t="shared" si="12"/>
        <v>0</v>
      </c>
      <c r="L817" s="106"/>
      <c r="M817" s="106"/>
      <c r="N817" s="106"/>
    </row>
    <row r="818" spans="1:14" ht="14.75" customHeight="1" x14ac:dyDescent="0.4">
      <c r="A818" s="96">
        <v>813</v>
      </c>
      <c r="B818" s="101"/>
      <c r="C818" s="102"/>
      <c r="D818" s="108"/>
      <c r="E818" s="235"/>
      <c r="F818" s="104"/>
      <c r="G818" s="104"/>
      <c r="H818" s="105">
        <f t="shared" si="12"/>
        <v>0</v>
      </c>
      <c r="L818" s="106"/>
      <c r="M818" s="106"/>
      <c r="N818" s="106"/>
    </row>
    <row r="819" spans="1:14" ht="14.75" customHeight="1" x14ac:dyDescent="0.4">
      <c r="A819" s="96">
        <v>814</v>
      </c>
      <c r="B819" s="101"/>
      <c r="C819" s="102"/>
      <c r="D819" s="103"/>
      <c r="E819" s="235"/>
      <c r="F819" s="104"/>
      <c r="G819" s="104"/>
      <c r="H819" s="105">
        <f t="shared" si="12"/>
        <v>0</v>
      </c>
      <c r="L819" s="106"/>
      <c r="M819" s="106"/>
      <c r="N819" s="106"/>
    </row>
    <row r="820" spans="1:14" ht="14.75" customHeight="1" x14ac:dyDescent="0.4">
      <c r="A820" s="96">
        <v>815</v>
      </c>
      <c r="B820" s="101"/>
      <c r="C820" s="102"/>
      <c r="D820" s="103"/>
      <c r="E820" s="235"/>
      <c r="F820" s="104"/>
      <c r="G820" s="104"/>
      <c r="H820" s="105">
        <f t="shared" si="12"/>
        <v>0</v>
      </c>
      <c r="L820" s="106"/>
      <c r="M820" s="106"/>
      <c r="N820" s="106"/>
    </row>
    <row r="821" spans="1:14" ht="14.75" customHeight="1" x14ac:dyDescent="0.4">
      <c r="A821" s="96">
        <v>816</v>
      </c>
      <c r="B821" s="101"/>
      <c r="C821" s="102"/>
      <c r="D821" s="108"/>
      <c r="E821" s="235"/>
      <c r="F821" s="104"/>
      <c r="G821" s="104"/>
      <c r="H821" s="105">
        <f t="shared" si="12"/>
        <v>0</v>
      </c>
      <c r="L821" s="106"/>
      <c r="M821" s="106"/>
      <c r="N821" s="106"/>
    </row>
    <row r="822" spans="1:14" ht="14.75" customHeight="1" x14ac:dyDescent="0.4">
      <c r="A822" s="96">
        <v>817</v>
      </c>
      <c r="B822" s="101"/>
      <c r="C822" s="102"/>
      <c r="D822" s="103"/>
      <c r="E822" s="235"/>
      <c r="F822" s="104"/>
      <c r="G822" s="104"/>
      <c r="H822" s="105">
        <f t="shared" si="12"/>
        <v>0</v>
      </c>
      <c r="L822" s="106"/>
      <c r="M822" s="106"/>
      <c r="N822" s="106"/>
    </row>
    <row r="823" spans="1:14" ht="14.75" customHeight="1" x14ac:dyDescent="0.4">
      <c r="A823" s="96">
        <v>818</v>
      </c>
      <c r="B823" s="101"/>
      <c r="C823" s="102"/>
      <c r="D823" s="103"/>
      <c r="E823" s="235"/>
      <c r="F823" s="104"/>
      <c r="G823" s="104"/>
      <c r="H823" s="105">
        <f t="shared" si="12"/>
        <v>0</v>
      </c>
      <c r="L823" s="106"/>
      <c r="M823" s="106"/>
      <c r="N823" s="106"/>
    </row>
    <row r="824" spans="1:14" ht="14.75" customHeight="1" x14ac:dyDescent="0.4">
      <c r="A824" s="96">
        <v>819</v>
      </c>
      <c r="B824" s="101"/>
      <c r="C824" s="102"/>
      <c r="D824" s="103"/>
      <c r="E824" s="235"/>
      <c r="F824" s="104"/>
      <c r="G824" s="104"/>
      <c r="H824" s="105">
        <f t="shared" si="12"/>
        <v>0</v>
      </c>
      <c r="L824" s="106"/>
      <c r="M824" s="106"/>
      <c r="N824" s="106"/>
    </row>
    <row r="825" spans="1:14" ht="14.75" customHeight="1" x14ac:dyDescent="0.4">
      <c r="A825" s="96">
        <v>820</v>
      </c>
      <c r="B825" s="101"/>
      <c r="C825" s="102"/>
      <c r="D825" s="103"/>
      <c r="E825" s="235"/>
      <c r="F825" s="104"/>
      <c r="G825" s="104"/>
      <c r="H825" s="105">
        <f t="shared" si="12"/>
        <v>0</v>
      </c>
      <c r="L825" s="106"/>
      <c r="M825" s="106"/>
      <c r="N825" s="106"/>
    </row>
    <row r="826" spans="1:14" ht="14.75" customHeight="1" x14ac:dyDescent="0.4">
      <c r="A826" s="96">
        <v>821</v>
      </c>
      <c r="B826" s="101"/>
      <c r="C826" s="102"/>
      <c r="D826" s="103"/>
      <c r="E826" s="235"/>
      <c r="F826" s="104"/>
      <c r="G826" s="104"/>
      <c r="H826" s="105">
        <f t="shared" si="12"/>
        <v>0</v>
      </c>
      <c r="L826" s="106"/>
      <c r="M826" s="106"/>
      <c r="N826" s="106"/>
    </row>
    <row r="827" spans="1:14" ht="14.75" customHeight="1" x14ac:dyDescent="0.4">
      <c r="A827" s="96">
        <v>822</v>
      </c>
      <c r="B827" s="101"/>
      <c r="C827" s="102"/>
      <c r="D827" s="103"/>
      <c r="E827" s="235"/>
      <c r="F827" s="104"/>
      <c r="G827" s="104"/>
      <c r="H827" s="105">
        <f t="shared" si="12"/>
        <v>0</v>
      </c>
      <c r="L827" s="106"/>
      <c r="M827" s="106"/>
      <c r="N827" s="106"/>
    </row>
    <row r="828" spans="1:14" ht="14.75" customHeight="1" x14ac:dyDescent="0.4">
      <c r="A828" s="96">
        <v>823</v>
      </c>
      <c r="B828" s="101"/>
      <c r="C828" s="102"/>
      <c r="D828" s="103"/>
      <c r="E828" s="235"/>
      <c r="F828" s="104"/>
      <c r="G828" s="104"/>
      <c r="H828" s="105">
        <f t="shared" si="12"/>
        <v>0</v>
      </c>
      <c r="L828" s="106"/>
      <c r="M828" s="106"/>
      <c r="N828" s="106"/>
    </row>
    <row r="829" spans="1:14" ht="14.75" customHeight="1" x14ac:dyDescent="0.4">
      <c r="A829" s="96">
        <v>824</v>
      </c>
      <c r="B829" s="101"/>
      <c r="C829" s="102"/>
      <c r="D829" s="103"/>
      <c r="E829" s="235"/>
      <c r="F829" s="104"/>
      <c r="G829" s="104"/>
      <c r="H829" s="105">
        <f t="shared" si="12"/>
        <v>0</v>
      </c>
      <c r="L829" s="106"/>
      <c r="M829" s="106"/>
      <c r="N829" s="106"/>
    </row>
    <row r="830" spans="1:14" ht="14.75" customHeight="1" x14ac:dyDescent="0.4">
      <c r="A830" s="96">
        <v>825</v>
      </c>
      <c r="B830" s="101"/>
      <c r="C830" s="102"/>
      <c r="D830" s="103"/>
      <c r="E830" s="235"/>
      <c r="F830" s="104"/>
      <c r="G830" s="104"/>
      <c r="H830" s="105">
        <f t="shared" si="12"/>
        <v>0</v>
      </c>
      <c r="L830" s="106"/>
      <c r="M830" s="106"/>
      <c r="N830" s="106"/>
    </row>
    <row r="831" spans="1:14" ht="14.75" customHeight="1" x14ac:dyDescent="0.4">
      <c r="A831" s="96">
        <v>826</v>
      </c>
      <c r="B831" s="101"/>
      <c r="C831" s="102"/>
      <c r="D831" s="103"/>
      <c r="E831" s="235"/>
      <c r="F831" s="104"/>
      <c r="G831" s="110"/>
      <c r="H831" s="105">
        <f t="shared" si="12"/>
        <v>0</v>
      </c>
      <c r="L831" s="106"/>
      <c r="M831" s="106"/>
      <c r="N831" s="106"/>
    </row>
    <row r="832" spans="1:14" ht="14.75" customHeight="1" x14ac:dyDescent="0.4">
      <c r="A832" s="96">
        <v>827</v>
      </c>
      <c r="B832" s="101"/>
      <c r="C832" s="102"/>
      <c r="D832" s="103"/>
      <c r="E832" s="235"/>
      <c r="F832" s="104"/>
      <c r="G832" s="104"/>
      <c r="H832" s="105">
        <f t="shared" si="12"/>
        <v>0</v>
      </c>
      <c r="L832" s="106"/>
      <c r="M832" s="106"/>
      <c r="N832" s="106"/>
    </row>
    <row r="833" spans="1:14" ht="14.75" customHeight="1" x14ac:dyDescent="0.4">
      <c r="A833" s="96">
        <v>828</v>
      </c>
      <c r="B833" s="101"/>
      <c r="C833" s="102"/>
      <c r="D833" s="103"/>
      <c r="E833" s="235"/>
      <c r="F833" s="104"/>
      <c r="G833" s="104"/>
      <c r="H833" s="105">
        <f t="shared" si="12"/>
        <v>0</v>
      </c>
      <c r="L833" s="106"/>
      <c r="M833" s="106"/>
      <c r="N833" s="106"/>
    </row>
    <row r="834" spans="1:14" ht="14.75" customHeight="1" x14ac:dyDescent="0.4">
      <c r="A834" s="96">
        <v>829</v>
      </c>
      <c r="B834" s="101"/>
      <c r="C834" s="102"/>
      <c r="D834" s="103"/>
      <c r="E834" s="235"/>
      <c r="F834" s="104"/>
      <c r="G834" s="104"/>
      <c r="H834" s="105">
        <f t="shared" si="12"/>
        <v>0</v>
      </c>
      <c r="L834" s="106"/>
      <c r="M834" s="106"/>
      <c r="N834" s="106"/>
    </row>
    <row r="835" spans="1:14" ht="14.75" customHeight="1" x14ac:dyDescent="0.4">
      <c r="A835" s="96">
        <v>830</v>
      </c>
      <c r="B835" s="101"/>
      <c r="C835" s="102"/>
      <c r="D835" s="103"/>
      <c r="E835" s="235"/>
      <c r="F835" s="104"/>
      <c r="G835" s="104"/>
      <c r="H835" s="105">
        <f t="shared" si="12"/>
        <v>0</v>
      </c>
      <c r="L835" s="106"/>
      <c r="M835" s="106"/>
      <c r="N835" s="106"/>
    </row>
    <row r="836" spans="1:14" ht="14.75" customHeight="1" x14ac:dyDescent="0.4">
      <c r="A836" s="96">
        <v>831</v>
      </c>
      <c r="B836" s="101"/>
      <c r="C836" s="102"/>
      <c r="D836" s="103"/>
      <c r="E836" s="235"/>
      <c r="F836" s="104"/>
      <c r="G836" s="110"/>
      <c r="H836" s="105">
        <f t="shared" si="12"/>
        <v>0</v>
      </c>
      <c r="L836" s="106"/>
      <c r="M836" s="106"/>
      <c r="N836" s="106"/>
    </row>
    <row r="837" spans="1:14" ht="14.75" customHeight="1" x14ac:dyDescent="0.4">
      <c r="A837" s="96">
        <v>832</v>
      </c>
      <c r="B837" s="101"/>
      <c r="C837" s="102"/>
      <c r="D837" s="103"/>
      <c r="E837" s="235"/>
      <c r="F837" s="104"/>
      <c r="G837" s="104"/>
      <c r="H837" s="105">
        <f t="shared" si="12"/>
        <v>0</v>
      </c>
      <c r="L837" s="106"/>
      <c r="M837" s="106"/>
      <c r="N837" s="106"/>
    </row>
    <row r="838" spans="1:14" ht="14.75" customHeight="1" x14ac:dyDescent="0.4">
      <c r="A838" s="96">
        <v>833</v>
      </c>
      <c r="B838" s="101"/>
      <c r="C838" s="102"/>
      <c r="D838" s="103"/>
      <c r="E838" s="235"/>
      <c r="F838" s="104"/>
      <c r="G838" s="104"/>
      <c r="H838" s="105">
        <f t="shared" si="12"/>
        <v>0</v>
      </c>
      <c r="L838" s="106"/>
      <c r="M838" s="106"/>
      <c r="N838" s="106"/>
    </row>
    <row r="839" spans="1:14" ht="14.75" customHeight="1" x14ac:dyDescent="0.4">
      <c r="A839" s="96">
        <v>834</v>
      </c>
      <c r="B839" s="101"/>
      <c r="C839" s="102"/>
      <c r="D839" s="103"/>
      <c r="E839" s="235"/>
      <c r="F839" s="104"/>
      <c r="G839" s="104"/>
      <c r="H839" s="105">
        <f t="shared" si="12"/>
        <v>0</v>
      </c>
      <c r="L839" s="106"/>
      <c r="M839" s="106"/>
      <c r="N839" s="106"/>
    </row>
    <row r="840" spans="1:14" ht="14.75" customHeight="1" x14ac:dyDescent="0.4">
      <c r="A840" s="96">
        <v>835</v>
      </c>
      <c r="B840" s="101"/>
      <c r="C840" s="102"/>
      <c r="D840" s="103"/>
      <c r="E840" s="235"/>
      <c r="F840" s="104"/>
      <c r="G840" s="104"/>
      <c r="H840" s="105">
        <f t="shared" si="12"/>
        <v>0</v>
      </c>
      <c r="L840" s="106"/>
      <c r="M840" s="106"/>
      <c r="N840" s="106"/>
    </row>
    <row r="841" spans="1:14" ht="14.75" customHeight="1" x14ac:dyDescent="0.4">
      <c r="A841" s="96">
        <v>836</v>
      </c>
      <c r="B841" s="101"/>
      <c r="C841" s="102"/>
      <c r="D841" s="103"/>
      <c r="E841" s="235"/>
      <c r="F841" s="104"/>
      <c r="G841" s="110"/>
      <c r="H841" s="105">
        <f t="shared" ref="H841:H904" si="13">H840+F841-G841</f>
        <v>0</v>
      </c>
      <c r="L841" s="106"/>
      <c r="M841" s="106"/>
      <c r="N841" s="106"/>
    </row>
    <row r="842" spans="1:14" ht="14.75" customHeight="1" x14ac:dyDescent="0.4">
      <c r="A842" s="96">
        <v>837</v>
      </c>
      <c r="B842" s="101"/>
      <c r="C842" s="102"/>
      <c r="D842" s="103"/>
      <c r="E842" s="235"/>
      <c r="F842" s="104"/>
      <c r="G842" s="104"/>
      <c r="H842" s="105">
        <f t="shared" si="13"/>
        <v>0</v>
      </c>
      <c r="L842" s="106"/>
      <c r="M842" s="106"/>
      <c r="N842" s="106"/>
    </row>
    <row r="843" spans="1:14" ht="14.75" customHeight="1" x14ac:dyDescent="0.4">
      <c r="A843" s="96">
        <v>838</v>
      </c>
      <c r="B843" s="101"/>
      <c r="C843" s="102"/>
      <c r="D843" s="103"/>
      <c r="E843" s="235"/>
      <c r="F843" s="104"/>
      <c r="G843" s="104"/>
      <c r="H843" s="105">
        <f t="shared" si="13"/>
        <v>0</v>
      </c>
      <c r="L843" s="106"/>
      <c r="M843" s="106"/>
      <c r="N843" s="106"/>
    </row>
    <row r="844" spans="1:14" ht="14.75" customHeight="1" x14ac:dyDescent="0.4">
      <c r="A844" s="96">
        <v>839</v>
      </c>
      <c r="B844" s="101"/>
      <c r="C844" s="102"/>
      <c r="D844" s="103"/>
      <c r="E844" s="235"/>
      <c r="F844" s="104"/>
      <c r="G844" s="104"/>
      <c r="H844" s="105">
        <f t="shared" si="13"/>
        <v>0</v>
      </c>
      <c r="L844" s="106"/>
      <c r="M844" s="106"/>
      <c r="N844" s="106"/>
    </row>
    <row r="845" spans="1:14" ht="14.75" customHeight="1" x14ac:dyDescent="0.4">
      <c r="A845" s="96">
        <v>840</v>
      </c>
      <c r="B845" s="101"/>
      <c r="C845" s="102"/>
      <c r="D845" s="103"/>
      <c r="E845" s="235"/>
      <c r="F845" s="104"/>
      <c r="G845" s="104"/>
      <c r="H845" s="105">
        <f t="shared" si="13"/>
        <v>0</v>
      </c>
      <c r="L845" s="106"/>
      <c r="M845" s="106"/>
      <c r="N845" s="106"/>
    </row>
    <row r="846" spans="1:14" ht="14.75" customHeight="1" x14ac:dyDescent="0.4">
      <c r="A846" s="96">
        <v>841</v>
      </c>
      <c r="B846" s="101"/>
      <c r="C846" s="102"/>
      <c r="D846" s="103"/>
      <c r="E846" s="235"/>
      <c r="F846" s="104"/>
      <c r="G846" s="110"/>
      <c r="H846" s="105">
        <f t="shared" si="13"/>
        <v>0</v>
      </c>
      <c r="L846" s="106"/>
      <c r="M846" s="106"/>
      <c r="N846" s="106"/>
    </row>
    <row r="847" spans="1:14" ht="14.75" customHeight="1" x14ac:dyDescent="0.4">
      <c r="A847" s="96">
        <v>842</v>
      </c>
      <c r="B847" s="101"/>
      <c r="C847" s="102"/>
      <c r="D847" s="103"/>
      <c r="E847" s="235"/>
      <c r="F847" s="104"/>
      <c r="G847" s="104"/>
      <c r="H847" s="105">
        <f t="shared" si="13"/>
        <v>0</v>
      </c>
      <c r="L847" s="106"/>
      <c r="M847" s="106"/>
      <c r="N847" s="106"/>
    </row>
    <row r="848" spans="1:14" ht="14.75" customHeight="1" x14ac:dyDescent="0.4">
      <c r="A848" s="96">
        <v>843</v>
      </c>
      <c r="B848" s="101"/>
      <c r="C848" s="102"/>
      <c r="D848" s="103"/>
      <c r="E848" s="235"/>
      <c r="F848" s="104"/>
      <c r="G848" s="104"/>
      <c r="H848" s="105">
        <f t="shared" si="13"/>
        <v>0</v>
      </c>
      <c r="L848" s="106"/>
      <c r="M848" s="106"/>
      <c r="N848" s="106"/>
    </row>
    <row r="849" spans="1:14" ht="14.75" customHeight="1" x14ac:dyDescent="0.4">
      <c r="A849" s="96">
        <v>844</v>
      </c>
      <c r="B849" s="101"/>
      <c r="C849" s="102"/>
      <c r="D849" s="103"/>
      <c r="E849" s="235"/>
      <c r="F849" s="104"/>
      <c r="G849" s="104"/>
      <c r="H849" s="105">
        <f t="shared" si="13"/>
        <v>0</v>
      </c>
      <c r="L849" s="106"/>
      <c r="M849" s="106"/>
      <c r="N849" s="106"/>
    </row>
    <row r="850" spans="1:14" ht="14.75" customHeight="1" x14ac:dyDescent="0.4">
      <c r="A850" s="96">
        <v>845</v>
      </c>
      <c r="B850" s="101"/>
      <c r="C850" s="102"/>
      <c r="D850" s="103"/>
      <c r="E850" s="235"/>
      <c r="F850" s="104"/>
      <c r="G850" s="104"/>
      <c r="H850" s="105">
        <f t="shared" si="13"/>
        <v>0</v>
      </c>
      <c r="L850" s="106"/>
      <c r="M850" s="106"/>
      <c r="N850" s="106"/>
    </row>
    <row r="851" spans="1:14" ht="14.75" customHeight="1" x14ac:dyDescent="0.4">
      <c r="A851" s="96">
        <v>846</v>
      </c>
      <c r="B851" s="101"/>
      <c r="C851" s="102"/>
      <c r="D851" s="103"/>
      <c r="E851" s="235"/>
      <c r="F851" s="104"/>
      <c r="G851" s="110"/>
      <c r="H851" s="105">
        <f t="shared" si="13"/>
        <v>0</v>
      </c>
      <c r="L851" s="106"/>
      <c r="M851" s="106"/>
      <c r="N851" s="106"/>
    </row>
    <row r="852" spans="1:14" ht="14.75" customHeight="1" x14ac:dyDescent="0.4">
      <c r="A852" s="96">
        <v>847</v>
      </c>
      <c r="B852" s="101"/>
      <c r="C852" s="102"/>
      <c r="D852" s="103"/>
      <c r="E852" s="235"/>
      <c r="F852" s="104"/>
      <c r="G852" s="104"/>
      <c r="H852" s="105">
        <f t="shared" si="13"/>
        <v>0</v>
      </c>
      <c r="L852" s="106"/>
      <c r="M852" s="106"/>
      <c r="N852" s="106"/>
    </row>
    <row r="853" spans="1:14" ht="14.75" customHeight="1" x14ac:dyDescent="0.4">
      <c r="A853" s="96">
        <v>848</v>
      </c>
      <c r="B853" s="101"/>
      <c r="C853" s="102"/>
      <c r="D853" s="103"/>
      <c r="E853" s="235"/>
      <c r="F853" s="104"/>
      <c r="G853" s="104"/>
      <c r="H853" s="105">
        <f t="shared" si="13"/>
        <v>0</v>
      </c>
      <c r="L853" s="106"/>
      <c r="M853" s="106"/>
      <c r="N853" s="106"/>
    </row>
    <row r="854" spans="1:14" ht="14.75" customHeight="1" x14ac:dyDescent="0.4">
      <c r="A854" s="96">
        <v>849</v>
      </c>
      <c r="B854" s="101"/>
      <c r="C854" s="102"/>
      <c r="D854" s="103"/>
      <c r="E854" s="235"/>
      <c r="F854" s="104"/>
      <c r="G854" s="104"/>
      <c r="H854" s="105">
        <f t="shared" si="13"/>
        <v>0</v>
      </c>
      <c r="L854" s="106"/>
      <c r="M854" s="106"/>
      <c r="N854" s="106"/>
    </row>
    <row r="855" spans="1:14" ht="14.75" customHeight="1" x14ac:dyDescent="0.4">
      <c r="A855" s="96">
        <v>850</v>
      </c>
      <c r="B855" s="101"/>
      <c r="C855" s="102"/>
      <c r="D855" s="103"/>
      <c r="E855" s="235"/>
      <c r="F855" s="104"/>
      <c r="G855" s="104"/>
      <c r="H855" s="105">
        <f t="shared" si="13"/>
        <v>0</v>
      </c>
      <c r="L855" s="106"/>
      <c r="M855" s="106"/>
      <c r="N855" s="106"/>
    </row>
    <row r="856" spans="1:14" ht="14.75" customHeight="1" x14ac:dyDescent="0.4">
      <c r="A856" s="96">
        <v>851</v>
      </c>
      <c r="B856" s="101"/>
      <c r="C856" s="102"/>
      <c r="D856" s="103"/>
      <c r="E856" s="235"/>
      <c r="F856" s="104"/>
      <c r="G856" s="110"/>
      <c r="H856" s="105">
        <f t="shared" si="13"/>
        <v>0</v>
      </c>
      <c r="L856" s="106"/>
      <c r="M856" s="106"/>
      <c r="N856" s="106"/>
    </row>
    <row r="857" spans="1:14" ht="14.75" customHeight="1" x14ac:dyDescent="0.4">
      <c r="A857" s="96">
        <v>852</v>
      </c>
      <c r="B857" s="101"/>
      <c r="C857" s="102"/>
      <c r="D857" s="103"/>
      <c r="E857" s="235"/>
      <c r="F857" s="104"/>
      <c r="G857" s="104"/>
      <c r="H857" s="105">
        <f t="shared" si="13"/>
        <v>0</v>
      </c>
      <c r="L857" s="106"/>
      <c r="M857" s="106"/>
      <c r="N857" s="106"/>
    </row>
    <row r="858" spans="1:14" ht="14.75" customHeight="1" x14ac:dyDescent="0.4">
      <c r="A858" s="96">
        <v>853</v>
      </c>
      <c r="B858" s="101"/>
      <c r="C858" s="102"/>
      <c r="D858" s="103"/>
      <c r="E858" s="235"/>
      <c r="F858" s="104"/>
      <c r="G858" s="104"/>
      <c r="H858" s="105">
        <f t="shared" si="13"/>
        <v>0</v>
      </c>
      <c r="L858" s="106"/>
      <c r="M858" s="106"/>
      <c r="N858" s="106"/>
    </row>
    <row r="859" spans="1:14" ht="14.75" customHeight="1" x14ac:dyDescent="0.4">
      <c r="A859" s="96">
        <v>854</v>
      </c>
      <c r="B859" s="101"/>
      <c r="C859" s="102"/>
      <c r="D859" s="103"/>
      <c r="E859" s="235"/>
      <c r="F859" s="104"/>
      <c r="G859" s="104"/>
      <c r="H859" s="105">
        <f t="shared" si="13"/>
        <v>0</v>
      </c>
      <c r="L859" s="106"/>
      <c r="M859" s="106"/>
      <c r="N859" s="106"/>
    </row>
    <row r="860" spans="1:14" ht="14.75" customHeight="1" x14ac:dyDescent="0.4">
      <c r="A860" s="96">
        <v>855</v>
      </c>
      <c r="B860" s="101"/>
      <c r="C860" s="102"/>
      <c r="D860" s="103"/>
      <c r="E860" s="235"/>
      <c r="F860" s="104"/>
      <c r="G860" s="104"/>
      <c r="H860" s="105">
        <f t="shared" si="13"/>
        <v>0</v>
      </c>
      <c r="L860" s="106"/>
      <c r="M860" s="106"/>
      <c r="N860" s="106"/>
    </row>
    <row r="861" spans="1:14" ht="14.75" customHeight="1" x14ac:dyDescent="0.4">
      <c r="A861" s="96">
        <v>856</v>
      </c>
      <c r="B861" s="101"/>
      <c r="C861" s="102"/>
      <c r="D861" s="103"/>
      <c r="E861" s="235"/>
      <c r="F861" s="104"/>
      <c r="G861" s="110"/>
      <c r="H861" s="105">
        <f t="shared" si="13"/>
        <v>0</v>
      </c>
      <c r="L861" s="106"/>
      <c r="M861" s="106"/>
      <c r="N861" s="106"/>
    </row>
    <row r="862" spans="1:14" ht="14.75" customHeight="1" x14ac:dyDescent="0.4">
      <c r="A862" s="96">
        <v>857</v>
      </c>
      <c r="B862" s="101"/>
      <c r="C862" s="102"/>
      <c r="D862" s="103"/>
      <c r="E862" s="235"/>
      <c r="F862" s="104"/>
      <c r="G862" s="104"/>
      <c r="H862" s="105">
        <f t="shared" si="13"/>
        <v>0</v>
      </c>
      <c r="L862" s="106"/>
      <c r="M862" s="106"/>
      <c r="N862" s="106"/>
    </row>
    <row r="863" spans="1:14" ht="14.75" customHeight="1" x14ac:dyDescent="0.4">
      <c r="A863" s="96">
        <v>858</v>
      </c>
      <c r="B863" s="101"/>
      <c r="C863" s="102"/>
      <c r="D863" s="103"/>
      <c r="E863" s="235"/>
      <c r="F863" s="104"/>
      <c r="G863" s="104"/>
      <c r="H863" s="105">
        <f t="shared" si="13"/>
        <v>0</v>
      </c>
      <c r="L863" s="106"/>
      <c r="M863" s="106"/>
      <c r="N863" s="106"/>
    </row>
    <row r="864" spans="1:14" ht="14.75" customHeight="1" x14ac:dyDescent="0.4">
      <c r="A864" s="96">
        <v>859</v>
      </c>
      <c r="B864" s="101"/>
      <c r="C864" s="102"/>
      <c r="D864" s="103"/>
      <c r="E864" s="235"/>
      <c r="F864" s="104"/>
      <c r="G864" s="104"/>
      <c r="H864" s="105">
        <f t="shared" si="13"/>
        <v>0</v>
      </c>
      <c r="L864" s="106"/>
      <c r="M864" s="106"/>
      <c r="N864" s="106"/>
    </row>
    <row r="865" spans="1:14" ht="14.75" customHeight="1" x14ac:dyDescent="0.4">
      <c r="A865" s="96">
        <v>860</v>
      </c>
      <c r="B865" s="101"/>
      <c r="C865" s="102"/>
      <c r="D865" s="103"/>
      <c r="E865" s="235"/>
      <c r="F865" s="104"/>
      <c r="G865" s="104"/>
      <c r="H865" s="105">
        <f t="shared" si="13"/>
        <v>0</v>
      </c>
      <c r="L865" s="106"/>
      <c r="M865" s="106"/>
      <c r="N865" s="106"/>
    </row>
    <row r="866" spans="1:14" ht="14.75" customHeight="1" x14ac:dyDescent="0.4">
      <c r="A866" s="96">
        <v>861</v>
      </c>
      <c r="B866" s="101"/>
      <c r="C866" s="102"/>
      <c r="D866" s="103"/>
      <c r="E866" s="235"/>
      <c r="F866" s="104"/>
      <c r="G866" s="104"/>
      <c r="H866" s="105">
        <f t="shared" si="13"/>
        <v>0</v>
      </c>
      <c r="L866" s="106"/>
      <c r="M866" s="106"/>
      <c r="N866" s="106"/>
    </row>
    <row r="867" spans="1:14" ht="14.75" customHeight="1" x14ac:dyDescent="0.4">
      <c r="A867" s="96">
        <v>862</v>
      </c>
      <c r="B867" s="101"/>
      <c r="C867" s="102"/>
      <c r="D867" s="103"/>
      <c r="E867" s="235"/>
      <c r="F867" s="104"/>
      <c r="G867" s="104"/>
      <c r="H867" s="105">
        <f t="shared" si="13"/>
        <v>0</v>
      </c>
      <c r="L867" s="106"/>
      <c r="M867" s="106"/>
      <c r="N867" s="106"/>
    </row>
    <row r="868" spans="1:14" ht="14.75" customHeight="1" x14ac:dyDescent="0.4">
      <c r="A868" s="96">
        <v>863</v>
      </c>
      <c r="B868" s="101"/>
      <c r="C868" s="102"/>
      <c r="D868" s="103"/>
      <c r="E868" s="235"/>
      <c r="F868" s="104"/>
      <c r="G868" s="104"/>
      <c r="H868" s="105">
        <f t="shared" si="13"/>
        <v>0</v>
      </c>
      <c r="L868" s="106"/>
      <c r="M868" s="106"/>
      <c r="N868" s="106"/>
    </row>
    <row r="869" spans="1:14" ht="14.75" customHeight="1" x14ac:dyDescent="0.4">
      <c r="A869" s="96">
        <v>864</v>
      </c>
      <c r="B869" s="101"/>
      <c r="C869" s="102"/>
      <c r="D869" s="103"/>
      <c r="E869" s="235"/>
      <c r="F869" s="104"/>
      <c r="G869" s="104"/>
      <c r="H869" s="105">
        <f t="shared" si="13"/>
        <v>0</v>
      </c>
      <c r="L869" s="106"/>
      <c r="M869" s="106"/>
      <c r="N869" s="106"/>
    </row>
    <row r="870" spans="1:14" ht="14.75" customHeight="1" x14ac:dyDescent="0.4">
      <c r="A870" s="96">
        <v>865</v>
      </c>
      <c r="B870" s="101"/>
      <c r="C870" s="102"/>
      <c r="D870" s="103"/>
      <c r="E870" s="235"/>
      <c r="F870" s="104"/>
      <c r="G870" s="104"/>
      <c r="H870" s="105">
        <f t="shared" si="13"/>
        <v>0</v>
      </c>
      <c r="L870" s="106"/>
      <c r="M870" s="106"/>
      <c r="N870" s="106"/>
    </row>
    <row r="871" spans="1:14" ht="14.75" customHeight="1" x14ac:dyDescent="0.4">
      <c r="A871" s="96">
        <v>866</v>
      </c>
      <c r="B871" s="101"/>
      <c r="C871" s="102"/>
      <c r="D871" s="103"/>
      <c r="E871" s="235"/>
      <c r="F871" s="104"/>
      <c r="G871" s="104"/>
      <c r="H871" s="105">
        <f t="shared" si="13"/>
        <v>0</v>
      </c>
      <c r="L871" s="106"/>
      <c r="M871" s="106"/>
      <c r="N871" s="106"/>
    </row>
    <row r="872" spans="1:14" ht="14.75" customHeight="1" x14ac:dyDescent="0.4">
      <c r="A872" s="96">
        <v>867</v>
      </c>
      <c r="B872" s="101"/>
      <c r="C872" s="102"/>
      <c r="D872" s="103"/>
      <c r="E872" s="235"/>
      <c r="F872" s="104"/>
      <c r="G872" s="104"/>
      <c r="H872" s="105">
        <f t="shared" si="13"/>
        <v>0</v>
      </c>
      <c r="L872" s="106"/>
      <c r="M872" s="106"/>
      <c r="N872" s="106"/>
    </row>
    <row r="873" spans="1:14" ht="14.75" customHeight="1" x14ac:dyDescent="0.4">
      <c r="A873" s="96">
        <v>868</v>
      </c>
      <c r="B873" s="101"/>
      <c r="C873" s="102"/>
      <c r="D873" s="103"/>
      <c r="E873" s="235"/>
      <c r="F873" s="104"/>
      <c r="G873" s="104"/>
      <c r="H873" s="105">
        <f t="shared" si="13"/>
        <v>0</v>
      </c>
      <c r="L873" s="106"/>
      <c r="M873" s="106"/>
      <c r="N873" s="106"/>
    </row>
    <row r="874" spans="1:14" ht="14.75" customHeight="1" x14ac:dyDescent="0.4">
      <c r="A874" s="96">
        <v>869</v>
      </c>
      <c r="B874" s="101"/>
      <c r="C874" s="102"/>
      <c r="D874" s="103"/>
      <c r="E874" s="235"/>
      <c r="F874" s="104"/>
      <c r="G874" s="104"/>
      <c r="H874" s="105">
        <f t="shared" si="13"/>
        <v>0</v>
      </c>
      <c r="L874" s="106"/>
      <c r="M874" s="106"/>
      <c r="N874" s="106"/>
    </row>
    <row r="875" spans="1:14" ht="14.75" customHeight="1" x14ac:dyDescent="0.4">
      <c r="A875" s="96">
        <v>870</v>
      </c>
      <c r="B875" s="101"/>
      <c r="C875" s="102"/>
      <c r="D875" s="103"/>
      <c r="E875" s="235"/>
      <c r="F875" s="104"/>
      <c r="G875" s="104"/>
      <c r="H875" s="105">
        <f t="shared" si="13"/>
        <v>0</v>
      </c>
      <c r="L875" s="106"/>
      <c r="M875" s="106"/>
      <c r="N875" s="106"/>
    </row>
    <row r="876" spans="1:14" ht="14.75" customHeight="1" x14ac:dyDescent="0.4">
      <c r="A876" s="96">
        <v>871</v>
      </c>
      <c r="B876" s="101"/>
      <c r="C876" s="102"/>
      <c r="D876" s="103"/>
      <c r="E876" s="235"/>
      <c r="F876" s="104"/>
      <c r="G876" s="104"/>
      <c r="H876" s="105">
        <f t="shared" si="13"/>
        <v>0</v>
      </c>
      <c r="L876" s="106"/>
      <c r="M876" s="106"/>
      <c r="N876" s="106"/>
    </row>
    <row r="877" spans="1:14" ht="14.75" customHeight="1" x14ac:dyDescent="0.4">
      <c r="A877" s="96">
        <v>872</v>
      </c>
      <c r="B877" s="101"/>
      <c r="C877" s="102"/>
      <c r="D877" s="103"/>
      <c r="E877" s="235"/>
      <c r="F877" s="104"/>
      <c r="G877" s="104"/>
      <c r="H877" s="105">
        <f t="shared" si="13"/>
        <v>0</v>
      </c>
      <c r="L877" s="106"/>
      <c r="M877" s="106"/>
      <c r="N877" s="106"/>
    </row>
    <row r="878" spans="1:14" ht="14.75" customHeight="1" x14ac:dyDescent="0.4">
      <c r="A878" s="96">
        <v>873</v>
      </c>
      <c r="B878" s="101"/>
      <c r="C878" s="102"/>
      <c r="D878" s="103"/>
      <c r="E878" s="235"/>
      <c r="F878" s="104"/>
      <c r="G878" s="104"/>
      <c r="H878" s="105">
        <f t="shared" si="13"/>
        <v>0</v>
      </c>
      <c r="L878" s="106"/>
      <c r="M878" s="106"/>
      <c r="N878" s="106"/>
    </row>
    <row r="879" spans="1:14" ht="14.75" customHeight="1" x14ac:dyDescent="0.4">
      <c r="A879" s="96">
        <v>874</v>
      </c>
      <c r="B879" s="101"/>
      <c r="C879" s="102"/>
      <c r="D879" s="103"/>
      <c r="E879" s="235"/>
      <c r="F879" s="104"/>
      <c r="G879" s="104"/>
      <c r="H879" s="105">
        <f t="shared" si="13"/>
        <v>0</v>
      </c>
      <c r="L879" s="106"/>
      <c r="M879" s="106"/>
      <c r="N879" s="106"/>
    </row>
    <row r="880" spans="1:14" ht="14.75" customHeight="1" x14ac:dyDescent="0.4">
      <c r="A880" s="96">
        <v>875</v>
      </c>
      <c r="B880" s="101"/>
      <c r="C880" s="102"/>
      <c r="D880" s="103"/>
      <c r="E880" s="235"/>
      <c r="F880" s="104"/>
      <c r="G880" s="104"/>
      <c r="H880" s="105">
        <f t="shared" si="13"/>
        <v>0</v>
      </c>
      <c r="L880" s="106"/>
      <c r="M880" s="106"/>
      <c r="N880" s="106"/>
    </row>
    <row r="881" spans="1:14" ht="14.75" customHeight="1" x14ac:dyDescent="0.4">
      <c r="A881" s="96">
        <v>876</v>
      </c>
      <c r="B881" s="101"/>
      <c r="C881" s="102"/>
      <c r="D881" s="103"/>
      <c r="E881" s="235"/>
      <c r="F881" s="104"/>
      <c r="G881" s="104"/>
      <c r="H881" s="105">
        <f t="shared" si="13"/>
        <v>0</v>
      </c>
      <c r="L881" s="106"/>
      <c r="M881" s="106"/>
      <c r="N881" s="106"/>
    </row>
    <row r="882" spans="1:14" ht="14.75" customHeight="1" x14ac:dyDescent="0.4">
      <c r="A882" s="96">
        <v>877</v>
      </c>
      <c r="B882" s="101"/>
      <c r="C882" s="102"/>
      <c r="D882" s="103"/>
      <c r="E882" s="235"/>
      <c r="F882" s="104"/>
      <c r="G882" s="104"/>
      <c r="H882" s="105">
        <f t="shared" si="13"/>
        <v>0</v>
      </c>
      <c r="L882" s="106"/>
      <c r="M882" s="106"/>
      <c r="N882" s="106"/>
    </row>
    <row r="883" spans="1:14" ht="14.75" customHeight="1" x14ac:dyDescent="0.4">
      <c r="A883" s="96">
        <v>878</v>
      </c>
      <c r="B883" s="101"/>
      <c r="C883" s="102"/>
      <c r="D883" s="103"/>
      <c r="E883" s="235"/>
      <c r="F883" s="104"/>
      <c r="G883" s="104"/>
      <c r="H883" s="105">
        <f t="shared" si="13"/>
        <v>0</v>
      </c>
      <c r="L883" s="106"/>
      <c r="M883" s="106"/>
      <c r="N883" s="106"/>
    </row>
    <row r="884" spans="1:14" ht="14.75" customHeight="1" x14ac:dyDescent="0.4">
      <c r="A884" s="96">
        <v>879</v>
      </c>
      <c r="B884" s="101"/>
      <c r="C884" s="102"/>
      <c r="D884" s="103"/>
      <c r="E884" s="235"/>
      <c r="F884" s="104"/>
      <c r="G884" s="104"/>
      <c r="H884" s="105">
        <f t="shared" si="13"/>
        <v>0</v>
      </c>
      <c r="L884" s="106"/>
      <c r="M884" s="106"/>
      <c r="N884" s="106"/>
    </row>
    <row r="885" spans="1:14" ht="14.75" customHeight="1" x14ac:dyDescent="0.4">
      <c r="A885" s="96">
        <v>880</v>
      </c>
      <c r="B885" s="101"/>
      <c r="C885" s="102"/>
      <c r="D885" s="103"/>
      <c r="E885" s="235"/>
      <c r="F885" s="104"/>
      <c r="G885" s="104"/>
      <c r="H885" s="105">
        <f t="shared" si="13"/>
        <v>0</v>
      </c>
      <c r="L885" s="106"/>
      <c r="M885" s="106"/>
      <c r="N885" s="106"/>
    </row>
    <row r="886" spans="1:14" ht="14.75" customHeight="1" x14ac:dyDescent="0.4">
      <c r="A886" s="96">
        <v>881</v>
      </c>
      <c r="B886" s="101"/>
      <c r="C886" s="102"/>
      <c r="D886" s="103"/>
      <c r="E886" s="235"/>
      <c r="F886" s="104"/>
      <c r="G886" s="104"/>
      <c r="H886" s="105">
        <f t="shared" si="13"/>
        <v>0</v>
      </c>
      <c r="L886" s="106"/>
      <c r="M886" s="106"/>
      <c r="N886" s="106"/>
    </row>
    <row r="887" spans="1:14" ht="14.75" customHeight="1" x14ac:dyDescent="0.4">
      <c r="A887" s="96">
        <v>882</v>
      </c>
      <c r="B887" s="101"/>
      <c r="C887" s="102"/>
      <c r="D887" s="103"/>
      <c r="E887" s="235"/>
      <c r="F887" s="104"/>
      <c r="G887" s="104"/>
      <c r="H887" s="105">
        <f t="shared" si="13"/>
        <v>0</v>
      </c>
      <c r="L887" s="106"/>
      <c r="M887" s="106"/>
      <c r="N887" s="106"/>
    </row>
    <row r="888" spans="1:14" ht="14.75" customHeight="1" x14ac:dyDescent="0.4">
      <c r="A888" s="96">
        <v>883</v>
      </c>
      <c r="B888" s="101"/>
      <c r="C888" s="102"/>
      <c r="D888" s="103"/>
      <c r="E888" s="235"/>
      <c r="F888" s="104"/>
      <c r="G888" s="104"/>
      <c r="H888" s="105">
        <f t="shared" si="13"/>
        <v>0</v>
      </c>
      <c r="L888" s="106"/>
      <c r="M888" s="106"/>
      <c r="N888" s="106"/>
    </row>
    <row r="889" spans="1:14" ht="14.75" customHeight="1" x14ac:dyDescent="0.4">
      <c r="A889" s="96">
        <v>884</v>
      </c>
      <c r="B889" s="101"/>
      <c r="C889" s="102"/>
      <c r="D889" s="103"/>
      <c r="E889" s="235"/>
      <c r="F889" s="104"/>
      <c r="G889" s="104"/>
      <c r="H889" s="105">
        <f t="shared" si="13"/>
        <v>0</v>
      </c>
      <c r="L889" s="106"/>
      <c r="M889" s="106"/>
      <c r="N889" s="106"/>
    </row>
    <row r="890" spans="1:14" ht="14.75" customHeight="1" x14ac:dyDescent="0.4">
      <c r="A890" s="96">
        <v>885</v>
      </c>
      <c r="B890" s="101"/>
      <c r="C890" s="102"/>
      <c r="D890" s="103"/>
      <c r="E890" s="235"/>
      <c r="F890" s="104"/>
      <c r="G890" s="104"/>
      <c r="H890" s="105">
        <f t="shared" si="13"/>
        <v>0</v>
      </c>
      <c r="L890" s="106"/>
      <c r="M890" s="106"/>
      <c r="N890" s="106"/>
    </row>
    <row r="891" spans="1:14" ht="14.75" customHeight="1" x14ac:dyDescent="0.4">
      <c r="A891" s="96">
        <v>886</v>
      </c>
      <c r="B891" s="101"/>
      <c r="C891" s="102"/>
      <c r="D891" s="103"/>
      <c r="E891" s="235"/>
      <c r="F891" s="104"/>
      <c r="G891" s="104"/>
      <c r="H891" s="105">
        <f t="shared" si="13"/>
        <v>0</v>
      </c>
      <c r="L891" s="106"/>
      <c r="M891" s="106"/>
      <c r="N891" s="106"/>
    </row>
    <row r="892" spans="1:14" ht="14.75" customHeight="1" x14ac:dyDescent="0.4">
      <c r="A892" s="96">
        <v>887</v>
      </c>
      <c r="B892" s="101"/>
      <c r="C892" s="102"/>
      <c r="D892" s="103"/>
      <c r="E892" s="235"/>
      <c r="F892" s="104"/>
      <c r="G892" s="104"/>
      <c r="H892" s="105">
        <f t="shared" si="13"/>
        <v>0</v>
      </c>
      <c r="L892" s="106"/>
      <c r="M892" s="106"/>
      <c r="N892" s="106"/>
    </row>
    <row r="893" spans="1:14" ht="14.75" customHeight="1" x14ac:dyDescent="0.4">
      <c r="A893" s="96">
        <v>888</v>
      </c>
      <c r="B893" s="101"/>
      <c r="C893" s="102"/>
      <c r="D893" s="103"/>
      <c r="E893" s="235"/>
      <c r="F893" s="104"/>
      <c r="G893" s="104"/>
      <c r="H893" s="105">
        <f t="shared" si="13"/>
        <v>0</v>
      </c>
      <c r="L893" s="106"/>
      <c r="M893" s="106"/>
      <c r="N893" s="106"/>
    </row>
    <row r="894" spans="1:14" ht="14.75" customHeight="1" x14ac:dyDescent="0.4">
      <c r="A894" s="96">
        <v>889</v>
      </c>
      <c r="B894" s="101"/>
      <c r="C894" s="102"/>
      <c r="D894" s="103"/>
      <c r="E894" s="235"/>
      <c r="F894" s="104"/>
      <c r="G894" s="104"/>
      <c r="H894" s="105">
        <f t="shared" si="13"/>
        <v>0</v>
      </c>
      <c r="L894" s="106"/>
      <c r="M894" s="106"/>
      <c r="N894" s="106"/>
    </row>
    <row r="895" spans="1:14" ht="14.75" customHeight="1" x14ac:dyDescent="0.4">
      <c r="A895" s="96">
        <v>890</v>
      </c>
      <c r="B895" s="101"/>
      <c r="C895" s="102"/>
      <c r="D895" s="103"/>
      <c r="E895" s="235"/>
      <c r="F895" s="104"/>
      <c r="G895" s="104"/>
      <c r="H895" s="105">
        <f t="shared" si="13"/>
        <v>0</v>
      </c>
      <c r="L895" s="106"/>
      <c r="M895" s="106"/>
      <c r="N895" s="106"/>
    </row>
    <row r="896" spans="1:14" ht="14.75" customHeight="1" x14ac:dyDescent="0.4">
      <c r="A896" s="96">
        <v>891</v>
      </c>
      <c r="B896" s="101"/>
      <c r="C896" s="102"/>
      <c r="D896" s="103"/>
      <c r="E896" s="235"/>
      <c r="F896" s="104"/>
      <c r="G896" s="104"/>
      <c r="H896" s="105">
        <f t="shared" si="13"/>
        <v>0</v>
      </c>
      <c r="L896" s="106"/>
      <c r="M896" s="106"/>
      <c r="N896" s="106"/>
    </row>
    <row r="897" spans="1:14" ht="14.75" customHeight="1" x14ac:dyDescent="0.4">
      <c r="A897" s="96">
        <v>892</v>
      </c>
      <c r="B897" s="101"/>
      <c r="C897" s="102"/>
      <c r="D897" s="103"/>
      <c r="E897" s="235"/>
      <c r="F897" s="104"/>
      <c r="G897" s="104"/>
      <c r="H897" s="105">
        <f t="shared" si="13"/>
        <v>0</v>
      </c>
      <c r="L897" s="106"/>
      <c r="M897" s="106"/>
      <c r="N897" s="106"/>
    </row>
    <row r="898" spans="1:14" ht="14.75" customHeight="1" x14ac:dyDescent="0.4">
      <c r="A898" s="96">
        <v>893</v>
      </c>
      <c r="B898" s="101"/>
      <c r="C898" s="102"/>
      <c r="D898" s="103"/>
      <c r="E898" s="235"/>
      <c r="F898" s="104"/>
      <c r="G898" s="104"/>
      <c r="H898" s="105">
        <f t="shared" si="13"/>
        <v>0</v>
      </c>
      <c r="L898" s="106"/>
      <c r="M898" s="106"/>
      <c r="N898" s="106"/>
    </row>
    <row r="899" spans="1:14" ht="14.75" customHeight="1" x14ac:dyDescent="0.4">
      <c r="A899" s="96">
        <v>894</v>
      </c>
      <c r="B899" s="101"/>
      <c r="C899" s="102"/>
      <c r="D899" s="103"/>
      <c r="E899" s="235"/>
      <c r="F899" s="104"/>
      <c r="G899" s="104"/>
      <c r="H899" s="105">
        <f t="shared" si="13"/>
        <v>0</v>
      </c>
      <c r="L899" s="106"/>
      <c r="M899" s="106"/>
      <c r="N899" s="106"/>
    </row>
    <row r="900" spans="1:14" ht="14.75" customHeight="1" x14ac:dyDescent="0.4">
      <c r="A900" s="96">
        <v>895</v>
      </c>
      <c r="B900" s="101"/>
      <c r="C900" s="102"/>
      <c r="D900" s="103"/>
      <c r="E900" s="235"/>
      <c r="F900" s="104"/>
      <c r="G900" s="104"/>
      <c r="H900" s="105">
        <f t="shared" si="13"/>
        <v>0</v>
      </c>
      <c r="L900" s="106"/>
      <c r="M900" s="106"/>
      <c r="N900" s="106"/>
    </row>
    <row r="901" spans="1:14" ht="14.75" customHeight="1" x14ac:dyDescent="0.4">
      <c r="A901" s="96">
        <v>896</v>
      </c>
      <c r="B901" s="101"/>
      <c r="C901" s="102"/>
      <c r="D901" s="103"/>
      <c r="E901" s="235"/>
      <c r="F901" s="104"/>
      <c r="G901" s="104"/>
      <c r="H901" s="105">
        <f t="shared" si="13"/>
        <v>0</v>
      </c>
      <c r="L901" s="106"/>
      <c r="M901" s="106"/>
      <c r="N901" s="106"/>
    </row>
    <row r="902" spans="1:14" ht="14.75" customHeight="1" x14ac:dyDescent="0.4">
      <c r="A902" s="96">
        <v>897</v>
      </c>
      <c r="B902" s="101"/>
      <c r="C902" s="102"/>
      <c r="D902" s="103"/>
      <c r="E902" s="235"/>
      <c r="F902" s="104"/>
      <c r="G902" s="104"/>
      <c r="H902" s="105">
        <f t="shared" si="13"/>
        <v>0</v>
      </c>
      <c r="L902" s="106"/>
      <c r="M902" s="106"/>
      <c r="N902" s="106"/>
    </row>
    <row r="903" spans="1:14" ht="14.75" customHeight="1" x14ac:dyDescent="0.4">
      <c r="A903" s="96">
        <v>898</v>
      </c>
      <c r="B903" s="101"/>
      <c r="C903" s="102"/>
      <c r="D903" s="103"/>
      <c r="E903" s="235"/>
      <c r="F903" s="104"/>
      <c r="G903" s="104"/>
      <c r="H903" s="105">
        <f t="shared" si="13"/>
        <v>0</v>
      </c>
      <c r="L903" s="106"/>
      <c r="M903" s="106"/>
      <c r="N903" s="106"/>
    </row>
    <row r="904" spans="1:14" ht="14.75" customHeight="1" x14ac:dyDescent="0.4">
      <c r="A904" s="96">
        <v>899</v>
      </c>
      <c r="B904" s="101"/>
      <c r="C904" s="102"/>
      <c r="D904" s="103"/>
      <c r="E904" s="235"/>
      <c r="F904" s="104"/>
      <c r="G904" s="104"/>
      <c r="H904" s="105">
        <f t="shared" si="13"/>
        <v>0</v>
      </c>
      <c r="L904" s="106"/>
      <c r="M904" s="106"/>
      <c r="N904" s="106"/>
    </row>
    <row r="905" spans="1:14" ht="14.75" customHeight="1" x14ac:dyDescent="0.4">
      <c r="A905" s="96">
        <v>900</v>
      </c>
      <c r="B905" s="101"/>
      <c r="C905" s="102"/>
      <c r="D905" s="103"/>
      <c r="E905" s="235"/>
      <c r="F905" s="104"/>
      <c r="G905" s="104"/>
      <c r="H905" s="105">
        <f t="shared" ref="H905:H968" si="14">H904+F905-G905</f>
        <v>0</v>
      </c>
      <c r="L905" s="106"/>
      <c r="M905" s="106"/>
      <c r="N905" s="106"/>
    </row>
    <row r="906" spans="1:14" ht="14.75" customHeight="1" x14ac:dyDescent="0.4">
      <c r="A906" s="96">
        <v>901</v>
      </c>
      <c r="B906" s="101"/>
      <c r="C906" s="102"/>
      <c r="D906" s="103"/>
      <c r="E906" s="235"/>
      <c r="F906" s="104"/>
      <c r="G906" s="104"/>
      <c r="H906" s="105">
        <f t="shared" si="14"/>
        <v>0</v>
      </c>
      <c r="L906" s="106"/>
      <c r="M906" s="106"/>
      <c r="N906" s="106"/>
    </row>
    <row r="907" spans="1:14" ht="14.75" customHeight="1" x14ac:dyDescent="0.4">
      <c r="A907" s="96">
        <v>902</v>
      </c>
      <c r="B907" s="101"/>
      <c r="C907" s="102"/>
      <c r="D907" s="103"/>
      <c r="E907" s="235"/>
      <c r="F907" s="104"/>
      <c r="G907" s="104"/>
      <c r="H907" s="105">
        <f t="shared" si="14"/>
        <v>0</v>
      </c>
      <c r="L907" s="106"/>
      <c r="M907" s="106"/>
      <c r="N907" s="106"/>
    </row>
    <row r="908" spans="1:14" ht="14.75" customHeight="1" x14ac:dyDescent="0.4">
      <c r="A908" s="96">
        <v>903</v>
      </c>
      <c r="B908" s="101"/>
      <c r="C908" s="102"/>
      <c r="D908" s="103"/>
      <c r="E908" s="235"/>
      <c r="F908" s="104"/>
      <c r="G908" s="104"/>
      <c r="H908" s="105">
        <f t="shared" si="14"/>
        <v>0</v>
      </c>
      <c r="L908" s="106"/>
      <c r="M908" s="106"/>
      <c r="N908" s="106"/>
    </row>
    <row r="909" spans="1:14" ht="14.75" customHeight="1" x14ac:dyDescent="0.4">
      <c r="A909" s="96">
        <v>904</v>
      </c>
      <c r="B909" s="101"/>
      <c r="C909" s="102"/>
      <c r="D909" s="103"/>
      <c r="E909" s="235"/>
      <c r="F909" s="104"/>
      <c r="G909" s="104"/>
      <c r="H909" s="105">
        <f t="shared" si="14"/>
        <v>0</v>
      </c>
      <c r="L909" s="106"/>
      <c r="M909" s="106"/>
      <c r="N909" s="106"/>
    </row>
    <row r="910" spans="1:14" ht="14.75" customHeight="1" x14ac:dyDescent="0.4">
      <c r="A910" s="96">
        <v>905</v>
      </c>
      <c r="B910" s="101"/>
      <c r="C910" s="102"/>
      <c r="D910" s="103"/>
      <c r="E910" s="235"/>
      <c r="F910" s="104"/>
      <c r="G910" s="104"/>
      <c r="H910" s="105">
        <f t="shared" si="14"/>
        <v>0</v>
      </c>
      <c r="L910" s="106"/>
      <c r="M910" s="106"/>
      <c r="N910" s="106"/>
    </row>
    <row r="911" spans="1:14" ht="14.75" customHeight="1" x14ac:dyDescent="0.4">
      <c r="A911" s="96">
        <v>906</v>
      </c>
      <c r="B911" s="101"/>
      <c r="C911" s="102"/>
      <c r="D911" s="103"/>
      <c r="E911" s="235"/>
      <c r="F911" s="104"/>
      <c r="G911" s="104"/>
      <c r="H911" s="105">
        <f t="shared" si="14"/>
        <v>0</v>
      </c>
      <c r="L911" s="106"/>
      <c r="M911" s="106"/>
      <c r="N911" s="106"/>
    </row>
    <row r="912" spans="1:14" ht="14.75" customHeight="1" x14ac:dyDescent="0.4">
      <c r="A912" s="96">
        <v>907</v>
      </c>
      <c r="B912" s="101"/>
      <c r="C912" s="102"/>
      <c r="D912" s="103"/>
      <c r="E912" s="235"/>
      <c r="F912" s="104"/>
      <c r="G912" s="104"/>
      <c r="H912" s="105">
        <f t="shared" si="14"/>
        <v>0</v>
      </c>
      <c r="L912" s="106"/>
      <c r="M912" s="106"/>
      <c r="N912" s="106"/>
    </row>
    <row r="913" spans="1:14" ht="14.75" customHeight="1" x14ac:dyDescent="0.4">
      <c r="A913" s="96">
        <v>908</v>
      </c>
      <c r="B913" s="101"/>
      <c r="C913" s="102"/>
      <c r="D913" s="103"/>
      <c r="E913" s="235"/>
      <c r="F913" s="104"/>
      <c r="G913" s="104"/>
      <c r="H913" s="105">
        <f t="shared" si="14"/>
        <v>0</v>
      </c>
      <c r="L913" s="106"/>
      <c r="M913" s="106"/>
      <c r="N913" s="106"/>
    </row>
    <row r="914" spans="1:14" ht="14.75" customHeight="1" x14ac:dyDescent="0.4">
      <c r="A914" s="96">
        <v>909</v>
      </c>
      <c r="B914" s="101"/>
      <c r="C914" s="102"/>
      <c r="D914" s="103"/>
      <c r="E914" s="235"/>
      <c r="F914" s="104"/>
      <c r="G914" s="104"/>
      <c r="H914" s="105">
        <f t="shared" si="14"/>
        <v>0</v>
      </c>
      <c r="L914" s="106"/>
      <c r="M914" s="106"/>
      <c r="N914" s="106"/>
    </row>
    <row r="915" spans="1:14" ht="14.75" customHeight="1" x14ac:dyDescent="0.4">
      <c r="A915" s="96">
        <v>910</v>
      </c>
      <c r="B915" s="101"/>
      <c r="C915" s="102"/>
      <c r="D915" s="103"/>
      <c r="E915" s="235"/>
      <c r="F915" s="104"/>
      <c r="G915" s="104"/>
      <c r="H915" s="105">
        <f t="shared" si="14"/>
        <v>0</v>
      </c>
      <c r="L915" s="106"/>
      <c r="M915" s="106"/>
      <c r="N915" s="106"/>
    </row>
    <row r="916" spans="1:14" ht="14.75" customHeight="1" x14ac:dyDescent="0.4">
      <c r="A916" s="96">
        <v>911</v>
      </c>
      <c r="B916" s="101"/>
      <c r="C916" s="102"/>
      <c r="D916" s="103"/>
      <c r="E916" s="235"/>
      <c r="F916" s="104"/>
      <c r="G916" s="104"/>
      <c r="H916" s="105">
        <f t="shared" si="14"/>
        <v>0</v>
      </c>
      <c r="L916" s="106"/>
      <c r="M916" s="106"/>
      <c r="N916" s="106"/>
    </row>
    <row r="917" spans="1:14" ht="14.75" customHeight="1" x14ac:dyDescent="0.4">
      <c r="A917" s="96">
        <v>912</v>
      </c>
      <c r="B917" s="101"/>
      <c r="C917" s="102"/>
      <c r="D917" s="103"/>
      <c r="E917" s="235"/>
      <c r="F917" s="104"/>
      <c r="G917" s="104"/>
      <c r="H917" s="105">
        <f t="shared" si="14"/>
        <v>0</v>
      </c>
      <c r="L917" s="106"/>
      <c r="M917" s="106"/>
      <c r="N917" s="106"/>
    </row>
    <row r="918" spans="1:14" ht="14.75" customHeight="1" x14ac:dyDescent="0.4">
      <c r="A918" s="96">
        <v>913</v>
      </c>
      <c r="B918" s="101"/>
      <c r="C918" s="102"/>
      <c r="D918" s="103"/>
      <c r="E918" s="235"/>
      <c r="F918" s="104"/>
      <c r="G918" s="104"/>
      <c r="H918" s="105">
        <f t="shared" si="14"/>
        <v>0</v>
      </c>
      <c r="L918" s="106"/>
      <c r="M918" s="106"/>
      <c r="N918" s="106"/>
    </row>
    <row r="919" spans="1:14" ht="14.75" customHeight="1" x14ac:dyDescent="0.4">
      <c r="A919" s="96">
        <v>914</v>
      </c>
      <c r="B919" s="101"/>
      <c r="C919" s="102"/>
      <c r="D919" s="103"/>
      <c r="E919" s="235"/>
      <c r="F919" s="104"/>
      <c r="G919" s="104"/>
      <c r="H919" s="105">
        <f t="shared" si="14"/>
        <v>0</v>
      </c>
      <c r="L919" s="106"/>
      <c r="M919" s="106"/>
      <c r="N919" s="106"/>
    </row>
    <row r="920" spans="1:14" ht="14.75" customHeight="1" x14ac:dyDescent="0.4">
      <c r="A920" s="96">
        <v>915</v>
      </c>
      <c r="B920" s="101"/>
      <c r="C920" s="102"/>
      <c r="D920" s="103"/>
      <c r="E920" s="235"/>
      <c r="F920" s="104"/>
      <c r="G920" s="104"/>
      <c r="H920" s="105">
        <f t="shared" si="14"/>
        <v>0</v>
      </c>
      <c r="L920" s="106"/>
      <c r="M920" s="106"/>
      <c r="N920" s="106"/>
    </row>
    <row r="921" spans="1:14" ht="14.75" customHeight="1" x14ac:dyDescent="0.4">
      <c r="A921" s="96">
        <v>916</v>
      </c>
      <c r="B921" s="101"/>
      <c r="C921" s="102"/>
      <c r="D921" s="103"/>
      <c r="E921" s="235"/>
      <c r="F921" s="104"/>
      <c r="G921" s="104"/>
      <c r="H921" s="105">
        <f t="shared" si="14"/>
        <v>0</v>
      </c>
      <c r="L921" s="106"/>
      <c r="M921" s="106"/>
      <c r="N921" s="106"/>
    </row>
    <row r="922" spans="1:14" ht="14.75" customHeight="1" x14ac:dyDescent="0.4">
      <c r="A922" s="96">
        <v>917</v>
      </c>
      <c r="B922" s="101"/>
      <c r="C922" s="102"/>
      <c r="D922" s="103"/>
      <c r="E922" s="235"/>
      <c r="F922" s="104"/>
      <c r="G922" s="104"/>
      <c r="H922" s="105">
        <f t="shared" si="14"/>
        <v>0</v>
      </c>
      <c r="L922" s="106"/>
      <c r="M922" s="106"/>
      <c r="N922" s="106"/>
    </row>
    <row r="923" spans="1:14" ht="14.75" customHeight="1" x14ac:dyDescent="0.4">
      <c r="A923" s="96">
        <v>918</v>
      </c>
      <c r="B923" s="101"/>
      <c r="C923" s="102"/>
      <c r="D923" s="103"/>
      <c r="E923" s="235"/>
      <c r="F923" s="104"/>
      <c r="G923" s="104"/>
      <c r="H923" s="105">
        <f t="shared" si="14"/>
        <v>0</v>
      </c>
      <c r="L923" s="106"/>
      <c r="M923" s="106"/>
      <c r="N923" s="106"/>
    </row>
    <row r="924" spans="1:14" ht="14.75" customHeight="1" x14ac:dyDescent="0.4">
      <c r="A924" s="96">
        <v>919</v>
      </c>
      <c r="B924" s="101"/>
      <c r="C924" s="102"/>
      <c r="D924" s="103"/>
      <c r="E924" s="235"/>
      <c r="F924" s="104"/>
      <c r="G924" s="104"/>
      <c r="H924" s="105">
        <f t="shared" si="14"/>
        <v>0</v>
      </c>
      <c r="L924" s="106"/>
      <c r="M924" s="106"/>
      <c r="N924" s="106"/>
    </row>
    <row r="925" spans="1:14" ht="14.75" customHeight="1" x14ac:dyDescent="0.4">
      <c r="A925" s="96">
        <v>920</v>
      </c>
      <c r="B925" s="101"/>
      <c r="C925" s="102"/>
      <c r="D925" s="103"/>
      <c r="E925" s="235"/>
      <c r="F925" s="104"/>
      <c r="G925" s="104"/>
      <c r="H925" s="105">
        <f t="shared" si="14"/>
        <v>0</v>
      </c>
      <c r="L925" s="106"/>
      <c r="M925" s="106"/>
      <c r="N925" s="106"/>
    </row>
    <row r="926" spans="1:14" ht="14.75" customHeight="1" x14ac:dyDescent="0.4">
      <c r="A926" s="96">
        <v>921</v>
      </c>
      <c r="B926" s="101"/>
      <c r="C926" s="102"/>
      <c r="D926" s="103"/>
      <c r="E926" s="235"/>
      <c r="F926" s="104"/>
      <c r="G926" s="104"/>
      <c r="H926" s="105">
        <f t="shared" si="14"/>
        <v>0</v>
      </c>
      <c r="L926" s="106"/>
      <c r="M926" s="106"/>
      <c r="N926" s="106"/>
    </row>
    <row r="927" spans="1:14" ht="14.75" customHeight="1" x14ac:dyDescent="0.4">
      <c r="A927" s="96">
        <v>922</v>
      </c>
      <c r="B927" s="101"/>
      <c r="C927" s="102"/>
      <c r="D927" s="103"/>
      <c r="E927" s="235"/>
      <c r="F927" s="104"/>
      <c r="G927" s="104"/>
      <c r="H927" s="105">
        <f t="shared" si="14"/>
        <v>0</v>
      </c>
      <c r="L927" s="106"/>
      <c r="M927" s="106"/>
      <c r="N927" s="106"/>
    </row>
    <row r="928" spans="1:14" ht="14.75" customHeight="1" x14ac:dyDescent="0.4">
      <c r="A928" s="96">
        <v>923</v>
      </c>
      <c r="B928" s="101"/>
      <c r="C928" s="102"/>
      <c r="D928" s="103"/>
      <c r="E928" s="235"/>
      <c r="F928" s="104"/>
      <c r="G928" s="104"/>
      <c r="H928" s="105">
        <f t="shared" si="14"/>
        <v>0</v>
      </c>
      <c r="L928" s="106"/>
      <c r="M928" s="106"/>
      <c r="N928" s="106"/>
    </row>
    <row r="929" spans="1:14" ht="14.75" customHeight="1" x14ac:dyDescent="0.4">
      <c r="A929" s="96">
        <v>924</v>
      </c>
      <c r="B929" s="101"/>
      <c r="C929" s="102"/>
      <c r="D929" s="103"/>
      <c r="E929" s="235"/>
      <c r="F929" s="104"/>
      <c r="G929" s="104"/>
      <c r="H929" s="105">
        <f t="shared" si="14"/>
        <v>0</v>
      </c>
      <c r="L929" s="106"/>
      <c r="M929" s="106"/>
      <c r="N929" s="106"/>
    </row>
    <row r="930" spans="1:14" ht="14.75" customHeight="1" x14ac:dyDescent="0.4">
      <c r="A930" s="96">
        <v>925</v>
      </c>
      <c r="B930" s="101"/>
      <c r="C930" s="102"/>
      <c r="D930" s="103"/>
      <c r="E930" s="235"/>
      <c r="F930" s="104"/>
      <c r="G930" s="104"/>
      <c r="H930" s="105">
        <f t="shared" si="14"/>
        <v>0</v>
      </c>
      <c r="L930" s="106"/>
      <c r="M930" s="106"/>
      <c r="N930" s="106"/>
    </row>
    <row r="931" spans="1:14" ht="14.75" customHeight="1" x14ac:dyDescent="0.4">
      <c r="A931" s="96">
        <v>926</v>
      </c>
      <c r="B931" s="101"/>
      <c r="C931" s="102"/>
      <c r="D931" s="103"/>
      <c r="E931" s="235"/>
      <c r="F931" s="104"/>
      <c r="G931" s="104"/>
      <c r="H931" s="105">
        <f t="shared" si="14"/>
        <v>0</v>
      </c>
      <c r="L931" s="106"/>
      <c r="M931" s="106"/>
      <c r="N931" s="106"/>
    </row>
    <row r="932" spans="1:14" ht="14.75" customHeight="1" x14ac:dyDescent="0.4">
      <c r="A932" s="96">
        <v>927</v>
      </c>
      <c r="B932" s="101"/>
      <c r="C932" s="102"/>
      <c r="D932" s="103"/>
      <c r="E932" s="235"/>
      <c r="F932" s="104"/>
      <c r="G932" s="104"/>
      <c r="H932" s="105">
        <f t="shared" si="14"/>
        <v>0</v>
      </c>
      <c r="L932" s="106"/>
      <c r="M932" s="106"/>
      <c r="N932" s="106"/>
    </row>
    <row r="933" spans="1:14" ht="14.75" customHeight="1" x14ac:dyDescent="0.4">
      <c r="A933" s="96">
        <v>928</v>
      </c>
      <c r="B933" s="101"/>
      <c r="C933" s="102"/>
      <c r="D933" s="103"/>
      <c r="E933" s="235"/>
      <c r="F933" s="104"/>
      <c r="G933" s="104"/>
      <c r="H933" s="105">
        <f t="shared" si="14"/>
        <v>0</v>
      </c>
      <c r="L933" s="106"/>
      <c r="M933" s="106"/>
      <c r="N933" s="106"/>
    </row>
    <row r="934" spans="1:14" ht="14.75" customHeight="1" x14ac:dyDescent="0.4">
      <c r="A934" s="96">
        <v>929</v>
      </c>
      <c r="B934" s="101"/>
      <c r="C934" s="102"/>
      <c r="D934" s="103"/>
      <c r="E934" s="235"/>
      <c r="F934" s="104"/>
      <c r="G934" s="104"/>
      <c r="H934" s="105">
        <f t="shared" si="14"/>
        <v>0</v>
      </c>
      <c r="L934" s="106"/>
      <c r="M934" s="106"/>
      <c r="N934" s="106"/>
    </row>
    <row r="935" spans="1:14" ht="14.75" customHeight="1" x14ac:dyDescent="0.4">
      <c r="A935" s="96">
        <v>930</v>
      </c>
      <c r="B935" s="101"/>
      <c r="C935" s="102"/>
      <c r="D935" s="103"/>
      <c r="E935" s="235"/>
      <c r="F935" s="104"/>
      <c r="G935" s="104"/>
      <c r="H935" s="105">
        <f t="shared" si="14"/>
        <v>0</v>
      </c>
      <c r="L935" s="106"/>
      <c r="M935" s="106"/>
      <c r="N935" s="106"/>
    </row>
    <row r="936" spans="1:14" ht="14.75" customHeight="1" x14ac:dyDescent="0.4">
      <c r="A936" s="96">
        <v>931</v>
      </c>
      <c r="B936" s="101"/>
      <c r="C936" s="102"/>
      <c r="D936" s="103"/>
      <c r="E936" s="235"/>
      <c r="F936" s="104"/>
      <c r="G936" s="104"/>
      <c r="H936" s="105">
        <f t="shared" si="14"/>
        <v>0</v>
      </c>
      <c r="L936" s="106"/>
      <c r="M936" s="106"/>
      <c r="N936" s="106"/>
    </row>
    <row r="937" spans="1:14" ht="14.75" customHeight="1" x14ac:dyDescent="0.4">
      <c r="A937" s="96">
        <v>932</v>
      </c>
      <c r="B937" s="101"/>
      <c r="C937" s="102"/>
      <c r="D937" s="103"/>
      <c r="E937" s="235"/>
      <c r="F937" s="104"/>
      <c r="G937" s="104"/>
      <c r="H937" s="105">
        <f t="shared" si="14"/>
        <v>0</v>
      </c>
      <c r="L937" s="106"/>
      <c r="M937" s="106"/>
      <c r="N937" s="106"/>
    </row>
    <row r="938" spans="1:14" ht="14.75" customHeight="1" x14ac:dyDescent="0.4">
      <c r="A938" s="96">
        <v>933</v>
      </c>
      <c r="B938" s="101"/>
      <c r="C938" s="102"/>
      <c r="D938" s="103"/>
      <c r="E938" s="235"/>
      <c r="F938" s="104"/>
      <c r="G938" s="104"/>
      <c r="H938" s="105">
        <f t="shared" si="14"/>
        <v>0</v>
      </c>
      <c r="L938" s="106"/>
      <c r="M938" s="106"/>
      <c r="N938" s="106"/>
    </row>
    <row r="939" spans="1:14" ht="14.75" customHeight="1" x14ac:dyDescent="0.4">
      <c r="A939" s="96">
        <v>934</v>
      </c>
      <c r="B939" s="101"/>
      <c r="C939" s="102"/>
      <c r="D939" s="103"/>
      <c r="E939" s="235"/>
      <c r="F939" s="104"/>
      <c r="G939" s="104"/>
      <c r="H939" s="105">
        <f t="shared" si="14"/>
        <v>0</v>
      </c>
      <c r="L939" s="106"/>
      <c r="M939" s="106"/>
      <c r="N939" s="106"/>
    </row>
    <row r="940" spans="1:14" ht="14.75" customHeight="1" x14ac:dyDescent="0.4">
      <c r="A940" s="96">
        <v>935</v>
      </c>
      <c r="B940" s="101"/>
      <c r="C940" s="102"/>
      <c r="D940" s="103"/>
      <c r="E940" s="235"/>
      <c r="F940" s="104"/>
      <c r="G940" s="104"/>
      <c r="H940" s="105">
        <f t="shared" si="14"/>
        <v>0</v>
      </c>
      <c r="L940" s="106"/>
      <c r="M940" s="106"/>
      <c r="N940" s="106"/>
    </row>
    <row r="941" spans="1:14" ht="14.75" customHeight="1" x14ac:dyDescent="0.4">
      <c r="A941" s="96">
        <v>936</v>
      </c>
      <c r="B941" s="101"/>
      <c r="C941" s="102"/>
      <c r="D941" s="103"/>
      <c r="E941" s="235"/>
      <c r="F941" s="104"/>
      <c r="G941" s="104"/>
      <c r="H941" s="105">
        <f t="shared" si="14"/>
        <v>0</v>
      </c>
      <c r="L941" s="106"/>
      <c r="M941" s="106"/>
      <c r="N941" s="106"/>
    </row>
    <row r="942" spans="1:14" ht="14.75" customHeight="1" x14ac:dyDescent="0.4">
      <c r="A942" s="96">
        <v>937</v>
      </c>
      <c r="B942" s="101"/>
      <c r="C942" s="102"/>
      <c r="D942" s="103"/>
      <c r="E942" s="235"/>
      <c r="F942" s="104"/>
      <c r="G942" s="104"/>
      <c r="H942" s="105">
        <f t="shared" si="14"/>
        <v>0</v>
      </c>
      <c r="L942" s="106"/>
      <c r="M942" s="106"/>
      <c r="N942" s="106"/>
    </row>
    <row r="943" spans="1:14" ht="14.75" customHeight="1" x14ac:dyDescent="0.4">
      <c r="A943" s="96">
        <v>938</v>
      </c>
      <c r="B943" s="101"/>
      <c r="C943" s="102"/>
      <c r="D943" s="103"/>
      <c r="E943" s="235"/>
      <c r="F943" s="104"/>
      <c r="G943" s="104"/>
      <c r="H943" s="105">
        <f t="shared" si="14"/>
        <v>0</v>
      </c>
      <c r="L943" s="106"/>
      <c r="M943" s="106"/>
      <c r="N943" s="106"/>
    </row>
    <row r="944" spans="1:14" ht="14.75" customHeight="1" x14ac:dyDescent="0.4">
      <c r="A944" s="96">
        <v>939</v>
      </c>
      <c r="B944" s="101"/>
      <c r="C944" s="102"/>
      <c r="D944" s="103"/>
      <c r="E944" s="235"/>
      <c r="F944" s="104"/>
      <c r="G944" s="104"/>
      <c r="H944" s="105">
        <f t="shared" si="14"/>
        <v>0</v>
      </c>
      <c r="L944" s="106"/>
      <c r="M944" s="106"/>
      <c r="N944" s="106"/>
    </row>
    <row r="945" spans="1:14" ht="14.75" customHeight="1" x14ac:dyDescent="0.4">
      <c r="A945" s="96">
        <v>940</v>
      </c>
      <c r="B945" s="101"/>
      <c r="C945" s="102"/>
      <c r="D945" s="103"/>
      <c r="E945" s="235"/>
      <c r="F945" s="104"/>
      <c r="G945" s="104"/>
      <c r="H945" s="105">
        <f t="shared" si="14"/>
        <v>0</v>
      </c>
      <c r="L945" s="106"/>
      <c r="M945" s="106"/>
      <c r="N945" s="106"/>
    </row>
    <row r="946" spans="1:14" ht="14.75" customHeight="1" x14ac:dyDescent="0.4">
      <c r="A946" s="96">
        <v>941</v>
      </c>
      <c r="B946" s="101"/>
      <c r="C946" s="102"/>
      <c r="D946" s="103"/>
      <c r="E946" s="235"/>
      <c r="F946" s="104"/>
      <c r="G946" s="104"/>
      <c r="H946" s="105">
        <f t="shared" si="14"/>
        <v>0</v>
      </c>
      <c r="L946" s="106"/>
      <c r="M946" s="106"/>
      <c r="N946" s="106"/>
    </row>
    <row r="947" spans="1:14" ht="14.75" customHeight="1" x14ac:dyDescent="0.4">
      <c r="A947" s="96">
        <v>942</v>
      </c>
      <c r="B947" s="101"/>
      <c r="C947" s="102"/>
      <c r="D947" s="103"/>
      <c r="E947" s="235"/>
      <c r="F947" s="104"/>
      <c r="G947" s="104"/>
      <c r="H947" s="105">
        <f t="shared" si="14"/>
        <v>0</v>
      </c>
      <c r="L947" s="106"/>
      <c r="M947" s="106"/>
      <c r="N947" s="106"/>
    </row>
    <row r="948" spans="1:14" ht="14.75" customHeight="1" x14ac:dyDescent="0.4">
      <c r="A948" s="96">
        <v>943</v>
      </c>
      <c r="B948" s="101"/>
      <c r="C948" s="102"/>
      <c r="D948" s="103"/>
      <c r="E948" s="235"/>
      <c r="F948" s="104"/>
      <c r="G948" s="104"/>
      <c r="H948" s="105">
        <f t="shared" si="14"/>
        <v>0</v>
      </c>
      <c r="L948" s="106"/>
      <c r="M948" s="106"/>
      <c r="N948" s="106"/>
    </row>
    <row r="949" spans="1:14" ht="14.75" customHeight="1" x14ac:dyDescent="0.4">
      <c r="A949" s="96">
        <v>944</v>
      </c>
      <c r="B949" s="101"/>
      <c r="C949" s="102"/>
      <c r="D949" s="103"/>
      <c r="E949" s="235"/>
      <c r="F949" s="104"/>
      <c r="G949" s="104"/>
      <c r="H949" s="105">
        <f t="shared" si="14"/>
        <v>0</v>
      </c>
      <c r="L949" s="106"/>
      <c r="M949" s="106"/>
      <c r="N949" s="106"/>
    </row>
    <row r="950" spans="1:14" ht="14.75" customHeight="1" x14ac:dyDescent="0.4">
      <c r="A950" s="96">
        <v>945</v>
      </c>
      <c r="B950" s="101"/>
      <c r="C950" s="102"/>
      <c r="D950" s="103"/>
      <c r="E950" s="235"/>
      <c r="F950" s="104"/>
      <c r="G950" s="104"/>
      <c r="H950" s="105">
        <f t="shared" si="14"/>
        <v>0</v>
      </c>
      <c r="L950" s="106"/>
      <c r="M950" s="106"/>
      <c r="N950" s="106"/>
    </row>
    <row r="951" spans="1:14" ht="14.75" customHeight="1" x14ac:dyDescent="0.4">
      <c r="A951" s="96">
        <v>946</v>
      </c>
      <c r="B951" s="101"/>
      <c r="C951" s="102"/>
      <c r="D951" s="103"/>
      <c r="E951" s="235"/>
      <c r="F951" s="104"/>
      <c r="G951" s="104"/>
      <c r="H951" s="105">
        <f t="shared" si="14"/>
        <v>0</v>
      </c>
      <c r="L951" s="106"/>
      <c r="M951" s="106"/>
      <c r="N951" s="106"/>
    </row>
    <row r="952" spans="1:14" ht="14.75" customHeight="1" x14ac:dyDescent="0.4">
      <c r="A952" s="96">
        <v>947</v>
      </c>
      <c r="B952" s="101"/>
      <c r="C952" s="102"/>
      <c r="D952" s="103"/>
      <c r="E952" s="235"/>
      <c r="F952" s="104"/>
      <c r="G952" s="104"/>
      <c r="H952" s="105">
        <f t="shared" si="14"/>
        <v>0</v>
      </c>
      <c r="L952" s="106"/>
      <c r="M952" s="106"/>
      <c r="N952" s="106"/>
    </row>
    <row r="953" spans="1:14" ht="14.75" customHeight="1" x14ac:dyDescent="0.4">
      <c r="A953" s="96">
        <v>948</v>
      </c>
      <c r="B953" s="101"/>
      <c r="C953" s="102"/>
      <c r="D953" s="103"/>
      <c r="E953" s="235"/>
      <c r="F953" s="104"/>
      <c r="G953" s="104"/>
      <c r="H953" s="105">
        <f t="shared" si="14"/>
        <v>0</v>
      </c>
      <c r="L953" s="106"/>
      <c r="M953" s="106"/>
      <c r="N953" s="106"/>
    </row>
    <row r="954" spans="1:14" ht="14.75" customHeight="1" x14ac:dyDescent="0.4">
      <c r="A954" s="96">
        <v>949</v>
      </c>
      <c r="B954" s="101"/>
      <c r="C954" s="102"/>
      <c r="D954" s="103"/>
      <c r="E954" s="235"/>
      <c r="F954" s="104"/>
      <c r="G954" s="104"/>
      <c r="H954" s="105">
        <f t="shared" si="14"/>
        <v>0</v>
      </c>
      <c r="L954" s="106"/>
      <c r="M954" s="106"/>
      <c r="N954" s="106"/>
    </row>
    <row r="955" spans="1:14" ht="14.75" customHeight="1" x14ac:dyDescent="0.4">
      <c r="A955" s="96">
        <v>950</v>
      </c>
      <c r="B955" s="101"/>
      <c r="C955" s="102"/>
      <c r="D955" s="103"/>
      <c r="E955" s="235"/>
      <c r="F955" s="104"/>
      <c r="G955" s="104"/>
      <c r="H955" s="105">
        <f t="shared" si="14"/>
        <v>0</v>
      </c>
      <c r="L955" s="106"/>
      <c r="M955" s="106"/>
      <c r="N955" s="106"/>
    </row>
    <row r="956" spans="1:14" ht="14.75" customHeight="1" x14ac:dyDescent="0.4">
      <c r="A956" s="96">
        <v>951</v>
      </c>
      <c r="B956" s="101"/>
      <c r="C956" s="102"/>
      <c r="D956" s="103"/>
      <c r="E956" s="235"/>
      <c r="F956" s="104"/>
      <c r="G956" s="104"/>
      <c r="H956" s="105">
        <f t="shared" si="14"/>
        <v>0</v>
      </c>
      <c r="L956" s="106"/>
      <c r="M956" s="106"/>
      <c r="N956" s="106"/>
    </row>
    <row r="957" spans="1:14" ht="14.75" customHeight="1" x14ac:dyDescent="0.4">
      <c r="A957" s="96">
        <v>952</v>
      </c>
      <c r="B957" s="101"/>
      <c r="C957" s="102"/>
      <c r="D957" s="103"/>
      <c r="E957" s="235"/>
      <c r="F957" s="104"/>
      <c r="G957" s="104"/>
      <c r="H957" s="105">
        <f t="shared" si="14"/>
        <v>0</v>
      </c>
      <c r="L957" s="106"/>
      <c r="M957" s="106"/>
      <c r="N957" s="106"/>
    </row>
    <row r="958" spans="1:14" ht="14.75" customHeight="1" x14ac:dyDescent="0.4">
      <c r="A958" s="96">
        <v>953</v>
      </c>
      <c r="B958" s="101"/>
      <c r="C958" s="102"/>
      <c r="D958" s="103"/>
      <c r="E958" s="235"/>
      <c r="F958" s="104"/>
      <c r="G958" s="104"/>
      <c r="H958" s="105">
        <f t="shared" si="14"/>
        <v>0</v>
      </c>
      <c r="L958" s="106"/>
      <c r="M958" s="106"/>
      <c r="N958" s="106"/>
    </row>
    <row r="959" spans="1:14" ht="14.75" customHeight="1" x14ac:dyDescent="0.4">
      <c r="A959" s="96">
        <v>954</v>
      </c>
      <c r="B959" s="101"/>
      <c r="C959" s="102"/>
      <c r="D959" s="103"/>
      <c r="E959" s="235"/>
      <c r="F959" s="104"/>
      <c r="G959" s="104"/>
      <c r="H959" s="105">
        <f t="shared" si="14"/>
        <v>0</v>
      </c>
      <c r="L959" s="106"/>
      <c r="M959" s="106"/>
      <c r="N959" s="106"/>
    </row>
    <row r="960" spans="1:14" ht="14.75" customHeight="1" x14ac:dyDescent="0.4">
      <c r="A960" s="96">
        <v>955</v>
      </c>
      <c r="B960" s="101"/>
      <c r="C960" s="102"/>
      <c r="D960" s="103"/>
      <c r="E960" s="235"/>
      <c r="F960" s="104"/>
      <c r="G960" s="104"/>
      <c r="H960" s="105">
        <f t="shared" si="14"/>
        <v>0</v>
      </c>
      <c r="L960" s="106"/>
      <c r="M960" s="106"/>
      <c r="N960" s="106"/>
    </row>
    <row r="961" spans="1:14" ht="14.75" customHeight="1" x14ac:dyDescent="0.4">
      <c r="A961" s="96">
        <v>956</v>
      </c>
      <c r="B961" s="101"/>
      <c r="C961" s="102"/>
      <c r="D961" s="103"/>
      <c r="E961" s="235"/>
      <c r="F961" s="104"/>
      <c r="G961" s="104"/>
      <c r="H961" s="105">
        <f t="shared" si="14"/>
        <v>0</v>
      </c>
      <c r="L961" s="106"/>
      <c r="M961" s="106"/>
      <c r="N961" s="106"/>
    </row>
    <row r="962" spans="1:14" ht="14.75" customHeight="1" x14ac:dyDescent="0.4">
      <c r="A962" s="96">
        <v>957</v>
      </c>
      <c r="B962" s="101"/>
      <c r="C962" s="102"/>
      <c r="D962" s="103"/>
      <c r="E962" s="235"/>
      <c r="F962" s="104"/>
      <c r="G962" s="104"/>
      <c r="H962" s="105">
        <f t="shared" si="14"/>
        <v>0</v>
      </c>
      <c r="L962" s="106"/>
      <c r="M962" s="106"/>
      <c r="N962" s="106"/>
    </row>
    <row r="963" spans="1:14" ht="14.75" customHeight="1" x14ac:dyDescent="0.4">
      <c r="A963" s="96">
        <v>958</v>
      </c>
      <c r="B963" s="101"/>
      <c r="C963" s="102"/>
      <c r="D963" s="103"/>
      <c r="E963" s="235"/>
      <c r="F963" s="104"/>
      <c r="G963" s="104"/>
      <c r="H963" s="105">
        <f t="shared" si="14"/>
        <v>0</v>
      </c>
      <c r="L963" s="106"/>
      <c r="M963" s="106"/>
      <c r="N963" s="106"/>
    </row>
    <row r="964" spans="1:14" ht="14.75" customHeight="1" x14ac:dyDescent="0.4">
      <c r="A964" s="96">
        <v>959</v>
      </c>
      <c r="B964" s="101"/>
      <c r="C964" s="102"/>
      <c r="D964" s="103"/>
      <c r="E964" s="235"/>
      <c r="F964" s="104"/>
      <c r="G964" s="104"/>
      <c r="H964" s="105">
        <f t="shared" si="14"/>
        <v>0</v>
      </c>
      <c r="L964" s="106"/>
      <c r="M964" s="106"/>
      <c r="N964" s="106"/>
    </row>
    <row r="965" spans="1:14" ht="14.75" customHeight="1" x14ac:dyDescent="0.4">
      <c r="A965" s="96">
        <v>960</v>
      </c>
      <c r="B965" s="101"/>
      <c r="C965" s="102"/>
      <c r="D965" s="103"/>
      <c r="E965" s="235"/>
      <c r="F965" s="104"/>
      <c r="G965" s="104"/>
      <c r="H965" s="105">
        <f t="shared" si="14"/>
        <v>0</v>
      </c>
      <c r="L965" s="106"/>
      <c r="M965" s="106"/>
      <c r="N965" s="106"/>
    </row>
    <row r="966" spans="1:14" ht="14.75" customHeight="1" x14ac:dyDescent="0.4">
      <c r="A966" s="96">
        <v>961</v>
      </c>
      <c r="B966" s="101"/>
      <c r="C966" s="102"/>
      <c r="D966" s="103"/>
      <c r="E966" s="235"/>
      <c r="F966" s="104"/>
      <c r="G966" s="104"/>
      <c r="H966" s="105">
        <f t="shared" si="14"/>
        <v>0</v>
      </c>
      <c r="L966" s="106"/>
      <c r="M966" s="106"/>
      <c r="N966" s="106"/>
    </row>
    <row r="967" spans="1:14" ht="14.75" customHeight="1" x14ac:dyDescent="0.4">
      <c r="A967" s="96">
        <v>962</v>
      </c>
      <c r="B967" s="101"/>
      <c r="C967" s="102"/>
      <c r="D967" s="103"/>
      <c r="E967" s="235"/>
      <c r="F967" s="104"/>
      <c r="G967" s="104"/>
      <c r="H967" s="105">
        <f t="shared" si="14"/>
        <v>0</v>
      </c>
      <c r="L967" s="106"/>
      <c r="M967" s="106"/>
      <c r="N967" s="106"/>
    </row>
    <row r="968" spans="1:14" ht="14.75" customHeight="1" x14ac:dyDescent="0.4">
      <c r="A968" s="96">
        <v>963</v>
      </c>
      <c r="B968" s="101"/>
      <c r="C968" s="102"/>
      <c r="D968" s="103"/>
      <c r="E968" s="235"/>
      <c r="F968" s="104"/>
      <c r="G968" s="104"/>
      <c r="H968" s="105">
        <f t="shared" si="14"/>
        <v>0</v>
      </c>
      <c r="L968" s="106"/>
      <c r="M968" s="106"/>
      <c r="N968" s="106"/>
    </row>
    <row r="969" spans="1:14" ht="14.75" customHeight="1" x14ac:dyDescent="0.4">
      <c r="A969" s="96">
        <v>964</v>
      </c>
      <c r="B969" s="101"/>
      <c r="C969" s="102"/>
      <c r="D969" s="103"/>
      <c r="E969" s="235"/>
      <c r="F969" s="104"/>
      <c r="G969" s="104"/>
      <c r="H969" s="105">
        <f t="shared" ref="H969:H1032" si="15">H968+F969-G969</f>
        <v>0</v>
      </c>
      <c r="L969" s="106"/>
      <c r="M969" s="106"/>
      <c r="N969" s="106"/>
    </row>
    <row r="970" spans="1:14" ht="14.75" customHeight="1" x14ac:dyDescent="0.4">
      <c r="A970" s="96">
        <v>965</v>
      </c>
      <c r="B970" s="101"/>
      <c r="C970" s="102"/>
      <c r="D970" s="103"/>
      <c r="E970" s="235"/>
      <c r="F970" s="104"/>
      <c r="G970" s="104"/>
      <c r="H970" s="105">
        <f t="shared" si="15"/>
        <v>0</v>
      </c>
      <c r="L970" s="106"/>
      <c r="M970" s="106"/>
      <c r="N970" s="106"/>
    </row>
    <row r="971" spans="1:14" ht="14.75" customHeight="1" x14ac:dyDescent="0.4">
      <c r="A971" s="96">
        <v>966</v>
      </c>
      <c r="B971" s="101"/>
      <c r="C971" s="102"/>
      <c r="D971" s="103"/>
      <c r="E971" s="235"/>
      <c r="F971" s="104"/>
      <c r="G971" s="104"/>
      <c r="H971" s="105">
        <f t="shared" si="15"/>
        <v>0</v>
      </c>
      <c r="L971" s="106"/>
      <c r="M971" s="106"/>
      <c r="N971" s="106"/>
    </row>
    <row r="972" spans="1:14" ht="14.75" customHeight="1" x14ac:dyDescent="0.4">
      <c r="A972" s="96">
        <v>967</v>
      </c>
      <c r="B972" s="101"/>
      <c r="C972" s="102"/>
      <c r="D972" s="103"/>
      <c r="E972" s="235"/>
      <c r="F972" s="104"/>
      <c r="G972" s="104"/>
      <c r="H972" s="105">
        <f t="shared" si="15"/>
        <v>0</v>
      </c>
      <c r="L972" s="106"/>
      <c r="M972" s="106"/>
      <c r="N972" s="106"/>
    </row>
    <row r="973" spans="1:14" ht="14.75" customHeight="1" x14ac:dyDescent="0.4">
      <c r="A973" s="96">
        <v>968</v>
      </c>
      <c r="B973" s="101"/>
      <c r="C973" s="102"/>
      <c r="D973" s="103"/>
      <c r="E973" s="235"/>
      <c r="F973" s="104"/>
      <c r="G973" s="104"/>
      <c r="H973" s="105">
        <f t="shared" si="15"/>
        <v>0</v>
      </c>
      <c r="L973" s="106"/>
      <c r="M973" s="106"/>
      <c r="N973" s="106"/>
    </row>
    <row r="974" spans="1:14" ht="14.75" customHeight="1" x14ac:dyDescent="0.4">
      <c r="A974" s="96">
        <v>969</v>
      </c>
      <c r="B974" s="101"/>
      <c r="C974" s="102"/>
      <c r="D974" s="103"/>
      <c r="E974" s="235"/>
      <c r="F974" s="104"/>
      <c r="G974" s="104"/>
      <c r="H974" s="105">
        <f t="shared" si="15"/>
        <v>0</v>
      </c>
      <c r="L974" s="106"/>
      <c r="M974" s="106"/>
      <c r="N974" s="106"/>
    </row>
    <row r="975" spans="1:14" ht="14.75" customHeight="1" x14ac:dyDescent="0.4">
      <c r="A975" s="96">
        <v>970</v>
      </c>
      <c r="B975" s="101"/>
      <c r="C975" s="102"/>
      <c r="D975" s="103"/>
      <c r="E975" s="235"/>
      <c r="F975" s="104"/>
      <c r="G975" s="104"/>
      <c r="H975" s="105">
        <f t="shared" si="15"/>
        <v>0</v>
      </c>
      <c r="L975" s="106"/>
      <c r="M975" s="106"/>
      <c r="N975" s="106"/>
    </row>
    <row r="976" spans="1:14" ht="14.75" customHeight="1" x14ac:dyDescent="0.4">
      <c r="A976" s="96">
        <v>971</v>
      </c>
      <c r="B976" s="101"/>
      <c r="C976" s="102"/>
      <c r="D976" s="103"/>
      <c r="E976" s="235"/>
      <c r="F976" s="104"/>
      <c r="G976" s="104"/>
      <c r="H976" s="105">
        <f t="shared" si="15"/>
        <v>0</v>
      </c>
      <c r="L976" s="106"/>
      <c r="M976" s="106"/>
      <c r="N976" s="106"/>
    </row>
    <row r="977" spans="1:14" ht="14.75" customHeight="1" x14ac:dyDescent="0.4">
      <c r="A977" s="96">
        <v>972</v>
      </c>
      <c r="B977" s="101"/>
      <c r="C977" s="102"/>
      <c r="D977" s="103"/>
      <c r="E977" s="235"/>
      <c r="F977" s="104"/>
      <c r="G977" s="104"/>
      <c r="H977" s="105">
        <f t="shared" si="15"/>
        <v>0</v>
      </c>
      <c r="L977" s="106"/>
      <c r="M977" s="106"/>
      <c r="N977" s="106"/>
    </row>
    <row r="978" spans="1:14" ht="14.75" customHeight="1" x14ac:dyDescent="0.4">
      <c r="A978" s="96">
        <v>973</v>
      </c>
      <c r="B978" s="101"/>
      <c r="C978" s="102"/>
      <c r="D978" s="103"/>
      <c r="E978" s="235"/>
      <c r="F978" s="104"/>
      <c r="G978" s="104"/>
      <c r="H978" s="105">
        <f t="shared" si="15"/>
        <v>0</v>
      </c>
      <c r="L978" s="106"/>
      <c r="M978" s="106"/>
      <c r="N978" s="106"/>
    </row>
    <row r="979" spans="1:14" ht="14.75" customHeight="1" x14ac:dyDescent="0.4">
      <c r="A979" s="96">
        <v>974</v>
      </c>
      <c r="B979" s="101"/>
      <c r="C979" s="102"/>
      <c r="D979" s="103"/>
      <c r="E979" s="235"/>
      <c r="F979" s="104"/>
      <c r="G979" s="104"/>
      <c r="H979" s="105">
        <f t="shared" si="15"/>
        <v>0</v>
      </c>
      <c r="L979" s="106"/>
      <c r="M979" s="106"/>
      <c r="N979" s="106"/>
    </row>
    <row r="980" spans="1:14" ht="14.75" customHeight="1" x14ac:dyDescent="0.4">
      <c r="A980" s="96">
        <v>975</v>
      </c>
      <c r="B980" s="101"/>
      <c r="C980" s="102"/>
      <c r="D980" s="103"/>
      <c r="E980" s="235"/>
      <c r="F980" s="104"/>
      <c r="G980" s="104"/>
      <c r="H980" s="105">
        <f t="shared" si="15"/>
        <v>0</v>
      </c>
      <c r="L980" s="106"/>
      <c r="M980" s="106"/>
      <c r="N980" s="106"/>
    </row>
    <row r="981" spans="1:14" ht="14.75" customHeight="1" x14ac:dyDescent="0.4">
      <c r="A981" s="96">
        <v>976</v>
      </c>
      <c r="B981" s="101"/>
      <c r="C981" s="102"/>
      <c r="D981" s="103"/>
      <c r="E981" s="235"/>
      <c r="F981" s="104"/>
      <c r="G981" s="104"/>
      <c r="H981" s="105">
        <f t="shared" si="15"/>
        <v>0</v>
      </c>
      <c r="L981" s="106"/>
      <c r="M981" s="106"/>
      <c r="N981" s="106"/>
    </row>
    <row r="982" spans="1:14" ht="14.75" customHeight="1" x14ac:dyDescent="0.4">
      <c r="A982" s="96">
        <v>977</v>
      </c>
      <c r="B982" s="101"/>
      <c r="C982" s="102"/>
      <c r="D982" s="103"/>
      <c r="E982" s="235"/>
      <c r="F982" s="104"/>
      <c r="G982" s="104"/>
      <c r="H982" s="105">
        <f t="shared" si="15"/>
        <v>0</v>
      </c>
      <c r="L982" s="106"/>
      <c r="M982" s="106"/>
      <c r="N982" s="106"/>
    </row>
    <row r="983" spans="1:14" ht="14.75" customHeight="1" x14ac:dyDescent="0.4">
      <c r="A983" s="96">
        <v>978</v>
      </c>
      <c r="B983" s="101"/>
      <c r="C983" s="102"/>
      <c r="D983" s="103"/>
      <c r="E983" s="235"/>
      <c r="F983" s="104"/>
      <c r="G983" s="104"/>
      <c r="H983" s="105">
        <f t="shared" si="15"/>
        <v>0</v>
      </c>
      <c r="L983" s="106"/>
      <c r="M983" s="106"/>
      <c r="N983" s="106"/>
    </row>
    <row r="984" spans="1:14" ht="14.75" customHeight="1" x14ac:dyDescent="0.4">
      <c r="A984" s="96">
        <v>979</v>
      </c>
      <c r="B984" s="101"/>
      <c r="C984" s="102"/>
      <c r="D984" s="103"/>
      <c r="E984" s="235"/>
      <c r="F984" s="104"/>
      <c r="G984" s="104"/>
      <c r="H984" s="105">
        <f t="shared" si="15"/>
        <v>0</v>
      </c>
      <c r="L984" s="106"/>
      <c r="M984" s="106"/>
      <c r="N984" s="106"/>
    </row>
    <row r="985" spans="1:14" ht="14.75" customHeight="1" x14ac:dyDescent="0.4">
      <c r="A985" s="96">
        <v>980</v>
      </c>
      <c r="B985" s="101"/>
      <c r="C985" s="102"/>
      <c r="D985" s="111"/>
      <c r="E985" s="236"/>
      <c r="F985" s="104"/>
      <c r="G985" s="104"/>
      <c r="H985" s="105">
        <f t="shared" si="15"/>
        <v>0</v>
      </c>
    </row>
    <row r="986" spans="1:14" ht="14.75" customHeight="1" x14ac:dyDescent="0.4">
      <c r="A986" s="96">
        <v>981</v>
      </c>
      <c r="B986" s="101"/>
      <c r="C986" s="102"/>
      <c r="D986" s="111"/>
      <c r="E986" s="236"/>
      <c r="F986" s="104"/>
      <c r="G986" s="104"/>
      <c r="H986" s="105">
        <f t="shared" si="15"/>
        <v>0</v>
      </c>
    </row>
    <row r="987" spans="1:14" ht="14.75" customHeight="1" x14ac:dyDescent="0.4">
      <c r="A987" s="96">
        <v>982</v>
      </c>
      <c r="B987" s="101"/>
      <c r="C987" s="102"/>
      <c r="D987" s="111"/>
      <c r="E987" s="236"/>
      <c r="F987" s="104"/>
      <c r="G987" s="104"/>
      <c r="H987" s="105">
        <f t="shared" si="15"/>
        <v>0</v>
      </c>
    </row>
    <row r="988" spans="1:14" ht="14.75" customHeight="1" x14ac:dyDescent="0.4">
      <c r="A988" s="96">
        <v>983</v>
      </c>
      <c r="B988" s="101"/>
      <c r="C988" s="102"/>
      <c r="D988" s="111"/>
      <c r="E988" s="236"/>
      <c r="F988" s="104"/>
      <c r="G988" s="104"/>
      <c r="H988" s="105">
        <f t="shared" si="15"/>
        <v>0</v>
      </c>
    </row>
    <row r="989" spans="1:14" ht="14.75" customHeight="1" x14ac:dyDescent="0.4">
      <c r="A989" s="96">
        <v>984</v>
      </c>
      <c r="B989" s="101"/>
      <c r="C989" s="102"/>
      <c r="D989" s="111"/>
      <c r="E989" s="236"/>
      <c r="F989" s="104"/>
      <c r="G989" s="104"/>
      <c r="H989" s="105">
        <f t="shared" si="15"/>
        <v>0</v>
      </c>
    </row>
    <row r="990" spans="1:14" ht="14.75" customHeight="1" x14ac:dyDescent="0.4">
      <c r="A990" s="96">
        <v>985</v>
      </c>
      <c r="B990" s="101"/>
      <c r="C990" s="102"/>
      <c r="D990" s="111"/>
      <c r="E990" s="236"/>
      <c r="F990" s="104"/>
      <c r="G990" s="104"/>
      <c r="H990" s="105">
        <f t="shared" si="15"/>
        <v>0</v>
      </c>
    </row>
    <row r="991" spans="1:14" ht="14.75" customHeight="1" x14ac:dyDescent="0.4">
      <c r="A991" s="96">
        <v>986</v>
      </c>
      <c r="B991" s="101"/>
      <c r="C991" s="102"/>
      <c r="D991" s="111"/>
      <c r="E991" s="236"/>
      <c r="F991" s="104"/>
      <c r="G991" s="104"/>
      <c r="H991" s="105">
        <f t="shared" si="15"/>
        <v>0</v>
      </c>
    </row>
    <row r="992" spans="1:14" ht="14.75" customHeight="1" x14ac:dyDescent="0.4">
      <c r="A992" s="96">
        <v>987</v>
      </c>
      <c r="B992" s="101"/>
      <c r="C992" s="102"/>
      <c r="D992" s="111"/>
      <c r="E992" s="236"/>
      <c r="F992" s="104"/>
      <c r="G992" s="104"/>
      <c r="H992" s="105">
        <f t="shared" si="15"/>
        <v>0</v>
      </c>
    </row>
    <row r="993" spans="1:8" ht="14.75" customHeight="1" x14ac:dyDescent="0.4">
      <c r="A993" s="96">
        <v>988</v>
      </c>
      <c r="B993" s="101"/>
      <c r="C993" s="102"/>
      <c r="D993" s="111"/>
      <c r="E993" s="236"/>
      <c r="F993" s="104"/>
      <c r="G993" s="104"/>
      <c r="H993" s="105">
        <f t="shared" si="15"/>
        <v>0</v>
      </c>
    </row>
    <row r="994" spans="1:8" ht="14.75" customHeight="1" x14ac:dyDescent="0.4">
      <c r="A994" s="96">
        <v>989</v>
      </c>
      <c r="B994" s="101"/>
      <c r="C994" s="102"/>
      <c r="D994" s="111"/>
      <c r="E994" s="236"/>
      <c r="F994" s="104"/>
      <c r="G994" s="104"/>
      <c r="H994" s="105">
        <f t="shared" si="15"/>
        <v>0</v>
      </c>
    </row>
    <row r="995" spans="1:8" ht="14.75" customHeight="1" x14ac:dyDescent="0.4">
      <c r="A995" s="96">
        <v>990</v>
      </c>
      <c r="B995" s="101"/>
      <c r="C995" s="102"/>
      <c r="D995" s="111"/>
      <c r="E995" s="236"/>
      <c r="F995" s="104"/>
      <c r="G995" s="104"/>
      <c r="H995" s="105">
        <f t="shared" si="15"/>
        <v>0</v>
      </c>
    </row>
    <row r="996" spans="1:8" ht="14.75" customHeight="1" x14ac:dyDescent="0.4">
      <c r="A996" s="96">
        <v>991</v>
      </c>
      <c r="B996" s="101"/>
      <c r="C996" s="102"/>
      <c r="D996" s="111"/>
      <c r="E996" s="236"/>
      <c r="F996" s="104"/>
      <c r="G996" s="104"/>
      <c r="H996" s="105">
        <f t="shared" si="15"/>
        <v>0</v>
      </c>
    </row>
    <row r="997" spans="1:8" ht="14.75" customHeight="1" x14ac:dyDescent="0.4">
      <c r="A997" s="96">
        <v>992</v>
      </c>
      <c r="B997" s="101"/>
      <c r="C997" s="102"/>
      <c r="D997" s="111"/>
      <c r="E997" s="236"/>
      <c r="F997" s="104"/>
      <c r="G997" s="104"/>
      <c r="H997" s="105">
        <f t="shared" si="15"/>
        <v>0</v>
      </c>
    </row>
    <row r="998" spans="1:8" ht="14.75" customHeight="1" x14ac:dyDescent="0.4">
      <c r="A998" s="96">
        <v>993</v>
      </c>
      <c r="B998" s="101"/>
      <c r="C998" s="102"/>
      <c r="D998" s="111"/>
      <c r="E998" s="236"/>
      <c r="F998" s="104"/>
      <c r="G998" s="104"/>
      <c r="H998" s="105">
        <f t="shared" si="15"/>
        <v>0</v>
      </c>
    </row>
    <row r="999" spans="1:8" ht="14.75" customHeight="1" x14ac:dyDescent="0.4">
      <c r="A999" s="96">
        <v>994</v>
      </c>
      <c r="B999" s="101"/>
      <c r="C999" s="102"/>
      <c r="D999" s="111"/>
      <c r="E999" s="236"/>
      <c r="F999" s="104"/>
      <c r="G999" s="104"/>
      <c r="H999" s="105">
        <f t="shared" si="15"/>
        <v>0</v>
      </c>
    </row>
    <row r="1000" spans="1:8" ht="14.75" customHeight="1" x14ac:dyDescent="0.4">
      <c r="A1000" s="96">
        <v>995</v>
      </c>
      <c r="B1000" s="101"/>
      <c r="C1000" s="102"/>
      <c r="D1000" s="111"/>
      <c r="E1000" s="236"/>
      <c r="F1000" s="104"/>
      <c r="G1000" s="104"/>
      <c r="H1000" s="105">
        <f t="shared" si="15"/>
        <v>0</v>
      </c>
    </row>
    <row r="1001" spans="1:8" ht="14.75" customHeight="1" x14ac:dyDescent="0.4">
      <c r="A1001" s="96">
        <v>996</v>
      </c>
      <c r="B1001" s="101"/>
      <c r="C1001" s="102"/>
      <c r="D1001" s="111"/>
      <c r="E1001" s="236"/>
      <c r="F1001" s="104"/>
      <c r="G1001" s="104"/>
      <c r="H1001" s="105">
        <f t="shared" si="15"/>
        <v>0</v>
      </c>
    </row>
    <row r="1002" spans="1:8" ht="14.75" customHeight="1" x14ac:dyDescent="0.4">
      <c r="A1002" s="96">
        <v>997</v>
      </c>
      <c r="B1002" s="101"/>
      <c r="C1002" s="102"/>
      <c r="D1002" s="111"/>
      <c r="E1002" s="236"/>
      <c r="F1002" s="104"/>
      <c r="G1002" s="104"/>
      <c r="H1002" s="105">
        <f t="shared" si="15"/>
        <v>0</v>
      </c>
    </row>
    <row r="1003" spans="1:8" ht="14.75" customHeight="1" x14ac:dyDescent="0.4">
      <c r="A1003" s="96">
        <v>998</v>
      </c>
      <c r="B1003" s="101"/>
      <c r="C1003" s="102"/>
      <c r="D1003" s="111"/>
      <c r="E1003" s="236"/>
      <c r="F1003" s="104"/>
      <c r="G1003" s="104"/>
      <c r="H1003" s="105">
        <f t="shared" si="15"/>
        <v>0</v>
      </c>
    </row>
    <row r="1004" spans="1:8" ht="14.75" customHeight="1" x14ac:dyDescent="0.4">
      <c r="A1004" s="96">
        <v>999</v>
      </c>
      <c r="B1004" s="101"/>
      <c r="C1004" s="102"/>
      <c r="D1004" s="111"/>
      <c r="E1004" s="236"/>
      <c r="F1004" s="104"/>
      <c r="G1004" s="104"/>
      <c r="H1004" s="105">
        <f t="shared" si="15"/>
        <v>0</v>
      </c>
    </row>
    <row r="1005" spans="1:8" ht="14.75" customHeight="1" x14ac:dyDescent="0.4">
      <c r="A1005" s="96">
        <v>1000</v>
      </c>
      <c r="B1005" s="101"/>
      <c r="C1005" s="102"/>
      <c r="D1005" s="111"/>
      <c r="E1005" s="236"/>
      <c r="F1005" s="104"/>
      <c r="G1005" s="104"/>
      <c r="H1005" s="105">
        <f t="shared" si="15"/>
        <v>0</v>
      </c>
    </row>
    <row r="1006" spans="1:8" ht="14.75" customHeight="1" x14ac:dyDescent="0.4">
      <c r="A1006" s="96">
        <v>1001</v>
      </c>
      <c r="B1006" s="101"/>
      <c r="C1006" s="102"/>
      <c r="D1006" s="111"/>
      <c r="E1006" s="236"/>
      <c r="F1006" s="104"/>
      <c r="G1006" s="104"/>
      <c r="H1006" s="105">
        <f t="shared" si="15"/>
        <v>0</v>
      </c>
    </row>
    <row r="1007" spans="1:8" ht="14.75" customHeight="1" x14ac:dyDescent="0.4">
      <c r="A1007" s="96">
        <v>1002</v>
      </c>
      <c r="B1007" s="101"/>
      <c r="C1007" s="102"/>
      <c r="D1007" s="111"/>
      <c r="E1007" s="236"/>
      <c r="F1007" s="104"/>
      <c r="G1007" s="104"/>
      <c r="H1007" s="105">
        <f t="shared" si="15"/>
        <v>0</v>
      </c>
    </row>
    <row r="1008" spans="1:8" ht="14.75" customHeight="1" x14ac:dyDescent="0.4">
      <c r="A1008" s="96">
        <v>1003</v>
      </c>
      <c r="B1008" s="101"/>
      <c r="C1008" s="102"/>
      <c r="D1008" s="111"/>
      <c r="E1008" s="236"/>
      <c r="F1008" s="104"/>
      <c r="G1008" s="104"/>
      <c r="H1008" s="105">
        <f t="shared" si="15"/>
        <v>0</v>
      </c>
    </row>
    <row r="1009" spans="1:8" ht="14.75" customHeight="1" x14ac:dyDescent="0.4">
      <c r="A1009" s="96">
        <v>1004</v>
      </c>
      <c r="B1009" s="101"/>
      <c r="C1009" s="102"/>
      <c r="D1009" s="111"/>
      <c r="E1009" s="236"/>
      <c r="F1009" s="104"/>
      <c r="G1009" s="104"/>
      <c r="H1009" s="105">
        <f t="shared" si="15"/>
        <v>0</v>
      </c>
    </row>
    <row r="1010" spans="1:8" ht="14.75" customHeight="1" x14ac:dyDescent="0.4">
      <c r="A1010" s="96">
        <v>1005</v>
      </c>
      <c r="B1010" s="101"/>
      <c r="C1010" s="102"/>
      <c r="D1010" s="111"/>
      <c r="E1010" s="236"/>
      <c r="F1010" s="104"/>
      <c r="G1010" s="104"/>
      <c r="H1010" s="105">
        <f t="shared" si="15"/>
        <v>0</v>
      </c>
    </row>
    <row r="1011" spans="1:8" ht="14.75" customHeight="1" x14ac:dyDescent="0.4">
      <c r="A1011" s="96">
        <v>1006</v>
      </c>
      <c r="B1011" s="101"/>
      <c r="C1011" s="102"/>
      <c r="D1011" s="111"/>
      <c r="E1011" s="236"/>
      <c r="F1011" s="104"/>
      <c r="G1011" s="104"/>
      <c r="H1011" s="105">
        <f t="shared" si="15"/>
        <v>0</v>
      </c>
    </row>
    <row r="1012" spans="1:8" ht="14.75" customHeight="1" x14ac:dyDescent="0.4">
      <c r="A1012" s="96">
        <v>1007</v>
      </c>
      <c r="B1012" s="101"/>
      <c r="C1012" s="102"/>
      <c r="D1012" s="111"/>
      <c r="E1012" s="236"/>
      <c r="F1012" s="104"/>
      <c r="G1012" s="104"/>
      <c r="H1012" s="105">
        <f t="shared" si="15"/>
        <v>0</v>
      </c>
    </row>
    <row r="1013" spans="1:8" ht="14.75" customHeight="1" x14ac:dyDescent="0.4">
      <c r="A1013" s="96">
        <v>1008</v>
      </c>
      <c r="B1013" s="101"/>
      <c r="C1013" s="102"/>
      <c r="D1013" s="111"/>
      <c r="E1013" s="236"/>
      <c r="F1013" s="104"/>
      <c r="G1013" s="104"/>
      <c r="H1013" s="105">
        <f t="shared" si="15"/>
        <v>0</v>
      </c>
    </row>
    <row r="1014" spans="1:8" ht="14.75" customHeight="1" x14ac:dyDescent="0.4">
      <c r="A1014" s="96">
        <v>1009</v>
      </c>
      <c r="B1014" s="101"/>
      <c r="C1014" s="102"/>
      <c r="D1014" s="111"/>
      <c r="E1014" s="236"/>
      <c r="F1014" s="104"/>
      <c r="G1014" s="104"/>
      <c r="H1014" s="105">
        <f t="shared" si="15"/>
        <v>0</v>
      </c>
    </row>
    <row r="1015" spans="1:8" ht="14.75" customHeight="1" x14ac:dyDescent="0.4">
      <c r="A1015" s="96">
        <v>1010</v>
      </c>
      <c r="B1015" s="101"/>
      <c r="C1015" s="102"/>
      <c r="D1015" s="111"/>
      <c r="E1015" s="236"/>
      <c r="F1015" s="104"/>
      <c r="G1015" s="104"/>
      <c r="H1015" s="105">
        <f t="shared" si="15"/>
        <v>0</v>
      </c>
    </row>
    <row r="1016" spans="1:8" ht="14.75" customHeight="1" x14ac:dyDescent="0.4">
      <c r="A1016" s="96">
        <v>1011</v>
      </c>
      <c r="B1016" s="101"/>
      <c r="C1016" s="102"/>
      <c r="D1016" s="111"/>
      <c r="E1016" s="236"/>
      <c r="F1016" s="104"/>
      <c r="G1016" s="104"/>
      <c r="H1016" s="105">
        <f t="shared" si="15"/>
        <v>0</v>
      </c>
    </row>
    <row r="1017" spans="1:8" ht="14.75" customHeight="1" x14ac:dyDescent="0.4">
      <c r="A1017" s="96">
        <v>1012</v>
      </c>
      <c r="B1017" s="101"/>
      <c r="C1017" s="102"/>
      <c r="D1017" s="111"/>
      <c r="E1017" s="236"/>
      <c r="F1017" s="104"/>
      <c r="G1017" s="104"/>
      <c r="H1017" s="105">
        <f t="shared" si="15"/>
        <v>0</v>
      </c>
    </row>
    <row r="1018" spans="1:8" ht="14.75" customHeight="1" x14ac:dyDescent="0.4">
      <c r="A1018" s="96">
        <v>1013</v>
      </c>
      <c r="B1018" s="101"/>
      <c r="C1018" s="102"/>
      <c r="D1018" s="111"/>
      <c r="E1018" s="236"/>
      <c r="F1018" s="104"/>
      <c r="G1018" s="104"/>
      <c r="H1018" s="105">
        <f t="shared" si="15"/>
        <v>0</v>
      </c>
    </row>
    <row r="1019" spans="1:8" ht="14.75" customHeight="1" x14ac:dyDescent="0.4">
      <c r="A1019" s="96">
        <v>1014</v>
      </c>
      <c r="B1019" s="101"/>
      <c r="C1019" s="102"/>
      <c r="D1019" s="111"/>
      <c r="E1019" s="236"/>
      <c r="F1019" s="104"/>
      <c r="G1019" s="104"/>
      <c r="H1019" s="105">
        <f t="shared" si="15"/>
        <v>0</v>
      </c>
    </row>
    <row r="1020" spans="1:8" ht="14.75" customHeight="1" x14ac:dyDescent="0.4">
      <c r="A1020" s="96">
        <v>1015</v>
      </c>
      <c r="B1020" s="101"/>
      <c r="C1020" s="102"/>
      <c r="D1020" s="111"/>
      <c r="E1020" s="236"/>
      <c r="F1020" s="104"/>
      <c r="G1020" s="104"/>
      <c r="H1020" s="105">
        <f t="shared" si="15"/>
        <v>0</v>
      </c>
    </row>
    <row r="1021" spans="1:8" ht="14.75" customHeight="1" x14ac:dyDescent="0.4">
      <c r="A1021" s="96">
        <v>1016</v>
      </c>
      <c r="B1021" s="101"/>
      <c r="C1021" s="102"/>
      <c r="D1021" s="111"/>
      <c r="E1021" s="236"/>
      <c r="F1021" s="104"/>
      <c r="G1021" s="104"/>
      <c r="H1021" s="105">
        <f t="shared" si="15"/>
        <v>0</v>
      </c>
    </row>
    <row r="1022" spans="1:8" ht="14.75" customHeight="1" x14ac:dyDescent="0.4">
      <c r="A1022" s="96">
        <v>1017</v>
      </c>
      <c r="B1022" s="101"/>
      <c r="C1022" s="102"/>
      <c r="D1022" s="111"/>
      <c r="E1022" s="236"/>
      <c r="F1022" s="104"/>
      <c r="G1022" s="104"/>
      <c r="H1022" s="105">
        <f t="shared" si="15"/>
        <v>0</v>
      </c>
    </row>
    <row r="1023" spans="1:8" ht="14.75" customHeight="1" x14ac:dyDescent="0.4">
      <c r="A1023" s="96">
        <v>1018</v>
      </c>
      <c r="B1023" s="101"/>
      <c r="C1023" s="102"/>
      <c r="D1023" s="111"/>
      <c r="E1023" s="236"/>
      <c r="F1023" s="104"/>
      <c r="G1023" s="104"/>
      <c r="H1023" s="105">
        <f t="shared" si="15"/>
        <v>0</v>
      </c>
    </row>
    <row r="1024" spans="1:8" ht="14.75" customHeight="1" x14ac:dyDescent="0.4">
      <c r="A1024" s="96">
        <v>1019</v>
      </c>
      <c r="B1024" s="101"/>
      <c r="C1024" s="102"/>
      <c r="D1024" s="111"/>
      <c r="E1024" s="236"/>
      <c r="F1024" s="104"/>
      <c r="G1024" s="104"/>
      <c r="H1024" s="105">
        <f t="shared" si="15"/>
        <v>0</v>
      </c>
    </row>
    <row r="1025" spans="1:8" ht="14.75" customHeight="1" x14ac:dyDescent="0.4">
      <c r="A1025" s="96">
        <v>1020</v>
      </c>
      <c r="B1025" s="101"/>
      <c r="C1025" s="102"/>
      <c r="D1025" s="111"/>
      <c r="E1025" s="236"/>
      <c r="F1025" s="104"/>
      <c r="G1025" s="104"/>
      <c r="H1025" s="105">
        <f t="shared" si="15"/>
        <v>0</v>
      </c>
    </row>
    <row r="1026" spans="1:8" ht="14.75" customHeight="1" x14ac:dyDescent="0.4">
      <c r="A1026" s="96">
        <v>1021</v>
      </c>
      <c r="B1026" s="101"/>
      <c r="C1026" s="102"/>
      <c r="D1026" s="111"/>
      <c r="E1026" s="236"/>
      <c r="F1026" s="104"/>
      <c r="G1026" s="104"/>
      <c r="H1026" s="105">
        <f t="shared" si="15"/>
        <v>0</v>
      </c>
    </row>
    <row r="1027" spans="1:8" ht="14.75" customHeight="1" x14ac:dyDescent="0.4">
      <c r="A1027" s="96">
        <v>1022</v>
      </c>
      <c r="B1027" s="101"/>
      <c r="C1027" s="102"/>
      <c r="D1027" s="111"/>
      <c r="E1027" s="236"/>
      <c r="F1027" s="104"/>
      <c r="G1027" s="104"/>
      <c r="H1027" s="105">
        <f t="shared" si="15"/>
        <v>0</v>
      </c>
    </row>
    <row r="1028" spans="1:8" ht="14.75" customHeight="1" x14ac:dyDescent="0.4">
      <c r="A1028" s="96">
        <v>1023</v>
      </c>
      <c r="B1028" s="101"/>
      <c r="C1028" s="102"/>
      <c r="D1028" s="111"/>
      <c r="E1028" s="236"/>
      <c r="F1028" s="104"/>
      <c r="G1028" s="104"/>
      <c r="H1028" s="105">
        <f t="shared" si="15"/>
        <v>0</v>
      </c>
    </row>
    <row r="1029" spans="1:8" ht="14.75" customHeight="1" x14ac:dyDescent="0.4">
      <c r="A1029" s="96">
        <v>1024</v>
      </c>
      <c r="B1029" s="101"/>
      <c r="C1029" s="102"/>
      <c r="D1029" s="111"/>
      <c r="E1029" s="236"/>
      <c r="F1029" s="104"/>
      <c r="G1029" s="104"/>
      <c r="H1029" s="105">
        <f t="shared" si="15"/>
        <v>0</v>
      </c>
    </row>
    <row r="1030" spans="1:8" ht="14.75" customHeight="1" x14ac:dyDescent="0.4">
      <c r="A1030" s="96">
        <v>1025</v>
      </c>
      <c r="B1030" s="101"/>
      <c r="C1030" s="102"/>
      <c r="D1030" s="111"/>
      <c r="E1030" s="236"/>
      <c r="F1030" s="104"/>
      <c r="G1030" s="104"/>
      <c r="H1030" s="105">
        <f t="shared" si="15"/>
        <v>0</v>
      </c>
    </row>
    <row r="1031" spans="1:8" ht="14.75" customHeight="1" x14ac:dyDescent="0.4">
      <c r="A1031" s="96">
        <v>1026</v>
      </c>
      <c r="B1031" s="101"/>
      <c r="C1031" s="102"/>
      <c r="D1031" s="111"/>
      <c r="E1031" s="236"/>
      <c r="F1031" s="104"/>
      <c r="G1031" s="104"/>
      <c r="H1031" s="105">
        <f t="shared" si="15"/>
        <v>0</v>
      </c>
    </row>
    <row r="1032" spans="1:8" ht="14.75" customHeight="1" x14ac:dyDescent="0.4">
      <c r="A1032" s="96">
        <v>1027</v>
      </c>
      <c r="B1032" s="101"/>
      <c r="C1032" s="102"/>
      <c r="D1032" s="111"/>
      <c r="E1032" s="236"/>
      <c r="F1032" s="104"/>
      <c r="G1032" s="104"/>
      <c r="H1032" s="105">
        <f t="shared" si="15"/>
        <v>0</v>
      </c>
    </row>
    <row r="1033" spans="1:8" ht="14.75" customHeight="1" x14ac:dyDescent="0.4">
      <c r="A1033" s="96">
        <v>1028</v>
      </c>
      <c r="B1033" s="101"/>
      <c r="C1033" s="102"/>
      <c r="D1033" s="111"/>
      <c r="E1033" s="236"/>
      <c r="F1033" s="104"/>
      <c r="G1033" s="104"/>
      <c r="H1033" s="105">
        <f t="shared" ref="H1033:H1096" si="16">H1032+F1033-G1033</f>
        <v>0</v>
      </c>
    </row>
    <row r="1034" spans="1:8" ht="14.75" customHeight="1" x14ac:dyDescent="0.4">
      <c r="A1034" s="96">
        <v>1029</v>
      </c>
      <c r="B1034" s="101"/>
      <c r="C1034" s="102"/>
      <c r="D1034" s="111"/>
      <c r="E1034" s="236"/>
      <c r="F1034" s="104"/>
      <c r="G1034" s="104"/>
      <c r="H1034" s="105">
        <f t="shared" si="16"/>
        <v>0</v>
      </c>
    </row>
    <row r="1035" spans="1:8" ht="14.75" customHeight="1" x14ac:dyDescent="0.4">
      <c r="A1035" s="96">
        <v>1030</v>
      </c>
      <c r="B1035" s="101"/>
      <c r="C1035" s="102"/>
      <c r="D1035" s="111"/>
      <c r="E1035" s="236"/>
      <c r="F1035" s="104"/>
      <c r="G1035" s="104"/>
      <c r="H1035" s="105">
        <f t="shared" si="16"/>
        <v>0</v>
      </c>
    </row>
    <row r="1036" spans="1:8" ht="14.75" customHeight="1" x14ac:dyDescent="0.4">
      <c r="A1036" s="96">
        <v>1031</v>
      </c>
      <c r="B1036" s="101"/>
      <c r="C1036" s="102"/>
      <c r="D1036" s="111"/>
      <c r="E1036" s="236"/>
      <c r="F1036" s="104"/>
      <c r="G1036" s="104"/>
      <c r="H1036" s="105">
        <f t="shared" si="16"/>
        <v>0</v>
      </c>
    </row>
    <row r="1037" spans="1:8" ht="14.75" customHeight="1" x14ac:dyDescent="0.4">
      <c r="A1037" s="96">
        <v>1032</v>
      </c>
      <c r="B1037" s="101"/>
      <c r="C1037" s="102"/>
      <c r="D1037" s="111"/>
      <c r="E1037" s="236"/>
      <c r="F1037" s="104"/>
      <c r="G1037" s="104"/>
      <c r="H1037" s="105">
        <f t="shared" si="16"/>
        <v>0</v>
      </c>
    </row>
    <row r="1038" spans="1:8" ht="14.75" customHeight="1" x14ac:dyDescent="0.4">
      <c r="A1038" s="96">
        <v>1033</v>
      </c>
      <c r="B1038" s="101"/>
      <c r="C1038" s="102"/>
      <c r="D1038" s="111"/>
      <c r="E1038" s="236"/>
      <c r="F1038" s="104"/>
      <c r="G1038" s="104"/>
      <c r="H1038" s="105">
        <f t="shared" si="16"/>
        <v>0</v>
      </c>
    </row>
    <row r="1039" spans="1:8" ht="14.75" customHeight="1" x14ac:dyDescent="0.4">
      <c r="A1039" s="96">
        <v>1034</v>
      </c>
      <c r="B1039" s="101"/>
      <c r="C1039" s="102"/>
      <c r="D1039" s="111"/>
      <c r="E1039" s="236"/>
      <c r="F1039" s="104"/>
      <c r="G1039" s="104"/>
      <c r="H1039" s="105">
        <f t="shared" si="16"/>
        <v>0</v>
      </c>
    </row>
    <row r="1040" spans="1:8" ht="14.75" customHeight="1" x14ac:dyDescent="0.4">
      <c r="A1040" s="96">
        <v>1035</v>
      </c>
      <c r="B1040" s="101"/>
      <c r="C1040" s="102"/>
      <c r="D1040" s="111"/>
      <c r="E1040" s="236"/>
      <c r="F1040" s="104"/>
      <c r="G1040" s="104"/>
      <c r="H1040" s="105">
        <f t="shared" si="16"/>
        <v>0</v>
      </c>
    </row>
    <row r="1041" spans="1:8" ht="14.75" customHeight="1" x14ac:dyDescent="0.4">
      <c r="A1041" s="96">
        <v>1036</v>
      </c>
      <c r="B1041" s="101"/>
      <c r="C1041" s="102"/>
      <c r="D1041" s="111"/>
      <c r="E1041" s="236"/>
      <c r="F1041" s="104"/>
      <c r="G1041" s="104"/>
      <c r="H1041" s="105">
        <f t="shared" si="16"/>
        <v>0</v>
      </c>
    </row>
    <row r="1042" spans="1:8" ht="14.75" customHeight="1" x14ac:dyDescent="0.4">
      <c r="A1042" s="96">
        <v>1037</v>
      </c>
      <c r="B1042" s="101"/>
      <c r="C1042" s="102"/>
      <c r="D1042" s="111"/>
      <c r="E1042" s="236"/>
      <c r="F1042" s="104"/>
      <c r="G1042" s="104"/>
      <c r="H1042" s="105">
        <f t="shared" si="16"/>
        <v>0</v>
      </c>
    </row>
    <row r="1043" spans="1:8" ht="14.75" customHeight="1" x14ac:dyDescent="0.4">
      <c r="A1043" s="96">
        <v>1038</v>
      </c>
      <c r="B1043" s="101"/>
      <c r="C1043" s="102"/>
      <c r="D1043" s="111"/>
      <c r="E1043" s="236"/>
      <c r="F1043" s="104"/>
      <c r="G1043" s="104"/>
      <c r="H1043" s="105">
        <f t="shared" si="16"/>
        <v>0</v>
      </c>
    </row>
    <row r="1044" spans="1:8" ht="14.75" customHeight="1" x14ac:dyDescent="0.4">
      <c r="A1044" s="96">
        <v>1039</v>
      </c>
      <c r="B1044" s="101"/>
      <c r="C1044" s="102"/>
      <c r="D1044" s="111"/>
      <c r="E1044" s="236"/>
      <c r="F1044" s="104"/>
      <c r="G1044" s="104"/>
      <c r="H1044" s="105">
        <f t="shared" si="16"/>
        <v>0</v>
      </c>
    </row>
    <row r="1045" spans="1:8" ht="14.75" customHeight="1" x14ac:dyDescent="0.4">
      <c r="A1045" s="96">
        <v>1040</v>
      </c>
      <c r="B1045" s="101"/>
      <c r="C1045" s="102"/>
      <c r="D1045" s="111"/>
      <c r="E1045" s="236"/>
      <c r="F1045" s="104"/>
      <c r="G1045" s="104"/>
      <c r="H1045" s="105">
        <f t="shared" si="16"/>
        <v>0</v>
      </c>
    </row>
    <row r="1046" spans="1:8" ht="14.75" customHeight="1" x14ac:dyDescent="0.4">
      <c r="A1046" s="96">
        <v>1041</v>
      </c>
      <c r="B1046" s="101"/>
      <c r="C1046" s="102"/>
      <c r="D1046" s="111"/>
      <c r="E1046" s="236"/>
      <c r="F1046" s="104"/>
      <c r="G1046" s="104"/>
      <c r="H1046" s="105">
        <f t="shared" si="16"/>
        <v>0</v>
      </c>
    </row>
    <row r="1047" spans="1:8" ht="14.75" customHeight="1" x14ac:dyDescent="0.4">
      <c r="A1047" s="96">
        <v>1042</v>
      </c>
      <c r="B1047" s="101"/>
      <c r="C1047" s="102"/>
      <c r="D1047" s="111"/>
      <c r="E1047" s="236"/>
      <c r="F1047" s="104"/>
      <c r="G1047" s="104"/>
      <c r="H1047" s="105">
        <f t="shared" si="16"/>
        <v>0</v>
      </c>
    </row>
    <row r="1048" spans="1:8" ht="14.75" customHeight="1" x14ac:dyDescent="0.4">
      <c r="A1048" s="96">
        <v>1043</v>
      </c>
      <c r="B1048" s="101"/>
      <c r="C1048" s="102"/>
      <c r="D1048" s="111"/>
      <c r="E1048" s="236"/>
      <c r="F1048" s="104"/>
      <c r="G1048" s="104"/>
      <c r="H1048" s="105">
        <f t="shared" si="16"/>
        <v>0</v>
      </c>
    </row>
    <row r="1049" spans="1:8" ht="14.75" customHeight="1" x14ac:dyDescent="0.4">
      <c r="A1049" s="96">
        <v>1044</v>
      </c>
      <c r="B1049" s="101"/>
      <c r="C1049" s="102"/>
      <c r="D1049" s="111"/>
      <c r="E1049" s="236"/>
      <c r="F1049" s="104"/>
      <c r="G1049" s="104"/>
      <c r="H1049" s="105">
        <f t="shared" si="16"/>
        <v>0</v>
      </c>
    </row>
    <row r="1050" spans="1:8" ht="14.75" customHeight="1" x14ac:dyDescent="0.4">
      <c r="A1050" s="96">
        <v>1045</v>
      </c>
      <c r="B1050" s="101"/>
      <c r="C1050" s="102"/>
      <c r="D1050" s="111"/>
      <c r="E1050" s="236"/>
      <c r="F1050" s="104"/>
      <c r="G1050" s="104"/>
      <c r="H1050" s="105">
        <f t="shared" si="16"/>
        <v>0</v>
      </c>
    </row>
    <row r="1051" spans="1:8" ht="14.75" customHeight="1" x14ac:dyDescent="0.4">
      <c r="A1051" s="96">
        <v>1046</v>
      </c>
      <c r="B1051" s="101"/>
      <c r="C1051" s="102"/>
      <c r="D1051" s="111"/>
      <c r="E1051" s="236"/>
      <c r="F1051" s="104"/>
      <c r="G1051" s="104"/>
      <c r="H1051" s="105">
        <f t="shared" si="16"/>
        <v>0</v>
      </c>
    </row>
    <row r="1052" spans="1:8" ht="14.75" customHeight="1" x14ac:dyDescent="0.4">
      <c r="A1052" s="96">
        <v>1047</v>
      </c>
      <c r="B1052" s="101"/>
      <c r="C1052" s="102"/>
      <c r="D1052" s="111"/>
      <c r="E1052" s="236"/>
      <c r="F1052" s="104"/>
      <c r="G1052" s="104"/>
      <c r="H1052" s="105">
        <f t="shared" si="16"/>
        <v>0</v>
      </c>
    </row>
    <row r="1053" spans="1:8" ht="14.75" customHeight="1" x14ac:dyDescent="0.4">
      <c r="A1053" s="96">
        <v>1048</v>
      </c>
      <c r="B1053" s="101"/>
      <c r="C1053" s="102"/>
      <c r="D1053" s="111"/>
      <c r="E1053" s="236"/>
      <c r="F1053" s="104"/>
      <c r="G1053" s="104"/>
      <c r="H1053" s="105">
        <f t="shared" si="16"/>
        <v>0</v>
      </c>
    </row>
    <row r="1054" spans="1:8" ht="14.75" customHeight="1" x14ac:dyDescent="0.4">
      <c r="A1054" s="96">
        <v>1049</v>
      </c>
      <c r="B1054" s="101"/>
      <c r="C1054" s="102"/>
      <c r="D1054" s="111"/>
      <c r="E1054" s="236"/>
      <c r="F1054" s="104"/>
      <c r="G1054" s="104"/>
      <c r="H1054" s="105">
        <f t="shared" si="16"/>
        <v>0</v>
      </c>
    </row>
    <row r="1055" spans="1:8" ht="14.75" customHeight="1" x14ac:dyDescent="0.4">
      <c r="A1055" s="96">
        <v>1050</v>
      </c>
      <c r="B1055" s="101"/>
      <c r="C1055" s="102"/>
      <c r="D1055" s="111"/>
      <c r="E1055" s="236"/>
      <c r="F1055" s="104"/>
      <c r="G1055" s="104"/>
      <c r="H1055" s="105">
        <f t="shared" si="16"/>
        <v>0</v>
      </c>
    </row>
    <row r="1056" spans="1:8" ht="14.75" customHeight="1" x14ac:dyDescent="0.4">
      <c r="A1056" s="96">
        <v>1051</v>
      </c>
      <c r="B1056" s="101"/>
      <c r="C1056" s="102"/>
      <c r="D1056" s="111"/>
      <c r="E1056" s="236"/>
      <c r="F1056" s="104"/>
      <c r="G1056" s="104"/>
      <c r="H1056" s="105">
        <f t="shared" si="16"/>
        <v>0</v>
      </c>
    </row>
    <row r="1057" spans="1:8" ht="14.75" customHeight="1" x14ac:dyDescent="0.4">
      <c r="A1057" s="96">
        <v>1052</v>
      </c>
      <c r="B1057" s="101"/>
      <c r="C1057" s="102"/>
      <c r="D1057" s="111"/>
      <c r="E1057" s="236"/>
      <c r="F1057" s="104"/>
      <c r="G1057" s="104"/>
      <c r="H1057" s="105">
        <f t="shared" si="16"/>
        <v>0</v>
      </c>
    </row>
    <row r="1058" spans="1:8" ht="14.75" customHeight="1" x14ac:dyDescent="0.4">
      <c r="A1058" s="96">
        <v>1053</v>
      </c>
      <c r="B1058" s="101"/>
      <c r="C1058" s="102"/>
      <c r="D1058" s="111"/>
      <c r="E1058" s="236"/>
      <c r="F1058" s="104"/>
      <c r="G1058" s="104"/>
      <c r="H1058" s="105">
        <f t="shared" si="16"/>
        <v>0</v>
      </c>
    </row>
    <row r="1059" spans="1:8" ht="14.75" customHeight="1" x14ac:dyDescent="0.4">
      <c r="A1059" s="96">
        <v>1054</v>
      </c>
      <c r="B1059" s="101"/>
      <c r="C1059" s="102"/>
      <c r="D1059" s="111"/>
      <c r="E1059" s="236"/>
      <c r="F1059" s="104"/>
      <c r="G1059" s="104"/>
      <c r="H1059" s="105">
        <f t="shared" si="16"/>
        <v>0</v>
      </c>
    </row>
    <row r="1060" spans="1:8" ht="14.75" customHeight="1" x14ac:dyDescent="0.4">
      <c r="A1060" s="96">
        <v>1055</v>
      </c>
      <c r="B1060" s="101"/>
      <c r="C1060" s="102"/>
      <c r="D1060" s="111"/>
      <c r="E1060" s="236"/>
      <c r="F1060" s="104"/>
      <c r="G1060" s="104"/>
      <c r="H1060" s="105">
        <f t="shared" si="16"/>
        <v>0</v>
      </c>
    </row>
    <row r="1061" spans="1:8" ht="14.75" customHeight="1" x14ac:dyDescent="0.4">
      <c r="A1061" s="96">
        <v>1056</v>
      </c>
      <c r="B1061" s="101"/>
      <c r="C1061" s="102"/>
      <c r="D1061" s="111"/>
      <c r="E1061" s="236"/>
      <c r="F1061" s="104"/>
      <c r="G1061" s="104"/>
      <c r="H1061" s="105">
        <f t="shared" si="16"/>
        <v>0</v>
      </c>
    </row>
    <row r="1062" spans="1:8" ht="14.75" customHeight="1" x14ac:dyDescent="0.4">
      <c r="A1062" s="96">
        <v>1057</v>
      </c>
      <c r="B1062" s="101"/>
      <c r="C1062" s="102"/>
      <c r="D1062" s="111"/>
      <c r="E1062" s="236"/>
      <c r="F1062" s="104"/>
      <c r="G1062" s="104"/>
      <c r="H1062" s="105">
        <f t="shared" si="16"/>
        <v>0</v>
      </c>
    </row>
    <row r="1063" spans="1:8" ht="14.75" customHeight="1" x14ac:dyDescent="0.4">
      <c r="A1063" s="96">
        <v>1058</v>
      </c>
      <c r="B1063" s="101"/>
      <c r="C1063" s="102"/>
      <c r="D1063" s="111"/>
      <c r="E1063" s="236"/>
      <c r="F1063" s="104"/>
      <c r="G1063" s="104"/>
      <c r="H1063" s="105">
        <f t="shared" si="16"/>
        <v>0</v>
      </c>
    </row>
    <row r="1064" spans="1:8" ht="14.75" customHeight="1" x14ac:dyDescent="0.4">
      <c r="A1064" s="96">
        <v>1059</v>
      </c>
      <c r="B1064" s="101"/>
      <c r="C1064" s="102"/>
      <c r="D1064" s="111"/>
      <c r="E1064" s="236"/>
      <c r="F1064" s="104"/>
      <c r="G1064" s="104"/>
      <c r="H1064" s="105">
        <f t="shared" si="16"/>
        <v>0</v>
      </c>
    </row>
    <row r="1065" spans="1:8" ht="14.75" customHeight="1" x14ac:dyDescent="0.4">
      <c r="A1065" s="96">
        <v>1060</v>
      </c>
      <c r="B1065" s="101"/>
      <c r="C1065" s="102"/>
      <c r="D1065" s="111"/>
      <c r="E1065" s="236"/>
      <c r="F1065" s="104"/>
      <c r="G1065" s="104"/>
      <c r="H1065" s="105">
        <f t="shared" si="16"/>
        <v>0</v>
      </c>
    </row>
    <row r="1066" spans="1:8" ht="14.75" customHeight="1" x14ac:dyDescent="0.4">
      <c r="A1066" s="96">
        <v>1061</v>
      </c>
      <c r="B1066" s="101"/>
      <c r="C1066" s="102"/>
      <c r="D1066" s="111"/>
      <c r="E1066" s="236"/>
      <c r="F1066" s="104"/>
      <c r="G1066" s="104"/>
      <c r="H1066" s="105">
        <f t="shared" si="16"/>
        <v>0</v>
      </c>
    </row>
    <row r="1067" spans="1:8" ht="14.75" customHeight="1" x14ac:dyDescent="0.4">
      <c r="A1067" s="96">
        <v>1062</v>
      </c>
      <c r="B1067" s="101"/>
      <c r="C1067" s="102"/>
      <c r="D1067" s="111"/>
      <c r="E1067" s="236"/>
      <c r="F1067" s="104"/>
      <c r="G1067" s="104"/>
      <c r="H1067" s="105">
        <f t="shared" si="16"/>
        <v>0</v>
      </c>
    </row>
    <row r="1068" spans="1:8" ht="14.75" customHeight="1" x14ac:dyDescent="0.4">
      <c r="A1068" s="96">
        <v>1063</v>
      </c>
      <c r="B1068" s="101"/>
      <c r="C1068" s="102"/>
      <c r="D1068" s="111"/>
      <c r="E1068" s="236"/>
      <c r="F1068" s="104"/>
      <c r="G1068" s="104"/>
      <c r="H1068" s="105">
        <f t="shared" si="16"/>
        <v>0</v>
      </c>
    </row>
    <row r="1069" spans="1:8" ht="14.75" customHeight="1" x14ac:dyDescent="0.4">
      <c r="A1069" s="96">
        <v>1064</v>
      </c>
      <c r="B1069" s="101"/>
      <c r="C1069" s="102"/>
      <c r="D1069" s="111"/>
      <c r="E1069" s="236"/>
      <c r="F1069" s="104"/>
      <c r="G1069" s="104"/>
      <c r="H1069" s="105">
        <f t="shared" si="16"/>
        <v>0</v>
      </c>
    </row>
    <row r="1070" spans="1:8" ht="14.75" customHeight="1" x14ac:dyDescent="0.4">
      <c r="A1070" s="96">
        <v>1065</v>
      </c>
      <c r="B1070" s="101"/>
      <c r="C1070" s="102"/>
      <c r="D1070" s="111"/>
      <c r="E1070" s="236"/>
      <c r="F1070" s="104"/>
      <c r="G1070" s="104"/>
      <c r="H1070" s="105">
        <f t="shared" si="16"/>
        <v>0</v>
      </c>
    </row>
    <row r="1071" spans="1:8" ht="14.75" customHeight="1" x14ac:dyDescent="0.4">
      <c r="A1071" s="96">
        <v>1066</v>
      </c>
      <c r="B1071" s="101"/>
      <c r="C1071" s="102"/>
      <c r="D1071" s="111"/>
      <c r="E1071" s="236"/>
      <c r="F1071" s="104"/>
      <c r="G1071" s="104"/>
      <c r="H1071" s="105">
        <f t="shared" si="16"/>
        <v>0</v>
      </c>
    </row>
    <row r="1072" spans="1:8" ht="14.75" customHeight="1" x14ac:dyDescent="0.4">
      <c r="A1072" s="96">
        <v>1067</v>
      </c>
      <c r="B1072" s="101"/>
      <c r="C1072" s="102"/>
      <c r="D1072" s="111"/>
      <c r="E1072" s="236"/>
      <c r="F1072" s="104"/>
      <c r="G1072" s="104"/>
      <c r="H1072" s="105">
        <f t="shared" si="16"/>
        <v>0</v>
      </c>
    </row>
    <row r="1073" spans="1:8" ht="14.75" customHeight="1" x14ac:dyDescent="0.4">
      <c r="A1073" s="96">
        <v>1068</v>
      </c>
      <c r="B1073" s="101"/>
      <c r="C1073" s="102"/>
      <c r="D1073" s="111"/>
      <c r="E1073" s="236"/>
      <c r="F1073" s="104"/>
      <c r="G1073" s="104"/>
      <c r="H1073" s="105">
        <f t="shared" si="16"/>
        <v>0</v>
      </c>
    </row>
    <row r="1074" spans="1:8" ht="14.75" customHeight="1" x14ac:dyDescent="0.4">
      <c r="A1074" s="96">
        <v>1069</v>
      </c>
      <c r="B1074" s="101"/>
      <c r="C1074" s="102"/>
      <c r="D1074" s="111"/>
      <c r="E1074" s="236"/>
      <c r="F1074" s="104"/>
      <c r="G1074" s="104"/>
      <c r="H1074" s="105">
        <f t="shared" si="16"/>
        <v>0</v>
      </c>
    </row>
    <row r="1075" spans="1:8" ht="14.75" customHeight="1" x14ac:dyDescent="0.4">
      <c r="A1075" s="96">
        <v>1070</v>
      </c>
      <c r="B1075" s="101"/>
      <c r="C1075" s="102"/>
      <c r="D1075" s="111"/>
      <c r="E1075" s="236"/>
      <c r="F1075" s="104"/>
      <c r="G1075" s="104"/>
      <c r="H1075" s="105">
        <f t="shared" si="16"/>
        <v>0</v>
      </c>
    </row>
    <row r="1076" spans="1:8" ht="14.75" customHeight="1" x14ac:dyDescent="0.4">
      <c r="A1076" s="96">
        <v>1071</v>
      </c>
      <c r="B1076" s="101"/>
      <c r="C1076" s="102"/>
      <c r="D1076" s="111"/>
      <c r="E1076" s="236"/>
      <c r="F1076" s="104"/>
      <c r="G1076" s="104"/>
      <c r="H1076" s="105">
        <f t="shared" si="16"/>
        <v>0</v>
      </c>
    </row>
    <row r="1077" spans="1:8" ht="14.75" customHeight="1" x14ac:dyDescent="0.4">
      <c r="A1077" s="96">
        <v>1072</v>
      </c>
      <c r="B1077" s="101"/>
      <c r="C1077" s="102"/>
      <c r="D1077" s="111"/>
      <c r="E1077" s="236"/>
      <c r="F1077" s="104"/>
      <c r="G1077" s="104"/>
      <c r="H1077" s="105">
        <f t="shared" si="16"/>
        <v>0</v>
      </c>
    </row>
    <row r="1078" spans="1:8" ht="14.75" customHeight="1" x14ac:dyDescent="0.4">
      <c r="A1078" s="96">
        <v>1073</v>
      </c>
      <c r="B1078" s="101"/>
      <c r="C1078" s="102"/>
      <c r="D1078" s="111"/>
      <c r="E1078" s="236"/>
      <c r="F1078" s="104"/>
      <c r="G1078" s="104"/>
      <c r="H1078" s="105">
        <f t="shared" si="16"/>
        <v>0</v>
      </c>
    </row>
    <row r="1079" spans="1:8" ht="14.75" customHeight="1" x14ac:dyDescent="0.4">
      <c r="A1079" s="96">
        <v>1074</v>
      </c>
      <c r="B1079" s="101"/>
      <c r="C1079" s="102"/>
      <c r="D1079" s="111"/>
      <c r="E1079" s="236"/>
      <c r="F1079" s="104"/>
      <c r="G1079" s="104"/>
      <c r="H1079" s="105">
        <f t="shared" si="16"/>
        <v>0</v>
      </c>
    </row>
    <row r="1080" spans="1:8" ht="14.75" customHeight="1" x14ac:dyDescent="0.4">
      <c r="A1080" s="96">
        <v>1075</v>
      </c>
      <c r="B1080" s="101"/>
      <c r="C1080" s="102"/>
      <c r="D1080" s="111"/>
      <c r="E1080" s="236"/>
      <c r="F1080" s="104"/>
      <c r="G1080" s="104"/>
      <c r="H1080" s="105">
        <f t="shared" si="16"/>
        <v>0</v>
      </c>
    </row>
    <row r="1081" spans="1:8" ht="14.75" customHeight="1" x14ac:dyDescent="0.4">
      <c r="A1081" s="96">
        <v>1076</v>
      </c>
      <c r="B1081" s="101"/>
      <c r="C1081" s="102"/>
      <c r="D1081" s="111"/>
      <c r="E1081" s="236"/>
      <c r="F1081" s="104"/>
      <c r="G1081" s="104"/>
      <c r="H1081" s="105">
        <f t="shared" si="16"/>
        <v>0</v>
      </c>
    </row>
    <row r="1082" spans="1:8" ht="14.75" customHeight="1" x14ac:dyDescent="0.4">
      <c r="A1082" s="96">
        <v>1077</v>
      </c>
      <c r="B1082" s="101"/>
      <c r="C1082" s="102"/>
      <c r="D1082" s="111"/>
      <c r="E1082" s="236"/>
      <c r="F1082" s="104"/>
      <c r="G1082" s="104"/>
      <c r="H1082" s="105">
        <f t="shared" si="16"/>
        <v>0</v>
      </c>
    </row>
    <row r="1083" spans="1:8" ht="14.75" customHeight="1" x14ac:dyDescent="0.4">
      <c r="A1083" s="96">
        <v>1078</v>
      </c>
      <c r="B1083" s="101"/>
      <c r="C1083" s="102"/>
      <c r="D1083" s="111"/>
      <c r="E1083" s="236"/>
      <c r="F1083" s="104"/>
      <c r="G1083" s="104"/>
      <c r="H1083" s="105">
        <f t="shared" si="16"/>
        <v>0</v>
      </c>
    </row>
    <row r="1084" spans="1:8" ht="14.75" customHeight="1" x14ac:dyDescent="0.4">
      <c r="A1084" s="96">
        <v>1079</v>
      </c>
      <c r="B1084" s="101"/>
      <c r="C1084" s="102"/>
      <c r="D1084" s="111"/>
      <c r="E1084" s="236"/>
      <c r="F1084" s="104"/>
      <c r="G1084" s="104"/>
      <c r="H1084" s="105">
        <f t="shared" si="16"/>
        <v>0</v>
      </c>
    </row>
    <row r="1085" spans="1:8" ht="14.75" customHeight="1" x14ac:dyDescent="0.4">
      <c r="A1085" s="96">
        <v>1080</v>
      </c>
      <c r="B1085" s="101"/>
      <c r="C1085" s="102"/>
      <c r="D1085" s="111"/>
      <c r="E1085" s="236"/>
      <c r="F1085" s="104"/>
      <c r="G1085" s="104"/>
      <c r="H1085" s="105">
        <f t="shared" si="16"/>
        <v>0</v>
      </c>
    </row>
    <row r="1086" spans="1:8" ht="14.75" customHeight="1" x14ac:dyDescent="0.4">
      <c r="A1086" s="96">
        <v>1081</v>
      </c>
      <c r="B1086" s="101"/>
      <c r="C1086" s="102"/>
      <c r="D1086" s="111"/>
      <c r="E1086" s="236"/>
      <c r="F1086" s="104"/>
      <c r="G1086" s="104"/>
      <c r="H1086" s="105">
        <f t="shared" si="16"/>
        <v>0</v>
      </c>
    </row>
    <row r="1087" spans="1:8" ht="14.75" customHeight="1" x14ac:dyDescent="0.4">
      <c r="A1087" s="96">
        <v>1082</v>
      </c>
      <c r="B1087" s="101"/>
      <c r="C1087" s="102"/>
      <c r="D1087" s="111"/>
      <c r="E1087" s="236"/>
      <c r="F1087" s="104"/>
      <c r="G1087" s="104"/>
      <c r="H1087" s="105">
        <f t="shared" si="16"/>
        <v>0</v>
      </c>
    </row>
    <row r="1088" spans="1:8" ht="14.75" customHeight="1" x14ac:dyDescent="0.4">
      <c r="A1088" s="96">
        <v>1083</v>
      </c>
      <c r="B1088" s="101"/>
      <c r="C1088" s="102"/>
      <c r="D1088" s="111"/>
      <c r="E1088" s="236"/>
      <c r="F1088" s="104"/>
      <c r="G1088" s="104"/>
      <c r="H1088" s="105">
        <f t="shared" si="16"/>
        <v>0</v>
      </c>
    </row>
    <row r="1089" spans="1:8" ht="14.75" customHeight="1" x14ac:dyDescent="0.4">
      <c r="A1089" s="96">
        <v>1084</v>
      </c>
      <c r="B1089" s="101"/>
      <c r="C1089" s="102"/>
      <c r="D1089" s="111"/>
      <c r="E1089" s="236"/>
      <c r="F1089" s="104"/>
      <c r="G1089" s="104"/>
      <c r="H1089" s="105">
        <f t="shared" si="16"/>
        <v>0</v>
      </c>
    </row>
    <row r="1090" spans="1:8" ht="14.75" customHeight="1" x14ac:dyDescent="0.4">
      <c r="A1090" s="96">
        <v>1085</v>
      </c>
      <c r="B1090" s="101"/>
      <c r="C1090" s="102"/>
      <c r="D1090" s="111"/>
      <c r="E1090" s="236"/>
      <c r="F1090" s="104"/>
      <c r="G1090" s="104"/>
      <c r="H1090" s="105">
        <f t="shared" si="16"/>
        <v>0</v>
      </c>
    </row>
    <row r="1091" spans="1:8" ht="14.75" customHeight="1" x14ac:dyDescent="0.4">
      <c r="A1091" s="96">
        <v>1086</v>
      </c>
      <c r="B1091" s="101"/>
      <c r="C1091" s="102"/>
      <c r="D1091" s="111"/>
      <c r="E1091" s="236"/>
      <c r="F1091" s="104"/>
      <c r="G1091" s="104"/>
      <c r="H1091" s="105">
        <f t="shared" si="16"/>
        <v>0</v>
      </c>
    </row>
    <row r="1092" spans="1:8" ht="14.75" customHeight="1" x14ac:dyDescent="0.4">
      <c r="A1092" s="96">
        <v>1087</v>
      </c>
      <c r="B1092" s="101"/>
      <c r="C1092" s="102"/>
      <c r="D1092" s="111"/>
      <c r="E1092" s="236"/>
      <c r="F1092" s="104"/>
      <c r="G1092" s="104"/>
      <c r="H1092" s="105">
        <f t="shared" si="16"/>
        <v>0</v>
      </c>
    </row>
    <row r="1093" spans="1:8" ht="14.75" customHeight="1" x14ac:dyDescent="0.4">
      <c r="A1093" s="96">
        <v>1088</v>
      </c>
      <c r="B1093" s="101"/>
      <c r="C1093" s="102"/>
      <c r="D1093" s="111"/>
      <c r="E1093" s="236"/>
      <c r="F1093" s="104"/>
      <c r="G1093" s="104"/>
      <c r="H1093" s="105">
        <f t="shared" si="16"/>
        <v>0</v>
      </c>
    </row>
    <row r="1094" spans="1:8" ht="14.75" customHeight="1" x14ac:dyDescent="0.4">
      <c r="A1094" s="96">
        <v>1089</v>
      </c>
      <c r="B1094" s="101"/>
      <c r="C1094" s="102"/>
      <c r="D1094" s="111"/>
      <c r="E1094" s="236"/>
      <c r="F1094" s="104"/>
      <c r="G1094" s="104"/>
      <c r="H1094" s="105">
        <f t="shared" si="16"/>
        <v>0</v>
      </c>
    </row>
    <row r="1095" spans="1:8" ht="14.75" customHeight="1" x14ac:dyDescent="0.4">
      <c r="A1095" s="96">
        <v>1090</v>
      </c>
      <c r="B1095" s="101"/>
      <c r="C1095" s="102"/>
      <c r="D1095" s="111"/>
      <c r="E1095" s="236"/>
      <c r="F1095" s="104"/>
      <c r="G1095" s="104"/>
      <c r="H1095" s="105">
        <f t="shared" si="16"/>
        <v>0</v>
      </c>
    </row>
    <row r="1096" spans="1:8" ht="14.75" customHeight="1" x14ac:dyDescent="0.4">
      <c r="A1096" s="96">
        <v>1091</v>
      </c>
      <c r="B1096" s="101"/>
      <c r="C1096" s="102"/>
      <c r="D1096" s="111"/>
      <c r="E1096" s="236"/>
      <c r="F1096" s="104"/>
      <c r="G1096" s="104"/>
      <c r="H1096" s="105">
        <f t="shared" si="16"/>
        <v>0</v>
      </c>
    </row>
    <row r="1097" spans="1:8" ht="14.75" customHeight="1" x14ac:dyDescent="0.4">
      <c r="A1097" s="96">
        <v>1092</v>
      </c>
      <c r="B1097" s="101"/>
      <c r="C1097" s="102"/>
      <c r="D1097" s="111"/>
      <c r="E1097" s="236"/>
      <c r="F1097" s="104"/>
      <c r="G1097" s="104"/>
      <c r="H1097" s="105">
        <f t="shared" ref="H1097:H1160" si="17">H1096+F1097-G1097</f>
        <v>0</v>
      </c>
    </row>
    <row r="1098" spans="1:8" ht="14.75" customHeight="1" x14ac:dyDescent="0.4">
      <c r="A1098" s="96">
        <v>1093</v>
      </c>
      <c r="B1098" s="101"/>
      <c r="C1098" s="102"/>
      <c r="D1098" s="111"/>
      <c r="E1098" s="236"/>
      <c r="F1098" s="104"/>
      <c r="G1098" s="104"/>
      <c r="H1098" s="105">
        <f t="shared" si="17"/>
        <v>0</v>
      </c>
    </row>
    <row r="1099" spans="1:8" ht="14.75" customHeight="1" x14ac:dyDescent="0.4">
      <c r="A1099" s="96">
        <v>1094</v>
      </c>
      <c r="B1099" s="101"/>
      <c r="C1099" s="102"/>
      <c r="D1099" s="111"/>
      <c r="E1099" s="236"/>
      <c r="F1099" s="104"/>
      <c r="G1099" s="104"/>
      <c r="H1099" s="105">
        <f t="shared" si="17"/>
        <v>0</v>
      </c>
    </row>
    <row r="1100" spans="1:8" ht="14.75" customHeight="1" x14ac:dyDescent="0.4">
      <c r="A1100" s="96">
        <v>1095</v>
      </c>
      <c r="B1100" s="101"/>
      <c r="C1100" s="102"/>
      <c r="D1100" s="111"/>
      <c r="E1100" s="236"/>
      <c r="F1100" s="104"/>
      <c r="G1100" s="104"/>
      <c r="H1100" s="105">
        <f t="shared" si="17"/>
        <v>0</v>
      </c>
    </row>
    <row r="1101" spans="1:8" ht="14.75" customHeight="1" x14ac:dyDescent="0.4">
      <c r="A1101" s="96">
        <v>1096</v>
      </c>
      <c r="B1101" s="101"/>
      <c r="C1101" s="102"/>
      <c r="D1101" s="111"/>
      <c r="E1101" s="236"/>
      <c r="F1101" s="104"/>
      <c r="G1101" s="104"/>
      <c r="H1101" s="105">
        <f t="shared" si="17"/>
        <v>0</v>
      </c>
    </row>
    <row r="1102" spans="1:8" ht="14.75" customHeight="1" x14ac:dyDescent="0.4">
      <c r="A1102" s="96">
        <v>1097</v>
      </c>
      <c r="B1102" s="101"/>
      <c r="C1102" s="102"/>
      <c r="D1102" s="111"/>
      <c r="E1102" s="236"/>
      <c r="F1102" s="104"/>
      <c r="G1102" s="104"/>
      <c r="H1102" s="105">
        <f t="shared" si="17"/>
        <v>0</v>
      </c>
    </row>
    <row r="1103" spans="1:8" ht="14.75" customHeight="1" x14ac:dyDescent="0.4">
      <c r="A1103" s="96">
        <v>1098</v>
      </c>
      <c r="B1103" s="101"/>
      <c r="C1103" s="102"/>
      <c r="D1103" s="111"/>
      <c r="E1103" s="236"/>
      <c r="F1103" s="104"/>
      <c r="G1103" s="104"/>
      <c r="H1103" s="105">
        <f t="shared" si="17"/>
        <v>0</v>
      </c>
    </row>
    <row r="1104" spans="1:8" ht="14.75" customHeight="1" x14ac:dyDescent="0.4">
      <c r="A1104" s="96">
        <v>1099</v>
      </c>
      <c r="B1104" s="101"/>
      <c r="C1104" s="102"/>
      <c r="D1104" s="111"/>
      <c r="E1104" s="236"/>
      <c r="F1104" s="104"/>
      <c r="G1104" s="104"/>
      <c r="H1104" s="105">
        <f t="shared" si="17"/>
        <v>0</v>
      </c>
    </row>
    <row r="1105" spans="1:8" ht="14.75" customHeight="1" x14ac:dyDescent="0.4">
      <c r="A1105" s="96">
        <v>1100</v>
      </c>
      <c r="B1105" s="101"/>
      <c r="C1105" s="102"/>
      <c r="D1105" s="111"/>
      <c r="E1105" s="236"/>
      <c r="F1105" s="104"/>
      <c r="G1105" s="104"/>
      <c r="H1105" s="105">
        <f t="shared" si="17"/>
        <v>0</v>
      </c>
    </row>
    <row r="1106" spans="1:8" ht="14.75" customHeight="1" x14ac:dyDescent="0.4">
      <c r="A1106" s="96">
        <v>1101</v>
      </c>
      <c r="B1106" s="101"/>
      <c r="C1106" s="102"/>
      <c r="D1106" s="111"/>
      <c r="E1106" s="236"/>
      <c r="F1106" s="104"/>
      <c r="G1106" s="104"/>
      <c r="H1106" s="105">
        <f t="shared" si="17"/>
        <v>0</v>
      </c>
    </row>
    <row r="1107" spans="1:8" ht="14.75" customHeight="1" x14ac:dyDescent="0.4">
      <c r="A1107" s="96">
        <v>1102</v>
      </c>
      <c r="B1107" s="101"/>
      <c r="C1107" s="102"/>
      <c r="D1107" s="111"/>
      <c r="E1107" s="236"/>
      <c r="F1107" s="104"/>
      <c r="G1107" s="104"/>
      <c r="H1107" s="105">
        <f t="shared" si="17"/>
        <v>0</v>
      </c>
    </row>
    <row r="1108" spans="1:8" ht="14.75" customHeight="1" x14ac:dyDescent="0.4">
      <c r="A1108" s="96">
        <v>1103</v>
      </c>
      <c r="B1108" s="101"/>
      <c r="C1108" s="102"/>
      <c r="D1108" s="111"/>
      <c r="E1108" s="236"/>
      <c r="F1108" s="104"/>
      <c r="G1108" s="104"/>
      <c r="H1108" s="105">
        <f t="shared" si="17"/>
        <v>0</v>
      </c>
    </row>
    <row r="1109" spans="1:8" ht="14.75" customHeight="1" x14ac:dyDescent="0.4">
      <c r="A1109" s="96">
        <v>1104</v>
      </c>
      <c r="B1109" s="101"/>
      <c r="C1109" s="102"/>
      <c r="D1109" s="111"/>
      <c r="E1109" s="236"/>
      <c r="F1109" s="104"/>
      <c r="G1109" s="104"/>
      <c r="H1109" s="105">
        <f t="shared" si="17"/>
        <v>0</v>
      </c>
    </row>
    <row r="1110" spans="1:8" ht="14.75" customHeight="1" x14ac:dyDescent="0.4">
      <c r="A1110" s="96">
        <v>1105</v>
      </c>
      <c r="B1110" s="101"/>
      <c r="C1110" s="102"/>
      <c r="D1110" s="111"/>
      <c r="E1110" s="236"/>
      <c r="F1110" s="104"/>
      <c r="G1110" s="104"/>
      <c r="H1110" s="105">
        <f t="shared" si="17"/>
        <v>0</v>
      </c>
    </row>
    <row r="1111" spans="1:8" ht="14.75" customHeight="1" x14ac:dyDescent="0.4">
      <c r="A1111" s="96">
        <v>1106</v>
      </c>
      <c r="B1111" s="101"/>
      <c r="C1111" s="102"/>
      <c r="D1111" s="111"/>
      <c r="E1111" s="236"/>
      <c r="F1111" s="104"/>
      <c r="G1111" s="104"/>
      <c r="H1111" s="105">
        <f t="shared" si="17"/>
        <v>0</v>
      </c>
    </row>
    <row r="1112" spans="1:8" ht="14.75" customHeight="1" x14ac:dyDescent="0.4">
      <c r="A1112" s="96">
        <v>1107</v>
      </c>
      <c r="B1112" s="101"/>
      <c r="C1112" s="102"/>
      <c r="D1112" s="111"/>
      <c r="E1112" s="236"/>
      <c r="F1112" s="104"/>
      <c r="G1112" s="104"/>
      <c r="H1112" s="105">
        <f t="shared" si="17"/>
        <v>0</v>
      </c>
    </row>
    <row r="1113" spans="1:8" ht="14.75" customHeight="1" x14ac:dyDescent="0.4">
      <c r="A1113" s="96">
        <v>1108</v>
      </c>
      <c r="B1113" s="101"/>
      <c r="C1113" s="102"/>
      <c r="D1113" s="111"/>
      <c r="E1113" s="236"/>
      <c r="F1113" s="104"/>
      <c r="G1113" s="104"/>
      <c r="H1113" s="105">
        <f t="shared" si="17"/>
        <v>0</v>
      </c>
    </row>
    <row r="1114" spans="1:8" ht="14.75" customHeight="1" x14ac:dyDescent="0.4">
      <c r="A1114" s="96">
        <v>1109</v>
      </c>
      <c r="B1114" s="101"/>
      <c r="C1114" s="102"/>
      <c r="D1114" s="111"/>
      <c r="E1114" s="236"/>
      <c r="F1114" s="104"/>
      <c r="G1114" s="104"/>
      <c r="H1114" s="105">
        <f t="shared" si="17"/>
        <v>0</v>
      </c>
    </row>
    <row r="1115" spans="1:8" ht="14.75" customHeight="1" x14ac:dyDescent="0.4">
      <c r="A1115" s="96">
        <v>1110</v>
      </c>
      <c r="B1115" s="101"/>
      <c r="C1115" s="102"/>
      <c r="D1115" s="111"/>
      <c r="E1115" s="236"/>
      <c r="F1115" s="104"/>
      <c r="G1115" s="104"/>
      <c r="H1115" s="105">
        <f t="shared" si="17"/>
        <v>0</v>
      </c>
    </row>
    <row r="1116" spans="1:8" ht="14.75" customHeight="1" x14ac:dyDescent="0.4">
      <c r="A1116" s="96">
        <v>1111</v>
      </c>
      <c r="B1116" s="101"/>
      <c r="C1116" s="102"/>
      <c r="D1116" s="111"/>
      <c r="E1116" s="236"/>
      <c r="F1116" s="104"/>
      <c r="G1116" s="104"/>
      <c r="H1116" s="105">
        <f t="shared" si="17"/>
        <v>0</v>
      </c>
    </row>
    <row r="1117" spans="1:8" ht="14.75" customHeight="1" x14ac:dyDescent="0.4">
      <c r="A1117" s="96">
        <v>1112</v>
      </c>
      <c r="B1117" s="101"/>
      <c r="C1117" s="102"/>
      <c r="D1117" s="111"/>
      <c r="E1117" s="236"/>
      <c r="F1117" s="104"/>
      <c r="G1117" s="104"/>
      <c r="H1117" s="105">
        <f t="shared" si="17"/>
        <v>0</v>
      </c>
    </row>
    <row r="1118" spans="1:8" ht="14.75" customHeight="1" x14ac:dyDescent="0.4">
      <c r="A1118" s="96">
        <v>1113</v>
      </c>
      <c r="B1118" s="101"/>
      <c r="C1118" s="102"/>
      <c r="D1118" s="111"/>
      <c r="E1118" s="236"/>
      <c r="F1118" s="104"/>
      <c r="G1118" s="104"/>
      <c r="H1118" s="105">
        <f t="shared" si="17"/>
        <v>0</v>
      </c>
    </row>
    <row r="1119" spans="1:8" ht="14.75" customHeight="1" x14ac:dyDescent="0.4">
      <c r="A1119" s="96">
        <v>1114</v>
      </c>
      <c r="B1119" s="101"/>
      <c r="C1119" s="102"/>
      <c r="D1119" s="111"/>
      <c r="E1119" s="236"/>
      <c r="F1119" s="104"/>
      <c r="G1119" s="104"/>
      <c r="H1119" s="105">
        <f t="shared" si="17"/>
        <v>0</v>
      </c>
    </row>
    <row r="1120" spans="1:8" ht="14.75" customHeight="1" x14ac:dyDescent="0.4">
      <c r="A1120" s="96">
        <v>1115</v>
      </c>
      <c r="B1120" s="101"/>
      <c r="C1120" s="102"/>
      <c r="D1120" s="111"/>
      <c r="E1120" s="236"/>
      <c r="F1120" s="104"/>
      <c r="G1120" s="104"/>
      <c r="H1120" s="105">
        <f t="shared" si="17"/>
        <v>0</v>
      </c>
    </row>
    <row r="1121" spans="1:8" ht="14.75" customHeight="1" x14ac:dyDescent="0.4">
      <c r="A1121" s="96">
        <v>1116</v>
      </c>
      <c r="B1121" s="101"/>
      <c r="C1121" s="102"/>
      <c r="D1121" s="111"/>
      <c r="E1121" s="236"/>
      <c r="F1121" s="104"/>
      <c r="G1121" s="104"/>
      <c r="H1121" s="105">
        <f t="shared" si="17"/>
        <v>0</v>
      </c>
    </row>
    <row r="1122" spans="1:8" ht="14.75" customHeight="1" x14ac:dyDescent="0.4">
      <c r="A1122" s="96">
        <v>1117</v>
      </c>
      <c r="B1122" s="101"/>
      <c r="C1122" s="102"/>
      <c r="D1122" s="111"/>
      <c r="E1122" s="236"/>
      <c r="F1122" s="104"/>
      <c r="G1122" s="104"/>
      <c r="H1122" s="105">
        <f t="shared" si="17"/>
        <v>0</v>
      </c>
    </row>
    <row r="1123" spans="1:8" ht="14.75" customHeight="1" x14ac:dyDescent="0.4">
      <c r="A1123" s="96">
        <v>1118</v>
      </c>
      <c r="B1123" s="101"/>
      <c r="C1123" s="102"/>
      <c r="D1123" s="111"/>
      <c r="E1123" s="236"/>
      <c r="F1123" s="104"/>
      <c r="G1123" s="104"/>
      <c r="H1123" s="105">
        <f t="shared" si="17"/>
        <v>0</v>
      </c>
    </row>
    <row r="1124" spans="1:8" ht="14.75" customHeight="1" x14ac:dyDescent="0.4">
      <c r="A1124" s="96">
        <v>1119</v>
      </c>
      <c r="B1124" s="101"/>
      <c r="C1124" s="102"/>
      <c r="D1124" s="111"/>
      <c r="E1124" s="236"/>
      <c r="F1124" s="104"/>
      <c r="G1124" s="104"/>
      <c r="H1124" s="105">
        <f t="shared" si="17"/>
        <v>0</v>
      </c>
    </row>
    <row r="1125" spans="1:8" ht="14.75" customHeight="1" x14ac:dyDescent="0.4">
      <c r="A1125" s="96">
        <v>1120</v>
      </c>
      <c r="B1125" s="101"/>
      <c r="C1125" s="102"/>
      <c r="D1125" s="111"/>
      <c r="E1125" s="236"/>
      <c r="F1125" s="104"/>
      <c r="G1125" s="104"/>
      <c r="H1125" s="105">
        <f t="shared" si="17"/>
        <v>0</v>
      </c>
    </row>
    <row r="1126" spans="1:8" ht="14.75" customHeight="1" x14ac:dyDescent="0.4">
      <c r="A1126" s="96">
        <v>1121</v>
      </c>
      <c r="B1126" s="101"/>
      <c r="C1126" s="102"/>
      <c r="D1126" s="111"/>
      <c r="E1126" s="236"/>
      <c r="F1126" s="104"/>
      <c r="G1126" s="104"/>
      <c r="H1126" s="105">
        <f t="shared" si="17"/>
        <v>0</v>
      </c>
    </row>
    <row r="1127" spans="1:8" ht="14.75" customHeight="1" x14ac:dyDescent="0.4">
      <c r="A1127" s="96">
        <v>1122</v>
      </c>
      <c r="B1127" s="101"/>
      <c r="C1127" s="102"/>
      <c r="D1127" s="111"/>
      <c r="E1127" s="236"/>
      <c r="F1127" s="104"/>
      <c r="G1127" s="104"/>
      <c r="H1127" s="105">
        <f t="shared" si="17"/>
        <v>0</v>
      </c>
    </row>
    <row r="1128" spans="1:8" ht="14.75" customHeight="1" x14ac:dyDescent="0.4">
      <c r="A1128" s="96">
        <v>1123</v>
      </c>
      <c r="B1128" s="101"/>
      <c r="C1128" s="102"/>
      <c r="D1128" s="111"/>
      <c r="E1128" s="236"/>
      <c r="F1128" s="104"/>
      <c r="G1128" s="104"/>
      <c r="H1128" s="105">
        <f t="shared" si="17"/>
        <v>0</v>
      </c>
    </row>
    <row r="1129" spans="1:8" ht="14.75" customHeight="1" x14ac:dyDescent="0.4">
      <c r="A1129" s="96">
        <v>1124</v>
      </c>
      <c r="B1129" s="101"/>
      <c r="C1129" s="102"/>
      <c r="D1129" s="111"/>
      <c r="E1129" s="236"/>
      <c r="F1129" s="104"/>
      <c r="G1129" s="104"/>
      <c r="H1129" s="105">
        <f t="shared" si="17"/>
        <v>0</v>
      </c>
    </row>
    <row r="1130" spans="1:8" ht="14.75" customHeight="1" x14ac:dyDescent="0.4">
      <c r="A1130" s="96">
        <v>1125</v>
      </c>
      <c r="B1130" s="101"/>
      <c r="C1130" s="102"/>
      <c r="D1130" s="111"/>
      <c r="E1130" s="236"/>
      <c r="F1130" s="104"/>
      <c r="G1130" s="104"/>
      <c r="H1130" s="105">
        <f t="shared" si="17"/>
        <v>0</v>
      </c>
    </row>
    <row r="1131" spans="1:8" ht="14.75" customHeight="1" x14ac:dyDescent="0.4">
      <c r="A1131" s="96">
        <v>1126</v>
      </c>
      <c r="B1131" s="101"/>
      <c r="C1131" s="102"/>
      <c r="D1131" s="111"/>
      <c r="E1131" s="236"/>
      <c r="F1131" s="104"/>
      <c r="G1131" s="104"/>
      <c r="H1131" s="105">
        <f t="shared" si="17"/>
        <v>0</v>
      </c>
    </row>
    <row r="1132" spans="1:8" ht="14.75" customHeight="1" x14ac:dyDescent="0.4">
      <c r="A1132" s="96">
        <v>1127</v>
      </c>
      <c r="B1132" s="101"/>
      <c r="C1132" s="102"/>
      <c r="D1132" s="111"/>
      <c r="E1132" s="236"/>
      <c r="F1132" s="104"/>
      <c r="G1132" s="104"/>
      <c r="H1132" s="105">
        <f t="shared" si="17"/>
        <v>0</v>
      </c>
    </row>
    <row r="1133" spans="1:8" ht="14.75" customHeight="1" x14ac:dyDescent="0.4">
      <c r="A1133" s="96">
        <v>1128</v>
      </c>
      <c r="B1133" s="101"/>
      <c r="C1133" s="102"/>
      <c r="D1133" s="111"/>
      <c r="E1133" s="236"/>
      <c r="F1133" s="104"/>
      <c r="G1133" s="104"/>
      <c r="H1133" s="105">
        <f t="shared" si="17"/>
        <v>0</v>
      </c>
    </row>
    <row r="1134" spans="1:8" ht="14.75" customHeight="1" x14ac:dyDescent="0.4">
      <c r="A1134" s="96">
        <v>1129</v>
      </c>
      <c r="B1134" s="101"/>
      <c r="C1134" s="102"/>
      <c r="D1134" s="111"/>
      <c r="E1134" s="236"/>
      <c r="F1134" s="104"/>
      <c r="G1134" s="104"/>
      <c r="H1134" s="105">
        <f t="shared" si="17"/>
        <v>0</v>
      </c>
    </row>
    <row r="1135" spans="1:8" ht="14.75" customHeight="1" x14ac:dyDescent="0.4">
      <c r="A1135" s="96">
        <v>1130</v>
      </c>
      <c r="B1135" s="101"/>
      <c r="C1135" s="102"/>
      <c r="D1135" s="111"/>
      <c r="E1135" s="236"/>
      <c r="F1135" s="104"/>
      <c r="G1135" s="104"/>
      <c r="H1135" s="105">
        <f t="shared" si="17"/>
        <v>0</v>
      </c>
    </row>
    <row r="1136" spans="1:8" ht="14.75" customHeight="1" x14ac:dyDescent="0.4">
      <c r="A1136" s="96">
        <v>1131</v>
      </c>
      <c r="B1136" s="101"/>
      <c r="C1136" s="102"/>
      <c r="D1136" s="111"/>
      <c r="E1136" s="236"/>
      <c r="F1136" s="104"/>
      <c r="G1136" s="104"/>
      <c r="H1136" s="105">
        <f t="shared" si="17"/>
        <v>0</v>
      </c>
    </row>
    <row r="1137" spans="1:8" ht="14.75" customHeight="1" x14ac:dyDescent="0.4">
      <c r="A1137" s="96">
        <v>1132</v>
      </c>
      <c r="B1137" s="101"/>
      <c r="C1137" s="102"/>
      <c r="D1137" s="111"/>
      <c r="E1137" s="236"/>
      <c r="F1137" s="104"/>
      <c r="G1137" s="104"/>
      <c r="H1137" s="105">
        <f t="shared" si="17"/>
        <v>0</v>
      </c>
    </row>
    <row r="1138" spans="1:8" ht="14.75" customHeight="1" x14ac:dyDescent="0.4">
      <c r="A1138" s="96">
        <v>1133</v>
      </c>
      <c r="B1138" s="101"/>
      <c r="C1138" s="102"/>
      <c r="D1138" s="111"/>
      <c r="E1138" s="236"/>
      <c r="F1138" s="104"/>
      <c r="G1138" s="104"/>
      <c r="H1138" s="105">
        <f t="shared" si="17"/>
        <v>0</v>
      </c>
    </row>
    <row r="1139" spans="1:8" ht="14.75" customHeight="1" x14ac:dyDescent="0.4">
      <c r="A1139" s="96">
        <v>1134</v>
      </c>
      <c r="B1139" s="101"/>
      <c r="C1139" s="102"/>
      <c r="D1139" s="111"/>
      <c r="E1139" s="236"/>
      <c r="F1139" s="104"/>
      <c r="G1139" s="104"/>
      <c r="H1139" s="105">
        <f t="shared" si="17"/>
        <v>0</v>
      </c>
    </row>
    <row r="1140" spans="1:8" ht="14.75" customHeight="1" x14ac:dyDescent="0.4">
      <c r="A1140" s="96">
        <v>1135</v>
      </c>
      <c r="B1140" s="101"/>
      <c r="C1140" s="102"/>
      <c r="D1140" s="111"/>
      <c r="E1140" s="236"/>
      <c r="F1140" s="104"/>
      <c r="G1140" s="104"/>
      <c r="H1140" s="105">
        <f t="shared" si="17"/>
        <v>0</v>
      </c>
    </row>
    <row r="1141" spans="1:8" ht="14.75" customHeight="1" x14ac:dyDescent="0.4">
      <c r="A1141" s="96">
        <v>1136</v>
      </c>
      <c r="B1141" s="101"/>
      <c r="C1141" s="102"/>
      <c r="D1141" s="111"/>
      <c r="E1141" s="236"/>
      <c r="F1141" s="104"/>
      <c r="G1141" s="104"/>
      <c r="H1141" s="105">
        <f t="shared" si="17"/>
        <v>0</v>
      </c>
    </row>
    <row r="1142" spans="1:8" ht="14.75" customHeight="1" x14ac:dyDescent="0.4">
      <c r="A1142" s="96">
        <v>1137</v>
      </c>
      <c r="B1142" s="101"/>
      <c r="C1142" s="102"/>
      <c r="D1142" s="111"/>
      <c r="E1142" s="236"/>
      <c r="F1142" s="104"/>
      <c r="G1142" s="104"/>
      <c r="H1142" s="105">
        <f t="shared" si="17"/>
        <v>0</v>
      </c>
    </row>
    <row r="1143" spans="1:8" ht="14.75" customHeight="1" x14ac:dyDescent="0.4">
      <c r="A1143" s="96">
        <v>1138</v>
      </c>
      <c r="B1143" s="101"/>
      <c r="C1143" s="102"/>
      <c r="D1143" s="111"/>
      <c r="E1143" s="236"/>
      <c r="F1143" s="104"/>
      <c r="G1143" s="104"/>
      <c r="H1143" s="105">
        <f t="shared" si="17"/>
        <v>0</v>
      </c>
    </row>
    <row r="1144" spans="1:8" ht="14.75" customHeight="1" x14ac:dyDescent="0.4">
      <c r="A1144" s="96">
        <v>1139</v>
      </c>
      <c r="B1144" s="101"/>
      <c r="C1144" s="102"/>
      <c r="D1144" s="111"/>
      <c r="E1144" s="236"/>
      <c r="F1144" s="104"/>
      <c r="G1144" s="104"/>
      <c r="H1144" s="105">
        <f t="shared" si="17"/>
        <v>0</v>
      </c>
    </row>
    <row r="1145" spans="1:8" ht="14.75" customHeight="1" x14ac:dyDescent="0.4">
      <c r="A1145" s="96">
        <v>1140</v>
      </c>
      <c r="B1145" s="101"/>
      <c r="C1145" s="102"/>
      <c r="D1145" s="111"/>
      <c r="E1145" s="236"/>
      <c r="F1145" s="104"/>
      <c r="G1145" s="104"/>
      <c r="H1145" s="105">
        <f t="shared" si="17"/>
        <v>0</v>
      </c>
    </row>
    <row r="1146" spans="1:8" ht="14.75" customHeight="1" x14ac:dyDescent="0.4">
      <c r="A1146" s="96">
        <v>1141</v>
      </c>
      <c r="B1146" s="101"/>
      <c r="C1146" s="102"/>
      <c r="D1146" s="111"/>
      <c r="E1146" s="236"/>
      <c r="F1146" s="104"/>
      <c r="G1146" s="104"/>
      <c r="H1146" s="105">
        <f t="shared" si="17"/>
        <v>0</v>
      </c>
    </row>
    <row r="1147" spans="1:8" ht="14.75" customHeight="1" x14ac:dyDescent="0.4">
      <c r="A1147" s="96">
        <v>1142</v>
      </c>
      <c r="B1147" s="101"/>
      <c r="C1147" s="102"/>
      <c r="D1147" s="111"/>
      <c r="E1147" s="236"/>
      <c r="F1147" s="104"/>
      <c r="G1147" s="104"/>
      <c r="H1147" s="105">
        <f t="shared" si="17"/>
        <v>0</v>
      </c>
    </row>
    <row r="1148" spans="1:8" ht="14.75" customHeight="1" x14ac:dyDescent="0.4">
      <c r="A1148" s="96">
        <v>1143</v>
      </c>
      <c r="B1148" s="101"/>
      <c r="C1148" s="102"/>
      <c r="D1148" s="111"/>
      <c r="E1148" s="236"/>
      <c r="F1148" s="104"/>
      <c r="G1148" s="104"/>
      <c r="H1148" s="105">
        <f t="shared" si="17"/>
        <v>0</v>
      </c>
    </row>
    <row r="1149" spans="1:8" ht="14.75" customHeight="1" x14ac:dyDescent="0.4">
      <c r="A1149" s="96">
        <v>1144</v>
      </c>
      <c r="B1149" s="101"/>
      <c r="C1149" s="102"/>
      <c r="D1149" s="111"/>
      <c r="E1149" s="236"/>
      <c r="F1149" s="104"/>
      <c r="G1149" s="104"/>
      <c r="H1149" s="105">
        <f t="shared" si="17"/>
        <v>0</v>
      </c>
    </row>
    <row r="1150" spans="1:8" ht="14.75" customHeight="1" x14ac:dyDescent="0.4">
      <c r="A1150" s="96">
        <v>1145</v>
      </c>
      <c r="B1150" s="101"/>
      <c r="C1150" s="102"/>
      <c r="D1150" s="111"/>
      <c r="E1150" s="236"/>
      <c r="F1150" s="104"/>
      <c r="G1150" s="104"/>
      <c r="H1150" s="105">
        <f t="shared" si="17"/>
        <v>0</v>
      </c>
    </row>
    <row r="1151" spans="1:8" ht="14.75" customHeight="1" x14ac:dyDescent="0.4">
      <c r="A1151" s="96">
        <v>1146</v>
      </c>
      <c r="B1151" s="101"/>
      <c r="C1151" s="102"/>
      <c r="D1151" s="111"/>
      <c r="E1151" s="236"/>
      <c r="F1151" s="104"/>
      <c r="G1151" s="104"/>
      <c r="H1151" s="105">
        <f t="shared" si="17"/>
        <v>0</v>
      </c>
    </row>
    <row r="1152" spans="1:8" ht="14.75" customHeight="1" x14ac:dyDescent="0.4">
      <c r="A1152" s="96">
        <v>1147</v>
      </c>
      <c r="B1152" s="101"/>
      <c r="C1152" s="102"/>
      <c r="D1152" s="111"/>
      <c r="E1152" s="236"/>
      <c r="F1152" s="104"/>
      <c r="G1152" s="104"/>
      <c r="H1152" s="105">
        <f t="shared" si="17"/>
        <v>0</v>
      </c>
    </row>
    <row r="1153" spans="1:8" ht="14.75" customHeight="1" x14ac:dyDescent="0.4">
      <c r="A1153" s="96">
        <v>1148</v>
      </c>
      <c r="B1153" s="101"/>
      <c r="C1153" s="102"/>
      <c r="D1153" s="111"/>
      <c r="E1153" s="236"/>
      <c r="F1153" s="104"/>
      <c r="G1153" s="104"/>
      <c r="H1153" s="105">
        <f t="shared" si="17"/>
        <v>0</v>
      </c>
    </row>
    <row r="1154" spans="1:8" ht="14.75" customHeight="1" x14ac:dyDescent="0.4">
      <c r="A1154" s="96">
        <v>1149</v>
      </c>
      <c r="B1154" s="101"/>
      <c r="C1154" s="102"/>
      <c r="D1154" s="111"/>
      <c r="E1154" s="236"/>
      <c r="F1154" s="104"/>
      <c r="G1154" s="104"/>
      <c r="H1154" s="105">
        <f t="shared" si="17"/>
        <v>0</v>
      </c>
    </row>
    <row r="1155" spans="1:8" ht="14.75" customHeight="1" x14ac:dyDescent="0.4">
      <c r="A1155" s="96">
        <v>1150</v>
      </c>
      <c r="B1155" s="101"/>
      <c r="C1155" s="102"/>
      <c r="D1155" s="111"/>
      <c r="E1155" s="236"/>
      <c r="F1155" s="104"/>
      <c r="G1155" s="104"/>
      <c r="H1155" s="105">
        <f t="shared" si="17"/>
        <v>0</v>
      </c>
    </row>
    <row r="1156" spans="1:8" ht="14.75" customHeight="1" x14ac:dyDescent="0.4">
      <c r="A1156" s="96">
        <v>1151</v>
      </c>
      <c r="B1156" s="101"/>
      <c r="C1156" s="102"/>
      <c r="D1156" s="111"/>
      <c r="E1156" s="236"/>
      <c r="F1156" s="104"/>
      <c r="G1156" s="104"/>
      <c r="H1156" s="105">
        <f t="shared" si="17"/>
        <v>0</v>
      </c>
    </row>
    <row r="1157" spans="1:8" ht="14.75" customHeight="1" x14ac:dyDescent="0.4">
      <c r="A1157" s="96">
        <v>1152</v>
      </c>
      <c r="B1157" s="101"/>
      <c r="C1157" s="102"/>
      <c r="D1157" s="111"/>
      <c r="E1157" s="236"/>
      <c r="F1157" s="104"/>
      <c r="G1157" s="104"/>
      <c r="H1157" s="105">
        <f t="shared" si="17"/>
        <v>0</v>
      </c>
    </row>
    <row r="1158" spans="1:8" ht="14.75" customHeight="1" x14ac:dyDescent="0.4">
      <c r="A1158" s="96">
        <v>1153</v>
      </c>
      <c r="B1158" s="101"/>
      <c r="C1158" s="102"/>
      <c r="D1158" s="111"/>
      <c r="E1158" s="236"/>
      <c r="F1158" s="104"/>
      <c r="G1158" s="104"/>
      <c r="H1158" s="105">
        <f t="shared" si="17"/>
        <v>0</v>
      </c>
    </row>
    <row r="1159" spans="1:8" ht="14.75" customHeight="1" x14ac:dyDescent="0.4">
      <c r="A1159" s="96">
        <v>1154</v>
      </c>
      <c r="B1159" s="101"/>
      <c r="C1159" s="102"/>
      <c r="D1159" s="111"/>
      <c r="E1159" s="236"/>
      <c r="F1159" s="104"/>
      <c r="G1159" s="104"/>
      <c r="H1159" s="105">
        <f t="shared" si="17"/>
        <v>0</v>
      </c>
    </row>
    <row r="1160" spans="1:8" ht="14.75" customHeight="1" x14ac:dyDescent="0.4">
      <c r="A1160" s="96">
        <v>1155</v>
      </c>
      <c r="B1160" s="101"/>
      <c r="C1160" s="102"/>
      <c r="D1160" s="111"/>
      <c r="E1160" s="236"/>
      <c r="F1160" s="104"/>
      <c r="G1160" s="104"/>
      <c r="H1160" s="105">
        <f t="shared" si="17"/>
        <v>0</v>
      </c>
    </row>
    <row r="1161" spans="1:8" ht="14.75" customHeight="1" x14ac:dyDescent="0.4">
      <c r="A1161" s="96">
        <v>1156</v>
      </c>
      <c r="B1161" s="101"/>
      <c r="C1161" s="102"/>
      <c r="D1161" s="111"/>
      <c r="E1161" s="236"/>
      <c r="F1161" s="104"/>
      <c r="G1161" s="104"/>
      <c r="H1161" s="105">
        <f t="shared" ref="H1161:H1224" si="18">H1160+F1161-G1161</f>
        <v>0</v>
      </c>
    </row>
    <row r="1162" spans="1:8" ht="14.75" customHeight="1" x14ac:dyDescent="0.4">
      <c r="A1162" s="96">
        <v>1157</v>
      </c>
      <c r="B1162" s="101"/>
      <c r="C1162" s="102"/>
      <c r="D1162" s="111"/>
      <c r="E1162" s="236"/>
      <c r="F1162" s="104"/>
      <c r="G1162" s="104"/>
      <c r="H1162" s="105">
        <f t="shared" si="18"/>
        <v>0</v>
      </c>
    </row>
    <row r="1163" spans="1:8" ht="14.75" customHeight="1" x14ac:dyDescent="0.4">
      <c r="A1163" s="96">
        <v>1158</v>
      </c>
      <c r="B1163" s="101"/>
      <c r="C1163" s="102"/>
      <c r="D1163" s="111"/>
      <c r="E1163" s="236"/>
      <c r="F1163" s="104"/>
      <c r="G1163" s="104"/>
      <c r="H1163" s="105">
        <f t="shared" si="18"/>
        <v>0</v>
      </c>
    </row>
    <row r="1164" spans="1:8" ht="14.75" customHeight="1" x14ac:dyDescent="0.4">
      <c r="A1164" s="96">
        <v>1159</v>
      </c>
      <c r="B1164" s="101"/>
      <c r="C1164" s="102"/>
      <c r="D1164" s="111"/>
      <c r="E1164" s="236"/>
      <c r="F1164" s="104"/>
      <c r="G1164" s="104"/>
      <c r="H1164" s="105">
        <f t="shared" si="18"/>
        <v>0</v>
      </c>
    </row>
    <row r="1165" spans="1:8" ht="14.75" customHeight="1" x14ac:dyDescent="0.4">
      <c r="A1165" s="96">
        <v>1160</v>
      </c>
      <c r="B1165" s="101"/>
      <c r="C1165" s="102"/>
      <c r="D1165" s="111"/>
      <c r="E1165" s="236"/>
      <c r="F1165" s="104"/>
      <c r="G1165" s="104"/>
      <c r="H1165" s="105">
        <f t="shared" si="18"/>
        <v>0</v>
      </c>
    </row>
    <row r="1166" spans="1:8" ht="14.75" customHeight="1" x14ac:dyDescent="0.4">
      <c r="A1166" s="96">
        <v>1161</v>
      </c>
      <c r="B1166" s="101"/>
      <c r="C1166" s="102"/>
      <c r="D1166" s="111"/>
      <c r="E1166" s="236"/>
      <c r="F1166" s="104"/>
      <c r="G1166" s="104"/>
      <c r="H1166" s="105">
        <f t="shared" si="18"/>
        <v>0</v>
      </c>
    </row>
    <row r="1167" spans="1:8" ht="14.75" customHeight="1" x14ac:dyDescent="0.4">
      <c r="A1167" s="96">
        <v>1162</v>
      </c>
      <c r="B1167" s="101"/>
      <c r="C1167" s="102"/>
      <c r="D1167" s="111"/>
      <c r="E1167" s="236"/>
      <c r="F1167" s="104"/>
      <c r="G1167" s="104"/>
      <c r="H1167" s="105">
        <f t="shared" si="18"/>
        <v>0</v>
      </c>
    </row>
    <row r="1168" spans="1:8" ht="14.75" customHeight="1" x14ac:dyDescent="0.4">
      <c r="A1168" s="96">
        <v>1163</v>
      </c>
      <c r="B1168" s="101"/>
      <c r="C1168" s="102"/>
      <c r="D1168" s="111"/>
      <c r="E1168" s="236"/>
      <c r="F1168" s="104"/>
      <c r="G1168" s="104"/>
      <c r="H1168" s="105">
        <f t="shared" si="18"/>
        <v>0</v>
      </c>
    </row>
    <row r="1169" spans="1:8" ht="14.75" customHeight="1" x14ac:dyDescent="0.4">
      <c r="A1169" s="96">
        <v>1164</v>
      </c>
      <c r="B1169" s="101"/>
      <c r="C1169" s="102"/>
      <c r="D1169" s="111"/>
      <c r="E1169" s="236"/>
      <c r="F1169" s="104"/>
      <c r="G1169" s="104"/>
      <c r="H1169" s="105">
        <f t="shared" si="18"/>
        <v>0</v>
      </c>
    </row>
    <row r="1170" spans="1:8" ht="14.75" customHeight="1" x14ac:dyDescent="0.4">
      <c r="A1170" s="96">
        <v>1165</v>
      </c>
      <c r="B1170" s="101"/>
      <c r="C1170" s="102"/>
      <c r="D1170" s="111"/>
      <c r="E1170" s="236"/>
      <c r="F1170" s="104"/>
      <c r="G1170" s="104"/>
      <c r="H1170" s="105">
        <f t="shared" si="18"/>
        <v>0</v>
      </c>
    </row>
    <row r="1171" spans="1:8" ht="14.75" customHeight="1" x14ac:dyDescent="0.4">
      <c r="A1171" s="96">
        <v>1166</v>
      </c>
      <c r="B1171" s="101"/>
      <c r="C1171" s="102"/>
      <c r="D1171" s="111"/>
      <c r="E1171" s="236"/>
      <c r="F1171" s="104"/>
      <c r="G1171" s="104"/>
      <c r="H1171" s="105">
        <f t="shared" si="18"/>
        <v>0</v>
      </c>
    </row>
    <row r="1172" spans="1:8" ht="14.75" customHeight="1" x14ac:dyDescent="0.4">
      <c r="A1172" s="96">
        <v>1167</v>
      </c>
      <c r="B1172" s="101"/>
      <c r="C1172" s="102"/>
      <c r="D1172" s="111"/>
      <c r="E1172" s="236"/>
      <c r="F1172" s="104"/>
      <c r="G1172" s="104"/>
      <c r="H1172" s="105">
        <f t="shared" si="18"/>
        <v>0</v>
      </c>
    </row>
    <row r="1173" spans="1:8" ht="14.75" customHeight="1" x14ac:dyDescent="0.4">
      <c r="A1173" s="96">
        <v>1168</v>
      </c>
      <c r="B1173" s="101"/>
      <c r="C1173" s="102"/>
      <c r="D1173" s="111"/>
      <c r="E1173" s="236"/>
      <c r="F1173" s="104"/>
      <c r="G1173" s="104"/>
      <c r="H1173" s="105">
        <f t="shared" si="18"/>
        <v>0</v>
      </c>
    </row>
    <row r="1174" spans="1:8" ht="14.75" customHeight="1" x14ac:dyDescent="0.4">
      <c r="A1174" s="96">
        <v>1169</v>
      </c>
      <c r="B1174" s="101"/>
      <c r="C1174" s="102"/>
      <c r="D1174" s="111"/>
      <c r="E1174" s="236"/>
      <c r="F1174" s="104"/>
      <c r="G1174" s="104"/>
      <c r="H1174" s="105">
        <f t="shared" si="18"/>
        <v>0</v>
      </c>
    </row>
    <row r="1175" spans="1:8" ht="14.75" customHeight="1" x14ac:dyDescent="0.4">
      <c r="A1175" s="96">
        <v>1170</v>
      </c>
      <c r="B1175" s="101"/>
      <c r="C1175" s="102"/>
      <c r="D1175" s="111"/>
      <c r="E1175" s="236"/>
      <c r="F1175" s="104"/>
      <c r="G1175" s="104"/>
      <c r="H1175" s="105">
        <f t="shared" si="18"/>
        <v>0</v>
      </c>
    </row>
    <row r="1176" spans="1:8" ht="14.75" customHeight="1" x14ac:dyDescent="0.4">
      <c r="A1176" s="96">
        <v>1171</v>
      </c>
      <c r="B1176" s="101"/>
      <c r="C1176" s="102"/>
      <c r="D1176" s="111"/>
      <c r="E1176" s="236"/>
      <c r="F1176" s="104"/>
      <c r="G1176" s="104"/>
      <c r="H1176" s="105">
        <f t="shared" si="18"/>
        <v>0</v>
      </c>
    </row>
    <row r="1177" spans="1:8" ht="14.75" customHeight="1" x14ac:dyDescent="0.4">
      <c r="A1177" s="96">
        <v>1172</v>
      </c>
      <c r="B1177" s="101"/>
      <c r="C1177" s="102"/>
      <c r="D1177" s="111"/>
      <c r="E1177" s="236"/>
      <c r="F1177" s="104"/>
      <c r="G1177" s="104"/>
      <c r="H1177" s="105">
        <f t="shared" si="18"/>
        <v>0</v>
      </c>
    </row>
    <row r="1178" spans="1:8" ht="14.75" customHeight="1" x14ac:dyDescent="0.4">
      <c r="A1178" s="96">
        <v>1173</v>
      </c>
      <c r="B1178" s="101"/>
      <c r="C1178" s="102"/>
      <c r="D1178" s="111"/>
      <c r="E1178" s="236"/>
      <c r="F1178" s="104"/>
      <c r="G1178" s="104"/>
      <c r="H1178" s="105">
        <f t="shared" si="18"/>
        <v>0</v>
      </c>
    </row>
    <row r="1179" spans="1:8" ht="14.75" customHeight="1" x14ac:dyDescent="0.4">
      <c r="A1179" s="96">
        <v>1174</v>
      </c>
      <c r="B1179" s="101"/>
      <c r="C1179" s="102"/>
      <c r="D1179" s="111"/>
      <c r="E1179" s="236"/>
      <c r="F1179" s="104"/>
      <c r="G1179" s="104"/>
      <c r="H1179" s="105">
        <f t="shared" si="18"/>
        <v>0</v>
      </c>
    </row>
    <row r="1180" spans="1:8" ht="14.75" customHeight="1" x14ac:dyDescent="0.4">
      <c r="A1180" s="96">
        <v>1175</v>
      </c>
      <c r="B1180" s="101"/>
      <c r="C1180" s="102"/>
      <c r="D1180" s="111"/>
      <c r="E1180" s="236"/>
      <c r="F1180" s="104"/>
      <c r="G1180" s="104"/>
      <c r="H1180" s="105">
        <f t="shared" si="18"/>
        <v>0</v>
      </c>
    </row>
    <row r="1181" spans="1:8" ht="14.75" customHeight="1" x14ac:dyDescent="0.4">
      <c r="A1181" s="96">
        <v>1176</v>
      </c>
      <c r="B1181" s="101"/>
      <c r="C1181" s="102"/>
      <c r="D1181" s="111"/>
      <c r="E1181" s="236"/>
      <c r="F1181" s="104"/>
      <c r="G1181" s="104"/>
      <c r="H1181" s="105">
        <f t="shared" si="18"/>
        <v>0</v>
      </c>
    </row>
    <row r="1182" spans="1:8" ht="14.75" customHeight="1" x14ac:dyDescent="0.4">
      <c r="A1182" s="96">
        <v>1177</v>
      </c>
      <c r="B1182" s="101"/>
      <c r="C1182" s="102"/>
      <c r="D1182" s="111"/>
      <c r="E1182" s="236"/>
      <c r="F1182" s="104"/>
      <c r="G1182" s="104"/>
      <c r="H1182" s="105">
        <f t="shared" si="18"/>
        <v>0</v>
      </c>
    </row>
    <row r="1183" spans="1:8" ht="14.75" customHeight="1" x14ac:dyDescent="0.4">
      <c r="A1183" s="96">
        <v>1178</v>
      </c>
      <c r="B1183" s="101"/>
      <c r="C1183" s="102"/>
      <c r="D1183" s="111"/>
      <c r="E1183" s="236"/>
      <c r="F1183" s="104"/>
      <c r="G1183" s="104"/>
      <c r="H1183" s="105">
        <f t="shared" si="18"/>
        <v>0</v>
      </c>
    </row>
    <row r="1184" spans="1:8" ht="14.75" customHeight="1" x14ac:dyDescent="0.4">
      <c r="A1184" s="96">
        <v>1179</v>
      </c>
      <c r="B1184" s="101"/>
      <c r="C1184" s="102"/>
      <c r="D1184" s="111"/>
      <c r="E1184" s="236"/>
      <c r="F1184" s="104"/>
      <c r="G1184" s="104"/>
      <c r="H1184" s="105">
        <f t="shared" si="18"/>
        <v>0</v>
      </c>
    </row>
    <row r="1185" spans="1:8" ht="14.75" customHeight="1" x14ac:dyDescent="0.4">
      <c r="A1185" s="96">
        <v>1180</v>
      </c>
      <c r="B1185" s="101"/>
      <c r="C1185" s="102"/>
      <c r="D1185" s="111"/>
      <c r="E1185" s="236"/>
      <c r="F1185" s="104"/>
      <c r="G1185" s="104"/>
      <c r="H1185" s="105">
        <f t="shared" si="18"/>
        <v>0</v>
      </c>
    </row>
    <row r="1186" spans="1:8" ht="14.75" customHeight="1" x14ac:dyDescent="0.4">
      <c r="A1186" s="96">
        <v>1181</v>
      </c>
      <c r="B1186" s="101"/>
      <c r="C1186" s="102"/>
      <c r="D1186" s="111"/>
      <c r="E1186" s="236"/>
      <c r="F1186" s="104"/>
      <c r="G1186" s="104"/>
      <c r="H1186" s="105">
        <f t="shared" si="18"/>
        <v>0</v>
      </c>
    </row>
    <row r="1187" spans="1:8" ht="14.75" customHeight="1" x14ac:dyDescent="0.4">
      <c r="A1187" s="96">
        <v>1182</v>
      </c>
      <c r="B1187" s="101"/>
      <c r="C1187" s="102"/>
      <c r="D1187" s="111"/>
      <c r="E1187" s="236"/>
      <c r="F1187" s="104"/>
      <c r="G1187" s="104"/>
      <c r="H1187" s="105">
        <f t="shared" si="18"/>
        <v>0</v>
      </c>
    </row>
    <row r="1188" spans="1:8" ht="14.75" customHeight="1" x14ac:dyDescent="0.4">
      <c r="A1188" s="96">
        <v>1183</v>
      </c>
      <c r="B1188" s="101"/>
      <c r="C1188" s="102"/>
      <c r="D1188" s="111"/>
      <c r="E1188" s="236"/>
      <c r="F1188" s="104"/>
      <c r="G1188" s="104"/>
      <c r="H1188" s="105">
        <f t="shared" si="18"/>
        <v>0</v>
      </c>
    </row>
    <row r="1189" spans="1:8" ht="14.75" customHeight="1" x14ac:dyDescent="0.4">
      <c r="A1189" s="96">
        <v>1184</v>
      </c>
      <c r="B1189" s="101"/>
      <c r="C1189" s="102"/>
      <c r="D1189" s="111"/>
      <c r="E1189" s="236"/>
      <c r="F1189" s="104"/>
      <c r="G1189" s="104"/>
      <c r="H1189" s="105">
        <f t="shared" si="18"/>
        <v>0</v>
      </c>
    </row>
    <row r="1190" spans="1:8" ht="14.75" customHeight="1" x14ac:dyDescent="0.4">
      <c r="A1190" s="96">
        <v>1185</v>
      </c>
      <c r="B1190" s="101"/>
      <c r="C1190" s="102"/>
      <c r="D1190" s="111"/>
      <c r="E1190" s="236"/>
      <c r="F1190" s="104"/>
      <c r="G1190" s="104"/>
      <c r="H1190" s="105">
        <f t="shared" si="18"/>
        <v>0</v>
      </c>
    </row>
    <row r="1191" spans="1:8" ht="14.75" customHeight="1" x14ac:dyDescent="0.4">
      <c r="A1191" s="96">
        <v>1186</v>
      </c>
      <c r="B1191" s="101"/>
      <c r="C1191" s="102"/>
      <c r="D1191" s="111"/>
      <c r="E1191" s="236"/>
      <c r="F1191" s="104"/>
      <c r="G1191" s="104"/>
      <c r="H1191" s="105">
        <f t="shared" si="18"/>
        <v>0</v>
      </c>
    </row>
    <row r="1192" spans="1:8" ht="14.75" customHeight="1" x14ac:dyDescent="0.4">
      <c r="A1192" s="96">
        <v>1187</v>
      </c>
      <c r="B1192" s="101"/>
      <c r="C1192" s="102"/>
      <c r="D1192" s="111"/>
      <c r="E1192" s="236"/>
      <c r="F1192" s="104"/>
      <c r="G1192" s="104"/>
      <c r="H1192" s="105">
        <f t="shared" si="18"/>
        <v>0</v>
      </c>
    </row>
    <row r="1193" spans="1:8" ht="14.75" customHeight="1" x14ac:dyDescent="0.4">
      <c r="A1193" s="96">
        <v>1188</v>
      </c>
      <c r="B1193" s="101"/>
      <c r="C1193" s="102"/>
      <c r="D1193" s="111"/>
      <c r="E1193" s="236"/>
      <c r="F1193" s="104"/>
      <c r="G1193" s="104"/>
      <c r="H1193" s="105">
        <f t="shared" si="18"/>
        <v>0</v>
      </c>
    </row>
    <row r="1194" spans="1:8" ht="14.75" customHeight="1" x14ac:dyDescent="0.4">
      <c r="A1194" s="96">
        <v>1189</v>
      </c>
      <c r="B1194" s="101"/>
      <c r="C1194" s="102"/>
      <c r="D1194" s="111"/>
      <c r="E1194" s="236"/>
      <c r="F1194" s="110"/>
      <c r="G1194" s="112"/>
      <c r="H1194" s="105">
        <f t="shared" si="18"/>
        <v>0</v>
      </c>
    </row>
    <row r="1195" spans="1:8" ht="14.75" customHeight="1" x14ac:dyDescent="0.4">
      <c r="A1195" s="96">
        <v>1190</v>
      </c>
      <c r="B1195" s="101"/>
      <c r="C1195" s="102"/>
      <c r="D1195" s="111"/>
      <c r="E1195" s="236"/>
      <c r="F1195" s="110"/>
      <c r="G1195" s="112"/>
      <c r="H1195" s="105">
        <f t="shared" si="18"/>
        <v>0</v>
      </c>
    </row>
    <row r="1196" spans="1:8" ht="14.75" customHeight="1" x14ac:dyDescent="0.4">
      <c r="A1196" s="96">
        <v>1191</v>
      </c>
      <c r="B1196" s="101"/>
      <c r="C1196" s="102"/>
      <c r="D1196" s="111"/>
      <c r="E1196" s="236"/>
      <c r="F1196" s="110"/>
      <c r="G1196" s="112"/>
      <c r="H1196" s="105">
        <f t="shared" si="18"/>
        <v>0</v>
      </c>
    </row>
    <row r="1197" spans="1:8" ht="14.75" customHeight="1" x14ac:dyDescent="0.4">
      <c r="A1197" s="96">
        <v>1192</v>
      </c>
      <c r="B1197" s="101"/>
      <c r="C1197" s="102"/>
      <c r="D1197" s="111"/>
      <c r="E1197" s="236"/>
      <c r="F1197" s="110"/>
      <c r="G1197" s="112"/>
      <c r="H1197" s="105">
        <f t="shared" si="18"/>
        <v>0</v>
      </c>
    </row>
    <row r="1198" spans="1:8" ht="14.75" customHeight="1" x14ac:dyDescent="0.4">
      <c r="A1198" s="96">
        <v>1193</v>
      </c>
      <c r="B1198" s="101"/>
      <c r="C1198" s="102"/>
      <c r="D1198" s="111"/>
      <c r="E1198" s="236"/>
      <c r="F1198" s="110"/>
      <c r="G1198" s="112"/>
      <c r="H1198" s="105">
        <f t="shared" si="18"/>
        <v>0</v>
      </c>
    </row>
    <row r="1199" spans="1:8" ht="14.75" customHeight="1" x14ac:dyDescent="0.4">
      <c r="A1199" s="96">
        <v>1194</v>
      </c>
      <c r="B1199" s="101"/>
      <c r="C1199" s="102"/>
      <c r="D1199" s="111"/>
      <c r="E1199" s="236"/>
      <c r="F1199" s="110"/>
      <c r="G1199" s="112"/>
      <c r="H1199" s="105">
        <f t="shared" si="18"/>
        <v>0</v>
      </c>
    </row>
    <row r="1200" spans="1:8" ht="14.75" customHeight="1" x14ac:dyDescent="0.4">
      <c r="A1200" s="96">
        <v>1195</v>
      </c>
      <c r="B1200" s="101"/>
      <c r="C1200" s="102"/>
      <c r="D1200" s="111"/>
      <c r="E1200" s="235"/>
      <c r="F1200" s="104"/>
      <c r="G1200" s="104"/>
      <c r="H1200" s="105">
        <f t="shared" si="18"/>
        <v>0</v>
      </c>
    </row>
    <row r="1201" spans="1:8" ht="14.75" customHeight="1" x14ac:dyDescent="0.4">
      <c r="A1201" s="96">
        <v>1196</v>
      </c>
      <c r="B1201" s="101"/>
      <c r="C1201" s="102"/>
      <c r="D1201" s="103"/>
      <c r="E1201" s="235"/>
      <c r="F1201" s="104"/>
      <c r="G1201" s="104"/>
      <c r="H1201" s="105">
        <f t="shared" si="18"/>
        <v>0</v>
      </c>
    </row>
    <row r="1202" spans="1:8" ht="14.75" customHeight="1" x14ac:dyDescent="0.4">
      <c r="A1202" s="96">
        <v>1197</v>
      </c>
      <c r="B1202" s="101"/>
      <c r="C1202" s="102"/>
      <c r="D1202" s="103"/>
      <c r="E1202" s="235"/>
      <c r="F1202" s="104"/>
      <c r="G1202" s="104"/>
      <c r="H1202" s="105">
        <f t="shared" si="18"/>
        <v>0</v>
      </c>
    </row>
    <row r="1203" spans="1:8" ht="14.75" customHeight="1" x14ac:dyDescent="0.4">
      <c r="A1203" s="96">
        <v>1198</v>
      </c>
      <c r="B1203" s="101"/>
      <c r="C1203" s="102"/>
      <c r="D1203" s="103"/>
      <c r="E1203" s="236"/>
      <c r="F1203" s="110"/>
      <c r="G1203" s="112"/>
      <c r="H1203" s="105">
        <f t="shared" si="18"/>
        <v>0</v>
      </c>
    </row>
    <row r="1204" spans="1:8" ht="14.75" customHeight="1" x14ac:dyDescent="0.4">
      <c r="A1204" s="96">
        <v>1199</v>
      </c>
      <c r="B1204" s="101"/>
      <c r="C1204" s="102"/>
      <c r="D1204" s="111"/>
      <c r="E1204" s="236"/>
      <c r="F1204" s="110"/>
      <c r="G1204" s="112"/>
      <c r="H1204" s="105">
        <f t="shared" si="18"/>
        <v>0</v>
      </c>
    </row>
    <row r="1205" spans="1:8" ht="14.75" customHeight="1" x14ac:dyDescent="0.4">
      <c r="A1205" s="96">
        <v>1200</v>
      </c>
      <c r="B1205" s="101"/>
      <c r="C1205" s="102"/>
      <c r="D1205" s="111"/>
      <c r="E1205" s="236"/>
      <c r="F1205" s="110"/>
      <c r="G1205" s="112"/>
      <c r="H1205" s="105">
        <f t="shared" si="18"/>
        <v>0</v>
      </c>
    </row>
    <row r="1206" spans="1:8" ht="14.75" customHeight="1" x14ac:dyDescent="0.4">
      <c r="A1206" s="96">
        <v>1201</v>
      </c>
      <c r="B1206" s="101"/>
      <c r="C1206" s="102"/>
      <c r="D1206" s="111"/>
      <c r="E1206" s="236"/>
      <c r="F1206" s="110"/>
      <c r="G1206" s="112"/>
      <c r="H1206" s="105">
        <f t="shared" si="18"/>
        <v>0</v>
      </c>
    </row>
    <row r="1207" spans="1:8" ht="14.75" customHeight="1" x14ac:dyDescent="0.4">
      <c r="A1207" s="96">
        <v>1202</v>
      </c>
      <c r="B1207" s="101"/>
      <c r="C1207" s="102"/>
      <c r="D1207" s="111"/>
      <c r="E1207" s="236"/>
      <c r="F1207" s="110"/>
      <c r="G1207" s="112"/>
      <c r="H1207" s="105">
        <f t="shared" si="18"/>
        <v>0</v>
      </c>
    </row>
    <row r="1208" spans="1:8" ht="14.75" customHeight="1" x14ac:dyDescent="0.4">
      <c r="A1208" s="96">
        <v>1203</v>
      </c>
      <c r="B1208" s="101"/>
      <c r="C1208" s="102"/>
      <c r="D1208" s="111"/>
      <c r="E1208" s="236"/>
      <c r="F1208" s="110"/>
      <c r="G1208" s="112"/>
      <c r="H1208" s="105">
        <f t="shared" si="18"/>
        <v>0</v>
      </c>
    </row>
    <row r="1209" spans="1:8" ht="14.75" customHeight="1" x14ac:dyDescent="0.4">
      <c r="A1209" s="96">
        <v>1204</v>
      </c>
      <c r="B1209" s="101"/>
      <c r="C1209" s="102"/>
      <c r="D1209" s="111"/>
      <c r="E1209" s="236"/>
      <c r="F1209" s="110"/>
      <c r="G1209" s="112"/>
      <c r="H1209" s="105">
        <f t="shared" si="18"/>
        <v>0</v>
      </c>
    </row>
    <row r="1210" spans="1:8" ht="14.75" customHeight="1" x14ac:dyDescent="0.4">
      <c r="A1210" s="96">
        <v>1205</v>
      </c>
      <c r="B1210" s="101"/>
      <c r="C1210" s="102"/>
      <c r="D1210" s="111"/>
      <c r="E1210" s="236"/>
      <c r="F1210" s="110"/>
      <c r="G1210" s="112"/>
      <c r="H1210" s="105">
        <f t="shared" si="18"/>
        <v>0</v>
      </c>
    </row>
    <row r="1211" spans="1:8" ht="14.75" customHeight="1" x14ac:dyDescent="0.4">
      <c r="A1211" s="96">
        <v>1206</v>
      </c>
      <c r="B1211" s="101"/>
      <c r="C1211" s="102"/>
      <c r="D1211" s="111"/>
      <c r="E1211" s="236"/>
      <c r="F1211" s="110"/>
      <c r="G1211" s="112"/>
      <c r="H1211" s="105">
        <f t="shared" si="18"/>
        <v>0</v>
      </c>
    </row>
    <row r="1212" spans="1:8" ht="14.75" customHeight="1" x14ac:dyDescent="0.4">
      <c r="A1212" s="96">
        <v>1207</v>
      </c>
      <c r="B1212" s="101"/>
      <c r="C1212" s="102"/>
      <c r="D1212" s="111"/>
      <c r="E1212" s="236"/>
      <c r="F1212" s="110"/>
      <c r="G1212" s="112"/>
      <c r="H1212" s="105">
        <f t="shared" si="18"/>
        <v>0</v>
      </c>
    </row>
    <row r="1213" spans="1:8" ht="14.75" customHeight="1" x14ac:dyDescent="0.4">
      <c r="A1213" s="96">
        <v>1208</v>
      </c>
      <c r="B1213" s="101"/>
      <c r="C1213" s="102"/>
      <c r="D1213" s="103"/>
      <c r="E1213" s="235"/>
      <c r="F1213" s="104"/>
      <c r="G1213" s="104"/>
      <c r="H1213" s="105">
        <f t="shared" si="18"/>
        <v>0</v>
      </c>
    </row>
    <row r="1214" spans="1:8" ht="14.75" customHeight="1" x14ac:dyDescent="0.4">
      <c r="A1214" s="96">
        <v>1209</v>
      </c>
      <c r="B1214" s="101"/>
      <c r="C1214" s="102"/>
      <c r="D1214" s="103"/>
      <c r="E1214" s="235"/>
      <c r="F1214" s="104"/>
      <c r="G1214" s="104"/>
      <c r="H1214" s="105">
        <f t="shared" si="18"/>
        <v>0</v>
      </c>
    </row>
    <row r="1215" spans="1:8" ht="14.75" customHeight="1" x14ac:dyDescent="0.4">
      <c r="A1215" s="96">
        <v>1210</v>
      </c>
      <c r="B1215" s="101"/>
      <c r="C1215" s="102"/>
      <c r="D1215" s="103"/>
      <c r="E1215" s="235"/>
      <c r="F1215" s="104"/>
      <c r="G1215" s="104"/>
      <c r="H1215" s="105">
        <f t="shared" si="18"/>
        <v>0</v>
      </c>
    </row>
    <row r="1216" spans="1:8" ht="14.75" customHeight="1" x14ac:dyDescent="0.4">
      <c r="A1216" s="96">
        <v>1211</v>
      </c>
      <c r="B1216" s="101"/>
      <c r="C1216" s="102"/>
      <c r="D1216" s="103"/>
      <c r="E1216" s="235"/>
      <c r="F1216" s="104"/>
      <c r="G1216" s="104"/>
      <c r="H1216" s="105">
        <f t="shared" si="18"/>
        <v>0</v>
      </c>
    </row>
    <row r="1217" spans="1:8" ht="14.75" customHeight="1" x14ac:dyDescent="0.4">
      <c r="A1217" s="96">
        <v>1212</v>
      </c>
      <c r="B1217" s="101"/>
      <c r="C1217" s="102"/>
      <c r="D1217" s="103"/>
      <c r="E1217" s="235"/>
      <c r="F1217" s="113"/>
      <c r="G1217" s="113"/>
      <c r="H1217" s="105">
        <f t="shared" si="18"/>
        <v>0</v>
      </c>
    </row>
    <row r="1218" spans="1:8" ht="14.75" customHeight="1" x14ac:dyDescent="0.4">
      <c r="A1218" s="96">
        <v>1213</v>
      </c>
      <c r="B1218" s="101"/>
      <c r="C1218" s="102"/>
      <c r="D1218" s="103"/>
      <c r="E1218" s="235"/>
      <c r="F1218" s="113"/>
      <c r="G1218" s="113"/>
      <c r="H1218" s="105">
        <f t="shared" si="18"/>
        <v>0</v>
      </c>
    </row>
    <row r="1219" spans="1:8" ht="14.75" customHeight="1" x14ac:dyDescent="0.4">
      <c r="A1219" s="96">
        <v>1214</v>
      </c>
      <c r="B1219" s="101"/>
      <c r="C1219" s="102"/>
      <c r="D1219" s="103"/>
      <c r="E1219" s="235"/>
      <c r="F1219" s="113"/>
      <c r="G1219" s="113"/>
      <c r="H1219" s="105">
        <f t="shared" si="18"/>
        <v>0</v>
      </c>
    </row>
    <row r="1220" spans="1:8" ht="14.75" customHeight="1" x14ac:dyDescent="0.4">
      <c r="A1220" s="96">
        <v>1215</v>
      </c>
      <c r="B1220" s="101"/>
      <c r="C1220" s="102"/>
      <c r="D1220" s="111"/>
      <c r="E1220" s="236"/>
      <c r="F1220" s="110"/>
      <c r="G1220" s="112"/>
      <c r="H1220" s="105">
        <f t="shared" si="18"/>
        <v>0</v>
      </c>
    </row>
    <row r="1221" spans="1:8" ht="14.75" customHeight="1" x14ac:dyDescent="0.4">
      <c r="A1221" s="96">
        <v>1216</v>
      </c>
      <c r="B1221" s="101"/>
      <c r="C1221" s="102"/>
      <c r="D1221" s="111"/>
      <c r="E1221" s="236"/>
      <c r="F1221" s="110"/>
      <c r="G1221" s="112"/>
      <c r="H1221" s="105">
        <f t="shared" si="18"/>
        <v>0</v>
      </c>
    </row>
    <row r="1222" spans="1:8" ht="14.75" customHeight="1" x14ac:dyDescent="0.4">
      <c r="A1222" s="96">
        <v>1217</v>
      </c>
      <c r="B1222" s="101"/>
      <c r="C1222" s="102"/>
      <c r="D1222" s="103"/>
      <c r="E1222" s="235"/>
      <c r="F1222" s="113"/>
      <c r="G1222" s="104"/>
      <c r="H1222" s="105">
        <f t="shared" si="18"/>
        <v>0</v>
      </c>
    </row>
    <row r="1223" spans="1:8" ht="14.75" customHeight="1" x14ac:dyDescent="0.4">
      <c r="A1223" s="96">
        <v>1218</v>
      </c>
      <c r="B1223" s="101"/>
      <c r="C1223" s="102"/>
      <c r="D1223" s="111"/>
      <c r="E1223" s="236"/>
      <c r="F1223" s="110"/>
      <c r="G1223" s="112"/>
      <c r="H1223" s="105">
        <f t="shared" si="18"/>
        <v>0</v>
      </c>
    </row>
    <row r="1224" spans="1:8" ht="14.75" customHeight="1" x14ac:dyDescent="0.4">
      <c r="A1224" s="96">
        <v>1219</v>
      </c>
      <c r="B1224" s="101"/>
      <c r="C1224" s="102"/>
      <c r="D1224" s="111"/>
      <c r="E1224" s="236"/>
      <c r="F1224" s="110"/>
      <c r="G1224" s="112"/>
      <c r="H1224" s="105">
        <f t="shared" si="18"/>
        <v>0</v>
      </c>
    </row>
    <row r="1225" spans="1:8" ht="14.75" customHeight="1" x14ac:dyDescent="0.4">
      <c r="A1225" s="96">
        <v>1220</v>
      </c>
      <c r="B1225" s="101"/>
      <c r="C1225" s="102"/>
      <c r="D1225" s="111"/>
      <c r="E1225" s="236"/>
      <c r="F1225" s="110"/>
      <c r="G1225" s="112"/>
      <c r="H1225" s="105">
        <f t="shared" ref="H1225:H1288" si="19">H1224+F1225-G1225</f>
        <v>0</v>
      </c>
    </row>
    <row r="1226" spans="1:8" ht="14.75" customHeight="1" x14ac:dyDescent="0.4">
      <c r="A1226" s="96">
        <v>1221</v>
      </c>
      <c r="B1226" s="101"/>
      <c r="C1226" s="102"/>
      <c r="D1226" s="111"/>
      <c r="E1226" s="236"/>
      <c r="F1226" s="110"/>
      <c r="G1226" s="112"/>
      <c r="H1226" s="105">
        <f t="shared" si="19"/>
        <v>0</v>
      </c>
    </row>
    <row r="1227" spans="1:8" ht="14.75" customHeight="1" x14ac:dyDescent="0.4">
      <c r="A1227" s="96">
        <v>1222</v>
      </c>
      <c r="B1227" s="101"/>
      <c r="C1227" s="102"/>
      <c r="D1227" s="111"/>
      <c r="E1227" s="236"/>
      <c r="F1227" s="110"/>
      <c r="G1227" s="112"/>
      <c r="H1227" s="105">
        <f t="shared" si="19"/>
        <v>0</v>
      </c>
    </row>
    <row r="1228" spans="1:8" ht="14.75" customHeight="1" x14ac:dyDescent="0.4">
      <c r="A1228" s="96">
        <v>1223</v>
      </c>
      <c r="B1228" s="101"/>
      <c r="C1228" s="102"/>
      <c r="D1228" s="111"/>
      <c r="E1228" s="236"/>
      <c r="F1228" s="110"/>
      <c r="G1228" s="112"/>
      <c r="H1228" s="105">
        <f t="shared" si="19"/>
        <v>0</v>
      </c>
    </row>
    <row r="1229" spans="1:8" ht="14.75" customHeight="1" x14ac:dyDescent="0.4">
      <c r="A1229" s="96">
        <v>1224</v>
      </c>
      <c r="B1229" s="101"/>
      <c r="C1229" s="102"/>
      <c r="D1229" s="111"/>
      <c r="E1229" s="236"/>
      <c r="F1229" s="110"/>
      <c r="G1229" s="112"/>
      <c r="H1229" s="105">
        <f t="shared" si="19"/>
        <v>0</v>
      </c>
    </row>
    <row r="1230" spans="1:8" ht="14.75" customHeight="1" x14ac:dyDescent="0.4">
      <c r="A1230" s="96">
        <v>1225</v>
      </c>
      <c r="B1230" s="101"/>
      <c r="C1230" s="102"/>
      <c r="D1230" s="111"/>
      <c r="E1230" s="236"/>
      <c r="F1230" s="110"/>
      <c r="G1230" s="112"/>
      <c r="H1230" s="105">
        <f t="shared" si="19"/>
        <v>0</v>
      </c>
    </row>
    <row r="1231" spans="1:8" ht="14.75" customHeight="1" x14ac:dyDescent="0.4">
      <c r="A1231" s="96">
        <v>1226</v>
      </c>
      <c r="B1231" s="101"/>
      <c r="C1231" s="102"/>
      <c r="D1231" s="111"/>
      <c r="E1231" s="236"/>
      <c r="F1231" s="110"/>
      <c r="G1231" s="112"/>
      <c r="H1231" s="105">
        <f t="shared" si="19"/>
        <v>0</v>
      </c>
    </row>
    <row r="1232" spans="1:8" ht="14.75" customHeight="1" x14ac:dyDescent="0.4">
      <c r="A1232" s="96">
        <v>1227</v>
      </c>
      <c r="B1232" s="101"/>
      <c r="C1232" s="102"/>
      <c r="D1232" s="111"/>
      <c r="E1232" s="236"/>
      <c r="F1232" s="110"/>
      <c r="G1232" s="112"/>
      <c r="H1232" s="105">
        <f t="shared" si="19"/>
        <v>0</v>
      </c>
    </row>
    <row r="1233" spans="1:8" ht="14.75" customHeight="1" x14ac:dyDescent="0.4">
      <c r="A1233" s="96">
        <v>1228</v>
      </c>
      <c r="B1233" s="101"/>
      <c r="C1233" s="102"/>
      <c r="D1233" s="111"/>
      <c r="E1233" s="236"/>
      <c r="F1233" s="110"/>
      <c r="G1233" s="112"/>
      <c r="H1233" s="105">
        <f t="shared" si="19"/>
        <v>0</v>
      </c>
    </row>
    <row r="1234" spans="1:8" ht="14.75" customHeight="1" x14ac:dyDescent="0.4">
      <c r="A1234" s="96">
        <v>1229</v>
      </c>
      <c r="B1234" s="101"/>
      <c r="C1234" s="102"/>
      <c r="D1234" s="111"/>
      <c r="E1234" s="236"/>
      <c r="F1234" s="110"/>
      <c r="G1234" s="112"/>
      <c r="H1234" s="105">
        <f t="shared" si="19"/>
        <v>0</v>
      </c>
    </row>
    <row r="1235" spans="1:8" ht="14.75" customHeight="1" x14ac:dyDescent="0.4">
      <c r="A1235" s="96">
        <v>1230</v>
      </c>
      <c r="B1235" s="101"/>
      <c r="C1235" s="102"/>
      <c r="D1235" s="111"/>
      <c r="E1235" s="236"/>
      <c r="F1235" s="110"/>
      <c r="G1235" s="112"/>
      <c r="H1235" s="105">
        <f t="shared" si="19"/>
        <v>0</v>
      </c>
    </row>
    <row r="1236" spans="1:8" ht="14.75" customHeight="1" x14ac:dyDescent="0.4">
      <c r="A1236" s="96">
        <v>1231</v>
      </c>
      <c r="B1236" s="101"/>
      <c r="C1236" s="102"/>
      <c r="D1236" s="111"/>
      <c r="E1236" s="236"/>
      <c r="F1236" s="110"/>
      <c r="G1236" s="112"/>
      <c r="H1236" s="105">
        <f t="shared" si="19"/>
        <v>0</v>
      </c>
    </row>
    <row r="1237" spans="1:8" ht="14.75" customHeight="1" x14ac:dyDescent="0.4">
      <c r="A1237" s="96">
        <v>1232</v>
      </c>
      <c r="B1237" s="101"/>
      <c r="C1237" s="102"/>
      <c r="D1237" s="111"/>
      <c r="E1237" s="236"/>
      <c r="F1237" s="110"/>
      <c r="G1237" s="112"/>
      <c r="H1237" s="105">
        <f t="shared" si="19"/>
        <v>0</v>
      </c>
    </row>
    <row r="1238" spans="1:8" ht="14.75" customHeight="1" x14ac:dyDescent="0.4">
      <c r="A1238" s="96">
        <v>1233</v>
      </c>
      <c r="B1238" s="101"/>
      <c r="C1238" s="102"/>
      <c r="D1238" s="111"/>
      <c r="E1238" s="236"/>
      <c r="F1238" s="110"/>
      <c r="G1238" s="112"/>
      <c r="H1238" s="105">
        <f t="shared" si="19"/>
        <v>0</v>
      </c>
    </row>
    <row r="1239" spans="1:8" ht="14.75" customHeight="1" x14ac:dyDescent="0.4">
      <c r="A1239" s="96">
        <v>1234</v>
      </c>
      <c r="B1239" s="101"/>
      <c r="C1239" s="102"/>
      <c r="D1239" s="111"/>
      <c r="E1239" s="236"/>
      <c r="F1239" s="110"/>
      <c r="G1239" s="112"/>
      <c r="H1239" s="105">
        <f t="shared" si="19"/>
        <v>0</v>
      </c>
    </row>
    <row r="1240" spans="1:8" ht="14.75" customHeight="1" x14ac:dyDescent="0.4">
      <c r="A1240" s="96">
        <v>1235</v>
      </c>
      <c r="B1240" s="101"/>
      <c r="C1240" s="102"/>
      <c r="D1240" s="111"/>
      <c r="E1240" s="236"/>
      <c r="F1240" s="110"/>
      <c r="G1240" s="112"/>
      <c r="H1240" s="105">
        <f t="shared" si="19"/>
        <v>0</v>
      </c>
    </row>
    <row r="1241" spans="1:8" ht="14.75" customHeight="1" x14ac:dyDescent="0.4">
      <c r="A1241" s="96">
        <v>1236</v>
      </c>
      <c r="B1241" s="101"/>
      <c r="C1241" s="102"/>
      <c r="D1241" s="111"/>
      <c r="E1241" s="236"/>
      <c r="F1241" s="110"/>
      <c r="G1241" s="112"/>
      <c r="H1241" s="105">
        <f t="shared" si="19"/>
        <v>0</v>
      </c>
    </row>
    <row r="1242" spans="1:8" ht="14.75" customHeight="1" x14ac:dyDescent="0.4">
      <c r="A1242" s="96">
        <v>1237</v>
      </c>
      <c r="B1242" s="101"/>
      <c r="C1242" s="102"/>
      <c r="D1242" s="111"/>
      <c r="E1242" s="236"/>
      <c r="F1242" s="110"/>
      <c r="G1242" s="112"/>
      <c r="H1242" s="105">
        <f t="shared" si="19"/>
        <v>0</v>
      </c>
    </row>
    <row r="1243" spans="1:8" ht="14.75" customHeight="1" x14ac:dyDescent="0.4">
      <c r="A1243" s="96">
        <v>1238</v>
      </c>
      <c r="B1243" s="101"/>
      <c r="C1243" s="102"/>
      <c r="D1243" s="111"/>
      <c r="E1243" s="236"/>
      <c r="F1243" s="110"/>
      <c r="G1243" s="112"/>
      <c r="H1243" s="105">
        <f t="shared" si="19"/>
        <v>0</v>
      </c>
    </row>
    <row r="1244" spans="1:8" ht="14.75" customHeight="1" x14ac:dyDescent="0.4">
      <c r="A1244" s="96">
        <v>1239</v>
      </c>
      <c r="B1244" s="101"/>
      <c r="C1244" s="102"/>
      <c r="D1244" s="111"/>
      <c r="E1244" s="236"/>
      <c r="F1244" s="110"/>
      <c r="G1244" s="112"/>
      <c r="H1244" s="105">
        <f t="shared" si="19"/>
        <v>0</v>
      </c>
    </row>
    <row r="1245" spans="1:8" ht="14.75" customHeight="1" x14ac:dyDescent="0.4">
      <c r="A1245" s="96">
        <v>1240</v>
      </c>
      <c r="B1245" s="101"/>
      <c r="C1245" s="102"/>
      <c r="D1245" s="111"/>
      <c r="E1245" s="236"/>
      <c r="F1245" s="110"/>
      <c r="G1245" s="112"/>
      <c r="H1245" s="105">
        <f t="shared" si="19"/>
        <v>0</v>
      </c>
    </row>
    <row r="1246" spans="1:8" ht="14.75" customHeight="1" x14ac:dyDescent="0.4">
      <c r="A1246" s="96">
        <v>1241</v>
      </c>
      <c r="B1246" s="101"/>
      <c r="C1246" s="102"/>
      <c r="D1246" s="111"/>
      <c r="E1246" s="236"/>
      <c r="F1246" s="110"/>
      <c r="G1246" s="112"/>
      <c r="H1246" s="105">
        <f t="shared" si="19"/>
        <v>0</v>
      </c>
    </row>
    <row r="1247" spans="1:8" ht="14.75" customHeight="1" x14ac:dyDescent="0.4">
      <c r="A1247" s="96">
        <v>1242</v>
      </c>
      <c r="B1247" s="101"/>
      <c r="C1247" s="102"/>
      <c r="D1247" s="111"/>
      <c r="E1247" s="236"/>
      <c r="F1247" s="110"/>
      <c r="G1247" s="112"/>
      <c r="H1247" s="105">
        <f t="shared" si="19"/>
        <v>0</v>
      </c>
    </row>
    <row r="1248" spans="1:8" ht="14.75" customHeight="1" x14ac:dyDescent="0.4">
      <c r="A1248" s="96">
        <v>1243</v>
      </c>
      <c r="B1248" s="101"/>
      <c r="C1248" s="102"/>
      <c r="D1248" s="111"/>
      <c r="E1248" s="236"/>
      <c r="F1248" s="110"/>
      <c r="G1248" s="112"/>
      <c r="H1248" s="105">
        <f t="shared" si="19"/>
        <v>0</v>
      </c>
    </row>
    <row r="1249" spans="1:8" ht="14.75" customHeight="1" x14ac:dyDescent="0.4">
      <c r="A1249" s="96">
        <v>1244</v>
      </c>
      <c r="B1249" s="101"/>
      <c r="C1249" s="102"/>
      <c r="D1249" s="111"/>
      <c r="E1249" s="236"/>
      <c r="F1249" s="110"/>
      <c r="G1249" s="112"/>
      <c r="H1249" s="105">
        <f t="shared" si="19"/>
        <v>0</v>
      </c>
    </row>
    <row r="1250" spans="1:8" ht="14.75" customHeight="1" x14ac:dyDescent="0.4">
      <c r="A1250" s="96">
        <v>1245</v>
      </c>
      <c r="B1250" s="101"/>
      <c r="C1250" s="102"/>
      <c r="D1250" s="111"/>
      <c r="E1250" s="236"/>
      <c r="F1250" s="110"/>
      <c r="G1250" s="112"/>
      <c r="H1250" s="105">
        <f t="shared" si="19"/>
        <v>0</v>
      </c>
    </row>
    <row r="1251" spans="1:8" ht="14.75" customHeight="1" x14ac:dyDescent="0.4">
      <c r="A1251" s="96">
        <v>1246</v>
      </c>
      <c r="B1251" s="101"/>
      <c r="C1251" s="102"/>
      <c r="D1251" s="111"/>
      <c r="E1251" s="236"/>
      <c r="F1251" s="110"/>
      <c r="G1251" s="112"/>
      <c r="H1251" s="105">
        <f t="shared" si="19"/>
        <v>0</v>
      </c>
    </row>
    <row r="1252" spans="1:8" ht="14.75" customHeight="1" x14ac:dyDescent="0.4">
      <c r="A1252" s="96">
        <v>1247</v>
      </c>
      <c r="B1252" s="101"/>
      <c r="C1252" s="102"/>
      <c r="D1252" s="111"/>
      <c r="E1252" s="236"/>
      <c r="F1252" s="110"/>
      <c r="G1252" s="112"/>
      <c r="H1252" s="105">
        <f t="shared" si="19"/>
        <v>0</v>
      </c>
    </row>
    <row r="1253" spans="1:8" ht="14.75" customHeight="1" x14ac:dyDescent="0.4">
      <c r="A1253" s="96">
        <v>1248</v>
      </c>
      <c r="B1253" s="101"/>
      <c r="C1253" s="102"/>
      <c r="D1253" s="111"/>
      <c r="E1253" s="236"/>
      <c r="F1253" s="110"/>
      <c r="G1253" s="112"/>
      <c r="H1253" s="105">
        <f t="shared" si="19"/>
        <v>0</v>
      </c>
    </row>
    <row r="1254" spans="1:8" ht="14.75" customHeight="1" x14ac:dyDescent="0.4">
      <c r="A1254" s="96">
        <v>1249</v>
      </c>
      <c r="B1254" s="101"/>
      <c r="C1254" s="102"/>
      <c r="D1254" s="111"/>
      <c r="E1254" s="236"/>
      <c r="F1254" s="110"/>
      <c r="G1254" s="112"/>
      <c r="H1254" s="105">
        <f t="shared" si="19"/>
        <v>0</v>
      </c>
    </row>
    <row r="1255" spans="1:8" ht="14.75" customHeight="1" x14ac:dyDescent="0.4">
      <c r="A1255" s="96">
        <v>1250</v>
      </c>
      <c r="B1255" s="101"/>
      <c r="C1255" s="102"/>
      <c r="D1255" s="111"/>
      <c r="E1255" s="236"/>
      <c r="F1255" s="110"/>
      <c r="G1255" s="112"/>
      <c r="H1255" s="105">
        <f t="shared" si="19"/>
        <v>0</v>
      </c>
    </row>
    <row r="1256" spans="1:8" ht="14.75" customHeight="1" x14ac:dyDescent="0.4">
      <c r="A1256" s="96">
        <v>1251</v>
      </c>
      <c r="B1256" s="101"/>
      <c r="C1256" s="102"/>
      <c r="D1256" s="111"/>
      <c r="E1256" s="236"/>
      <c r="F1256" s="110"/>
      <c r="G1256" s="112"/>
      <c r="H1256" s="105">
        <f t="shared" si="19"/>
        <v>0</v>
      </c>
    </row>
    <row r="1257" spans="1:8" ht="14.75" customHeight="1" x14ac:dyDescent="0.4">
      <c r="A1257" s="96">
        <v>1252</v>
      </c>
      <c r="B1257" s="101"/>
      <c r="C1257" s="102"/>
      <c r="D1257" s="111"/>
      <c r="E1257" s="236"/>
      <c r="F1257" s="110"/>
      <c r="G1257" s="112"/>
      <c r="H1257" s="105">
        <f t="shared" si="19"/>
        <v>0</v>
      </c>
    </row>
    <row r="1258" spans="1:8" ht="14.75" customHeight="1" x14ac:dyDescent="0.4">
      <c r="A1258" s="96">
        <v>1253</v>
      </c>
      <c r="B1258" s="101"/>
      <c r="C1258" s="102"/>
      <c r="D1258" s="111"/>
      <c r="E1258" s="236"/>
      <c r="F1258" s="110"/>
      <c r="G1258" s="112"/>
      <c r="H1258" s="105">
        <f t="shared" si="19"/>
        <v>0</v>
      </c>
    </row>
    <row r="1259" spans="1:8" ht="14.75" customHeight="1" x14ac:dyDescent="0.4">
      <c r="A1259" s="96">
        <v>1254</v>
      </c>
      <c r="B1259" s="101"/>
      <c r="C1259" s="102"/>
      <c r="D1259" s="111"/>
      <c r="E1259" s="236"/>
      <c r="F1259" s="110"/>
      <c r="G1259" s="112"/>
      <c r="H1259" s="105">
        <f t="shared" si="19"/>
        <v>0</v>
      </c>
    </row>
    <row r="1260" spans="1:8" ht="14.75" customHeight="1" x14ac:dyDescent="0.4">
      <c r="A1260" s="96">
        <v>1255</v>
      </c>
      <c r="B1260" s="101"/>
      <c r="C1260" s="102"/>
      <c r="D1260" s="111"/>
      <c r="E1260" s="236"/>
      <c r="F1260" s="110"/>
      <c r="G1260" s="112"/>
      <c r="H1260" s="105">
        <f t="shared" si="19"/>
        <v>0</v>
      </c>
    </row>
    <row r="1261" spans="1:8" ht="14.75" customHeight="1" x14ac:dyDescent="0.4">
      <c r="A1261" s="96">
        <v>1256</v>
      </c>
      <c r="B1261" s="101"/>
      <c r="C1261" s="102"/>
      <c r="D1261" s="111"/>
      <c r="E1261" s="236"/>
      <c r="F1261" s="110"/>
      <c r="G1261" s="112"/>
      <c r="H1261" s="105">
        <f t="shared" si="19"/>
        <v>0</v>
      </c>
    </row>
    <row r="1262" spans="1:8" ht="14.75" customHeight="1" x14ac:dyDescent="0.4">
      <c r="A1262" s="96">
        <v>1257</v>
      </c>
      <c r="B1262" s="101"/>
      <c r="C1262" s="102"/>
      <c r="D1262" s="111"/>
      <c r="E1262" s="236"/>
      <c r="F1262" s="110"/>
      <c r="G1262" s="112"/>
      <c r="H1262" s="105">
        <f t="shared" si="19"/>
        <v>0</v>
      </c>
    </row>
    <row r="1263" spans="1:8" ht="14.75" customHeight="1" x14ac:dyDescent="0.4">
      <c r="A1263" s="96">
        <v>1258</v>
      </c>
      <c r="B1263" s="101"/>
      <c r="C1263" s="102"/>
      <c r="D1263" s="111"/>
      <c r="E1263" s="236"/>
      <c r="F1263" s="110"/>
      <c r="G1263" s="112"/>
      <c r="H1263" s="105">
        <f t="shared" si="19"/>
        <v>0</v>
      </c>
    </row>
    <row r="1264" spans="1:8" ht="14.75" customHeight="1" x14ac:dyDescent="0.4">
      <c r="A1264" s="96">
        <v>1259</v>
      </c>
      <c r="B1264" s="101"/>
      <c r="C1264" s="102"/>
      <c r="D1264" s="111"/>
      <c r="E1264" s="236"/>
      <c r="F1264" s="110"/>
      <c r="G1264" s="112"/>
      <c r="H1264" s="105">
        <f t="shared" si="19"/>
        <v>0</v>
      </c>
    </row>
    <row r="1265" spans="1:8" ht="14.75" customHeight="1" x14ac:dyDescent="0.4">
      <c r="A1265" s="96">
        <v>1260</v>
      </c>
      <c r="B1265" s="101"/>
      <c r="C1265" s="102"/>
      <c r="D1265" s="111"/>
      <c r="E1265" s="236"/>
      <c r="F1265" s="110"/>
      <c r="G1265" s="112"/>
      <c r="H1265" s="105">
        <f t="shared" si="19"/>
        <v>0</v>
      </c>
    </row>
    <row r="1266" spans="1:8" ht="14.75" customHeight="1" x14ac:dyDescent="0.4">
      <c r="A1266" s="96">
        <v>1261</v>
      </c>
      <c r="B1266" s="101"/>
      <c r="C1266" s="102"/>
      <c r="D1266" s="111"/>
      <c r="E1266" s="236"/>
      <c r="F1266" s="110"/>
      <c r="G1266" s="112"/>
      <c r="H1266" s="105">
        <f t="shared" si="19"/>
        <v>0</v>
      </c>
    </row>
    <row r="1267" spans="1:8" ht="14.75" customHeight="1" x14ac:dyDescent="0.4">
      <c r="A1267" s="96">
        <v>1262</v>
      </c>
      <c r="B1267" s="101"/>
      <c r="C1267" s="102"/>
      <c r="D1267" s="111"/>
      <c r="E1267" s="236"/>
      <c r="F1267" s="110"/>
      <c r="G1267" s="112"/>
      <c r="H1267" s="105">
        <f t="shared" si="19"/>
        <v>0</v>
      </c>
    </row>
    <row r="1268" spans="1:8" ht="14.75" customHeight="1" x14ac:dyDescent="0.4">
      <c r="A1268" s="96">
        <v>1263</v>
      </c>
      <c r="B1268" s="101"/>
      <c r="C1268" s="102"/>
      <c r="D1268" s="111"/>
      <c r="E1268" s="236"/>
      <c r="F1268" s="110"/>
      <c r="G1268" s="112"/>
      <c r="H1268" s="105">
        <f t="shared" si="19"/>
        <v>0</v>
      </c>
    </row>
    <row r="1269" spans="1:8" ht="14.75" customHeight="1" x14ac:dyDescent="0.4">
      <c r="A1269" s="96">
        <v>1264</v>
      </c>
      <c r="B1269" s="101"/>
      <c r="C1269" s="102"/>
      <c r="D1269" s="111"/>
      <c r="E1269" s="236"/>
      <c r="F1269" s="110"/>
      <c r="G1269" s="112"/>
      <c r="H1269" s="105">
        <f t="shared" si="19"/>
        <v>0</v>
      </c>
    </row>
    <row r="1270" spans="1:8" ht="14.75" customHeight="1" x14ac:dyDescent="0.4">
      <c r="A1270" s="96">
        <v>1265</v>
      </c>
      <c r="B1270" s="101"/>
      <c r="C1270" s="102"/>
      <c r="D1270" s="111"/>
      <c r="E1270" s="236"/>
      <c r="F1270" s="110"/>
      <c r="G1270" s="112"/>
      <c r="H1270" s="105">
        <f t="shared" si="19"/>
        <v>0</v>
      </c>
    </row>
    <row r="1271" spans="1:8" ht="14.75" customHeight="1" x14ac:dyDescent="0.4">
      <c r="A1271" s="96">
        <v>1266</v>
      </c>
      <c r="B1271" s="101"/>
      <c r="C1271" s="102"/>
      <c r="D1271" s="111"/>
      <c r="E1271" s="236"/>
      <c r="F1271" s="110"/>
      <c r="G1271" s="112"/>
      <c r="H1271" s="105">
        <f t="shared" si="19"/>
        <v>0</v>
      </c>
    </row>
    <row r="1272" spans="1:8" ht="14.75" customHeight="1" x14ac:dyDescent="0.4">
      <c r="A1272" s="96">
        <v>1267</v>
      </c>
      <c r="B1272" s="101"/>
      <c r="C1272" s="102"/>
      <c r="D1272" s="111"/>
      <c r="E1272" s="236"/>
      <c r="F1272" s="110"/>
      <c r="G1272" s="112"/>
      <c r="H1272" s="105">
        <f t="shared" si="19"/>
        <v>0</v>
      </c>
    </row>
    <row r="1273" spans="1:8" ht="14.75" customHeight="1" x14ac:dyDescent="0.4">
      <c r="A1273" s="96">
        <v>1268</v>
      </c>
      <c r="B1273" s="101"/>
      <c r="C1273" s="102"/>
      <c r="D1273" s="111"/>
      <c r="E1273" s="236"/>
      <c r="F1273" s="110"/>
      <c r="G1273" s="112"/>
      <c r="H1273" s="105">
        <f t="shared" si="19"/>
        <v>0</v>
      </c>
    </row>
    <row r="1274" spans="1:8" ht="14.75" customHeight="1" x14ac:dyDescent="0.4">
      <c r="A1274" s="96">
        <v>1269</v>
      </c>
      <c r="B1274" s="101"/>
      <c r="C1274" s="102"/>
      <c r="D1274" s="111"/>
      <c r="E1274" s="236"/>
      <c r="F1274" s="110"/>
      <c r="G1274" s="112"/>
      <c r="H1274" s="105">
        <f t="shared" si="19"/>
        <v>0</v>
      </c>
    </row>
    <row r="1275" spans="1:8" ht="14.75" customHeight="1" x14ac:dyDescent="0.4">
      <c r="A1275" s="96">
        <v>1270</v>
      </c>
      <c r="B1275" s="101"/>
      <c r="C1275" s="102"/>
      <c r="D1275" s="111"/>
      <c r="E1275" s="236"/>
      <c r="F1275" s="110"/>
      <c r="G1275" s="112"/>
      <c r="H1275" s="105">
        <f t="shared" si="19"/>
        <v>0</v>
      </c>
    </row>
    <row r="1276" spans="1:8" ht="14.75" customHeight="1" x14ac:dyDescent="0.4">
      <c r="A1276" s="96">
        <v>1271</v>
      </c>
      <c r="B1276" s="101"/>
      <c r="C1276" s="102"/>
      <c r="D1276" s="111"/>
      <c r="E1276" s="236"/>
      <c r="F1276" s="110"/>
      <c r="G1276" s="112"/>
      <c r="H1276" s="105">
        <f t="shared" si="19"/>
        <v>0</v>
      </c>
    </row>
    <row r="1277" spans="1:8" ht="14.75" customHeight="1" x14ac:dyDescent="0.4">
      <c r="A1277" s="96">
        <v>1272</v>
      </c>
      <c r="B1277" s="101"/>
      <c r="C1277" s="102"/>
      <c r="D1277" s="111"/>
      <c r="E1277" s="236"/>
      <c r="F1277" s="110"/>
      <c r="G1277" s="112"/>
      <c r="H1277" s="105">
        <f t="shared" si="19"/>
        <v>0</v>
      </c>
    </row>
    <row r="1278" spans="1:8" ht="14.75" customHeight="1" x14ac:dyDescent="0.4">
      <c r="A1278" s="96">
        <v>1273</v>
      </c>
      <c r="B1278" s="101"/>
      <c r="C1278" s="102"/>
      <c r="D1278" s="111"/>
      <c r="E1278" s="236"/>
      <c r="F1278" s="110"/>
      <c r="G1278" s="112"/>
      <c r="H1278" s="105">
        <f t="shared" si="19"/>
        <v>0</v>
      </c>
    </row>
    <row r="1279" spans="1:8" ht="14.75" customHeight="1" x14ac:dyDescent="0.4">
      <c r="A1279" s="96">
        <v>1274</v>
      </c>
      <c r="B1279" s="101"/>
      <c r="C1279" s="102"/>
      <c r="D1279" s="111"/>
      <c r="E1279" s="236"/>
      <c r="F1279" s="110"/>
      <c r="G1279" s="112"/>
      <c r="H1279" s="105">
        <f t="shared" si="19"/>
        <v>0</v>
      </c>
    </row>
    <row r="1280" spans="1:8" ht="14.75" customHeight="1" x14ac:dyDescent="0.4">
      <c r="A1280" s="96">
        <v>1275</v>
      </c>
      <c r="B1280" s="101"/>
      <c r="C1280" s="102"/>
      <c r="D1280" s="111"/>
      <c r="E1280" s="236"/>
      <c r="F1280" s="110"/>
      <c r="G1280" s="112"/>
      <c r="H1280" s="105">
        <f t="shared" si="19"/>
        <v>0</v>
      </c>
    </row>
    <row r="1281" spans="1:8" ht="14.75" customHeight="1" x14ac:dyDescent="0.4">
      <c r="A1281" s="96">
        <v>1276</v>
      </c>
      <c r="B1281" s="101"/>
      <c r="C1281" s="102"/>
      <c r="D1281" s="111"/>
      <c r="E1281" s="236"/>
      <c r="F1281" s="110"/>
      <c r="G1281" s="112"/>
      <c r="H1281" s="105">
        <f t="shared" si="19"/>
        <v>0</v>
      </c>
    </row>
    <row r="1282" spans="1:8" ht="14.75" customHeight="1" x14ac:dyDescent="0.4">
      <c r="A1282" s="96">
        <v>1277</v>
      </c>
      <c r="B1282" s="101"/>
      <c r="C1282" s="102"/>
      <c r="D1282" s="111"/>
      <c r="E1282" s="236"/>
      <c r="F1282" s="110"/>
      <c r="G1282" s="112"/>
      <c r="H1282" s="105">
        <f t="shared" si="19"/>
        <v>0</v>
      </c>
    </row>
    <row r="1283" spans="1:8" ht="14.75" customHeight="1" x14ac:dyDescent="0.4">
      <c r="A1283" s="96">
        <v>1278</v>
      </c>
      <c r="B1283" s="101"/>
      <c r="C1283" s="102"/>
      <c r="D1283" s="111"/>
      <c r="E1283" s="236"/>
      <c r="F1283" s="110"/>
      <c r="G1283" s="112"/>
      <c r="H1283" s="105">
        <f t="shared" si="19"/>
        <v>0</v>
      </c>
    </row>
    <row r="1284" spans="1:8" ht="14.75" customHeight="1" x14ac:dyDescent="0.4">
      <c r="A1284" s="96">
        <v>1279</v>
      </c>
      <c r="B1284" s="101"/>
      <c r="C1284" s="102"/>
      <c r="D1284" s="111"/>
      <c r="E1284" s="236"/>
      <c r="F1284" s="110"/>
      <c r="G1284" s="112"/>
      <c r="H1284" s="105">
        <f t="shared" si="19"/>
        <v>0</v>
      </c>
    </row>
    <row r="1285" spans="1:8" ht="14.75" customHeight="1" x14ac:dyDescent="0.4">
      <c r="A1285" s="96">
        <v>1280</v>
      </c>
      <c r="B1285" s="101"/>
      <c r="C1285" s="102"/>
      <c r="D1285" s="111"/>
      <c r="E1285" s="236"/>
      <c r="F1285" s="110"/>
      <c r="G1285" s="112"/>
      <c r="H1285" s="105">
        <f t="shared" si="19"/>
        <v>0</v>
      </c>
    </row>
    <row r="1286" spans="1:8" ht="14.75" customHeight="1" x14ac:dyDescent="0.4">
      <c r="A1286" s="96">
        <v>1281</v>
      </c>
      <c r="B1286" s="101"/>
      <c r="C1286" s="102"/>
      <c r="D1286" s="111"/>
      <c r="E1286" s="236"/>
      <c r="F1286" s="110"/>
      <c r="G1286" s="112"/>
      <c r="H1286" s="105">
        <f t="shared" si="19"/>
        <v>0</v>
      </c>
    </row>
    <row r="1287" spans="1:8" ht="14.75" customHeight="1" x14ac:dyDescent="0.4">
      <c r="A1287" s="96">
        <v>1282</v>
      </c>
      <c r="B1287" s="101"/>
      <c r="C1287" s="102"/>
      <c r="D1287" s="111"/>
      <c r="E1287" s="236"/>
      <c r="F1287" s="110"/>
      <c r="G1287" s="112"/>
      <c r="H1287" s="105">
        <f t="shared" si="19"/>
        <v>0</v>
      </c>
    </row>
    <row r="1288" spans="1:8" ht="14.75" customHeight="1" x14ac:dyDescent="0.4">
      <c r="A1288" s="96">
        <v>1283</v>
      </c>
      <c r="B1288" s="101"/>
      <c r="C1288" s="102"/>
      <c r="D1288" s="111"/>
      <c r="E1288" s="236"/>
      <c r="F1288" s="110"/>
      <c r="G1288" s="112"/>
      <c r="H1288" s="105">
        <f t="shared" si="19"/>
        <v>0</v>
      </c>
    </row>
    <row r="1289" spans="1:8" ht="14.75" customHeight="1" x14ac:dyDescent="0.4">
      <c r="A1289" s="96">
        <v>1284</v>
      </c>
      <c r="B1289" s="101"/>
      <c r="C1289" s="102"/>
      <c r="D1289" s="111"/>
      <c r="E1289" s="236"/>
      <c r="F1289" s="110"/>
      <c r="G1289" s="112"/>
      <c r="H1289" s="105">
        <f t="shared" ref="H1289:H1303" si="20">H1288+F1289-G1289</f>
        <v>0</v>
      </c>
    </row>
    <row r="1290" spans="1:8" ht="14.75" customHeight="1" x14ac:dyDescent="0.4">
      <c r="A1290" s="96">
        <v>1285</v>
      </c>
      <c r="B1290" s="101"/>
      <c r="C1290" s="102"/>
      <c r="D1290" s="111"/>
      <c r="E1290" s="236"/>
      <c r="F1290" s="110"/>
      <c r="G1290" s="112"/>
      <c r="H1290" s="105">
        <f t="shared" si="20"/>
        <v>0</v>
      </c>
    </row>
    <row r="1291" spans="1:8" ht="14.75" customHeight="1" x14ac:dyDescent="0.4">
      <c r="A1291" s="96">
        <v>1286</v>
      </c>
      <c r="B1291" s="101"/>
      <c r="C1291" s="102"/>
      <c r="D1291" s="111"/>
      <c r="E1291" s="236"/>
      <c r="F1291" s="110"/>
      <c r="G1291" s="112"/>
      <c r="H1291" s="105">
        <f t="shared" si="20"/>
        <v>0</v>
      </c>
    </row>
    <row r="1292" spans="1:8" ht="14.75" customHeight="1" x14ac:dyDescent="0.4">
      <c r="A1292" s="96">
        <v>1287</v>
      </c>
      <c r="B1292" s="101"/>
      <c r="C1292" s="102"/>
      <c r="D1292" s="111"/>
      <c r="E1292" s="236"/>
      <c r="F1292" s="110"/>
      <c r="G1292" s="112"/>
      <c r="H1292" s="105">
        <f t="shared" si="20"/>
        <v>0</v>
      </c>
    </row>
    <row r="1293" spans="1:8" ht="14.75" customHeight="1" x14ac:dyDescent="0.4">
      <c r="A1293" s="96">
        <v>1288</v>
      </c>
      <c r="B1293" s="101"/>
      <c r="C1293" s="102"/>
      <c r="D1293" s="111"/>
      <c r="E1293" s="236"/>
      <c r="F1293" s="110"/>
      <c r="G1293" s="112"/>
      <c r="H1293" s="105">
        <f t="shared" si="20"/>
        <v>0</v>
      </c>
    </row>
    <row r="1294" spans="1:8" ht="14.75" customHeight="1" x14ac:dyDescent="0.4">
      <c r="A1294" s="96">
        <v>1289</v>
      </c>
      <c r="B1294" s="101"/>
      <c r="C1294" s="102"/>
      <c r="D1294" s="111"/>
      <c r="E1294" s="236"/>
      <c r="F1294" s="110"/>
      <c r="G1294" s="112"/>
      <c r="H1294" s="105">
        <f t="shared" si="20"/>
        <v>0</v>
      </c>
    </row>
    <row r="1295" spans="1:8" ht="14.75" customHeight="1" x14ac:dyDescent="0.4">
      <c r="A1295" s="96">
        <v>1290</v>
      </c>
      <c r="B1295" s="101"/>
      <c r="C1295" s="102"/>
      <c r="D1295" s="111"/>
      <c r="E1295" s="236"/>
      <c r="F1295" s="110"/>
      <c r="G1295" s="112"/>
      <c r="H1295" s="105">
        <f t="shared" si="20"/>
        <v>0</v>
      </c>
    </row>
    <row r="1296" spans="1:8" ht="14.75" customHeight="1" x14ac:dyDescent="0.4">
      <c r="A1296" s="96">
        <v>1291</v>
      </c>
      <c r="B1296" s="101"/>
      <c r="C1296" s="102"/>
      <c r="D1296" s="111"/>
      <c r="E1296" s="236"/>
      <c r="F1296" s="110"/>
      <c r="G1296" s="112"/>
      <c r="H1296" s="105">
        <f t="shared" si="20"/>
        <v>0</v>
      </c>
    </row>
    <row r="1297" spans="1:8" ht="14.75" customHeight="1" x14ac:dyDescent="0.4">
      <c r="A1297" s="96">
        <v>1292</v>
      </c>
      <c r="B1297" s="101"/>
      <c r="C1297" s="102"/>
      <c r="D1297" s="111"/>
      <c r="E1297" s="236"/>
      <c r="F1297" s="110"/>
      <c r="G1297" s="112"/>
      <c r="H1297" s="105">
        <f t="shared" si="20"/>
        <v>0</v>
      </c>
    </row>
    <row r="1298" spans="1:8" ht="14.75" customHeight="1" x14ac:dyDescent="0.4">
      <c r="A1298" s="96">
        <v>1293</v>
      </c>
      <c r="B1298" s="101"/>
      <c r="C1298" s="102"/>
      <c r="D1298" s="111"/>
      <c r="E1298" s="236"/>
      <c r="F1298" s="110"/>
      <c r="G1298" s="112"/>
      <c r="H1298" s="105">
        <f t="shared" si="20"/>
        <v>0</v>
      </c>
    </row>
    <row r="1299" spans="1:8" ht="14.75" customHeight="1" x14ac:dyDescent="0.4">
      <c r="A1299" s="96">
        <v>1294</v>
      </c>
      <c r="B1299" s="101"/>
      <c r="C1299" s="102"/>
      <c r="D1299" s="111"/>
      <c r="E1299" s="236"/>
      <c r="F1299" s="110"/>
      <c r="G1299" s="112"/>
      <c r="H1299" s="105">
        <f t="shared" si="20"/>
        <v>0</v>
      </c>
    </row>
    <row r="1300" spans="1:8" ht="14.75" customHeight="1" x14ac:dyDescent="0.4">
      <c r="A1300" s="96">
        <v>1295</v>
      </c>
      <c r="B1300" s="101"/>
      <c r="C1300" s="102"/>
      <c r="D1300" s="111"/>
      <c r="E1300" s="236"/>
      <c r="F1300" s="110"/>
      <c r="G1300" s="112"/>
      <c r="H1300" s="105">
        <f t="shared" si="20"/>
        <v>0</v>
      </c>
    </row>
    <row r="1301" spans="1:8" ht="14.75" customHeight="1" x14ac:dyDescent="0.4">
      <c r="A1301" s="96">
        <v>1296</v>
      </c>
      <c r="B1301" s="101"/>
      <c r="C1301" s="102"/>
      <c r="D1301" s="111"/>
      <c r="E1301" s="236"/>
      <c r="F1301" s="110"/>
      <c r="G1301" s="112"/>
      <c r="H1301" s="105">
        <f t="shared" si="20"/>
        <v>0</v>
      </c>
    </row>
    <row r="1302" spans="1:8" ht="14.75" customHeight="1" x14ac:dyDescent="0.4">
      <c r="A1302" s="96">
        <v>1297</v>
      </c>
      <c r="B1302" s="101"/>
      <c r="C1302" s="102"/>
      <c r="D1302" s="111"/>
      <c r="E1302" s="236"/>
      <c r="F1302" s="110"/>
      <c r="G1302" s="112"/>
      <c r="H1302" s="105">
        <f t="shared" si="20"/>
        <v>0</v>
      </c>
    </row>
    <row r="1303" spans="1:8" ht="14.75" customHeight="1" x14ac:dyDescent="0.4">
      <c r="A1303" s="96">
        <v>1298</v>
      </c>
      <c r="B1303" s="101"/>
      <c r="C1303" s="102"/>
      <c r="D1303" s="111"/>
      <c r="E1303" s="236"/>
      <c r="F1303" s="110"/>
      <c r="G1303" s="112"/>
      <c r="H1303" s="105">
        <f t="shared" si="20"/>
        <v>0</v>
      </c>
    </row>
    <row r="1304" spans="1:8" ht="14.75" customHeight="1" x14ac:dyDescent="0.4">
      <c r="A1304" s="96">
        <v>1299</v>
      </c>
      <c r="B1304" s="101"/>
      <c r="C1304" s="102"/>
      <c r="D1304" s="111"/>
      <c r="E1304" s="236"/>
      <c r="F1304" s="110"/>
      <c r="G1304" s="112"/>
      <c r="H1304" s="114">
        <f t="shared" ref="H1304:H1577" si="21">H1303+F1304-G1304</f>
        <v>0</v>
      </c>
    </row>
    <row r="1305" spans="1:8" ht="14.75" customHeight="1" x14ac:dyDescent="0.4">
      <c r="A1305" s="96">
        <v>1300</v>
      </c>
      <c r="B1305" s="101"/>
      <c r="C1305" s="102"/>
      <c r="D1305" s="111"/>
      <c r="E1305" s="236"/>
      <c r="F1305" s="110"/>
      <c r="G1305" s="112"/>
      <c r="H1305" s="114">
        <f t="shared" si="21"/>
        <v>0</v>
      </c>
    </row>
    <row r="1306" spans="1:8" ht="14.75" customHeight="1" x14ac:dyDescent="0.4">
      <c r="A1306" s="96">
        <v>1301</v>
      </c>
      <c r="B1306" s="101"/>
      <c r="C1306" s="102"/>
      <c r="D1306" s="111"/>
      <c r="E1306" s="236"/>
      <c r="F1306" s="110"/>
      <c r="G1306" s="112"/>
      <c r="H1306" s="114">
        <f t="shared" si="21"/>
        <v>0</v>
      </c>
    </row>
    <row r="1307" spans="1:8" ht="14.75" customHeight="1" x14ac:dyDescent="0.4">
      <c r="A1307" s="96">
        <v>1302</v>
      </c>
      <c r="B1307" s="101"/>
      <c r="C1307" s="102"/>
      <c r="D1307" s="111"/>
      <c r="E1307" s="236"/>
      <c r="F1307" s="110"/>
      <c r="G1307" s="112"/>
      <c r="H1307" s="114">
        <f t="shared" si="21"/>
        <v>0</v>
      </c>
    </row>
    <row r="1308" spans="1:8" ht="14.75" customHeight="1" x14ac:dyDescent="0.4">
      <c r="A1308" s="96">
        <v>1303</v>
      </c>
      <c r="B1308" s="101"/>
      <c r="C1308" s="102"/>
      <c r="D1308" s="111"/>
      <c r="E1308" s="236"/>
      <c r="F1308" s="110"/>
      <c r="G1308" s="112"/>
      <c r="H1308" s="114">
        <f t="shared" si="21"/>
        <v>0</v>
      </c>
    </row>
    <row r="1309" spans="1:8" ht="14.75" customHeight="1" x14ac:dyDescent="0.4">
      <c r="A1309" s="96">
        <v>1304</v>
      </c>
      <c r="B1309" s="101"/>
      <c r="C1309" s="102"/>
      <c r="D1309" s="111"/>
      <c r="E1309" s="236"/>
      <c r="F1309" s="110"/>
      <c r="G1309" s="112"/>
      <c r="H1309" s="114">
        <f t="shared" si="21"/>
        <v>0</v>
      </c>
    </row>
    <row r="1310" spans="1:8" ht="14.75" customHeight="1" x14ac:dyDescent="0.4">
      <c r="A1310" s="96">
        <v>1305</v>
      </c>
      <c r="B1310" s="101"/>
      <c r="C1310" s="102"/>
      <c r="D1310" s="111"/>
      <c r="E1310" s="236"/>
      <c r="F1310" s="110"/>
      <c r="G1310" s="112"/>
      <c r="H1310" s="114">
        <f t="shared" si="21"/>
        <v>0</v>
      </c>
    </row>
    <row r="1311" spans="1:8" ht="14.75" customHeight="1" x14ac:dyDescent="0.4">
      <c r="A1311" s="96">
        <v>1306</v>
      </c>
      <c r="B1311" s="101"/>
      <c r="C1311" s="102"/>
      <c r="D1311" s="111"/>
      <c r="E1311" s="236"/>
      <c r="F1311" s="110"/>
      <c r="G1311" s="112"/>
      <c r="H1311" s="114">
        <f t="shared" si="21"/>
        <v>0</v>
      </c>
    </row>
    <row r="1312" spans="1:8" ht="14.75" customHeight="1" x14ac:dyDescent="0.4">
      <c r="A1312" s="96">
        <v>1307</v>
      </c>
      <c r="B1312" s="101"/>
      <c r="C1312" s="102"/>
      <c r="D1312" s="111"/>
      <c r="E1312" s="236"/>
      <c r="F1312" s="110"/>
      <c r="G1312" s="112"/>
      <c r="H1312" s="114">
        <f t="shared" si="21"/>
        <v>0</v>
      </c>
    </row>
    <row r="1313" spans="1:8" ht="14.75" customHeight="1" x14ac:dyDescent="0.4">
      <c r="A1313" s="96">
        <v>1308</v>
      </c>
      <c r="B1313" s="101"/>
      <c r="C1313" s="102"/>
      <c r="D1313" s="111"/>
      <c r="E1313" s="236"/>
      <c r="F1313" s="110"/>
      <c r="G1313" s="112"/>
      <c r="H1313" s="114">
        <f t="shared" si="21"/>
        <v>0</v>
      </c>
    </row>
    <row r="1314" spans="1:8" ht="14.75" customHeight="1" x14ac:dyDescent="0.4">
      <c r="A1314" s="96">
        <v>1309</v>
      </c>
      <c r="B1314" s="101"/>
      <c r="C1314" s="102"/>
      <c r="D1314" s="111"/>
      <c r="E1314" s="236"/>
      <c r="F1314" s="110"/>
      <c r="G1314" s="112"/>
      <c r="H1314" s="114">
        <f t="shared" si="21"/>
        <v>0</v>
      </c>
    </row>
    <row r="1315" spans="1:8" ht="14.75" customHeight="1" x14ac:dyDescent="0.4">
      <c r="A1315" s="96">
        <v>1310</v>
      </c>
      <c r="B1315" s="101"/>
      <c r="C1315" s="102"/>
      <c r="D1315" s="111"/>
      <c r="E1315" s="236"/>
      <c r="F1315" s="110"/>
      <c r="G1315" s="112"/>
      <c r="H1315" s="114">
        <f t="shared" si="21"/>
        <v>0</v>
      </c>
    </row>
    <row r="1316" spans="1:8" ht="14.75" customHeight="1" x14ac:dyDescent="0.4">
      <c r="A1316" s="96">
        <v>1311</v>
      </c>
      <c r="B1316" s="101"/>
      <c r="C1316" s="102"/>
      <c r="D1316" s="111"/>
      <c r="E1316" s="236"/>
      <c r="F1316" s="110"/>
      <c r="G1316" s="112"/>
      <c r="H1316" s="114">
        <f t="shared" si="21"/>
        <v>0</v>
      </c>
    </row>
    <row r="1317" spans="1:8" ht="14.75" customHeight="1" x14ac:dyDescent="0.4">
      <c r="A1317" s="96">
        <v>1312</v>
      </c>
      <c r="B1317" s="101"/>
      <c r="C1317" s="102"/>
      <c r="D1317" s="111"/>
      <c r="E1317" s="236"/>
      <c r="F1317" s="110"/>
      <c r="G1317" s="112"/>
      <c r="H1317" s="114">
        <f t="shared" si="21"/>
        <v>0</v>
      </c>
    </row>
    <row r="1318" spans="1:8" ht="14.75" customHeight="1" x14ac:dyDescent="0.4">
      <c r="A1318" s="96">
        <v>1313</v>
      </c>
      <c r="B1318" s="101"/>
      <c r="C1318" s="102"/>
      <c r="D1318" s="111"/>
      <c r="E1318" s="236"/>
      <c r="F1318" s="110"/>
      <c r="G1318" s="112"/>
      <c r="H1318" s="114">
        <f t="shared" si="21"/>
        <v>0</v>
      </c>
    </row>
    <row r="1319" spans="1:8" ht="14.75" customHeight="1" x14ac:dyDescent="0.4">
      <c r="A1319" s="96">
        <v>1314</v>
      </c>
      <c r="B1319" s="101"/>
      <c r="C1319" s="102"/>
      <c r="D1319" s="111"/>
      <c r="E1319" s="236"/>
      <c r="F1319" s="110"/>
      <c r="G1319" s="112"/>
      <c r="H1319" s="114">
        <f t="shared" si="21"/>
        <v>0</v>
      </c>
    </row>
    <row r="1320" spans="1:8" ht="14.75" customHeight="1" x14ac:dyDescent="0.4">
      <c r="A1320" s="96">
        <v>1315</v>
      </c>
      <c r="B1320" s="101"/>
      <c r="C1320" s="102"/>
      <c r="D1320" s="111"/>
      <c r="E1320" s="236"/>
      <c r="F1320" s="110"/>
      <c r="G1320" s="112"/>
      <c r="H1320" s="114">
        <f t="shared" si="21"/>
        <v>0</v>
      </c>
    </row>
    <row r="1321" spans="1:8" ht="14.75" customHeight="1" x14ac:dyDescent="0.4">
      <c r="A1321" s="96">
        <v>1316</v>
      </c>
      <c r="B1321" s="101"/>
      <c r="C1321" s="102"/>
      <c r="D1321" s="111"/>
      <c r="E1321" s="236"/>
      <c r="F1321" s="110"/>
      <c r="G1321" s="112"/>
      <c r="H1321" s="114">
        <f t="shared" si="21"/>
        <v>0</v>
      </c>
    </row>
    <row r="1322" spans="1:8" ht="14.75" customHeight="1" x14ac:dyDescent="0.4">
      <c r="A1322" s="96">
        <v>1317</v>
      </c>
      <c r="B1322" s="101"/>
      <c r="C1322" s="102"/>
      <c r="D1322" s="111"/>
      <c r="E1322" s="236"/>
      <c r="F1322" s="110"/>
      <c r="G1322" s="112"/>
      <c r="H1322" s="114">
        <f t="shared" si="21"/>
        <v>0</v>
      </c>
    </row>
    <row r="1323" spans="1:8" ht="14.75" customHeight="1" x14ac:dyDescent="0.4">
      <c r="A1323" s="96">
        <v>1318</v>
      </c>
      <c r="B1323" s="101"/>
      <c r="C1323" s="102"/>
      <c r="D1323" s="111"/>
      <c r="E1323" s="236"/>
      <c r="F1323" s="110"/>
      <c r="G1323" s="112"/>
      <c r="H1323" s="114">
        <f t="shared" si="21"/>
        <v>0</v>
      </c>
    </row>
    <row r="1324" spans="1:8" ht="14.75" customHeight="1" x14ac:dyDescent="0.4">
      <c r="A1324" s="96">
        <v>1319</v>
      </c>
      <c r="B1324" s="101"/>
      <c r="C1324" s="102"/>
      <c r="D1324" s="111"/>
      <c r="E1324" s="236"/>
      <c r="F1324" s="110"/>
      <c r="G1324" s="112"/>
      <c r="H1324" s="114">
        <f t="shared" si="21"/>
        <v>0</v>
      </c>
    </row>
    <row r="1325" spans="1:8" ht="14.75" customHeight="1" x14ac:dyDescent="0.4">
      <c r="A1325" s="96">
        <v>1320</v>
      </c>
      <c r="B1325" s="101"/>
      <c r="C1325" s="102"/>
      <c r="D1325" s="111"/>
      <c r="E1325" s="236"/>
      <c r="F1325" s="110"/>
      <c r="G1325" s="112"/>
      <c r="H1325" s="114">
        <f t="shared" si="21"/>
        <v>0</v>
      </c>
    </row>
    <row r="1326" spans="1:8" ht="14.75" customHeight="1" x14ac:dyDescent="0.4">
      <c r="A1326" s="96">
        <v>1321</v>
      </c>
      <c r="B1326" s="101"/>
      <c r="C1326" s="102"/>
      <c r="D1326" s="111"/>
      <c r="E1326" s="236"/>
      <c r="F1326" s="110"/>
      <c r="G1326" s="112"/>
      <c r="H1326" s="114">
        <f t="shared" si="21"/>
        <v>0</v>
      </c>
    </row>
    <row r="1327" spans="1:8" ht="14.75" customHeight="1" x14ac:dyDescent="0.4">
      <c r="A1327" s="96">
        <v>1322</v>
      </c>
      <c r="B1327" s="101"/>
      <c r="C1327" s="102"/>
      <c r="D1327" s="111"/>
      <c r="E1327" s="236"/>
      <c r="F1327" s="110"/>
      <c r="G1327" s="112"/>
      <c r="H1327" s="114">
        <f t="shared" si="21"/>
        <v>0</v>
      </c>
    </row>
    <row r="1328" spans="1:8" ht="14.75" customHeight="1" x14ac:dyDescent="0.4">
      <c r="A1328" s="96">
        <v>1323</v>
      </c>
      <c r="B1328" s="101"/>
      <c r="C1328" s="102"/>
      <c r="D1328" s="111"/>
      <c r="E1328" s="236"/>
      <c r="F1328" s="110"/>
      <c r="G1328" s="112"/>
      <c r="H1328" s="114">
        <f t="shared" si="21"/>
        <v>0</v>
      </c>
    </row>
    <row r="1329" spans="1:8" ht="14.75" customHeight="1" x14ac:dyDescent="0.4">
      <c r="A1329" s="96">
        <v>1324</v>
      </c>
      <c r="B1329" s="101"/>
      <c r="C1329" s="102"/>
      <c r="D1329" s="111"/>
      <c r="E1329" s="236"/>
      <c r="F1329" s="110"/>
      <c r="G1329" s="112"/>
      <c r="H1329" s="114">
        <f t="shared" si="21"/>
        <v>0</v>
      </c>
    </row>
    <row r="1330" spans="1:8" ht="14.75" customHeight="1" x14ac:dyDescent="0.4">
      <c r="A1330" s="96">
        <v>1325</v>
      </c>
      <c r="B1330" s="101"/>
      <c r="C1330" s="102"/>
      <c r="D1330" s="111"/>
      <c r="E1330" s="236"/>
      <c r="F1330" s="110"/>
      <c r="G1330" s="112"/>
      <c r="H1330" s="114">
        <f t="shared" si="21"/>
        <v>0</v>
      </c>
    </row>
    <row r="1331" spans="1:8" ht="14.75" customHeight="1" x14ac:dyDescent="0.4">
      <c r="A1331" s="96">
        <v>1326</v>
      </c>
      <c r="B1331" s="101"/>
      <c r="C1331" s="102"/>
      <c r="D1331" s="111"/>
      <c r="E1331" s="236"/>
      <c r="F1331" s="110"/>
      <c r="G1331" s="112"/>
      <c r="H1331" s="114">
        <f t="shared" si="21"/>
        <v>0</v>
      </c>
    </row>
    <row r="1332" spans="1:8" ht="14.75" customHeight="1" x14ac:dyDescent="0.4">
      <c r="A1332" s="96">
        <v>1327</v>
      </c>
      <c r="B1332" s="101"/>
      <c r="C1332" s="102"/>
      <c r="D1332" s="111"/>
      <c r="E1332" s="236"/>
      <c r="F1332" s="110"/>
      <c r="G1332" s="112"/>
      <c r="H1332" s="114">
        <f t="shared" si="21"/>
        <v>0</v>
      </c>
    </row>
    <row r="1333" spans="1:8" ht="14.75" customHeight="1" x14ac:dyDescent="0.4">
      <c r="A1333" s="96">
        <v>1328</v>
      </c>
      <c r="B1333" s="101"/>
      <c r="C1333" s="102"/>
      <c r="D1333" s="111"/>
      <c r="E1333" s="236"/>
      <c r="F1333" s="110"/>
      <c r="G1333" s="112"/>
      <c r="H1333" s="114">
        <f t="shared" si="21"/>
        <v>0</v>
      </c>
    </row>
    <row r="1334" spans="1:8" ht="14.75" customHeight="1" x14ac:dyDescent="0.4">
      <c r="A1334" s="96">
        <v>1329</v>
      </c>
      <c r="B1334" s="101"/>
      <c r="C1334" s="102"/>
      <c r="D1334" s="111"/>
      <c r="E1334" s="236"/>
      <c r="F1334" s="110"/>
      <c r="G1334" s="112"/>
      <c r="H1334" s="114">
        <f t="shared" si="21"/>
        <v>0</v>
      </c>
    </row>
    <row r="1335" spans="1:8" ht="14.75" customHeight="1" x14ac:dyDescent="0.4">
      <c r="A1335" s="96">
        <v>1330</v>
      </c>
      <c r="B1335" s="101"/>
      <c r="C1335" s="102"/>
      <c r="D1335" s="111"/>
      <c r="E1335" s="236"/>
      <c r="F1335" s="110"/>
      <c r="G1335" s="112"/>
      <c r="H1335" s="114">
        <f t="shared" si="21"/>
        <v>0</v>
      </c>
    </row>
    <row r="1336" spans="1:8" ht="14.75" customHeight="1" x14ac:dyDescent="0.4">
      <c r="A1336" s="96">
        <v>1331</v>
      </c>
      <c r="B1336" s="101"/>
      <c r="C1336" s="102"/>
      <c r="D1336" s="111"/>
      <c r="E1336" s="236"/>
      <c r="F1336" s="110"/>
      <c r="G1336" s="112"/>
      <c r="H1336" s="114">
        <f t="shared" si="21"/>
        <v>0</v>
      </c>
    </row>
    <row r="1337" spans="1:8" ht="14.75" customHeight="1" x14ac:dyDescent="0.4">
      <c r="A1337" s="96">
        <v>1332</v>
      </c>
      <c r="B1337" s="101"/>
      <c r="C1337" s="102"/>
      <c r="D1337" s="111"/>
      <c r="E1337" s="236"/>
      <c r="F1337" s="110"/>
      <c r="G1337" s="112"/>
      <c r="H1337" s="114">
        <f t="shared" si="21"/>
        <v>0</v>
      </c>
    </row>
    <row r="1338" spans="1:8" ht="14.75" customHeight="1" x14ac:dyDescent="0.4">
      <c r="A1338" s="96">
        <v>1333</v>
      </c>
      <c r="B1338" s="101"/>
      <c r="C1338" s="102"/>
      <c r="D1338" s="111"/>
      <c r="E1338" s="236"/>
      <c r="F1338" s="110"/>
      <c r="G1338" s="112"/>
      <c r="H1338" s="114">
        <f t="shared" si="21"/>
        <v>0</v>
      </c>
    </row>
    <row r="1339" spans="1:8" ht="14.75" customHeight="1" x14ac:dyDescent="0.4">
      <c r="A1339" s="96">
        <v>1334</v>
      </c>
      <c r="B1339" s="101"/>
      <c r="C1339" s="102"/>
      <c r="D1339" s="111"/>
      <c r="E1339" s="236"/>
      <c r="F1339" s="110"/>
      <c r="G1339" s="112"/>
      <c r="H1339" s="114">
        <f t="shared" si="21"/>
        <v>0</v>
      </c>
    </row>
    <row r="1340" spans="1:8" ht="14.75" customHeight="1" x14ac:dyDescent="0.4">
      <c r="A1340" s="96">
        <v>1335</v>
      </c>
      <c r="B1340" s="101"/>
      <c r="C1340" s="102"/>
      <c r="D1340" s="111"/>
      <c r="E1340" s="236"/>
      <c r="F1340" s="110"/>
      <c r="G1340" s="112"/>
      <c r="H1340" s="114">
        <f t="shared" si="21"/>
        <v>0</v>
      </c>
    </row>
    <row r="1341" spans="1:8" ht="14.75" customHeight="1" x14ac:dyDescent="0.4">
      <c r="A1341" s="96">
        <v>1336</v>
      </c>
      <c r="B1341" s="101"/>
      <c r="C1341" s="102"/>
      <c r="D1341" s="111"/>
      <c r="E1341" s="236"/>
      <c r="F1341" s="110"/>
      <c r="G1341" s="112"/>
      <c r="H1341" s="114">
        <f t="shared" si="21"/>
        <v>0</v>
      </c>
    </row>
    <row r="1342" spans="1:8" ht="14.75" customHeight="1" x14ac:dyDescent="0.4">
      <c r="A1342" s="96">
        <v>1337</v>
      </c>
      <c r="B1342" s="101"/>
      <c r="C1342" s="102"/>
      <c r="D1342" s="111"/>
      <c r="E1342" s="236"/>
      <c r="F1342" s="110"/>
      <c r="G1342" s="112"/>
      <c r="H1342" s="114">
        <f t="shared" si="21"/>
        <v>0</v>
      </c>
    </row>
    <row r="1343" spans="1:8" ht="14.75" customHeight="1" x14ac:dyDescent="0.4">
      <c r="A1343" s="96">
        <v>1338</v>
      </c>
      <c r="B1343" s="101"/>
      <c r="C1343" s="102"/>
      <c r="D1343" s="111"/>
      <c r="E1343" s="236"/>
      <c r="F1343" s="110"/>
      <c r="G1343" s="112"/>
      <c r="H1343" s="114">
        <f t="shared" si="21"/>
        <v>0</v>
      </c>
    </row>
    <row r="1344" spans="1:8" ht="14.75" customHeight="1" x14ac:dyDescent="0.4">
      <c r="A1344" s="96">
        <v>1339</v>
      </c>
      <c r="B1344" s="101"/>
      <c r="C1344" s="102"/>
      <c r="D1344" s="111"/>
      <c r="E1344" s="236"/>
      <c r="F1344" s="110"/>
      <c r="G1344" s="112"/>
      <c r="H1344" s="114">
        <f t="shared" si="21"/>
        <v>0</v>
      </c>
    </row>
    <row r="1345" spans="1:8" ht="14.75" customHeight="1" x14ac:dyDescent="0.4">
      <c r="A1345" s="96">
        <v>1340</v>
      </c>
      <c r="B1345" s="101"/>
      <c r="C1345" s="102"/>
      <c r="D1345" s="111"/>
      <c r="E1345" s="236"/>
      <c r="F1345" s="110"/>
      <c r="G1345" s="112"/>
      <c r="H1345" s="114">
        <f t="shared" si="21"/>
        <v>0</v>
      </c>
    </row>
    <row r="1346" spans="1:8" ht="14.75" customHeight="1" x14ac:dyDescent="0.4">
      <c r="A1346" s="96">
        <v>1341</v>
      </c>
      <c r="B1346" s="101"/>
      <c r="C1346" s="102"/>
      <c r="D1346" s="111"/>
      <c r="E1346" s="236"/>
      <c r="F1346" s="110"/>
      <c r="G1346" s="112"/>
      <c r="H1346" s="114">
        <f t="shared" si="21"/>
        <v>0</v>
      </c>
    </row>
    <row r="1347" spans="1:8" ht="14.75" customHeight="1" x14ac:dyDescent="0.4">
      <c r="A1347" s="96">
        <v>1342</v>
      </c>
      <c r="B1347" s="101"/>
      <c r="C1347" s="102"/>
      <c r="D1347" s="111"/>
      <c r="E1347" s="236"/>
      <c r="F1347" s="110"/>
      <c r="G1347" s="112"/>
      <c r="H1347" s="114">
        <f t="shared" si="21"/>
        <v>0</v>
      </c>
    </row>
    <row r="1348" spans="1:8" ht="14.75" customHeight="1" x14ac:dyDescent="0.4">
      <c r="A1348" s="96">
        <v>1343</v>
      </c>
      <c r="B1348" s="101"/>
      <c r="C1348" s="102"/>
      <c r="D1348" s="111"/>
      <c r="E1348" s="236"/>
      <c r="F1348" s="110"/>
      <c r="G1348" s="112"/>
      <c r="H1348" s="114">
        <f t="shared" si="21"/>
        <v>0</v>
      </c>
    </row>
    <row r="1349" spans="1:8" ht="14.75" customHeight="1" x14ac:dyDescent="0.4">
      <c r="A1349" s="96">
        <v>1344</v>
      </c>
      <c r="B1349" s="101"/>
      <c r="C1349" s="102"/>
      <c r="D1349" s="111"/>
      <c r="E1349" s="236"/>
      <c r="F1349" s="110"/>
      <c r="G1349" s="112"/>
      <c r="H1349" s="114">
        <f t="shared" si="21"/>
        <v>0</v>
      </c>
    </row>
    <row r="1350" spans="1:8" ht="14.75" customHeight="1" x14ac:dyDescent="0.4">
      <c r="A1350" s="96">
        <v>1345</v>
      </c>
      <c r="B1350" s="101"/>
      <c r="C1350" s="102"/>
      <c r="D1350" s="111"/>
      <c r="E1350" s="236"/>
      <c r="F1350" s="110"/>
      <c r="G1350" s="112"/>
      <c r="H1350" s="114">
        <f t="shared" si="21"/>
        <v>0</v>
      </c>
    </row>
    <row r="1351" spans="1:8" ht="14.75" customHeight="1" x14ac:dyDescent="0.4">
      <c r="A1351" s="96">
        <v>1346</v>
      </c>
      <c r="B1351" s="101"/>
      <c r="C1351" s="102"/>
      <c r="D1351" s="111"/>
      <c r="E1351" s="236"/>
      <c r="F1351" s="110"/>
      <c r="G1351" s="112"/>
      <c r="H1351" s="114">
        <f t="shared" si="21"/>
        <v>0</v>
      </c>
    </row>
    <row r="1352" spans="1:8" ht="14.75" customHeight="1" x14ac:dyDescent="0.4">
      <c r="A1352" s="96">
        <v>1347</v>
      </c>
      <c r="B1352" s="101"/>
      <c r="C1352" s="102"/>
      <c r="D1352" s="111"/>
      <c r="E1352" s="236"/>
      <c r="F1352" s="110"/>
      <c r="G1352" s="112"/>
      <c r="H1352" s="114">
        <f t="shared" si="21"/>
        <v>0</v>
      </c>
    </row>
    <row r="1353" spans="1:8" ht="14.75" customHeight="1" x14ac:dyDescent="0.4">
      <c r="A1353" s="96">
        <v>1348</v>
      </c>
      <c r="B1353" s="101"/>
      <c r="C1353" s="102"/>
      <c r="D1353" s="111"/>
      <c r="E1353" s="236"/>
      <c r="F1353" s="110"/>
      <c r="G1353" s="112"/>
      <c r="H1353" s="114">
        <f t="shared" si="21"/>
        <v>0</v>
      </c>
    </row>
    <row r="1354" spans="1:8" ht="14.75" customHeight="1" x14ac:dyDescent="0.4">
      <c r="A1354" s="96">
        <v>1349</v>
      </c>
      <c r="B1354" s="101"/>
      <c r="C1354" s="102"/>
      <c r="D1354" s="111"/>
      <c r="E1354" s="236"/>
      <c r="F1354" s="110"/>
      <c r="G1354" s="112"/>
      <c r="H1354" s="114">
        <f t="shared" si="21"/>
        <v>0</v>
      </c>
    </row>
    <row r="1355" spans="1:8" ht="14.75" customHeight="1" x14ac:dyDescent="0.4">
      <c r="A1355" s="96">
        <v>1350</v>
      </c>
      <c r="B1355" s="101"/>
      <c r="C1355" s="102"/>
      <c r="D1355" s="111"/>
      <c r="E1355" s="236"/>
      <c r="F1355" s="110"/>
      <c r="G1355" s="112"/>
      <c r="H1355" s="114">
        <f t="shared" si="21"/>
        <v>0</v>
      </c>
    </row>
    <row r="1356" spans="1:8" ht="14.75" customHeight="1" x14ac:dyDescent="0.4">
      <c r="A1356" s="96">
        <v>1351</v>
      </c>
      <c r="B1356" s="101"/>
      <c r="C1356" s="102"/>
      <c r="D1356" s="111"/>
      <c r="E1356" s="236"/>
      <c r="F1356" s="110"/>
      <c r="G1356" s="112"/>
      <c r="H1356" s="114">
        <f t="shared" si="21"/>
        <v>0</v>
      </c>
    </row>
    <row r="1357" spans="1:8" ht="14.75" customHeight="1" x14ac:dyDescent="0.4">
      <c r="A1357" s="96">
        <v>1352</v>
      </c>
      <c r="B1357" s="101"/>
      <c r="C1357" s="102"/>
      <c r="D1357" s="111"/>
      <c r="E1357" s="236"/>
      <c r="F1357" s="110"/>
      <c r="G1357" s="112"/>
      <c r="H1357" s="114">
        <f t="shared" si="21"/>
        <v>0</v>
      </c>
    </row>
    <row r="1358" spans="1:8" ht="14.75" customHeight="1" x14ac:dyDescent="0.4">
      <c r="A1358" s="96">
        <v>1353</v>
      </c>
      <c r="B1358" s="101"/>
      <c r="C1358" s="102"/>
      <c r="D1358" s="111"/>
      <c r="E1358" s="236"/>
      <c r="F1358" s="110"/>
      <c r="G1358" s="112"/>
      <c r="H1358" s="114">
        <f t="shared" si="21"/>
        <v>0</v>
      </c>
    </row>
    <row r="1359" spans="1:8" ht="14.75" customHeight="1" x14ac:dyDescent="0.4">
      <c r="A1359" s="96">
        <v>1354</v>
      </c>
      <c r="B1359" s="101"/>
      <c r="C1359" s="102"/>
      <c r="D1359" s="111"/>
      <c r="E1359" s="236"/>
      <c r="F1359" s="110"/>
      <c r="G1359" s="112"/>
      <c r="H1359" s="114">
        <f t="shared" si="21"/>
        <v>0</v>
      </c>
    </row>
    <row r="1360" spans="1:8" ht="14.75" customHeight="1" x14ac:dyDescent="0.4">
      <c r="A1360" s="96">
        <v>1355</v>
      </c>
      <c r="B1360" s="101"/>
      <c r="C1360" s="102"/>
      <c r="D1360" s="111"/>
      <c r="E1360" s="236"/>
      <c r="F1360" s="110"/>
      <c r="G1360" s="112"/>
      <c r="H1360" s="114">
        <f t="shared" si="21"/>
        <v>0</v>
      </c>
    </row>
    <row r="1361" spans="1:8" ht="14.75" customHeight="1" x14ac:dyDescent="0.4">
      <c r="A1361" s="96">
        <v>1356</v>
      </c>
      <c r="B1361" s="101"/>
      <c r="C1361" s="102"/>
      <c r="D1361" s="111"/>
      <c r="E1361" s="236"/>
      <c r="F1361" s="110"/>
      <c r="G1361" s="112"/>
      <c r="H1361" s="114">
        <f t="shared" si="21"/>
        <v>0</v>
      </c>
    </row>
    <row r="1362" spans="1:8" ht="14.75" customHeight="1" x14ac:dyDescent="0.4">
      <c r="A1362" s="96">
        <v>1357</v>
      </c>
      <c r="B1362" s="101"/>
      <c r="C1362" s="102"/>
      <c r="D1362" s="111"/>
      <c r="E1362" s="236"/>
      <c r="F1362" s="110"/>
      <c r="G1362" s="112"/>
      <c r="H1362" s="114">
        <f t="shared" si="21"/>
        <v>0</v>
      </c>
    </row>
    <row r="1363" spans="1:8" ht="14.75" customHeight="1" x14ac:dyDescent="0.4">
      <c r="A1363" s="96">
        <v>1358</v>
      </c>
      <c r="B1363" s="101"/>
      <c r="C1363" s="102"/>
      <c r="D1363" s="111"/>
      <c r="E1363" s="236"/>
      <c r="F1363" s="110"/>
      <c r="G1363" s="112"/>
      <c r="H1363" s="114">
        <f t="shared" si="21"/>
        <v>0</v>
      </c>
    </row>
    <row r="1364" spans="1:8" ht="14.75" customHeight="1" x14ac:dyDescent="0.4">
      <c r="A1364" s="96">
        <v>1359</v>
      </c>
      <c r="B1364" s="101"/>
      <c r="C1364" s="102"/>
      <c r="D1364" s="111"/>
      <c r="E1364" s="236"/>
      <c r="F1364" s="110"/>
      <c r="G1364" s="112"/>
      <c r="H1364" s="114">
        <f t="shared" si="21"/>
        <v>0</v>
      </c>
    </row>
    <row r="1365" spans="1:8" ht="14.75" customHeight="1" x14ac:dyDescent="0.4">
      <c r="A1365" s="96">
        <v>1360</v>
      </c>
      <c r="B1365" s="101"/>
      <c r="C1365" s="102"/>
      <c r="D1365" s="111"/>
      <c r="E1365" s="236"/>
      <c r="F1365" s="110"/>
      <c r="G1365" s="112"/>
      <c r="H1365" s="114">
        <f t="shared" si="21"/>
        <v>0</v>
      </c>
    </row>
    <row r="1366" spans="1:8" ht="14.75" customHeight="1" x14ac:dyDescent="0.4">
      <c r="A1366" s="96">
        <v>1361</v>
      </c>
      <c r="B1366" s="101"/>
      <c r="C1366" s="102"/>
      <c r="D1366" s="111"/>
      <c r="E1366" s="236"/>
      <c r="F1366" s="110"/>
      <c r="G1366" s="112"/>
      <c r="H1366" s="114">
        <f t="shared" si="21"/>
        <v>0</v>
      </c>
    </row>
    <row r="1367" spans="1:8" ht="14.75" customHeight="1" x14ac:dyDescent="0.4">
      <c r="A1367" s="96">
        <v>1362</v>
      </c>
      <c r="B1367" s="101"/>
      <c r="C1367" s="102"/>
      <c r="D1367" s="111"/>
      <c r="E1367" s="236"/>
      <c r="F1367" s="110"/>
      <c r="G1367" s="112"/>
      <c r="H1367" s="114">
        <f t="shared" si="21"/>
        <v>0</v>
      </c>
    </row>
    <row r="1368" spans="1:8" ht="14.75" customHeight="1" x14ac:dyDescent="0.4">
      <c r="A1368" s="96">
        <v>1363</v>
      </c>
      <c r="B1368" s="101"/>
      <c r="C1368" s="102"/>
      <c r="D1368" s="111"/>
      <c r="E1368" s="236"/>
      <c r="F1368" s="110"/>
      <c r="G1368" s="112"/>
      <c r="H1368" s="114">
        <f t="shared" si="21"/>
        <v>0</v>
      </c>
    </row>
    <row r="1369" spans="1:8" ht="14.75" customHeight="1" x14ac:dyDescent="0.4">
      <c r="A1369" s="96">
        <v>1364</v>
      </c>
      <c r="B1369" s="101"/>
      <c r="C1369" s="102"/>
      <c r="D1369" s="111"/>
      <c r="E1369" s="236"/>
      <c r="F1369" s="110"/>
      <c r="G1369" s="112"/>
      <c r="H1369" s="114">
        <f t="shared" si="21"/>
        <v>0</v>
      </c>
    </row>
    <row r="1370" spans="1:8" ht="14.75" customHeight="1" x14ac:dyDescent="0.4">
      <c r="A1370" s="96">
        <v>1365</v>
      </c>
      <c r="B1370" s="101"/>
      <c r="C1370" s="102"/>
      <c r="D1370" s="111"/>
      <c r="E1370" s="236"/>
      <c r="F1370" s="110"/>
      <c r="G1370" s="112"/>
      <c r="H1370" s="114">
        <f t="shared" si="21"/>
        <v>0</v>
      </c>
    </row>
    <row r="1371" spans="1:8" ht="14.75" customHeight="1" x14ac:dyDescent="0.4">
      <c r="A1371" s="96">
        <v>1366</v>
      </c>
      <c r="B1371" s="101"/>
      <c r="C1371" s="102"/>
      <c r="D1371" s="111"/>
      <c r="E1371" s="236"/>
      <c r="F1371" s="110"/>
      <c r="G1371" s="112"/>
      <c r="H1371" s="114">
        <f t="shared" si="21"/>
        <v>0</v>
      </c>
    </row>
    <row r="1372" spans="1:8" ht="14.75" customHeight="1" x14ac:dyDescent="0.4">
      <c r="A1372" s="96">
        <v>1367</v>
      </c>
      <c r="B1372" s="101"/>
      <c r="C1372" s="102"/>
      <c r="D1372" s="111"/>
      <c r="E1372" s="236"/>
      <c r="F1372" s="110"/>
      <c r="G1372" s="112"/>
      <c r="H1372" s="114">
        <f t="shared" si="21"/>
        <v>0</v>
      </c>
    </row>
    <row r="1373" spans="1:8" ht="14.75" customHeight="1" x14ac:dyDescent="0.4">
      <c r="A1373" s="96">
        <v>1368</v>
      </c>
      <c r="B1373" s="101"/>
      <c r="C1373" s="102"/>
      <c r="D1373" s="111"/>
      <c r="E1373" s="236"/>
      <c r="F1373" s="110"/>
      <c r="G1373" s="112"/>
      <c r="H1373" s="114">
        <f t="shared" si="21"/>
        <v>0</v>
      </c>
    </row>
    <row r="1374" spans="1:8" ht="14.75" customHeight="1" x14ac:dyDescent="0.4">
      <c r="A1374" s="96">
        <v>1369</v>
      </c>
      <c r="B1374" s="101"/>
      <c r="C1374" s="102"/>
      <c r="D1374" s="111"/>
      <c r="E1374" s="236"/>
      <c r="F1374" s="110"/>
      <c r="G1374" s="112"/>
      <c r="H1374" s="114">
        <f t="shared" si="21"/>
        <v>0</v>
      </c>
    </row>
    <row r="1375" spans="1:8" ht="14.75" customHeight="1" x14ac:dyDescent="0.4">
      <c r="A1375" s="96">
        <v>1370</v>
      </c>
      <c r="B1375" s="101"/>
      <c r="C1375" s="102"/>
      <c r="D1375" s="111"/>
      <c r="E1375" s="236"/>
      <c r="F1375" s="110"/>
      <c r="G1375" s="112"/>
      <c r="H1375" s="114">
        <f t="shared" si="21"/>
        <v>0</v>
      </c>
    </row>
    <row r="1376" spans="1:8" ht="14.75" customHeight="1" x14ac:dyDescent="0.4">
      <c r="A1376" s="96">
        <v>1371</v>
      </c>
      <c r="B1376" s="101"/>
      <c r="C1376" s="102"/>
      <c r="D1376" s="111"/>
      <c r="E1376" s="236"/>
      <c r="F1376" s="110"/>
      <c r="G1376" s="112"/>
      <c r="H1376" s="114">
        <f t="shared" si="21"/>
        <v>0</v>
      </c>
    </row>
    <row r="1377" spans="1:8" ht="14.75" customHeight="1" x14ac:dyDescent="0.4">
      <c r="A1377" s="96">
        <v>1372</v>
      </c>
      <c r="B1377" s="101"/>
      <c r="C1377" s="102"/>
      <c r="D1377" s="111"/>
      <c r="E1377" s="236"/>
      <c r="F1377" s="110"/>
      <c r="G1377" s="112"/>
      <c r="H1377" s="114">
        <f t="shared" si="21"/>
        <v>0</v>
      </c>
    </row>
    <row r="1378" spans="1:8" ht="14.75" customHeight="1" x14ac:dyDescent="0.4">
      <c r="A1378" s="96">
        <v>1373</v>
      </c>
      <c r="B1378" s="101"/>
      <c r="C1378" s="102"/>
      <c r="D1378" s="111"/>
      <c r="E1378" s="236"/>
      <c r="F1378" s="110"/>
      <c r="G1378" s="112"/>
      <c r="H1378" s="114">
        <f t="shared" si="21"/>
        <v>0</v>
      </c>
    </row>
    <row r="1379" spans="1:8" ht="14.75" customHeight="1" x14ac:dyDescent="0.4">
      <c r="A1379" s="96">
        <v>1374</v>
      </c>
      <c r="B1379" s="101"/>
      <c r="C1379" s="102"/>
      <c r="D1379" s="111"/>
      <c r="E1379" s="236"/>
      <c r="F1379" s="110"/>
      <c r="G1379" s="112"/>
      <c r="H1379" s="114">
        <f t="shared" si="21"/>
        <v>0</v>
      </c>
    </row>
    <row r="1380" spans="1:8" ht="14.75" customHeight="1" x14ac:dyDescent="0.4">
      <c r="A1380" s="96">
        <v>1375</v>
      </c>
      <c r="B1380" s="101"/>
      <c r="C1380" s="102"/>
      <c r="D1380" s="111"/>
      <c r="E1380" s="236"/>
      <c r="F1380" s="110"/>
      <c r="G1380" s="112"/>
      <c r="H1380" s="114">
        <f t="shared" si="21"/>
        <v>0</v>
      </c>
    </row>
    <row r="1381" spans="1:8" ht="14.75" customHeight="1" x14ac:dyDescent="0.4">
      <c r="A1381" s="96">
        <v>1376</v>
      </c>
      <c r="B1381" s="101"/>
      <c r="C1381" s="102"/>
      <c r="D1381" s="111"/>
      <c r="E1381" s="236"/>
      <c r="F1381" s="110"/>
      <c r="G1381" s="112"/>
      <c r="H1381" s="114">
        <f t="shared" si="21"/>
        <v>0</v>
      </c>
    </row>
    <row r="1382" spans="1:8" ht="14.75" customHeight="1" x14ac:dyDescent="0.4">
      <c r="A1382" s="96">
        <v>1377</v>
      </c>
      <c r="B1382" s="101"/>
      <c r="C1382" s="102"/>
      <c r="D1382" s="111"/>
      <c r="E1382" s="236"/>
      <c r="F1382" s="110"/>
      <c r="G1382" s="112"/>
      <c r="H1382" s="114">
        <f t="shared" si="21"/>
        <v>0</v>
      </c>
    </row>
    <row r="1383" spans="1:8" ht="14.75" customHeight="1" x14ac:dyDescent="0.4">
      <c r="A1383" s="96">
        <v>1378</v>
      </c>
      <c r="B1383" s="101"/>
      <c r="C1383" s="102"/>
      <c r="D1383" s="111"/>
      <c r="E1383" s="236"/>
      <c r="F1383" s="110"/>
      <c r="G1383" s="112"/>
      <c r="H1383" s="114">
        <f t="shared" si="21"/>
        <v>0</v>
      </c>
    </row>
    <row r="1384" spans="1:8" ht="14.75" customHeight="1" x14ac:dyDescent="0.4">
      <c r="A1384" s="96">
        <v>1379</v>
      </c>
      <c r="B1384" s="101"/>
      <c r="C1384" s="102"/>
      <c r="D1384" s="111"/>
      <c r="E1384" s="236"/>
      <c r="F1384" s="110"/>
      <c r="G1384" s="112"/>
      <c r="H1384" s="114">
        <f t="shared" si="21"/>
        <v>0</v>
      </c>
    </row>
    <row r="1385" spans="1:8" ht="14.75" customHeight="1" x14ac:dyDescent="0.4">
      <c r="A1385" s="96">
        <v>1380</v>
      </c>
      <c r="B1385" s="101"/>
      <c r="C1385" s="102"/>
      <c r="D1385" s="111"/>
      <c r="E1385" s="236"/>
      <c r="F1385" s="110"/>
      <c r="G1385" s="112"/>
      <c r="H1385" s="114">
        <f t="shared" si="21"/>
        <v>0</v>
      </c>
    </row>
    <row r="1386" spans="1:8" ht="14.75" customHeight="1" x14ac:dyDescent="0.4">
      <c r="A1386" s="96">
        <v>1381</v>
      </c>
      <c r="B1386" s="101"/>
      <c r="C1386" s="102"/>
      <c r="D1386" s="111"/>
      <c r="E1386" s="236"/>
      <c r="F1386" s="110"/>
      <c r="G1386" s="112"/>
      <c r="H1386" s="114">
        <f t="shared" si="21"/>
        <v>0</v>
      </c>
    </row>
    <row r="1387" spans="1:8" ht="14.75" customHeight="1" x14ac:dyDescent="0.4">
      <c r="A1387" s="96">
        <v>1382</v>
      </c>
      <c r="B1387" s="101"/>
      <c r="C1387" s="102"/>
      <c r="D1387" s="111"/>
      <c r="E1387" s="236"/>
      <c r="F1387" s="110"/>
      <c r="G1387" s="112"/>
      <c r="H1387" s="114">
        <f t="shared" si="21"/>
        <v>0</v>
      </c>
    </row>
    <row r="1388" spans="1:8" ht="14.75" customHeight="1" x14ac:dyDescent="0.4">
      <c r="A1388" s="96">
        <v>1383</v>
      </c>
      <c r="B1388" s="101"/>
      <c r="C1388" s="102"/>
      <c r="D1388" s="111"/>
      <c r="E1388" s="236"/>
      <c r="F1388" s="110"/>
      <c r="G1388" s="112"/>
      <c r="H1388" s="114">
        <f t="shared" si="21"/>
        <v>0</v>
      </c>
    </row>
    <row r="1389" spans="1:8" ht="14.75" customHeight="1" x14ac:dyDescent="0.4">
      <c r="A1389" s="96">
        <v>1384</v>
      </c>
      <c r="B1389" s="101"/>
      <c r="C1389" s="102"/>
      <c r="D1389" s="111"/>
      <c r="E1389" s="236"/>
      <c r="F1389" s="110"/>
      <c r="G1389" s="112"/>
      <c r="H1389" s="114">
        <f t="shared" si="21"/>
        <v>0</v>
      </c>
    </row>
    <row r="1390" spans="1:8" ht="14.75" customHeight="1" x14ac:dyDescent="0.4">
      <c r="A1390" s="96">
        <v>1385</v>
      </c>
      <c r="B1390" s="101"/>
      <c r="C1390" s="102"/>
      <c r="D1390" s="111"/>
      <c r="E1390" s="236"/>
      <c r="F1390" s="110"/>
      <c r="G1390" s="112"/>
      <c r="H1390" s="114">
        <f t="shared" si="21"/>
        <v>0</v>
      </c>
    </row>
    <row r="1391" spans="1:8" ht="14.75" customHeight="1" x14ac:dyDescent="0.4">
      <c r="A1391" s="96">
        <v>1386</v>
      </c>
      <c r="B1391" s="101"/>
      <c r="C1391" s="102"/>
      <c r="D1391" s="111"/>
      <c r="E1391" s="236"/>
      <c r="F1391" s="110"/>
      <c r="G1391" s="112"/>
      <c r="H1391" s="114">
        <f t="shared" si="21"/>
        <v>0</v>
      </c>
    </row>
    <row r="1392" spans="1:8" ht="14.75" customHeight="1" x14ac:dyDescent="0.4">
      <c r="A1392" s="96">
        <v>1387</v>
      </c>
      <c r="B1392" s="101"/>
      <c r="C1392" s="102"/>
      <c r="D1392" s="111"/>
      <c r="E1392" s="236"/>
      <c r="F1392" s="110"/>
      <c r="G1392" s="112"/>
      <c r="H1392" s="114">
        <f t="shared" si="21"/>
        <v>0</v>
      </c>
    </row>
    <row r="1393" spans="1:8" ht="14.75" customHeight="1" x14ac:dyDescent="0.4">
      <c r="A1393" s="96">
        <v>1388</v>
      </c>
      <c r="B1393" s="101"/>
      <c r="C1393" s="102"/>
      <c r="D1393" s="111"/>
      <c r="E1393" s="236"/>
      <c r="F1393" s="110"/>
      <c r="G1393" s="112"/>
      <c r="H1393" s="114">
        <f t="shared" si="21"/>
        <v>0</v>
      </c>
    </row>
    <row r="1394" spans="1:8" ht="14.75" customHeight="1" x14ac:dyDescent="0.4">
      <c r="A1394" s="96">
        <v>1389</v>
      </c>
      <c r="B1394" s="101"/>
      <c r="C1394" s="102"/>
      <c r="D1394" s="111"/>
      <c r="E1394" s="236"/>
      <c r="F1394" s="110"/>
      <c r="G1394" s="112"/>
      <c r="H1394" s="114">
        <f t="shared" si="21"/>
        <v>0</v>
      </c>
    </row>
    <row r="1395" spans="1:8" ht="14.75" customHeight="1" x14ac:dyDescent="0.4">
      <c r="A1395" s="96">
        <v>1390</v>
      </c>
      <c r="B1395" s="101"/>
      <c r="C1395" s="102"/>
      <c r="D1395" s="111"/>
      <c r="E1395" s="236"/>
      <c r="F1395" s="110"/>
      <c r="G1395" s="112"/>
      <c r="H1395" s="114">
        <f t="shared" si="21"/>
        <v>0</v>
      </c>
    </row>
    <row r="1396" spans="1:8" ht="14.75" customHeight="1" x14ac:dyDescent="0.4">
      <c r="A1396" s="96">
        <v>1391</v>
      </c>
      <c r="B1396" s="101"/>
      <c r="C1396" s="102"/>
      <c r="D1396" s="111"/>
      <c r="E1396" s="236"/>
      <c r="F1396" s="110"/>
      <c r="G1396" s="112"/>
      <c r="H1396" s="114">
        <f t="shared" si="21"/>
        <v>0</v>
      </c>
    </row>
    <row r="1397" spans="1:8" ht="14.75" customHeight="1" x14ac:dyDescent="0.4">
      <c r="A1397" s="96">
        <v>1392</v>
      </c>
      <c r="B1397" s="101"/>
      <c r="C1397" s="102"/>
      <c r="D1397" s="111"/>
      <c r="E1397" s="236"/>
      <c r="F1397" s="110"/>
      <c r="G1397" s="112"/>
      <c r="H1397" s="114">
        <f t="shared" si="21"/>
        <v>0</v>
      </c>
    </row>
    <row r="1398" spans="1:8" ht="14.75" customHeight="1" x14ac:dyDescent="0.4">
      <c r="A1398" s="96">
        <v>1393</v>
      </c>
      <c r="B1398" s="101"/>
      <c r="C1398" s="102"/>
      <c r="D1398" s="111"/>
      <c r="E1398" s="236"/>
      <c r="F1398" s="110"/>
      <c r="G1398" s="112"/>
      <c r="H1398" s="114">
        <f t="shared" si="21"/>
        <v>0</v>
      </c>
    </row>
    <row r="1399" spans="1:8" ht="14.75" customHeight="1" x14ac:dyDescent="0.4">
      <c r="A1399" s="96">
        <v>1394</v>
      </c>
      <c r="B1399" s="101"/>
      <c r="C1399" s="102"/>
      <c r="D1399" s="111"/>
      <c r="E1399" s="236"/>
      <c r="F1399" s="110"/>
      <c r="G1399" s="112"/>
      <c r="H1399" s="114">
        <f t="shared" si="21"/>
        <v>0</v>
      </c>
    </row>
    <row r="1400" spans="1:8" ht="14.75" customHeight="1" x14ac:dyDescent="0.4">
      <c r="A1400" s="96">
        <v>1395</v>
      </c>
      <c r="B1400" s="101"/>
      <c r="C1400" s="102"/>
      <c r="D1400" s="111"/>
      <c r="E1400" s="236"/>
      <c r="F1400" s="110"/>
      <c r="G1400" s="112"/>
      <c r="H1400" s="114">
        <f t="shared" si="21"/>
        <v>0</v>
      </c>
    </row>
    <row r="1401" spans="1:8" ht="14.75" customHeight="1" x14ac:dyDescent="0.4">
      <c r="A1401" s="96">
        <v>1396</v>
      </c>
      <c r="B1401" s="101"/>
      <c r="C1401" s="102"/>
      <c r="D1401" s="111"/>
      <c r="E1401" s="236"/>
      <c r="F1401" s="110"/>
      <c r="G1401" s="112"/>
      <c r="H1401" s="114">
        <f t="shared" si="21"/>
        <v>0</v>
      </c>
    </row>
    <row r="1402" spans="1:8" ht="14.75" customHeight="1" x14ac:dyDescent="0.4">
      <c r="A1402" s="96">
        <v>1397</v>
      </c>
      <c r="B1402" s="101"/>
      <c r="C1402" s="102"/>
      <c r="D1402" s="111"/>
      <c r="E1402" s="236"/>
      <c r="F1402" s="110"/>
      <c r="G1402" s="112"/>
      <c r="H1402" s="114">
        <f t="shared" si="21"/>
        <v>0</v>
      </c>
    </row>
    <row r="1403" spans="1:8" ht="14.75" customHeight="1" x14ac:dyDescent="0.4">
      <c r="A1403" s="96">
        <v>1398</v>
      </c>
      <c r="B1403" s="101"/>
      <c r="C1403" s="102"/>
      <c r="D1403" s="111"/>
      <c r="E1403" s="236"/>
      <c r="F1403" s="110"/>
      <c r="G1403" s="112"/>
      <c r="H1403" s="114">
        <f t="shared" si="21"/>
        <v>0</v>
      </c>
    </row>
    <row r="1404" spans="1:8" ht="14.75" customHeight="1" x14ac:dyDescent="0.4">
      <c r="A1404" s="96">
        <v>1399</v>
      </c>
      <c r="B1404" s="101"/>
      <c r="C1404" s="102"/>
      <c r="D1404" s="111"/>
      <c r="E1404" s="236"/>
      <c r="F1404" s="110"/>
      <c r="G1404" s="112"/>
      <c r="H1404" s="114">
        <f t="shared" si="21"/>
        <v>0</v>
      </c>
    </row>
    <row r="1405" spans="1:8" ht="14.75" customHeight="1" x14ac:dyDescent="0.4">
      <c r="A1405" s="96">
        <v>1400</v>
      </c>
      <c r="B1405" s="101"/>
      <c r="C1405" s="102"/>
      <c r="D1405" s="111"/>
      <c r="E1405" s="236"/>
      <c r="F1405" s="110"/>
      <c r="G1405" s="112"/>
      <c r="H1405" s="114">
        <f t="shared" si="21"/>
        <v>0</v>
      </c>
    </row>
    <row r="1406" spans="1:8" ht="14.75" customHeight="1" x14ac:dyDescent="0.4">
      <c r="A1406" s="96">
        <v>1401</v>
      </c>
      <c r="B1406" s="101"/>
      <c r="C1406" s="102"/>
      <c r="D1406" s="111"/>
      <c r="E1406" s="236"/>
      <c r="F1406" s="110"/>
      <c r="G1406" s="112"/>
      <c r="H1406" s="114">
        <f t="shared" si="21"/>
        <v>0</v>
      </c>
    </row>
    <row r="1407" spans="1:8" ht="14.75" customHeight="1" x14ac:dyDescent="0.4">
      <c r="A1407" s="96">
        <v>1402</v>
      </c>
      <c r="B1407" s="101"/>
      <c r="C1407" s="102"/>
      <c r="D1407" s="111"/>
      <c r="E1407" s="236"/>
      <c r="F1407" s="110"/>
      <c r="G1407" s="112"/>
      <c r="H1407" s="114">
        <f t="shared" si="21"/>
        <v>0</v>
      </c>
    </row>
    <row r="1408" spans="1:8" ht="14.75" customHeight="1" x14ac:dyDescent="0.4">
      <c r="A1408" s="96">
        <v>1403</v>
      </c>
      <c r="B1408" s="101"/>
      <c r="C1408" s="102"/>
      <c r="D1408" s="111"/>
      <c r="E1408" s="236"/>
      <c r="F1408" s="110"/>
      <c r="G1408" s="112"/>
      <c r="H1408" s="114">
        <f t="shared" si="21"/>
        <v>0</v>
      </c>
    </row>
    <row r="1409" spans="1:8" ht="14.75" customHeight="1" x14ac:dyDescent="0.4">
      <c r="A1409" s="96">
        <v>1404</v>
      </c>
      <c r="B1409" s="101"/>
      <c r="C1409" s="102"/>
      <c r="D1409" s="111"/>
      <c r="E1409" s="236"/>
      <c r="F1409" s="110"/>
      <c r="G1409" s="112"/>
      <c r="H1409" s="114">
        <f t="shared" si="21"/>
        <v>0</v>
      </c>
    </row>
    <row r="1410" spans="1:8" ht="14.75" customHeight="1" x14ac:dyDescent="0.4">
      <c r="A1410" s="96">
        <v>1405</v>
      </c>
      <c r="B1410" s="101"/>
      <c r="C1410" s="102"/>
      <c r="D1410" s="111"/>
      <c r="E1410" s="236"/>
      <c r="F1410" s="110"/>
      <c r="G1410" s="112"/>
      <c r="H1410" s="114">
        <f t="shared" si="21"/>
        <v>0</v>
      </c>
    </row>
    <row r="1411" spans="1:8" ht="14.75" customHeight="1" x14ac:dyDescent="0.4">
      <c r="A1411" s="96">
        <v>1406</v>
      </c>
      <c r="B1411" s="101"/>
      <c r="C1411" s="102"/>
      <c r="D1411" s="111"/>
      <c r="E1411" s="236"/>
      <c r="F1411" s="110"/>
      <c r="G1411" s="112"/>
      <c r="H1411" s="114">
        <f t="shared" si="21"/>
        <v>0</v>
      </c>
    </row>
    <row r="1412" spans="1:8" ht="14.75" customHeight="1" x14ac:dyDescent="0.4">
      <c r="A1412" s="96">
        <v>1407</v>
      </c>
      <c r="B1412" s="101"/>
      <c r="C1412" s="102"/>
      <c r="D1412" s="111"/>
      <c r="E1412" s="236"/>
      <c r="F1412" s="110"/>
      <c r="G1412" s="112"/>
      <c r="H1412" s="114">
        <f t="shared" si="21"/>
        <v>0</v>
      </c>
    </row>
    <row r="1413" spans="1:8" ht="14.75" customHeight="1" x14ac:dyDescent="0.4">
      <c r="A1413" s="96">
        <v>1408</v>
      </c>
      <c r="B1413" s="101"/>
      <c r="C1413" s="102"/>
      <c r="D1413" s="111"/>
      <c r="E1413" s="236"/>
      <c r="F1413" s="110"/>
      <c r="G1413" s="112"/>
      <c r="H1413" s="114">
        <f t="shared" si="21"/>
        <v>0</v>
      </c>
    </row>
    <row r="1414" spans="1:8" ht="14.75" customHeight="1" x14ac:dyDescent="0.4">
      <c r="A1414" s="96">
        <v>1409</v>
      </c>
      <c r="B1414" s="101"/>
      <c r="C1414" s="102"/>
      <c r="D1414" s="111"/>
      <c r="E1414" s="236"/>
      <c r="F1414" s="110"/>
      <c r="G1414" s="112"/>
      <c r="H1414" s="114">
        <f t="shared" si="21"/>
        <v>0</v>
      </c>
    </row>
    <row r="1415" spans="1:8" ht="14.75" customHeight="1" x14ac:dyDescent="0.4">
      <c r="A1415" s="96">
        <v>1410</v>
      </c>
      <c r="B1415" s="101"/>
      <c r="C1415" s="102"/>
      <c r="D1415" s="111"/>
      <c r="E1415" s="236"/>
      <c r="F1415" s="110"/>
      <c r="G1415" s="112"/>
      <c r="H1415" s="114">
        <f t="shared" si="21"/>
        <v>0</v>
      </c>
    </row>
    <row r="1416" spans="1:8" ht="14.75" customHeight="1" x14ac:dyDescent="0.4">
      <c r="A1416" s="96">
        <v>1411</v>
      </c>
      <c r="B1416" s="101"/>
      <c r="C1416" s="102"/>
      <c r="D1416" s="111"/>
      <c r="E1416" s="236"/>
      <c r="F1416" s="110"/>
      <c r="G1416" s="112"/>
      <c r="H1416" s="114">
        <f t="shared" si="21"/>
        <v>0</v>
      </c>
    </row>
    <row r="1417" spans="1:8" ht="14.75" customHeight="1" x14ac:dyDescent="0.4">
      <c r="A1417" s="96">
        <v>1412</v>
      </c>
      <c r="B1417" s="101"/>
      <c r="C1417" s="102"/>
      <c r="D1417" s="111"/>
      <c r="E1417" s="236"/>
      <c r="F1417" s="110"/>
      <c r="G1417" s="112"/>
      <c r="H1417" s="114">
        <f t="shared" si="21"/>
        <v>0</v>
      </c>
    </row>
    <row r="1418" spans="1:8" ht="14.75" customHeight="1" x14ac:dyDescent="0.4">
      <c r="A1418" s="96">
        <v>1413</v>
      </c>
      <c r="B1418" s="101"/>
      <c r="C1418" s="102"/>
      <c r="D1418" s="111"/>
      <c r="E1418" s="236"/>
      <c r="F1418" s="110"/>
      <c r="G1418" s="112"/>
      <c r="H1418" s="114">
        <f t="shared" si="21"/>
        <v>0</v>
      </c>
    </row>
    <row r="1419" spans="1:8" ht="14.75" customHeight="1" x14ac:dyDescent="0.4">
      <c r="A1419" s="96">
        <v>1414</v>
      </c>
      <c r="B1419" s="101"/>
      <c r="C1419" s="102"/>
      <c r="D1419" s="111"/>
      <c r="E1419" s="236"/>
      <c r="F1419" s="110"/>
      <c r="G1419" s="112"/>
      <c r="H1419" s="114">
        <f t="shared" si="21"/>
        <v>0</v>
      </c>
    </row>
    <row r="1420" spans="1:8" ht="14.75" customHeight="1" x14ac:dyDescent="0.4">
      <c r="A1420" s="96">
        <v>1415</v>
      </c>
      <c r="B1420" s="101"/>
      <c r="C1420" s="102"/>
      <c r="D1420" s="111"/>
      <c r="E1420" s="236"/>
      <c r="F1420" s="110"/>
      <c r="G1420" s="112"/>
      <c r="H1420" s="114">
        <f t="shared" si="21"/>
        <v>0</v>
      </c>
    </row>
    <row r="1421" spans="1:8" ht="14.75" customHeight="1" x14ac:dyDescent="0.4">
      <c r="A1421" s="96">
        <v>1416</v>
      </c>
      <c r="B1421" s="101"/>
      <c r="C1421" s="102"/>
      <c r="D1421" s="111"/>
      <c r="E1421" s="236"/>
      <c r="F1421" s="110"/>
      <c r="G1421" s="112"/>
      <c r="H1421" s="114">
        <f t="shared" si="21"/>
        <v>0</v>
      </c>
    </row>
    <row r="1422" spans="1:8" ht="14.75" customHeight="1" x14ac:dyDescent="0.4">
      <c r="A1422" s="96">
        <v>1417</v>
      </c>
      <c r="B1422" s="101"/>
      <c r="C1422" s="102"/>
      <c r="D1422" s="111"/>
      <c r="E1422" s="236"/>
      <c r="F1422" s="110"/>
      <c r="G1422" s="112"/>
      <c r="H1422" s="114">
        <f t="shared" si="21"/>
        <v>0</v>
      </c>
    </row>
    <row r="1423" spans="1:8" ht="14.75" customHeight="1" x14ac:dyDescent="0.4">
      <c r="A1423" s="96">
        <v>1418</v>
      </c>
      <c r="B1423" s="101"/>
      <c r="C1423" s="102"/>
      <c r="D1423" s="111"/>
      <c r="E1423" s="236"/>
      <c r="F1423" s="110"/>
      <c r="G1423" s="112"/>
      <c r="H1423" s="114">
        <f t="shared" si="21"/>
        <v>0</v>
      </c>
    </row>
    <row r="1424" spans="1:8" ht="14.75" customHeight="1" x14ac:dyDescent="0.4">
      <c r="A1424" s="96">
        <v>1419</v>
      </c>
      <c r="B1424" s="101"/>
      <c r="C1424" s="102"/>
      <c r="D1424" s="111"/>
      <c r="E1424" s="236"/>
      <c r="F1424" s="110"/>
      <c r="G1424" s="112"/>
      <c r="H1424" s="114">
        <f t="shared" si="21"/>
        <v>0</v>
      </c>
    </row>
    <row r="1425" spans="1:8" ht="14.75" customHeight="1" x14ac:dyDescent="0.4">
      <c r="A1425" s="96">
        <v>1420</v>
      </c>
      <c r="B1425" s="101"/>
      <c r="C1425" s="102"/>
      <c r="D1425" s="111"/>
      <c r="E1425" s="236"/>
      <c r="F1425" s="110"/>
      <c r="G1425" s="112"/>
      <c r="H1425" s="114">
        <f t="shared" si="21"/>
        <v>0</v>
      </c>
    </row>
    <row r="1426" spans="1:8" ht="14.75" customHeight="1" x14ac:dyDescent="0.4">
      <c r="A1426" s="96">
        <v>1421</v>
      </c>
      <c r="B1426" s="101"/>
      <c r="C1426" s="102"/>
      <c r="D1426" s="111"/>
      <c r="E1426" s="236"/>
      <c r="F1426" s="110"/>
      <c r="G1426" s="112"/>
      <c r="H1426" s="114">
        <f t="shared" si="21"/>
        <v>0</v>
      </c>
    </row>
    <row r="1427" spans="1:8" ht="14.75" customHeight="1" x14ac:dyDescent="0.4">
      <c r="A1427" s="96">
        <v>1422</v>
      </c>
      <c r="B1427" s="101"/>
      <c r="C1427" s="102"/>
      <c r="D1427" s="111"/>
      <c r="E1427" s="236"/>
      <c r="F1427" s="110"/>
      <c r="G1427" s="112"/>
      <c r="H1427" s="114">
        <f t="shared" si="21"/>
        <v>0</v>
      </c>
    </row>
    <row r="1428" spans="1:8" ht="14.75" customHeight="1" x14ac:dyDescent="0.4">
      <c r="A1428" s="96">
        <v>1423</v>
      </c>
      <c r="B1428" s="101"/>
      <c r="C1428" s="102"/>
      <c r="D1428" s="111"/>
      <c r="E1428" s="236"/>
      <c r="F1428" s="110"/>
      <c r="G1428" s="112"/>
      <c r="H1428" s="114">
        <f t="shared" si="21"/>
        <v>0</v>
      </c>
    </row>
    <row r="1429" spans="1:8" ht="14.75" customHeight="1" x14ac:dyDescent="0.4">
      <c r="A1429" s="96">
        <v>1424</v>
      </c>
      <c r="B1429" s="101"/>
      <c r="C1429" s="102"/>
      <c r="D1429" s="111"/>
      <c r="E1429" s="236"/>
      <c r="F1429" s="110"/>
      <c r="G1429" s="112"/>
      <c r="H1429" s="114">
        <f t="shared" si="21"/>
        <v>0</v>
      </c>
    </row>
    <row r="1430" spans="1:8" ht="14.75" customHeight="1" x14ac:dyDescent="0.4">
      <c r="A1430" s="96">
        <v>1425</v>
      </c>
      <c r="B1430" s="101"/>
      <c r="C1430" s="102"/>
      <c r="D1430" s="111"/>
      <c r="E1430" s="236"/>
      <c r="F1430" s="110"/>
      <c r="G1430" s="112"/>
      <c r="H1430" s="114">
        <f t="shared" si="21"/>
        <v>0</v>
      </c>
    </row>
    <row r="1431" spans="1:8" ht="14.75" customHeight="1" x14ac:dyDescent="0.4">
      <c r="A1431" s="96">
        <v>1426</v>
      </c>
      <c r="B1431" s="101"/>
      <c r="C1431" s="102"/>
      <c r="D1431" s="111"/>
      <c r="E1431" s="236"/>
      <c r="F1431" s="110"/>
      <c r="G1431" s="112"/>
      <c r="H1431" s="114">
        <f t="shared" si="21"/>
        <v>0</v>
      </c>
    </row>
    <row r="1432" spans="1:8" ht="14.75" customHeight="1" x14ac:dyDescent="0.4">
      <c r="A1432" s="96">
        <v>1427</v>
      </c>
      <c r="B1432" s="101"/>
      <c r="C1432" s="102"/>
      <c r="D1432" s="111"/>
      <c r="E1432" s="236"/>
      <c r="F1432" s="110"/>
      <c r="G1432" s="112"/>
      <c r="H1432" s="114">
        <f t="shared" si="21"/>
        <v>0</v>
      </c>
    </row>
    <row r="1433" spans="1:8" ht="14.75" customHeight="1" x14ac:dyDescent="0.4">
      <c r="A1433" s="96">
        <v>1428</v>
      </c>
      <c r="B1433" s="101"/>
      <c r="C1433" s="102"/>
      <c r="D1433" s="111"/>
      <c r="E1433" s="236"/>
      <c r="F1433" s="110"/>
      <c r="G1433" s="112"/>
      <c r="H1433" s="114">
        <f t="shared" si="21"/>
        <v>0</v>
      </c>
    </row>
    <row r="1434" spans="1:8" ht="14.75" customHeight="1" x14ac:dyDescent="0.4">
      <c r="A1434" s="96">
        <v>1429</v>
      </c>
      <c r="B1434" s="101"/>
      <c r="C1434" s="102"/>
      <c r="D1434" s="111"/>
      <c r="E1434" s="236"/>
      <c r="F1434" s="110"/>
      <c r="G1434" s="112"/>
      <c r="H1434" s="114">
        <f t="shared" si="21"/>
        <v>0</v>
      </c>
    </row>
    <row r="1435" spans="1:8" ht="14.75" customHeight="1" x14ac:dyDescent="0.4">
      <c r="A1435" s="96">
        <v>1430</v>
      </c>
      <c r="B1435" s="101"/>
      <c r="C1435" s="102"/>
      <c r="D1435" s="111"/>
      <c r="E1435" s="236"/>
      <c r="F1435" s="110"/>
      <c r="G1435" s="112"/>
      <c r="H1435" s="114">
        <f t="shared" si="21"/>
        <v>0</v>
      </c>
    </row>
    <row r="1436" spans="1:8" ht="14.75" customHeight="1" x14ac:dyDescent="0.4">
      <c r="A1436" s="96">
        <v>1431</v>
      </c>
      <c r="B1436" s="101"/>
      <c r="C1436" s="102"/>
      <c r="D1436" s="111"/>
      <c r="E1436" s="236"/>
      <c r="F1436" s="110"/>
      <c r="G1436" s="112"/>
      <c r="H1436" s="114">
        <f t="shared" si="21"/>
        <v>0</v>
      </c>
    </row>
    <row r="1437" spans="1:8" ht="14.75" customHeight="1" x14ac:dyDescent="0.4">
      <c r="A1437" s="96">
        <v>1432</v>
      </c>
      <c r="B1437" s="101"/>
      <c r="C1437" s="102"/>
      <c r="D1437" s="111"/>
      <c r="E1437" s="236"/>
      <c r="F1437" s="110"/>
      <c r="G1437" s="112"/>
      <c r="H1437" s="114">
        <f t="shared" si="21"/>
        <v>0</v>
      </c>
    </row>
    <row r="1438" spans="1:8" ht="14.75" customHeight="1" x14ac:dyDescent="0.4">
      <c r="A1438" s="96">
        <v>1433</v>
      </c>
      <c r="B1438" s="101"/>
      <c r="C1438" s="102"/>
      <c r="D1438" s="111"/>
      <c r="E1438" s="236"/>
      <c r="F1438" s="110"/>
      <c r="G1438" s="112"/>
      <c r="H1438" s="114">
        <f t="shared" si="21"/>
        <v>0</v>
      </c>
    </row>
    <row r="1439" spans="1:8" ht="14.75" customHeight="1" x14ac:dyDescent="0.4">
      <c r="A1439" s="96">
        <v>1434</v>
      </c>
      <c r="B1439" s="101"/>
      <c r="C1439" s="102"/>
      <c r="D1439" s="111"/>
      <c r="E1439" s="236"/>
      <c r="F1439" s="110"/>
      <c r="G1439" s="112"/>
      <c r="H1439" s="114">
        <f t="shared" si="21"/>
        <v>0</v>
      </c>
    </row>
    <row r="1440" spans="1:8" ht="14.75" customHeight="1" x14ac:dyDescent="0.4">
      <c r="A1440" s="96">
        <v>1435</v>
      </c>
      <c r="B1440" s="101"/>
      <c r="C1440" s="102"/>
      <c r="D1440" s="111"/>
      <c r="E1440" s="236"/>
      <c r="F1440" s="110"/>
      <c r="G1440" s="112"/>
      <c r="H1440" s="114">
        <f t="shared" si="21"/>
        <v>0</v>
      </c>
    </row>
    <row r="1441" spans="1:8" ht="14.75" customHeight="1" x14ac:dyDescent="0.4">
      <c r="A1441" s="96">
        <v>1436</v>
      </c>
      <c r="B1441" s="101"/>
      <c r="C1441" s="102"/>
      <c r="D1441" s="111"/>
      <c r="E1441" s="236"/>
      <c r="F1441" s="110"/>
      <c r="G1441" s="112"/>
      <c r="H1441" s="114">
        <f t="shared" si="21"/>
        <v>0</v>
      </c>
    </row>
    <row r="1442" spans="1:8" ht="14.75" customHeight="1" x14ac:dyDescent="0.4">
      <c r="A1442" s="96">
        <v>1437</v>
      </c>
      <c r="B1442" s="101"/>
      <c r="C1442" s="102"/>
      <c r="D1442" s="111"/>
      <c r="E1442" s="236"/>
      <c r="F1442" s="110"/>
      <c r="G1442" s="112"/>
      <c r="H1442" s="114">
        <f t="shared" si="21"/>
        <v>0</v>
      </c>
    </row>
    <row r="1443" spans="1:8" ht="14.75" customHeight="1" x14ac:dyDescent="0.4">
      <c r="A1443" s="96">
        <v>1438</v>
      </c>
      <c r="B1443" s="101"/>
      <c r="C1443" s="102"/>
      <c r="D1443" s="111"/>
      <c r="E1443" s="236"/>
      <c r="F1443" s="110"/>
      <c r="G1443" s="112"/>
      <c r="H1443" s="114">
        <f t="shared" si="21"/>
        <v>0</v>
      </c>
    </row>
    <row r="1444" spans="1:8" ht="14.75" customHeight="1" x14ac:dyDescent="0.4">
      <c r="A1444" s="96">
        <v>1439</v>
      </c>
      <c r="B1444" s="101"/>
      <c r="C1444" s="102"/>
      <c r="D1444" s="111"/>
      <c r="E1444" s="236"/>
      <c r="F1444" s="110"/>
      <c r="G1444" s="112"/>
      <c r="H1444" s="114">
        <f t="shared" si="21"/>
        <v>0</v>
      </c>
    </row>
    <row r="1445" spans="1:8" ht="14.75" customHeight="1" x14ac:dyDescent="0.4">
      <c r="A1445" s="96">
        <v>1440</v>
      </c>
      <c r="B1445" s="101"/>
      <c r="C1445" s="102"/>
      <c r="D1445" s="111"/>
      <c r="E1445" s="236"/>
      <c r="F1445" s="110"/>
      <c r="G1445" s="112"/>
      <c r="H1445" s="114">
        <f t="shared" si="21"/>
        <v>0</v>
      </c>
    </row>
    <row r="1446" spans="1:8" ht="14.75" customHeight="1" x14ac:dyDescent="0.4">
      <c r="A1446" s="96">
        <v>1441</v>
      </c>
      <c r="B1446" s="101"/>
      <c r="C1446" s="102"/>
      <c r="D1446" s="111"/>
      <c r="E1446" s="236"/>
      <c r="F1446" s="110"/>
      <c r="G1446" s="112"/>
      <c r="H1446" s="114">
        <f t="shared" si="21"/>
        <v>0</v>
      </c>
    </row>
    <row r="1447" spans="1:8" ht="14.75" customHeight="1" x14ac:dyDescent="0.4">
      <c r="A1447" s="96">
        <v>1442</v>
      </c>
      <c r="B1447" s="101"/>
      <c r="C1447" s="102"/>
      <c r="D1447" s="111"/>
      <c r="E1447" s="236"/>
      <c r="F1447" s="110"/>
      <c r="G1447" s="112"/>
      <c r="H1447" s="114">
        <f t="shared" si="21"/>
        <v>0</v>
      </c>
    </row>
    <row r="1448" spans="1:8" ht="14.75" customHeight="1" x14ac:dyDescent="0.4">
      <c r="A1448" s="96">
        <v>1443</v>
      </c>
      <c r="B1448" s="101"/>
      <c r="C1448" s="102"/>
      <c r="D1448" s="111"/>
      <c r="E1448" s="236"/>
      <c r="F1448" s="110"/>
      <c r="G1448" s="112"/>
      <c r="H1448" s="114">
        <f t="shared" si="21"/>
        <v>0</v>
      </c>
    </row>
    <row r="1449" spans="1:8" ht="14.75" customHeight="1" x14ac:dyDescent="0.4">
      <c r="A1449" s="96">
        <v>1444</v>
      </c>
      <c r="B1449" s="101"/>
      <c r="C1449" s="102"/>
      <c r="D1449" s="111"/>
      <c r="E1449" s="236"/>
      <c r="F1449" s="110"/>
      <c r="G1449" s="112"/>
      <c r="H1449" s="114">
        <f t="shared" si="21"/>
        <v>0</v>
      </c>
    </row>
    <row r="1450" spans="1:8" ht="14.75" customHeight="1" x14ac:dyDescent="0.4">
      <c r="A1450" s="96">
        <v>1445</v>
      </c>
      <c r="B1450" s="101"/>
      <c r="C1450" s="102"/>
      <c r="D1450" s="111"/>
      <c r="E1450" s="236"/>
      <c r="F1450" s="110"/>
      <c r="G1450" s="112"/>
      <c r="H1450" s="114">
        <f t="shared" si="21"/>
        <v>0</v>
      </c>
    </row>
    <row r="1451" spans="1:8" ht="14.75" customHeight="1" x14ac:dyDescent="0.4">
      <c r="A1451" s="96">
        <v>1446</v>
      </c>
      <c r="B1451" s="101"/>
      <c r="C1451" s="102"/>
      <c r="D1451" s="111"/>
      <c r="E1451" s="236"/>
      <c r="F1451" s="110"/>
      <c r="G1451" s="112"/>
      <c r="H1451" s="114">
        <f t="shared" si="21"/>
        <v>0</v>
      </c>
    </row>
    <row r="1452" spans="1:8" ht="14.75" customHeight="1" x14ac:dyDescent="0.4">
      <c r="A1452" s="96">
        <v>1447</v>
      </c>
      <c r="B1452" s="101"/>
      <c r="C1452" s="102"/>
      <c r="D1452" s="111"/>
      <c r="E1452" s="236"/>
      <c r="F1452" s="110"/>
      <c r="G1452" s="112"/>
      <c r="H1452" s="114">
        <f t="shared" si="21"/>
        <v>0</v>
      </c>
    </row>
    <row r="1453" spans="1:8" ht="14.75" customHeight="1" x14ac:dyDescent="0.4">
      <c r="A1453" s="96">
        <v>1448</v>
      </c>
      <c r="B1453" s="101"/>
      <c r="C1453" s="102"/>
      <c r="D1453" s="111"/>
      <c r="E1453" s="236"/>
      <c r="F1453" s="110"/>
      <c r="G1453" s="112"/>
      <c r="H1453" s="114">
        <f t="shared" si="21"/>
        <v>0</v>
      </c>
    </row>
    <row r="1454" spans="1:8" ht="14.75" customHeight="1" x14ac:dyDescent="0.4">
      <c r="A1454" s="96">
        <v>1449</v>
      </c>
      <c r="B1454" s="101"/>
      <c r="C1454" s="102"/>
      <c r="D1454" s="111"/>
      <c r="E1454" s="236"/>
      <c r="F1454" s="110"/>
      <c r="G1454" s="112"/>
      <c r="H1454" s="114">
        <f t="shared" ref="H1454:H1517" si="22">H1453+F1454-G1454</f>
        <v>0</v>
      </c>
    </row>
    <row r="1455" spans="1:8" ht="14.75" customHeight="1" x14ac:dyDescent="0.4">
      <c r="A1455" s="96">
        <v>1450</v>
      </c>
      <c r="B1455" s="101"/>
      <c r="C1455" s="102"/>
      <c r="D1455" s="111"/>
      <c r="E1455" s="236"/>
      <c r="F1455" s="110"/>
      <c r="G1455" s="112"/>
      <c r="H1455" s="114">
        <f t="shared" si="22"/>
        <v>0</v>
      </c>
    </row>
    <row r="1456" spans="1:8" ht="14.75" customHeight="1" x14ac:dyDescent="0.4">
      <c r="A1456" s="96">
        <v>1451</v>
      </c>
      <c r="B1456" s="101"/>
      <c r="C1456" s="102"/>
      <c r="D1456" s="111"/>
      <c r="E1456" s="236"/>
      <c r="F1456" s="110"/>
      <c r="G1456" s="112"/>
      <c r="H1456" s="114">
        <f t="shared" si="22"/>
        <v>0</v>
      </c>
    </row>
    <row r="1457" spans="1:8" ht="14.75" customHeight="1" x14ac:dyDescent="0.4">
      <c r="A1457" s="96">
        <v>1452</v>
      </c>
      <c r="B1457" s="101"/>
      <c r="C1457" s="102"/>
      <c r="D1457" s="111"/>
      <c r="E1457" s="236"/>
      <c r="F1457" s="110"/>
      <c r="G1457" s="112"/>
      <c r="H1457" s="114">
        <f t="shared" si="22"/>
        <v>0</v>
      </c>
    </row>
    <row r="1458" spans="1:8" ht="14.75" customHeight="1" x14ac:dyDescent="0.4">
      <c r="A1458" s="96">
        <v>1453</v>
      </c>
      <c r="B1458" s="101"/>
      <c r="C1458" s="102"/>
      <c r="D1458" s="111"/>
      <c r="E1458" s="236"/>
      <c r="F1458" s="110"/>
      <c r="G1458" s="112"/>
      <c r="H1458" s="114">
        <f t="shared" si="22"/>
        <v>0</v>
      </c>
    </row>
    <row r="1459" spans="1:8" ht="14.75" customHeight="1" x14ac:dyDescent="0.4">
      <c r="A1459" s="96">
        <v>1454</v>
      </c>
      <c r="B1459" s="101"/>
      <c r="C1459" s="102"/>
      <c r="D1459" s="111"/>
      <c r="E1459" s="236"/>
      <c r="F1459" s="110"/>
      <c r="G1459" s="112"/>
      <c r="H1459" s="114">
        <f t="shared" si="22"/>
        <v>0</v>
      </c>
    </row>
    <row r="1460" spans="1:8" ht="14.75" customHeight="1" x14ac:dyDescent="0.4">
      <c r="A1460" s="96">
        <v>1455</v>
      </c>
      <c r="B1460" s="101"/>
      <c r="C1460" s="102"/>
      <c r="D1460" s="111"/>
      <c r="E1460" s="236"/>
      <c r="F1460" s="110"/>
      <c r="G1460" s="112"/>
      <c r="H1460" s="114">
        <f t="shared" si="22"/>
        <v>0</v>
      </c>
    </row>
    <row r="1461" spans="1:8" ht="14.75" customHeight="1" x14ac:dyDescent="0.4">
      <c r="A1461" s="96">
        <v>1456</v>
      </c>
      <c r="B1461" s="101"/>
      <c r="C1461" s="102"/>
      <c r="D1461" s="111"/>
      <c r="E1461" s="236"/>
      <c r="F1461" s="110"/>
      <c r="G1461" s="112"/>
      <c r="H1461" s="114">
        <f t="shared" si="22"/>
        <v>0</v>
      </c>
    </row>
    <row r="1462" spans="1:8" ht="14.75" customHeight="1" x14ac:dyDescent="0.4">
      <c r="A1462" s="96">
        <v>1457</v>
      </c>
      <c r="B1462" s="101"/>
      <c r="C1462" s="102"/>
      <c r="D1462" s="111"/>
      <c r="E1462" s="236"/>
      <c r="F1462" s="110"/>
      <c r="G1462" s="112"/>
      <c r="H1462" s="114">
        <f t="shared" si="22"/>
        <v>0</v>
      </c>
    </row>
    <row r="1463" spans="1:8" ht="14.75" customHeight="1" x14ac:dyDescent="0.4">
      <c r="A1463" s="96">
        <v>1458</v>
      </c>
      <c r="B1463" s="101"/>
      <c r="C1463" s="102"/>
      <c r="D1463" s="111"/>
      <c r="E1463" s="236"/>
      <c r="F1463" s="110"/>
      <c r="G1463" s="112"/>
      <c r="H1463" s="114">
        <f t="shared" si="22"/>
        <v>0</v>
      </c>
    </row>
    <row r="1464" spans="1:8" ht="14.75" customHeight="1" x14ac:dyDescent="0.4">
      <c r="A1464" s="96">
        <v>1459</v>
      </c>
      <c r="B1464" s="101"/>
      <c r="C1464" s="102"/>
      <c r="D1464" s="111"/>
      <c r="E1464" s="236"/>
      <c r="F1464" s="110"/>
      <c r="G1464" s="112"/>
      <c r="H1464" s="114">
        <f t="shared" si="22"/>
        <v>0</v>
      </c>
    </row>
    <row r="1465" spans="1:8" ht="14.75" customHeight="1" x14ac:dyDescent="0.4">
      <c r="A1465" s="96">
        <v>1460</v>
      </c>
      <c r="B1465" s="101"/>
      <c r="C1465" s="102"/>
      <c r="D1465" s="111"/>
      <c r="E1465" s="236"/>
      <c r="F1465" s="110"/>
      <c r="G1465" s="112"/>
      <c r="H1465" s="114">
        <f t="shared" si="22"/>
        <v>0</v>
      </c>
    </row>
    <row r="1466" spans="1:8" ht="14.75" customHeight="1" x14ac:dyDescent="0.4">
      <c r="A1466" s="96">
        <v>1461</v>
      </c>
      <c r="B1466" s="101"/>
      <c r="C1466" s="102"/>
      <c r="D1466" s="111"/>
      <c r="E1466" s="236"/>
      <c r="F1466" s="110"/>
      <c r="G1466" s="112"/>
      <c r="H1466" s="114">
        <f t="shared" si="22"/>
        <v>0</v>
      </c>
    </row>
    <row r="1467" spans="1:8" ht="14.75" customHeight="1" x14ac:dyDescent="0.4">
      <c r="A1467" s="96">
        <v>1462</v>
      </c>
      <c r="B1467" s="101"/>
      <c r="C1467" s="102"/>
      <c r="D1467" s="111"/>
      <c r="E1467" s="236"/>
      <c r="F1467" s="110"/>
      <c r="G1467" s="112"/>
      <c r="H1467" s="114">
        <f t="shared" si="22"/>
        <v>0</v>
      </c>
    </row>
    <row r="1468" spans="1:8" ht="14.75" customHeight="1" x14ac:dyDescent="0.4">
      <c r="A1468" s="96">
        <v>1463</v>
      </c>
      <c r="B1468" s="101"/>
      <c r="C1468" s="102"/>
      <c r="D1468" s="111"/>
      <c r="E1468" s="236"/>
      <c r="F1468" s="110"/>
      <c r="G1468" s="112"/>
      <c r="H1468" s="114">
        <f t="shared" si="22"/>
        <v>0</v>
      </c>
    </row>
    <row r="1469" spans="1:8" ht="14.75" customHeight="1" x14ac:dyDescent="0.4">
      <c r="A1469" s="96">
        <v>1464</v>
      </c>
      <c r="B1469" s="101"/>
      <c r="C1469" s="102"/>
      <c r="D1469" s="111"/>
      <c r="E1469" s="236"/>
      <c r="F1469" s="110"/>
      <c r="G1469" s="112"/>
      <c r="H1469" s="114">
        <f t="shared" si="22"/>
        <v>0</v>
      </c>
    </row>
    <row r="1470" spans="1:8" ht="14.75" customHeight="1" x14ac:dyDescent="0.4">
      <c r="A1470" s="96">
        <v>1465</v>
      </c>
      <c r="B1470" s="101"/>
      <c r="C1470" s="102"/>
      <c r="D1470" s="111"/>
      <c r="E1470" s="236"/>
      <c r="F1470" s="110"/>
      <c r="G1470" s="112"/>
      <c r="H1470" s="114">
        <f t="shared" si="22"/>
        <v>0</v>
      </c>
    </row>
    <row r="1471" spans="1:8" ht="14.75" customHeight="1" x14ac:dyDescent="0.4">
      <c r="A1471" s="96">
        <v>1466</v>
      </c>
      <c r="B1471" s="101"/>
      <c r="C1471" s="102"/>
      <c r="D1471" s="111"/>
      <c r="E1471" s="236"/>
      <c r="F1471" s="110"/>
      <c r="G1471" s="112"/>
      <c r="H1471" s="114">
        <f t="shared" si="22"/>
        <v>0</v>
      </c>
    </row>
    <row r="1472" spans="1:8" ht="14.75" customHeight="1" x14ac:dyDescent="0.4">
      <c r="A1472" s="96">
        <v>1467</v>
      </c>
      <c r="B1472" s="101"/>
      <c r="C1472" s="102"/>
      <c r="D1472" s="111"/>
      <c r="E1472" s="236"/>
      <c r="F1472" s="110"/>
      <c r="G1472" s="112"/>
      <c r="H1472" s="114">
        <f t="shared" si="22"/>
        <v>0</v>
      </c>
    </row>
    <row r="1473" spans="1:8" ht="14.75" customHeight="1" x14ac:dyDescent="0.4">
      <c r="A1473" s="96">
        <v>1468</v>
      </c>
      <c r="B1473" s="101"/>
      <c r="C1473" s="102"/>
      <c r="D1473" s="111"/>
      <c r="E1473" s="236"/>
      <c r="F1473" s="110"/>
      <c r="G1473" s="112"/>
      <c r="H1473" s="114">
        <f t="shared" si="22"/>
        <v>0</v>
      </c>
    </row>
    <row r="1474" spans="1:8" ht="14.75" customHeight="1" x14ac:dyDescent="0.4">
      <c r="A1474" s="96">
        <v>1469</v>
      </c>
      <c r="B1474" s="101"/>
      <c r="C1474" s="102"/>
      <c r="D1474" s="111"/>
      <c r="E1474" s="236"/>
      <c r="F1474" s="110"/>
      <c r="G1474" s="112"/>
      <c r="H1474" s="114">
        <f t="shared" si="22"/>
        <v>0</v>
      </c>
    </row>
    <row r="1475" spans="1:8" ht="14.75" customHeight="1" x14ac:dyDescent="0.4">
      <c r="A1475" s="96">
        <v>1470</v>
      </c>
      <c r="B1475" s="101"/>
      <c r="C1475" s="102"/>
      <c r="D1475" s="111"/>
      <c r="E1475" s="236"/>
      <c r="F1475" s="110"/>
      <c r="G1475" s="112"/>
      <c r="H1475" s="114">
        <f t="shared" si="22"/>
        <v>0</v>
      </c>
    </row>
    <row r="1476" spans="1:8" ht="14.75" customHeight="1" x14ac:dyDescent="0.4">
      <c r="A1476" s="96">
        <v>1471</v>
      </c>
      <c r="B1476" s="101"/>
      <c r="C1476" s="102"/>
      <c r="D1476" s="111"/>
      <c r="E1476" s="236"/>
      <c r="F1476" s="110"/>
      <c r="G1476" s="112"/>
      <c r="H1476" s="114">
        <f t="shared" si="22"/>
        <v>0</v>
      </c>
    </row>
    <row r="1477" spans="1:8" ht="14.75" customHeight="1" x14ac:dyDescent="0.4">
      <c r="A1477" s="96">
        <v>1472</v>
      </c>
      <c r="B1477" s="101"/>
      <c r="C1477" s="102"/>
      <c r="D1477" s="111"/>
      <c r="E1477" s="236"/>
      <c r="F1477" s="110"/>
      <c r="G1477" s="112"/>
      <c r="H1477" s="114">
        <f t="shared" si="22"/>
        <v>0</v>
      </c>
    </row>
    <row r="1478" spans="1:8" ht="14.75" customHeight="1" x14ac:dyDescent="0.4">
      <c r="A1478" s="96">
        <v>1473</v>
      </c>
      <c r="B1478" s="101"/>
      <c r="C1478" s="102"/>
      <c r="D1478" s="111"/>
      <c r="E1478" s="236"/>
      <c r="F1478" s="110"/>
      <c r="G1478" s="112"/>
      <c r="H1478" s="114">
        <f t="shared" si="22"/>
        <v>0</v>
      </c>
    </row>
    <row r="1479" spans="1:8" ht="14.75" customHeight="1" x14ac:dyDescent="0.4">
      <c r="A1479" s="96">
        <v>1474</v>
      </c>
      <c r="B1479" s="101"/>
      <c r="C1479" s="102"/>
      <c r="D1479" s="111"/>
      <c r="E1479" s="236"/>
      <c r="F1479" s="110"/>
      <c r="G1479" s="112"/>
      <c r="H1479" s="114">
        <f t="shared" si="22"/>
        <v>0</v>
      </c>
    </row>
    <row r="1480" spans="1:8" ht="14.75" customHeight="1" x14ac:dyDescent="0.4">
      <c r="A1480" s="96">
        <v>1475</v>
      </c>
      <c r="B1480" s="101"/>
      <c r="C1480" s="102"/>
      <c r="D1480" s="111"/>
      <c r="E1480" s="236"/>
      <c r="F1480" s="110"/>
      <c r="G1480" s="112"/>
      <c r="H1480" s="114">
        <f t="shared" si="22"/>
        <v>0</v>
      </c>
    </row>
    <row r="1481" spans="1:8" ht="14.75" customHeight="1" x14ac:dyDescent="0.4">
      <c r="A1481" s="96">
        <v>1476</v>
      </c>
      <c r="B1481" s="101"/>
      <c r="C1481" s="102"/>
      <c r="D1481" s="111"/>
      <c r="E1481" s="236"/>
      <c r="F1481" s="110"/>
      <c r="G1481" s="112"/>
      <c r="H1481" s="114">
        <f t="shared" si="22"/>
        <v>0</v>
      </c>
    </row>
    <row r="1482" spans="1:8" ht="14.75" customHeight="1" x14ac:dyDescent="0.4">
      <c r="A1482" s="96">
        <v>1477</v>
      </c>
      <c r="B1482" s="101"/>
      <c r="C1482" s="102"/>
      <c r="D1482" s="111"/>
      <c r="E1482" s="236"/>
      <c r="F1482" s="110"/>
      <c r="G1482" s="112"/>
      <c r="H1482" s="114">
        <f t="shared" si="22"/>
        <v>0</v>
      </c>
    </row>
    <row r="1483" spans="1:8" ht="14.75" customHeight="1" x14ac:dyDescent="0.4">
      <c r="A1483" s="96">
        <v>1478</v>
      </c>
      <c r="B1483" s="101"/>
      <c r="C1483" s="102"/>
      <c r="D1483" s="111"/>
      <c r="E1483" s="236"/>
      <c r="F1483" s="110"/>
      <c r="G1483" s="112"/>
      <c r="H1483" s="114">
        <f t="shared" si="22"/>
        <v>0</v>
      </c>
    </row>
    <row r="1484" spans="1:8" ht="14.75" customHeight="1" x14ac:dyDescent="0.4">
      <c r="A1484" s="96">
        <v>1479</v>
      </c>
      <c r="B1484" s="101"/>
      <c r="C1484" s="102"/>
      <c r="D1484" s="111"/>
      <c r="E1484" s="236"/>
      <c r="F1484" s="110"/>
      <c r="G1484" s="112"/>
      <c r="H1484" s="114">
        <f t="shared" si="22"/>
        <v>0</v>
      </c>
    </row>
    <row r="1485" spans="1:8" ht="14.75" customHeight="1" x14ac:dyDescent="0.4">
      <c r="A1485" s="96">
        <v>1480</v>
      </c>
      <c r="B1485" s="101"/>
      <c r="C1485" s="102"/>
      <c r="D1485" s="111"/>
      <c r="E1485" s="236"/>
      <c r="F1485" s="110"/>
      <c r="G1485" s="112"/>
      <c r="H1485" s="114">
        <f t="shared" si="22"/>
        <v>0</v>
      </c>
    </row>
    <row r="1486" spans="1:8" ht="14.75" customHeight="1" x14ac:dyDescent="0.4">
      <c r="A1486" s="96">
        <v>1481</v>
      </c>
      <c r="B1486" s="101"/>
      <c r="C1486" s="102"/>
      <c r="D1486" s="111"/>
      <c r="E1486" s="236"/>
      <c r="F1486" s="110"/>
      <c r="G1486" s="112"/>
      <c r="H1486" s="114">
        <f t="shared" si="22"/>
        <v>0</v>
      </c>
    </row>
    <row r="1487" spans="1:8" ht="14.75" customHeight="1" x14ac:dyDescent="0.4">
      <c r="A1487" s="96">
        <v>1482</v>
      </c>
      <c r="B1487" s="101"/>
      <c r="C1487" s="102"/>
      <c r="D1487" s="111"/>
      <c r="E1487" s="236"/>
      <c r="F1487" s="110"/>
      <c r="G1487" s="112"/>
      <c r="H1487" s="114">
        <f t="shared" si="22"/>
        <v>0</v>
      </c>
    </row>
    <row r="1488" spans="1:8" ht="14.75" customHeight="1" x14ac:dyDescent="0.4">
      <c r="A1488" s="96">
        <v>1483</v>
      </c>
      <c r="B1488" s="101"/>
      <c r="C1488" s="102"/>
      <c r="D1488" s="111"/>
      <c r="E1488" s="236"/>
      <c r="F1488" s="110"/>
      <c r="G1488" s="112"/>
      <c r="H1488" s="114">
        <f t="shared" si="22"/>
        <v>0</v>
      </c>
    </row>
    <row r="1489" spans="1:8" ht="14.75" customHeight="1" x14ac:dyDescent="0.4">
      <c r="A1489" s="96">
        <v>1484</v>
      </c>
      <c r="B1489" s="101"/>
      <c r="C1489" s="102"/>
      <c r="D1489" s="111"/>
      <c r="E1489" s="236"/>
      <c r="F1489" s="110"/>
      <c r="G1489" s="112"/>
      <c r="H1489" s="114">
        <f t="shared" si="22"/>
        <v>0</v>
      </c>
    </row>
    <row r="1490" spans="1:8" ht="14.75" customHeight="1" x14ac:dyDescent="0.4">
      <c r="A1490" s="96">
        <v>1485</v>
      </c>
      <c r="B1490" s="101"/>
      <c r="C1490" s="102"/>
      <c r="D1490" s="111"/>
      <c r="E1490" s="236"/>
      <c r="F1490" s="110"/>
      <c r="G1490" s="112"/>
      <c r="H1490" s="114">
        <f t="shared" si="22"/>
        <v>0</v>
      </c>
    </row>
    <row r="1491" spans="1:8" ht="14.75" customHeight="1" x14ac:dyDescent="0.4">
      <c r="A1491" s="96">
        <v>1486</v>
      </c>
      <c r="B1491" s="101"/>
      <c r="C1491" s="102"/>
      <c r="D1491" s="111"/>
      <c r="E1491" s="236"/>
      <c r="F1491" s="110"/>
      <c r="G1491" s="112"/>
      <c r="H1491" s="114">
        <f t="shared" si="22"/>
        <v>0</v>
      </c>
    </row>
    <row r="1492" spans="1:8" ht="14.75" customHeight="1" x14ac:dyDescent="0.4">
      <c r="A1492" s="96">
        <v>1487</v>
      </c>
      <c r="B1492" s="101"/>
      <c r="C1492" s="102"/>
      <c r="D1492" s="111"/>
      <c r="E1492" s="236"/>
      <c r="F1492" s="110"/>
      <c r="G1492" s="112"/>
      <c r="H1492" s="114">
        <f t="shared" si="22"/>
        <v>0</v>
      </c>
    </row>
    <row r="1493" spans="1:8" ht="14.75" customHeight="1" x14ac:dyDescent="0.4">
      <c r="A1493" s="96">
        <v>1488</v>
      </c>
      <c r="B1493" s="101"/>
      <c r="C1493" s="102"/>
      <c r="D1493" s="111"/>
      <c r="E1493" s="236"/>
      <c r="F1493" s="110"/>
      <c r="G1493" s="112"/>
      <c r="H1493" s="114">
        <f t="shared" si="22"/>
        <v>0</v>
      </c>
    </row>
    <row r="1494" spans="1:8" ht="14.75" customHeight="1" x14ac:dyDescent="0.4">
      <c r="A1494" s="96">
        <v>1489</v>
      </c>
      <c r="B1494" s="101"/>
      <c r="C1494" s="102"/>
      <c r="D1494" s="111"/>
      <c r="E1494" s="236"/>
      <c r="F1494" s="110"/>
      <c r="G1494" s="112"/>
      <c r="H1494" s="114">
        <f t="shared" si="22"/>
        <v>0</v>
      </c>
    </row>
    <row r="1495" spans="1:8" ht="14.75" customHeight="1" x14ac:dyDescent="0.4">
      <c r="A1495" s="96">
        <v>1490</v>
      </c>
      <c r="B1495" s="101"/>
      <c r="C1495" s="102"/>
      <c r="D1495" s="111"/>
      <c r="E1495" s="236"/>
      <c r="F1495" s="110"/>
      <c r="G1495" s="112"/>
      <c r="H1495" s="114">
        <f t="shared" si="22"/>
        <v>0</v>
      </c>
    </row>
    <row r="1496" spans="1:8" ht="14.75" customHeight="1" x14ac:dyDescent="0.4">
      <c r="A1496" s="96">
        <v>1491</v>
      </c>
      <c r="B1496" s="101"/>
      <c r="C1496" s="102"/>
      <c r="D1496" s="111"/>
      <c r="E1496" s="236"/>
      <c r="F1496" s="110"/>
      <c r="G1496" s="112"/>
      <c r="H1496" s="114">
        <f t="shared" si="22"/>
        <v>0</v>
      </c>
    </row>
    <row r="1497" spans="1:8" ht="14.75" customHeight="1" x14ac:dyDescent="0.4">
      <c r="A1497" s="96">
        <v>1492</v>
      </c>
      <c r="B1497" s="101"/>
      <c r="C1497" s="102"/>
      <c r="D1497" s="111"/>
      <c r="E1497" s="236"/>
      <c r="F1497" s="110"/>
      <c r="G1497" s="112"/>
      <c r="H1497" s="114">
        <f t="shared" si="22"/>
        <v>0</v>
      </c>
    </row>
    <row r="1498" spans="1:8" ht="14.75" customHeight="1" x14ac:dyDescent="0.4">
      <c r="A1498" s="96">
        <v>1493</v>
      </c>
      <c r="B1498" s="101"/>
      <c r="C1498" s="102"/>
      <c r="D1498" s="111"/>
      <c r="E1498" s="236"/>
      <c r="F1498" s="110"/>
      <c r="G1498" s="112"/>
      <c r="H1498" s="114">
        <f t="shared" si="22"/>
        <v>0</v>
      </c>
    </row>
    <row r="1499" spans="1:8" ht="14.75" customHeight="1" x14ac:dyDescent="0.4">
      <c r="A1499" s="96">
        <v>1494</v>
      </c>
      <c r="B1499" s="101"/>
      <c r="C1499" s="102"/>
      <c r="D1499" s="111"/>
      <c r="E1499" s="236"/>
      <c r="F1499" s="110"/>
      <c r="G1499" s="112"/>
      <c r="H1499" s="114">
        <f t="shared" si="22"/>
        <v>0</v>
      </c>
    </row>
    <row r="1500" spans="1:8" ht="14.75" customHeight="1" x14ac:dyDescent="0.4">
      <c r="A1500" s="96">
        <v>1495</v>
      </c>
      <c r="B1500" s="101"/>
      <c r="C1500" s="102"/>
      <c r="D1500" s="111"/>
      <c r="E1500" s="236"/>
      <c r="F1500" s="110"/>
      <c r="G1500" s="112"/>
      <c r="H1500" s="114">
        <f t="shared" si="22"/>
        <v>0</v>
      </c>
    </row>
    <row r="1501" spans="1:8" ht="14.75" customHeight="1" x14ac:dyDescent="0.4">
      <c r="A1501" s="96">
        <v>1496</v>
      </c>
      <c r="B1501" s="101"/>
      <c r="C1501" s="102"/>
      <c r="D1501" s="111"/>
      <c r="E1501" s="236"/>
      <c r="F1501" s="110"/>
      <c r="G1501" s="112"/>
      <c r="H1501" s="114">
        <f t="shared" si="22"/>
        <v>0</v>
      </c>
    </row>
    <row r="1502" spans="1:8" ht="14.75" customHeight="1" x14ac:dyDescent="0.4">
      <c r="A1502" s="96">
        <v>1497</v>
      </c>
      <c r="B1502" s="101"/>
      <c r="C1502" s="102"/>
      <c r="D1502" s="111"/>
      <c r="E1502" s="236"/>
      <c r="F1502" s="110"/>
      <c r="G1502" s="112"/>
      <c r="H1502" s="114">
        <f t="shared" si="22"/>
        <v>0</v>
      </c>
    </row>
    <row r="1503" spans="1:8" ht="14.75" customHeight="1" x14ac:dyDescent="0.4">
      <c r="A1503" s="96">
        <v>1498</v>
      </c>
      <c r="B1503" s="101"/>
      <c r="C1503" s="102"/>
      <c r="D1503" s="111"/>
      <c r="E1503" s="236"/>
      <c r="F1503" s="110"/>
      <c r="G1503" s="112"/>
      <c r="H1503" s="114">
        <f t="shared" si="22"/>
        <v>0</v>
      </c>
    </row>
    <row r="1504" spans="1:8" ht="14.75" customHeight="1" x14ac:dyDescent="0.4">
      <c r="A1504" s="96">
        <v>1499</v>
      </c>
      <c r="B1504" s="101"/>
      <c r="C1504" s="102"/>
      <c r="D1504" s="111"/>
      <c r="E1504" s="236"/>
      <c r="F1504" s="110"/>
      <c r="G1504" s="112"/>
      <c r="H1504" s="114">
        <f t="shared" si="22"/>
        <v>0</v>
      </c>
    </row>
    <row r="1505" spans="1:8" ht="14.75" customHeight="1" x14ac:dyDescent="0.4">
      <c r="A1505" s="96">
        <v>1500</v>
      </c>
      <c r="B1505" s="101"/>
      <c r="C1505" s="102"/>
      <c r="D1505" s="111"/>
      <c r="E1505" s="236"/>
      <c r="F1505" s="110"/>
      <c r="G1505" s="112"/>
      <c r="H1505" s="114">
        <f t="shared" si="22"/>
        <v>0</v>
      </c>
    </row>
    <row r="1506" spans="1:8" ht="14.75" customHeight="1" x14ac:dyDescent="0.4">
      <c r="A1506" s="96">
        <v>1501</v>
      </c>
      <c r="B1506" s="101"/>
      <c r="C1506" s="102"/>
      <c r="D1506" s="111"/>
      <c r="E1506" s="236"/>
      <c r="F1506" s="110"/>
      <c r="G1506" s="112"/>
      <c r="H1506" s="114">
        <f t="shared" si="22"/>
        <v>0</v>
      </c>
    </row>
    <row r="1507" spans="1:8" ht="14.75" customHeight="1" x14ac:dyDescent="0.4">
      <c r="A1507" s="96">
        <v>1502</v>
      </c>
      <c r="B1507" s="101"/>
      <c r="C1507" s="102"/>
      <c r="D1507" s="111"/>
      <c r="E1507" s="236"/>
      <c r="F1507" s="110"/>
      <c r="G1507" s="112"/>
      <c r="H1507" s="114">
        <f t="shared" si="22"/>
        <v>0</v>
      </c>
    </row>
    <row r="1508" spans="1:8" ht="14.75" customHeight="1" x14ac:dyDescent="0.4">
      <c r="A1508" s="96">
        <v>1503</v>
      </c>
      <c r="B1508" s="101"/>
      <c r="C1508" s="102"/>
      <c r="D1508" s="111"/>
      <c r="E1508" s="236"/>
      <c r="F1508" s="110"/>
      <c r="G1508" s="112"/>
      <c r="H1508" s="114">
        <f t="shared" si="22"/>
        <v>0</v>
      </c>
    </row>
    <row r="1509" spans="1:8" ht="14.75" customHeight="1" x14ac:dyDescent="0.4">
      <c r="A1509" s="96">
        <v>1504</v>
      </c>
      <c r="B1509" s="101"/>
      <c r="C1509" s="102"/>
      <c r="D1509" s="111"/>
      <c r="E1509" s="236"/>
      <c r="F1509" s="110"/>
      <c r="G1509" s="112"/>
      <c r="H1509" s="114">
        <f t="shared" si="22"/>
        <v>0</v>
      </c>
    </row>
    <row r="1510" spans="1:8" ht="14.75" customHeight="1" x14ac:dyDescent="0.4">
      <c r="A1510" s="96">
        <v>1505</v>
      </c>
      <c r="B1510" s="101"/>
      <c r="C1510" s="102"/>
      <c r="D1510" s="111"/>
      <c r="E1510" s="236"/>
      <c r="F1510" s="110"/>
      <c r="G1510" s="112"/>
      <c r="H1510" s="114">
        <f t="shared" si="22"/>
        <v>0</v>
      </c>
    </row>
    <row r="1511" spans="1:8" ht="14.75" customHeight="1" x14ac:dyDescent="0.4">
      <c r="A1511" s="96">
        <v>1506</v>
      </c>
      <c r="B1511" s="101"/>
      <c r="C1511" s="102"/>
      <c r="D1511" s="111"/>
      <c r="E1511" s="236"/>
      <c r="F1511" s="110"/>
      <c r="G1511" s="112"/>
      <c r="H1511" s="114">
        <f t="shared" si="22"/>
        <v>0</v>
      </c>
    </row>
    <row r="1512" spans="1:8" ht="14.75" customHeight="1" x14ac:dyDescent="0.4">
      <c r="A1512" s="96">
        <v>1507</v>
      </c>
      <c r="B1512" s="101"/>
      <c r="C1512" s="102"/>
      <c r="D1512" s="111"/>
      <c r="E1512" s="236"/>
      <c r="F1512" s="110"/>
      <c r="G1512" s="112"/>
      <c r="H1512" s="114">
        <f t="shared" si="22"/>
        <v>0</v>
      </c>
    </row>
    <row r="1513" spans="1:8" ht="14.75" customHeight="1" x14ac:dyDescent="0.4">
      <c r="A1513" s="96">
        <v>1508</v>
      </c>
      <c r="B1513" s="101"/>
      <c r="C1513" s="102"/>
      <c r="D1513" s="111"/>
      <c r="E1513" s="236"/>
      <c r="F1513" s="110"/>
      <c r="G1513" s="112"/>
      <c r="H1513" s="114">
        <f t="shared" si="22"/>
        <v>0</v>
      </c>
    </row>
    <row r="1514" spans="1:8" ht="14.75" customHeight="1" x14ac:dyDescent="0.4">
      <c r="A1514" s="96">
        <v>1509</v>
      </c>
      <c r="B1514" s="101"/>
      <c r="C1514" s="102"/>
      <c r="D1514" s="111"/>
      <c r="E1514" s="236"/>
      <c r="F1514" s="110"/>
      <c r="G1514" s="112"/>
      <c r="H1514" s="114">
        <f t="shared" si="22"/>
        <v>0</v>
      </c>
    </row>
    <row r="1515" spans="1:8" ht="14.75" customHeight="1" x14ac:dyDescent="0.4">
      <c r="A1515" s="96">
        <v>1510</v>
      </c>
      <c r="B1515" s="101"/>
      <c r="C1515" s="102"/>
      <c r="D1515" s="111"/>
      <c r="E1515" s="236"/>
      <c r="F1515" s="110"/>
      <c r="G1515" s="112"/>
      <c r="H1515" s="114">
        <f t="shared" si="22"/>
        <v>0</v>
      </c>
    </row>
    <row r="1516" spans="1:8" ht="14.75" customHeight="1" x14ac:dyDescent="0.4">
      <c r="A1516" s="96">
        <v>1511</v>
      </c>
      <c r="B1516" s="101"/>
      <c r="C1516" s="102"/>
      <c r="D1516" s="111"/>
      <c r="E1516" s="236"/>
      <c r="F1516" s="110"/>
      <c r="G1516" s="112"/>
      <c r="H1516" s="114">
        <f t="shared" si="22"/>
        <v>0</v>
      </c>
    </row>
    <row r="1517" spans="1:8" ht="14.75" customHeight="1" x14ac:dyDescent="0.4">
      <c r="A1517" s="96">
        <v>1512</v>
      </c>
      <c r="B1517" s="101"/>
      <c r="C1517" s="102"/>
      <c r="D1517" s="111"/>
      <c r="E1517" s="236"/>
      <c r="F1517" s="110"/>
      <c r="G1517" s="112"/>
      <c r="H1517" s="114">
        <f t="shared" si="22"/>
        <v>0</v>
      </c>
    </row>
    <row r="1518" spans="1:8" ht="14.75" customHeight="1" x14ac:dyDescent="0.4">
      <c r="A1518" s="96">
        <v>1513</v>
      </c>
      <c r="B1518" s="101"/>
      <c r="C1518" s="102"/>
      <c r="D1518" s="111"/>
      <c r="E1518" s="236"/>
      <c r="F1518" s="110"/>
      <c r="G1518" s="112"/>
      <c r="H1518" s="114">
        <f t="shared" ref="H1518:H1574" si="23">H1517+F1518-G1518</f>
        <v>0</v>
      </c>
    </row>
    <row r="1519" spans="1:8" ht="14.75" customHeight="1" x14ac:dyDescent="0.4">
      <c r="A1519" s="96">
        <v>1514</v>
      </c>
      <c r="B1519" s="101"/>
      <c r="C1519" s="102"/>
      <c r="D1519" s="111"/>
      <c r="E1519" s="236"/>
      <c r="F1519" s="110"/>
      <c r="G1519" s="112"/>
      <c r="H1519" s="114">
        <f t="shared" si="23"/>
        <v>0</v>
      </c>
    </row>
    <row r="1520" spans="1:8" ht="14.75" customHeight="1" x14ac:dyDescent="0.4">
      <c r="A1520" s="96">
        <v>1515</v>
      </c>
      <c r="B1520" s="101"/>
      <c r="C1520" s="102"/>
      <c r="D1520" s="111"/>
      <c r="E1520" s="236"/>
      <c r="F1520" s="110"/>
      <c r="G1520" s="112"/>
      <c r="H1520" s="114">
        <f t="shared" si="23"/>
        <v>0</v>
      </c>
    </row>
    <row r="1521" spans="1:8" ht="14.75" customHeight="1" x14ac:dyDescent="0.4">
      <c r="A1521" s="96">
        <v>1516</v>
      </c>
      <c r="B1521" s="101"/>
      <c r="C1521" s="102"/>
      <c r="D1521" s="111"/>
      <c r="E1521" s="236"/>
      <c r="F1521" s="110"/>
      <c r="G1521" s="112"/>
      <c r="H1521" s="114">
        <f t="shared" si="23"/>
        <v>0</v>
      </c>
    </row>
    <row r="1522" spans="1:8" ht="14.75" customHeight="1" x14ac:dyDescent="0.4">
      <c r="A1522" s="96">
        <v>1517</v>
      </c>
      <c r="B1522" s="101"/>
      <c r="C1522" s="102"/>
      <c r="D1522" s="111"/>
      <c r="E1522" s="236"/>
      <c r="F1522" s="110"/>
      <c r="G1522" s="112"/>
      <c r="H1522" s="114">
        <f t="shared" si="23"/>
        <v>0</v>
      </c>
    </row>
    <row r="1523" spans="1:8" ht="14.75" customHeight="1" x14ac:dyDescent="0.4">
      <c r="A1523" s="96">
        <v>1518</v>
      </c>
      <c r="B1523" s="101"/>
      <c r="C1523" s="102"/>
      <c r="D1523" s="111"/>
      <c r="E1523" s="236"/>
      <c r="F1523" s="110"/>
      <c r="G1523" s="112"/>
      <c r="H1523" s="114">
        <f t="shared" si="23"/>
        <v>0</v>
      </c>
    </row>
    <row r="1524" spans="1:8" ht="14.75" customHeight="1" x14ac:dyDescent="0.4">
      <c r="A1524" s="96">
        <v>1519</v>
      </c>
      <c r="B1524" s="101"/>
      <c r="C1524" s="102"/>
      <c r="D1524" s="111"/>
      <c r="E1524" s="236"/>
      <c r="F1524" s="110"/>
      <c r="G1524" s="112"/>
      <c r="H1524" s="114">
        <f t="shared" si="23"/>
        <v>0</v>
      </c>
    </row>
    <row r="1525" spans="1:8" ht="14.75" customHeight="1" x14ac:dyDescent="0.4">
      <c r="A1525" s="96">
        <v>1520</v>
      </c>
      <c r="B1525" s="101"/>
      <c r="C1525" s="102"/>
      <c r="D1525" s="111"/>
      <c r="E1525" s="236"/>
      <c r="F1525" s="110"/>
      <c r="G1525" s="112"/>
      <c r="H1525" s="114">
        <f t="shared" si="23"/>
        <v>0</v>
      </c>
    </row>
    <row r="1526" spans="1:8" ht="14.75" customHeight="1" x14ac:dyDescent="0.4">
      <c r="A1526" s="96">
        <v>1521</v>
      </c>
      <c r="B1526" s="101"/>
      <c r="C1526" s="102"/>
      <c r="D1526" s="111"/>
      <c r="E1526" s="236"/>
      <c r="F1526" s="110"/>
      <c r="G1526" s="112"/>
      <c r="H1526" s="114">
        <f t="shared" si="23"/>
        <v>0</v>
      </c>
    </row>
    <row r="1527" spans="1:8" ht="14.75" customHeight="1" x14ac:dyDescent="0.4">
      <c r="A1527" s="96">
        <v>1522</v>
      </c>
      <c r="B1527" s="101"/>
      <c r="C1527" s="102"/>
      <c r="D1527" s="111"/>
      <c r="E1527" s="236"/>
      <c r="F1527" s="110"/>
      <c r="G1527" s="112"/>
      <c r="H1527" s="114">
        <f t="shared" si="23"/>
        <v>0</v>
      </c>
    </row>
    <row r="1528" spans="1:8" ht="14.75" customHeight="1" x14ac:dyDescent="0.4">
      <c r="A1528" s="96">
        <v>1523</v>
      </c>
      <c r="B1528" s="101"/>
      <c r="C1528" s="102"/>
      <c r="D1528" s="111"/>
      <c r="E1528" s="236"/>
      <c r="F1528" s="110"/>
      <c r="G1528" s="112"/>
      <c r="H1528" s="114">
        <f t="shared" si="23"/>
        <v>0</v>
      </c>
    </row>
    <row r="1529" spans="1:8" ht="14.75" customHeight="1" x14ac:dyDescent="0.4">
      <c r="A1529" s="96">
        <v>1524</v>
      </c>
      <c r="B1529" s="101"/>
      <c r="C1529" s="102"/>
      <c r="D1529" s="111"/>
      <c r="E1529" s="236"/>
      <c r="F1529" s="110"/>
      <c r="G1529" s="112"/>
      <c r="H1529" s="114">
        <f t="shared" si="23"/>
        <v>0</v>
      </c>
    </row>
    <row r="1530" spans="1:8" ht="14.75" customHeight="1" x14ac:dyDescent="0.4">
      <c r="A1530" s="96">
        <v>1525</v>
      </c>
      <c r="B1530" s="101"/>
      <c r="C1530" s="102"/>
      <c r="D1530" s="111"/>
      <c r="E1530" s="236"/>
      <c r="F1530" s="110"/>
      <c r="G1530" s="112"/>
      <c r="H1530" s="114">
        <f t="shared" si="23"/>
        <v>0</v>
      </c>
    </row>
    <row r="1531" spans="1:8" ht="14.75" customHeight="1" x14ac:dyDescent="0.4">
      <c r="A1531" s="96">
        <v>1526</v>
      </c>
      <c r="B1531" s="101"/>
      <c r="C1531" s="102"/>
      <c r="D1531" s="111"/>
      <c r="E1531" s="236"/>
      <c r="F1531" s="110"/>
      <c r="G1531" s="112"/>
      <c r="H1531" s="114">
        <f t="shared" si="23"/>
        <v>0</v>
      </c>
    </row>
    <row r="1532" spans="1:8" ht="14.75" customHeight="1" x14ac:dyDescent="0.4">
      <c r="A1532" s="96">
        <v>1527</v>
      </c>
      <c r="B1532" s="101"/>
      <c r="C1532" s="102"/>
      <c r="D1532" s="111"/>
      <c r="E1532" s="236"/>
      <c r="F1532" s="110"/>
      <c r="G1532" s="112"/>
      <c r="H1532" s="114">
        <f t="shared" si="23"/>
        <v>0</v>
      </c>
    </row>
    <row r="1533" spans="1:8" ht="14.75" customHeight="1" x14ac:dyDescent="0.4">
      <c r="A1533" s="96">
        <v>1528</v>
      </c>
      <c r="B1533" s="101"/>
      <c r="C1533" s="102"/>
      <c r="D1533" s="111"/>
      <c r="E1533" s="236"/>
      <c r="F1533" s="110"/>
      <c r="G1533" s="112"/>
      <c r="H1533" s="114">
        <f t="shared" si="23"/>
        <v>0</v>
      </c>
    </row>
    <row r="1534" spans="1:8" ht="14.75" customHeight="1" x14ac:dyDescent="0.4">
      <c r="A1534" s="96">
        <v>1529</v>
      </c>
      <c r="B1534" s="101"/>
      <c r="C1534" s="102"/>
      <c r="D1534" s="111"/>
      <c r="E1534" s="236"/>
      <c r="F1534" s="110"/>
      <c r="G1534" s="112"/>
      <c r="H1534" s="114">
        <f t="shared" si="23"/>
        <v>0</v>
      </c>
    </row>
    <row r="1535" spans="1:8" ht="14.75" customHeight="1" x14ac:dyDescent="0.4">
      <c r="A1535" s="96">
        <v>1530</v>
      </c>
      <c r="B1535" s="101"/>
      <c r="C1535" s="102"/>
      <c r="D1535" s="111"/>
      <c r="E1535" s="236"/>
      <c r="F1535" s="110"/>
      <c r="G1535" s="112"/>
      <c r="H1535" s="114">
        <f t="shared" si="23"/>
        <v>0</v>
      </c>
    </row>
    <row r="1536" spans="1:8" ht="14.75" customHeight="1" x14ac:dyDescent="0.4">
      <c r="A1536" s="96">
        <v>1531</v>
      </c>
      <c r="B1536" s="101"/>
      <c r="C1536" s="102"/>
      <c r="D1536" s="111"/>
      <c r="E1536" s="236"/>
      <c r="F1536" s="110"/>
      <c r="G1536" s="112"/>
      <c r="H1536" s="114">
        <f t="shared" si="23"/>
        <v>0</v>
      </c>
    </row>
    <row r="1537" spans="1:8" ht="14.75" customHeight="1" x14ac:dyDescent="0.4">
      <c r="A1537" s="96">
        <v>1532</v>
      </c>
      <c r="B1537" s="101"/>
      <c r="C1537" s="102"/>
      <c r="D1537" s="111"/>
      <c r="E1537" s="236"/>
      <c r="F1537" s="110"/>
      <c r="G1537" s="112"/>
      <c r="H1537" s="114">
        <f t="shared" si="23"/>
        <v>0</v>
      </c>
    </row>
    <row r="1538" spans="1:8" ht="14.75" customHeight="1" x14ac:dyDescent="0.4">
      <c r="A1538" s="96">
        <v>1533</v>
      </c>
      <c r="B1538" s="101"/>
      <c r="C1538" s="102"/>
      <c r="D1538" s="111"/>
      <c r="E1538" s="236"/>
      <c r="F1538" s="110"/>
      <c r="G1538" s="112"/>
      <c r="H1538" s="114">
        <f t="shared" si="23"/>
        <v>0</v>
      </c>
    </row>
    <row r="1539" spans="1:8" ht="14.75" customHeight="1" x14ac:dyDescent="0.4">
      <c r="A1539" s="96">
        <v>1534</v>
      </c>
      <c r="B1539" s="101"/>
      <c r="C1539" s="102"/>
      <c r="D1539" s="111"/>
      <c r="E1539" s="236"/>
      <c r="F1539" s="110"/>
      <c r="G1539" s="112"/>
      <c r="H1539" s="114">
        <f t="shared" si="23"/>
        <v>0</v>
      </c>
    </row>
    <row r="1540" spans="1:8" ht="14.75" customHeight="1" x14ac:dyDescent="0.4">
      <c r="A1540" s="96">
        <v>1535</v>
      </c>
      <c r="B1540" s="101"/>
      <c r="C1540" s="102"/>
      <c r="D1540" s="111"/>
      <c r="E1540" s="236"/>
      <c r="F1540" s="110"/>
      <c r="G1540" s="112"/>
      <c r="H1540" s="114">
        <f t="shared" si="23"/>
        <v>0</v>
      </c>
    </row>
    <row r="1541" spans="1:8" ht="14.75" customHeight="1" x14ac:dyDescent="0.4">
      <c r="A1541" s="96">
        <v>1536</v>
      </c>
      <c r="B1541" s="101"/>
      <c r="C1541" s="102"/>
      <c r="D1541" s="111"/>
      <c r="E1541" s="236"/>
      <c r="F1541" s="110"/>
      <c r="G1541" s="112"/>
      <c r="H1541" s="114">
        <f t="shared" si="23"/>
        <v>0</v>
      </c>
    </row>
    <row r="1542" spans="1:8" ht="14.75" customHeight="1" x14ac:dyDescent="0.4">
      <c r="A1542" s="96">
        <v>1537</v>
      </c>
      <c r="B1542" s="101"/>
      <c r="C1542" s="102"/>
      <c r="D1542" s="111"/>
      <c r="E1542" s="236"/>
      <c r="F1542" s="110"/>
      <c r="G1542" s="112"/>
      <c r="H1542" s="114">
        <f t="shared" si="23"/>
        <v>0</v>
      </c>
    </row>
    <row r="1543" spans="1:8" ht="14.75" customHeight="1" x14ac:dyDescent="0.4">
      <c r="A1543" s="96">
        <v>1538</v>
      </c>
      <c r="B1543" s="101"/>
      <c r="C1543" s="102"/>
      <c r="D1543" s="111"/>
      <c r="E1543" s="236"/>
      <c r="F1543" s="110"/>
      <c r="G1543" s="112"/>
      <c r="H1543" s="114">
        <f t="shared" si="23"/>
        <v>0</v>
      </c>
    </row>
    <row r="1544" spans="1:8" ht="14.75" customHeight="1" x14ac:dyDescent="0.4">
      <c r="A1544" s="96">
        <v>1539</v>
      </c>
      <c r="B1544" s="101"/>
      <c r="C1544" s="102"/>
      <c r="D1544" s="111"/>
      <c r="E1544" s="236"/>
      <c r="F1544" s="110"/>
      <c r="G1544" s="112"/>
      <c r="H1544" s="114">
        <f t="shared" si="23"/>
        <v>0</v>
      </c>
    </row>
    <row r="1545" spans="1:8" ht="14.75" customHeight="1" x14ac:dyDescent="0.4">
      <c r="A1545" s="96">
        <v>1540</v>
      </c>
      <c r="B1545" s="101"/>
      <c r="C1545" s="102"/>
      <c r="D1545" s="111"/>
      <c r="E1545" s="236"/>
      <c r="F1545" s="110"/>
      <c r="G1545" s="112"/>
      <c r="H1545" s="114">
        <f t="shared" si="23"/>
        <v>0</v>
      </c>
    </row>
    <row r="1546" spans="1:8" ht="14.75" customHeight="1" x14ac:dyDescent="0.4">
      <c r="A1546" s="96">
        <v>1541</v>
      </c>
      <c r="B1546" s="101"/>
      <c r="C1546" s="102"/>
      <c r="D1546" s="111"/>
      <c r="E1546" s="236"/>
      <c r="F1546" s="110"/>
      <c r="G1546" s="112"/>
      <c r="H1546" s="114">
        <f t="shared" si="23"/>
        <v>0</v>
      </c>
    </row>
    <row r="1547" spans="1:8" ht="14.75" customHeight="1" x14ac:dyDescent="0.4">
      <c r="A1547" s="96">
        <v>1542</v>
      </c>
      <c r="B1547" s="101"/>
      <c r="C1547" s="102"/>
      <c r="D1547" s="111"/>
      <c r="E1547" s="236"/>
      <c r="F1547" s="110"/>
      <c r="G1547" s="112"/>
      <c r="H1547" s="114">
        <f t="shared" si="23"/>
        <v>0</v>
      </c>
    </row>
    <row r="1548" spans="1:8" ht="14.75" customHeight="1" x14ac:dyDescent="0.4">
      <c r="A1548" s="96">
        <v>1543</v>
      </c>
      <c r="B1548" s="101"/>
      <c r="C1548" s="102"/>
      <c r="D1548" s="111"/>
      <c r="E1548" s="236"/>
      <c r="F1548" s="110"/>
      <c r="G1548" s="112"/>
      <c r="H1548" s="114">
        <f t="shared" si="23"/>
        <v>0</v>
      </c>
    </row>
    <row r="1549" spans="1:8" ht="14.75" customHeight="1" x14ac:dyDescent="0.4">
      <c r="A1549" s="96">
        <v>1544</v>
      </c>
      <c r="B1549" s="101"/>
      <c r="C1549" s="102"/>
      <c r="D1549" s="111"/>
      <c r="E1549" s="236"/>
      <c r="F1549" s="110"/>
      <c r="G1549" s="112"/>
      <c r="H1549" s="114">
        <f t="shared" si="23"/>
        <v>0</v>
      </c>
    </row>
    <row r="1550" spans="1:8" ht="14.75" customHeight="1" x14ac:dyDescent="0.4">
      <c r="A1550" s="96">
        <v>1545</v>
      </c>
      <c r="B1550" s="101"/>
      <c r="C1550" s="102"/>
      <c r="D1550" s="111"/>
      <c r="E1550" s="236"/>
      <c r="F1550" s="110"/>
      <c r="G1550" s="112"/>
      <c r="H1550" s="114">
        <f t="shared" si="23"/>
        <v>0</v>
      </c>
    </row>
    <row r="1551" spans="1:8" ht="14.75" customHeight="1" x14ac:dyDescent="0.4">
      <c r="A1551" s="96">
        <v>1546</v>
      </c>
      <c r="B1551" s="101"/>
      <c r="C1551" s="102"/>
      <c r="D1551" s="111"/>
      <c r="E1551" s="236"/>
      <c r="F1551" s="110"/>
      <c r="G1551" s="112"/>
      <c r="H1551" s="114">
        <f t="shared" si="23"/>
        <v>0</v>
      </c>
    </row>
    <row r="1552" spans="1:8" ht="14.75" customHeight="1" x14ac:dyDescent="0.4">
      <c r="A1552" s="96">
        <v>1547</v>
      </c>
      <c r="B1552" s="101"/>
      <c r="C1552" s="102"/>
      <c r="D1552" s="111"/>
      <c r="E1552" s="236"/>
      <c r="F1552" s="110"/>
      <c r="G1552" s="112"/>
      <c r="H1552" s="114">
        <f t="shared" si="23"/>
        <v>0</v>
      </c>
    </row>
    <row r="1553" spans="1:8" ht="14.75" customHeight="1" x14ac:dyDescent="0.4">
      <c r="A1553" s="96">
        <v>1548</v>
      </c>
      <c r="B1553" s="101"/>
      <c r="C1553" s="102"/>
      <c r="D1553" s="111"/>
      <c r="E1553" s="236"/>
      <c r="F1553" s="110"/>
      <c r="G1553" s="112"/>
      <c r="H1553" s="114">
        <f t="shared" si="23"/>
        <v>0</v>
      </c>
    </row>
    <row r="1554" spans="1:8" ht="14.75" customHeight="1" x14ac:dyDescent="0.4">
      <c r="A1554" s="96">
        <v>1549</v>
      </c>
      <c r="B1554" s="101"/>
      <c r="C1554" s="102"/>
      <c r="D1554" s="111"/>
      <c r="E1554" s="236"/>
      <c r="F1554" s="110"/>
      <c r="G1554" s="112"/>
      <c r="H1554" s="114">
        <f t="shared" si="23"/>
        <v>0</v>
      </c>
    </row>
    <row r="1555" spans="1:8" ht="14.75" customHeight="1" x14ac:dyDescent="0.4">
      <c r="A1555" s="96">
        <v>1550</v>
      </c>
      <c r="B1555" s="101"/>
      <c r="C1555" s="102"/>
      <c r="D1555" s="111"/>
      <c r="E1555" s="236"/>
      <c r="F1555" s="110"/>
      <c r="G1555" s="112"/>
      <c r="H1555" s="114">
        <f t="shared" si="23"/>
        <v>0</v>
      </c>
    </row>
    <row r="1556" spans="1:8" ht="14.75" customHeight="1" x14ac:dyDescent="0.4">
      <c r="A1556" s="96">
        <v>1551</v>
      </c>
      <c r="B1556" s="101"/>
      <c r="C1556" s="102"/>
      <c r="D1556" s="111"/>
      <c r="E1556" s="236"/>
      <c r="F1556" s="110"/>
      <c r="G1556" s="112"/>
      <c r="H1556" s="114">
        <f t="shared" si="23"/>
        <v>0</v>
      </c>
    </row>
    <row r="1557" spans="1:8" ht="14.75" customHeight="1" x14ac:dyDescent="0.4">
      <c r="A1557" s="96">
        <v>1552</v>
      </c>
      <c r="B1557" s="101"/>
      <c r="C1557" s="102"/>
      <c r="D1557" s="111"/>
      <c r="E1557" s="236"/>
      <c r="F1557" s="110"/>
      <c r="G1557" s="112"/>
      <c r="H1557" s="114">
        <f t="shared" si="23"/>
        <v>0</v>
      </c>
    </row>
    <row r="1558" spans="1:8" ht="14.75" customHeight="1" x14ac:dyDescent="0.4">
      <c r="A1558" s="96">
        <v>1553</v>
      </c>
      <c r="B1558" s="101"/>
      <c r="C1558" s="102"/>
      <c r="D1558" s="111"/>
      <c r="E1558" s="236"/>
      <c r="F1558" s="110"/>
      <c r="G1558" s="112"/>
      <c r="H1558" s="114">
        <f t="shared" si="23"/>
        <v>0</v>
      </c>
    </row>
    <row r="1559" spans="1:8" ht="14.75" customHeight="1" x14ac:dyDescent="0.4">
      <c r="A1559" s="96">
        <v>1554</v>
      </c>
      <c r="B1559" s="101"/>
      <c r="C1559" s="102"/>
      <c r="D1559" s="111"/>
      <c r="E1559" s="236"/>
      <c r="F1559" s="110"/>
      <c r="G1559" s="112"/>
      <c r="H1559" s="114">
        <f t="shared" si="23"/>
        <v>0</v>
      </c>
    </row>
    <row r="1560" spans="1:8" ht="14.75" customHeight="1" x14ac:dyDescent="0.4">
      <c r="A1560" s="96">
        <v>1555</v>
      </c>
      <c r="B1560" s="101"/>
      <c r="C1560" s="102"/>
      <c r="D1560" s="111"/>
      <c r="E1560" s="236"/>
      <c r="F1560" s="110"/>
      <c r="G1560" s="112"/>
      <c r="H1560" s="114">
        <f t="shared" si="23"/>
        <v>0</v>
      </c>
    </row>
    <row r="1561" spans="1:8" ht="14.75" customHeight="1" x14ac:dyDescent="0.4">
      <c r="A1561" s="96">
        <v>1556</v>
      </c>
      <c r="B1561" s="101"/>
      <c r="C1561" s="102"/>
      <c r="D1561" s="111"/>
      <c r="E1561" s="236"/>
      <c r="F1561" s="110"/>
      <c r="G1561" s="112"/>
      <c r="H1561" s="114">
        <f t="shared" si="23"/>
        <v>0</v>
      </c>
    </row>
    <row r="1562" spans="1:8" ht="14.75" customHeight="1" x14ac:dyDescent="0.4">
      <c r="A1562" s="96">
        <v>1557</v>
      </c>
      <c r="B1562" s="101"/>
      <c r="C1562" s="102"/>
      <c r="D1562" s="111"/>
      <c r="E1562" s="236"/>
      <c r="F1562" s="110"/>
      <c r="G1562" s="112"/>
      <c r="H1562" s="114">
        <f t="shared" si="23"/>
        <v>0</v>
      </c>
    </row>
    <row r="1563" spans="1:8" ht="14.75" customHeight="1" x14ac:dyDescent="0.4">
      <c r="A1563" s="96">
        <v>1558</v>
      </c>
      <c r="B1563" s="101"/>
      <c r="C1563" s="102"/>
      <c r="D1563" s="111"/>
      <c r="E1563" s="236"/>
      <c r="F1563" s="110"/>
      <c r="G1563" s="112"/>
      <c r="H1563" s="114">
        <f t="shared" si="23"/>
        <v>0</v>
      </c>
    </row>
    <row r="1564" spans="1:8" ht="14.75" customHeight="1" x14ac:dyDescent="0.4">
      <c r="A1564" s="96">
        <v>1559</v>
      </c>
      <c r="B1564" s="101"/>
      <c r="C1564" s="102"/>
      <c r="D1564" s="111"/>
      <c r="E1564" s="236"/>
      <c r="F1564" s="110"/>
      <c r="G1564" s="112"/>
      <c r="H1564" s="114">
        <f t="shared" si="23"/>
        <v>0</v>
      </c>
    </row>
    <row r="1565" spans="1:8" ht="14.75" customHeight="1" x14ac:dyDescent="0.4">
      <c r="A1565" s="96">
        <v>1560</v>
      </c>
      <c r="B1565" s="101"/>
      <c r="C1565" s="102"/>
      <c r="D1565" s="111"/>
      <c r="E1565" s="236"/>
      <c r="F1565" s="110"/>
      <c r="G1565" s="112"/>
      <c r="H1565" s="114">
        <f t="shared" si="23"/>
        <v>0</v>
      </c>
    </row>
    <row r="1566" spans="1:8" ht="14.75" customHeight="1" x14ac:dyDescent="0.4">
      <c r="A1566" s="96">
        <v>1561</v>
      </c>
      <c r="B1566" s="101"/>
      <c r="C1566" s="102"/>
      <c r="D1566" s="111"/>
      <c r="E1566" s="236"/>
      <c r="F1566" s="110"/>
      <c r="G1566" s="112"/>
      <c r="H1566" s="114">
        <f t="shared" si="23"/>
        <v>0</v>
      </c>
    </row>
    <row r="1567" spans="1:8" ht="14.75" customHeight="1" x14ac:dyDescent="0.4">
      <c r="A1567" s="96">
        <v>1562</v>
      </c>
      <c r="B1567" s="101"/>
      <c r="C1567" s="102"/>
      <c r="D1567" s="111"/>
      <c r="E1567" s="236"/>
      <c r="F1567" s="110"/>
      <c r="G1567" s="112"/>
      <c r="H1567" s="114">
        <f t="shared" si="23"/>
        <v>0</v>
      </c>
    </row>
    <row r="1568" spans="1:8" ht="14.75" customHeight="1" x14ac:dyDescent="0.4">
      <c r="A1568" s="96">
        <v>1563</v>
      </c>
      <c r="B1568" s="101"/>
      <c r="C1568" s="102"/>
      <c r="D1568" s="111"/>
      <c r="E1568" s="236"/>
      <c r="F1568" s="110"/>
      <c r="G1568" s="112"/>
      <c r="H1568" s="114">
        <f t="shared" si="23"/>
        <v>0</v>
      </c>
    </row>
    <row r="1569" spans="1:8" ht="14.75" customHeight="1" x14ac:dyDescent="0.4">
      <c r="A1569" s="96">
        <v>1564</v>
      </c>
      <c r="B1569" s="101"/>
      <c r="C1569" s="102"/>
      <c r="D1569" s="111"/>
      <c r="E1569" s="236"/>
      <c r="F1569" s="110"/>
      <c r="G1569" s="112"/>
      <c r="H1569" s="114">
        <f t="shared" si="23"/>
        <v>0</v>
      </c>
    </row>
    <row r="1570" spans="1:8" ht="14.75" customHeight="1" x14ac:dyDescent="0.4">
      <c r="A1570" s="96">
        <v>1565</v>
      </c>
      <c r="B1570" s="101"/>
      <c r="C1570" s="102"/>
      <c r="D1570" s="111"/>
      <c r="E1570" s="236"/>
      <c r="F1570" s="110"/>
      <c r="G1570" s="112"/>
      <c r="H1570" s="114">
        <f t="shared" si="23"/>
        <v>0</v>
      </c>
    </row>
    <row r="1571" spans="1:8" ht="14.75" customHeight="1" x14ac:dyDescent="0.4">
      <c r="A1571" s="96">
        <v>1566</v>
      </c>
      <c r="B1571" s="97"/>
      <c r="C1571" s="102"/>
      <c r="D1571" s="115"/>
      <c r="E1571" s="96"/>
      <c r="F1571" s="114"/>
      <c r="G1571" s="114"/>
      <c r="H1571" s="114">
        <f t="shared" si="23"/>
        <v>0</v>
      </c>
    </row>
    <row r="1572" spans="1:8" ht="14.75" customHeight="1" x14ac:dyDescent="0.4">
      <c r="A1572" s="96">
        <v>1567</v>
      </c>
      <c r="B1572" s="97"/>
      <c r="C1572" s="102"/>
      <c r="D1572" s="115"/>
      <c r="E1572" s="96"/>
      <c r="F1572" s="114"/>
      <c r="G1572" s="114"/>
      <c r="H1572" s="114">
        <f t="shared" si="23"/>
        <v>0</v>
      </c>
    </row>
    <row r="1573" spans="1:8" ht="14.75" customHeight="1" x14ac:dyDescent="0.4">
      <c r="A1573" s="96">
        <v>1568</v>
      </c>
      <c r="B1573" s="97"/>
      <c r="C1573" s="102"/>
      <c r="D1573" s="115"/>
      <c r="E1573" s="96"/>
      <c r="F1573" s="114"/>
      <c r="G1573" s="114"/>
      <c r="H1573" s="114">
        <f t="shared" si="23"/>
        <v>0</v>
      </c>
    </row>
    <row r="1574" spans="1:8" ht="14.75" customHeight="1" x14ac:dyDescent="0.4">
      <c r="A1574" s="96">
        <v>1569</v>
      </c>
      <c r="B1574" s="97"/>
      <c r="C1574" s="102"/>
      <c r="D1574" s="115"/>
      <c r="E1574" s="96"/>
      <c r="F1574" s="114"/>
      <c r="G1574" s="114"/>
      <c r="H1574" s="114">
        <f t="shared" si="23"/>
        <v>0</v>
      </c>
    </row>
    <row r="1575" spans="1:8" ht="14.75" customHeight="1" x14ac:dyDescent="0.4">
      <c r="A1575" s="96">
        <v>1570</v>
      </c>
      <c r="B1575" s="97"/>
      <c r="C1575" s="102"/>
      <c r="D1575" s="115"/>
      <c r="E1575" s="96"/>
      <c r="F1575" s="114"/>
      <c r="G1575" s="114"/>
      <c r="H1575" s="114">
        <f t="shared" si="21"/>
        <v>0</v>
      </c>
    </row>
    <row r="1576" spans="1:8" ht="14.75" customHeight="1" x14ac:dyDescent="0.4">
      <c r="A1576" s="96">
        <v>1571</v>
      </c>
      <c r="B1576" s="97"/>
      <c r="C1576" s="102" t="s">
        <v>118</v>
      </c>
      <c r="D1576" s="103" t="s">
        <v>291</v>
      </c>
      <c r="E1576" s="235"/>
      <c r="F1576" s="104">
        <f>'PERSEDIAAN STOK'!H2</f>
        <v>0</v>
      </c>
      <c r="G1576" s="104"/>
      <c r="H1576" s="114">
        <f t="shared" si="21"/>
        <v>0</v>
      </c>
    </row>
    <row r="1577" spans="1:8" ht="14.75" customHeight="1" x14ac:dyDescent="0.4">
      <c r="A1577" s="96">
        <v>1572</v>
      </c>
      <c r="B1577" s="97"/>
      <c r="C1577" s="102" t="s">
        <v>118</v>
      </c>
      <c r="D1577" s="103" t="s">
        <v>291</v>
      </c>
      <c r="E1577" s="235"/>
      <c r="F1577" s="104"/>
      <c r="G1577" s="104">
        <f>F1576</f>
        <v>0</v>
      </c>
      <c r="H1577" s="114">
        <f t="shared" si="21"/>
        <v>0</v>
      </c>
    </row>
    <row r="1578" spans="1:8" x14ac:dyDescent="0.4">
      <c r="A1578" s="96"/>
      <c r="B1578" s="93"/>
      <c r="C1578" s="102"/>
      <c r="D1578" s="95" t="s">
        <v>5</v>
      </c>
      <c r="E1578" s="95"/>
      <c r="F1578" s="116">
        <f>SUM(F7:F1577)</f>
        <v>0</v>
      </c>
      <c r="G1578" s="116">
        <f>SUM(G7:G1577)</f>
        <v>0</v>
      </c>
      <c r="H1578" s="116"/>
    </row>
    <row r="1580" spans="1:8" x14ac:dyDescent="0.4">
      <c r="G1580" s="90">
        <v>4000000</v>
      </c>
    </row>
    <row r="1581" spans="1:8" x14ac:dyDescent="0.4">
      <c r="G1581" s="90">
        <f>G1578/G1580</f>
        <v>0</v>
      </c>
    </row>
  </sheetData>
  <autoFilter ref="A5:H1578" xr:uid="{00000000-0009-0000-0000-000003000000}"/>
  <mergeCells count="3">
    <mergeCell ref="B3:H3"/>
    <mergeCell ref="B2:H2"/>
    <mergeCell ref="B1:H1"/>
  </mergeCells>
  <dataValidations count="2">
    <dataValidation type="list" allowBlank="1" showInputMessage="1" showErrorMessage="1" sqref="C7:C1575 C1578" xr:uid="{00000000-0002-0000-0300-000000000000}">
      <formula1>"Pendapatan,Biaya Jasa,Gaji,Listrik Internet PDAM,BPJS,Operasional,Pemasaran,Transport,Pemeliharaan,Sewa,Administrasi &amp; Umum,Pajak,PLU,BLU,Kas,Aset Tetap,PPN Masukan,PPN Keluaran,PPh 23,PPh 22,PPh 25,Piutang,Hutang,Modal,Prive/Dividen"</formula1>
    </dataValidation>
    <dataValidation type="list" allowBlank="1" showInputMessage="1" showErrorMessage="1" sqref="C1576:C1577" xr:uid="{00000000-0002-0000-0300-000001000000}">
      <formula1>"Pendapatan,Pembelian,HPP,Gaji,Listrik Internet PDAM,BPJS,Operasional,Pemasaran,Transport,Pemeliharaan,Sewa,Administrasi &amp; Umum,Pajak,PLU,BLU,Kas,Persediaan,Aset Tetap,PPh 23,PPh 22,Piutang,Hutang,Modal,Prive/Dividen"</formula1>
    </dataValidation>
  </dataValidations>
  <pageMargins left="0.7" right="0.7" top="0.75" bottom="0.75" header="0.3" footer="0.3"/>
  <pageSetup paperSize="9"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N1437"/>
  <sheetViews>
    <sheetView showGridLines="0" zoomScaleNormal="100" workbookViewId="0">
      <selection activeCell="E12" sqref="E12"/>
    </sheetView>
  </sheetViews>
  <sheetFormatPr defaultRowHeight="14.5" x14ac:dyDescent="0.35"/>
  <cols>
    <col min="1" max="1" width="5.08984375" style="286" customWidth="1"/>
    <col min="2" max="2" width="11.36328125" style="287" customWidth="1"/>
    <col min="3" max="3" width="20.08984375" style="288" customWidth="1"/>
    <col min="4" max="4" width="37.90625" style="286" customWidth="1"/>
    <col min="5" max="5" width="17.36328125" style="286" customWidth="1"/>
    <col min="6" max="6" width="14.6328125" style="289" customWidth="1"/>
    <col min="7" max="7" width="15.6328125" style="289" customWidth="1"/>
    <col min="8" max="8" width="15.36328125" style="289" customWidth="1"/>
    <col min="9" max="9" width="5.6328125" style="286" customWidth="1"/>
    <col min="10" max="10" width="11.36328125" style="286" bestFit="1" customWidth="1"/>
    <col min="11" max="16384" width="8.7265625" style="286"/>
  </cols>
  <sheetData>
    <row r="1" spans="1:14" x14ac:dyDescent="0.35">
      <c r="A1" s="215"/>
      <c r="B1" s="320" t="s">
        <v>326</v>
      </c>
      <c r="C1" s="320"/>
      <c r="D1" s="320"/>
      <c r="E1" s="320"/>
      <c r="F1" s="320"/>
      <c r="G1" s="320"/>
      <c r="H1" s="320"/>
    </row>
    <row r="2" spans="1:14" x14ac:dyDescent="0.35">
      <c r="A2" s="215"/>
      <c r="B2" s="320" t="str">
        <f>KAS!B2:H2</f>
        <v xml:space="preserve">PT EDU MEDIA DIGITAL </v>
      </c>
      <c r="C2" s="320"/>
      <c r="D2" s="320"/>
      <c r="E2" s="320"/>
      <c r="F2" s="320"/>
      <c r="G2" s="320"/>
      <c r="H2" s="320"/>
    </row>
    <row r="3" spans="1:14" x14ac:dyDescent="0.35">
      <c r="A3" s="215"/>
      <c r="B3" s="321" t="str">
        <f>KAS!B3:H3</f>
        <v>2026</v>
      </c>
      <c r="C3" s="321"/>
      <c r="D3" s="321"/>
      <c r="E3" s="321"/>
      <c r="F3" s="321"/>
      <c r="G3" s="321"/>
      <c r="H3" s="321"/>
    </row>
    <row r="4" spans="1:14" x14ac:dyDescent="0.35">
      <c r="F4" s="289">
        <f>SUBTOTAL(9,F7:F1436)</f>
        <v>150208916.28</v>
      </c>
      <c r="G4" s="289">
        <f>SUBTOTAL(9,G7:G1436)</f>
        <v>89253305.260000005</v>
      </c>
    </row>
    <row r="5" spans="1:14" x14ac:dyDescent="0.35">
      <c r="A5" s="290" t="s">
        <v>24</v>
      </c>
      <c r="B5" s="26" t="s">
        <v>0</v>
      </c>
      <c r="C5" s="6" t="s">
        <v>6</v>
      </c>
      <c r="D5" s="5" t="s">
        <v>9</v>
      </c>
      <c r="E5" s="5" t="s">
        <v>88</v>
      </c>
      <c r="F5" s="6" t="s">
        <v>1</v>
      </c>
      <c r="G5" s="6" t="s">
        <v>2</v>
      </c>
      <c r="H5" s="6" t="s">
        <v>3</v>
      </c>
    </row>
    <row r="6" spans="1:14" x14ac:dyDescent="0.35">
      <c r="A6" s="291">
        <v>1</v>
      </c>
      <c r="B6" s="25"/>
      <c r="C6" s="15" t="s">
        <v>4</v>
      </c>
      <c r="D6" s="10" t="s">
        <v>374</v>
      </c>
      <c r="E6" s="10"/>
      <c r="F6" s="292"/>
      <c r="G6" s="292"/>
      <c r="H6" s="292">
        <v>1685236236.3199999</v>
      </c>
    </row>
    <row r="7" spans="1:14" ht="14.75" customHeight="1" x14ac:dyDescent="0.35">
      <c r="A7" s="291">
        <v>2</v>
      </c>
      <c r="B7" s="295"/>
      <c r="C7" s="296"/>
      <c r="D7" s="297" t="s">
        <v>375</v>
      </c>
      <c r="E7" s="297" t="s">
        <v>376</v>
      </c>
      <c r="F7" s="284">
        <v>0</v>
      </c>
      <c r="G7" s="284">
        <v>68233480</v>
      </c>
      <c r="H7" s="293">
        <f t="shared" ref="H7:H45" si="0">H6+F7-G7</f>
        <v>1617002756.3199999</v>
      </c>
      <c r="J7" s="288"/>
      <c r="L7" s="294"/>
      <c r="M7" s="294"/>
      <c r="N7" s="294"/>
    </row>
    <row r="8" spans="1:14" x14ac:dyDescent="0.35">
      <c r="A8" s="291">
        <v>3</v>
      </c>
      <c r="B8" s="295"/>
      <c r="C8" s="296" t="s">
        <v>53</v>
      </c>
      <c r="D8" s="297" t="s">
        <v>381</v>
      </c>
      <c r="E8" s="297"/>
      <c r="F8" s="284">
        <v>0</v>
      </c>
      <c r="G8" s="284">
        <v>2500</v>
      </c>
      <c r="H8" s="293">
        <f t="shared" si="0"/>
        <v>1617000256.3199999</v>
      </c>
    </row>
    <row r="9" spans="1:14" x14ac:dyDescent="0.35">
      <c r="A9" s="291">
        <v>4</v>
      </c>
      <c r="B9" s="295"/>
      <c r="C9" s="296" t="s">
        <v>17</v>
      </c>
      <c r="D9" s="297"/>
      <c r="E9" s="297"/>
      <c r="F9" s="284">
        <v>20000000</v>
      </c>
      <c r="G9" s="284">
        <v>0</v>
      </c>
      <c r="H9" s="293">
        <f t="shared" si="0"/>
        <v>1637000256.3199999</v>
      </c>
    </row>
    <row r="10" spans="1:14" x14ac:dyDescent="0.35">
      <c r="A10" s="291">
        <v>5</v>
      </c>
      <c r="B10" s="295"/>
      <c r="C10" s="296" t="s">
        <v>17</v>
      </c>
      <c r="D10" s="297" t="s">
        <v>382</v>
      </c>
      <c r="E10" s="297"/>
      <c r="F10" s="284">
        <v>590000</v>
      </c>
      <c r="G10" s="284">
        <v>0</v>
      </c>
      <c r="H10" s="293">
        <f t="shared" si="0"/>
        <v>1637590256.3199999</v>
      </c>
    </row>
    <row r="11" spans="1:14" x14ac:dyDescent="0.35">
      <c r="A11" s="291">
        <v>6</v>
      </c>
      <c r="B11" s="295"/>
      <c r="C11" s="296" t="s">
        <v>53</v>
      </c>
      <c r="D11" s="297" t="s">
        <v>381</v>
      </c>
      <c r="E11" s="297"/>
      <c r="F11" s="284">
        <v>0</v>
      </c>
      <c r="G11" s="284">
        <v>2500</v>
      </c>
      <c r="H11" s="293">
        <f t="shared" si="0"/>
        <v>1637587756.3199999</v>
      </c>
    </row>
    <row r="12" spans="1:14" x14ac:dyDescent="0.35">
      <c r="A12" s="291">
        <v>7</v>
      </c>
      <c r="B12" s="295"/>
      <c r="C12" s="296" t="s">
        <v>107</v>
      </c>
      <c r="D12" s="297" t="s">
        <v>383</v>
      </c>
      <c r="E12" s="297"/>
      <c r="F12" s="284">
        <v>0</v>
      </c>
      <c r="G12" s="284">
        <v>555000</v>
      </c>
      <c r="H12" s="293">
        <f t="shared" si="0"/>
        <v>1637032756.3199999</v>
      </c>
    </row>
    <row r="13" spans="1:14" x14ac:dyDescent="0.35">
      <c r="A13" s="291">
        <v>8</v>
      </c>
      <c r="B13" s="295"/>
      <c r="C13" s="296" t="s">
        <v>148</v>
      </c>
      <c r="D13" s="298" t="s">
        <v>384</v>
      </c>
      <c r="E13" s="297"/>
      <c r="F13" s="284">
        <v>0</v>
      </c>
      <c r="G13" s="284">
        <v>5198862</v>
      </c>
      <c r="H13" s="293">
        <f t="shared" si="0"/>
        <v>1631833894.3199999</v>
      </c>
    </row>
    <row r="14" spans="1:14" x14ac:dyDescent="0.35">
      <c r="A14" s="291">
        <v>9</v>
      </c>
      <c r="B14" s="295"/>
      <c r="C14" s="296" t="s">
        <v>107</v>
      </c>
      <c r="D14" s="297" t="s">
        <v>385</v>
      </c>
      <c r="E14" s="297"/>
      <c r="F14" s="284">
        <v>0</v>
      </c>
      <c r="G14" s="284">
        <v>1000000</v>
      </c>
      <c r="H14" s="293">
        <f t="shared" si="0"/>
        <v>1630833894.3199999</v>
      </c>
    </row>
    <row r="15" spans="1:14" x14ac:dyDescent="0.35">
      <c r="A15" s="291">
        <v>10</v>
      </c>
      <c r="B15" s="295"/>
      <c r="C15" s="296" t="s">
        <v>320</v>
      </c>
      <c r="D15" s="297" t="s">
        <v>386</v>
      </c>
      <c r="E15" s="297"/>
      <c r="F15" s="284">
        <v>0</v>
      </c>
      <c r="G15" s="284">
        <v>6000000</v>
      </c>
      <c r="H15" s="293">
        <f t="shared" si="0"/>
        <v>1624833894.3199999</v>
      </c>
    </row>
    <row r="16" spans="1:14" x14ac:dyDescent="0.35">
      <c r="A16" s="291">
        <v>11</v>
      </c>
      <c r="B16" s="295"/>
      <c r="C16" s="296" t="s">
        <v>53</v>
      </c>
      <c r="D16" s="298" t="s">
        <v>381</v>
      </c>
      <c r="E16" s="297"/>
      <c r="F16" s="284">
        <v>0</v>
      </c>
      <c r="G16" s="284">
        <v>2500</v>
      </c>
      <c r="H16" s="293">
        <f t="shared" si="0"/>
        <v>1624831394.3199999</v>
      </c>
    </row>
    <row r="17" spans="1:8" x14ac:dyDescent="0.35">
      <c r="A17" s="291">
        <v>12</v>
      </c>
      <c r="B17" s="295"/>
      <c r="C17" s="296"/>
      <c r="D17" s="297" t="s">
        <v>387</v>
      </c>
      <c r="E17" s="297"/>
      <c r="F17" s="284">
        <v>0</v>
      </c>
      <c r="G17" s="284">
        <v>8000000</v>
      </c>
      <c r="H17" s="293">
        <f t="shared" si="0"/>
        <v>1616831394.3199999</v>
      </c>
    </row>
    <row r="18" spans="1:8" x14ac:dyDescent="0.35">
      <c r="A18" s="291">
        <v>13</v>
      </c>
      <c r="B18" s="295"/>
      <c r="C18" s="296" t="s">
        <v>53</v>
      </c>
      <c r="D18" s="297" t="s">
        <v>381</v>
      </c>
      <c r="E18" s="297"/>
      <c r="F18" s="284">
        <v>0</v>
      </c>
      <c r="G18" s="284">
        <v>2500</v>
      </c>
      <c r="H18" s="293">
        <f t="shared" si="0"/>
        <v>1616828894.3199999</v>
      </c>
    </row>
    <row r="19" spans="1:8" x14ac:dyDescent="0.35">
      <c r="A19" s="291">
        <v>14</v>
      </c>
      <c r="B19" s="295"/>
      <c r="C19" s="296" t="s">
        <v>17</v>
      </c>
      <c r="D19" s="297" t="s">
        <v>388</v>
      </c>
      <c r="E19" s="297"/>
      <c r="F19" s="284">
        <v>1000000</v>
      </c>
      <c r="G19" s="284">
        <v>0</v>
      </c>
      <c r="H19" s="293">
        <f t="shared" si="0"/>
        <v>1617828894.3199999</v>
      </c>
    </row>
    <row r="20" spans="1:8" x14ac:dyDescent="0.35">
      <c r="A20" s="291">
        <v>15</v>
      </c>
      <c r="B20" s="295"/>
      <c r="C20" s="296" t="s">
        <v>17</v>
      </c>
      <c r="D20" s="298" t="s">
        <v>389</v>
      </c>
      <c r="E20" s="297"/>
      <c r="F20" s="284">
        <v>15100000</v>
      </c>
      <c r="G20" s="284">
        <v>0</v>
      </c>
      <c r="H20" s="293">
        <f t="shared" si="0"/>
        <v>1632928894.3199999</v>
      </c>
    </row>
    <row r="21" spans="1:8" x14ac:dyDescent="0.35">
      <c r="A21" s="291">
        <v>16</v>
      </c>
      <c r="B21" s="295"/>
      <c r="C21" s="296" t="s">
        <v>17</v>
      </c>
      <c r="D21" s="297" t="s">
        <v>389</v>
      </c>
      <c r="E21" s="297"/>
      <c r="F21" s="284">
        <v>15100000</v>
      </c>
      <c r="G21" s="284">
        <v>0</v>
      </c>
      <c r="H21" s="293">
        <f t="shared" si="0"/>
        <v>1648028894.3199999</v>
      </c>
    </row>
    <row r="22" spans="1:8" x14ac:dyDescent="0.35">
      <c r="A22" s="291">
        <v>17</v>
      </c>
      <c r="B22" s="295"/>
      <c r="C22" s="296" t="s">
        <v>17</v>
      </c>
      <c r="D22" s="297" t="s">
        <v>389</v>
      </c>
      <c r="E22" s="297"/>
      <c r="F22" s="284">
        <v>15100000</v>
      </c>
      <c r="G22" s="284">
        <v>0</v>
      </c>
      <c r="H22" s="293">
        <f t="shared" si="0"/>
        <v>1663128894.3199999</v>
      </c>
    </row>
    <row r="23" spans="1:8" x14ac:dyDescent="0.35">
      <c r="A23" s="291">
        <v>18</v>
      </c>
      <c r="B23" s="295"/>
      <c r="C23" s="296" t="s">
        <v>17</v>
      </c>
      <c r="D23" s="297" t="s">
        <v>390</v>
      </c>
      <c r="E23" s="297"/>
      <c r="F23" s="284">
        <v>3956000</v>
      </c>
      <c r="G23" s="284">
        <v>0</v>
      </c>
      <c r="H23" s="293">
        <f t="shared" si="0"/>
        <v>1667084894.3199999</v>
      </c>
    </row>
    <row r="24" spans="1:8" x14ac:dyDescent="0.35">
      <c r="A24" s="291">
        <v>19</v>
      </c>
      <c r="B24" s="295"/>
      <c r="C24" s="296" t="s">
        <v>17</v>
      </c>
      <c r="D24" s="297" t="s">
        <v>389</v>
      </c>
      <c r="E24" s="297"/>
      <c r="F24" s="284">
        <v>7550000</v>
      </c>
      <c r="G24" s="284">
        <v>0</v>
      </c>
      <c r="H24" s="293">
        <f t="shared" si="0"/>
        <v>1674634894.3199999</v>
      </c>
    </row>
    <row r="25" spans="1:8" x14ac:dyDescent="0.35">
      <c r="A25" s="291">
        <v>20</v>
      </c>
      <c r="B25" s="295"/>
      <c r="C25" s="296" t="s">
        <v>17</v>
      </c>
      <c r="D25" s="297" t="s">
        <v>391</v>
      </c>
      <c r="E25" s="297"/>
      <c r="F25" s="284">
        <v>4700000</v>
      </c>
      <c r="G25" s="284">
        <v>0</v>
      </c>
      <c r="H25" s="293">
        <f t="shared" si="0"/>
        <v>1679334894.3199999</v>
      </c>
    </row>
    <row r="26" spans="1:8" x14ac:dyDescent="0.35">
      <c r="A26" s="291">
        <v>21</v>
      </c>
      <c r="B26" s="295"/>
      <c r="C26" s="296" t="s">
        <v>17</v>
      </c>
      <c r="D26" s="297" t="s">
        <v>392</v>
      </c>
      <c r="E26" s="297"/>
      <c r="F26" s="284">
        <v>3700000</v>
      </c>
      <c r="G26" s="284">
        <v>0</v>
      </c>
      <c r="H26" s="293">
        <f t="shared" si="0"/>
        <v>1683034894.3199999</v>
      </c>
    </row>
    <row r="27" spans="1:8" x14ac:dyDescent="0.35">
      <c r="A27" s="291">
        <v>22</v>
      </c>
      <c r="B27" s="295"/>
      <c r="C27" s="296" t="s">
        <v>17</v>
      </c>
      <c r="D27" s="297" t="s">
        <v>393</v>
      </c>
      <c r="E27" s="297"/>
      <c r="F27" s="284">
        <v>4000000</v>
      </c>
      <c r="G27" s="284">
        <v>0</v>
      </c>
      <c r="H27" s="293">
        <f t="shared" si="0"/>
        <v>1687034894.3199999</v>
      </c>
    </row>
    <row r="28" spans="1:8" x14ac:dyDescent="0.35">
      <c r="A28" s="291">
        <v>23</v>
      </c>
      <c r="B28" s="295"/>
      <c r="C28" s="296" t="s">
        <v>17</v>
      </c>
      <c r="D28" s="297" t="s">
        <v>394</v>
      </c>
      <c r="E28" s="297"/>
      <c r="F28" s="284">
        <v>3000000</v>
      </c>
      <c r="G28" s="284">
        <v>0</v>
      </c>
      <c r="H28" s="293">
        <f t="shared" si="0"/>
        <v>1690034894.3199999</v>
      </c>
    </row>
    <row r="29" spans="1:8" x14ac:dyDescent="0.35">
      <c r="A29" s="291">
        <v>24</v>
      </c>
      <c r="B29" s="295"/>
      <c r="C29" s="296" t="s">
        <v>17</v>
      </c>
      <c r="D29" s="297" t="s">
        <v>395</v>
      </c>
      <c r="E29" s="297"/>
      <c r="F29" s="284">
        <v>6000000</v>
      </c>
      <c r="G29" s="284">
        <v>0</v>
      </c>
      <c r="H29" s="293">
        <f t="shared" si="0"/>
        <v>1696034894.3199999</v>
      </c>
    </row>
    <row r="30" spans="1:8" x14ac:dyDescent="0.35">
      <c r="A30" s="291">
        <v>25</v>
      </c>
      <c r="B30" s="295"/>
      <c r="C30" s="296" t="s">
        <v>17</v>
      </c>
      <c r="D30" s="297" t="s">
        <v>396</v>
      </c>
      <c r="E30" s="297"/>
      <c r="F30" s="284">
        <v>7500000</v>
      </c>
      <c r="G30" s="284">
        <v>0</v>
      </c>
      <c r="H30" s="293">
        <f t="shared" si="0"/>
        <v>1703534894.3199999</v>
      </c>
    </row>
    <row r="31" spans="1:8" x14ac:dyDescent="0.35">
      <c r="A31" s="291">
        <v>26</v>
      </c>
      <c r="B31" s="295"/>
      <c r="C31" s="296" t="s">
        <v>17</v>
      </c>
      <c r="D31" s="297" t="s">
        <v>397</v>
      </c>
      <c r="E31" s="297"/>
      <c r="F31" s="284">
        <v>5000000</v>
      </c>
      <c r="G31" s="284">
        <v>0</v>
      </c>
      <c r="H31" s="293">
        <f t="shared" si="0"/>
        <v>1708534894.3199999</v>
      </c>
    </row>
    <row r="32" spans="1:8" x14ac:dyDescent="0.35">
      <c r="A32" s="291">
        <v>27</v>
      </c>
      <c r="B32" s="295"/>
      <c r="C32" s="296" t="s">
        <v>17</v>
      </c>
      <c r="D32" s="297" t="s">
        <v>398</v>
      </c>
      <c r="E32" s="297"/>
      <c r="F32" s="284">
        <v>400000</v>
      </c>
      <c r="G32" s="284">
        <v>0</v>
      </c>
      <c r="H32" s="293">
        <f t="shared" si="0"/>
        <v>1708934894.3199999</v>
      </c>
    </row>
    <row r="33" spans="1:8" x14ac:dyDescent="0.35">
      <c r="A33" s="291">
        <v>28</v>
      </c>
      <c r="B33" s="295"/>
      <c r="C33" s="296" t="s">
        <v>17</v>
      </c>
      <c r="D33" s="297" t="s">
        <v>399</v>
      </c>
      <c r="E33" s="297"/>
      <c r="F33" s="284">
        <v>3500000</v>
      </c>
      <c r="G33" s="284">
        <v>0</v>
      </c>
      <c r="H33" s="293">
        <f t="shared" si="0"/>
        <v>1712434894.3199999</v>
      </c>
    </row>
    <row r="34" spans="1:8" x14ac:dyDescent="0.35">
      <c r="A34" s="291">
        <v>29</v>
      </c>
      <c r="B34" s="295"/>
      <c r="C34" s="296" t="s">
        <v>17</v>
      </c>
      <c r="D34" s="297" t="s">
        <v>400</v>
      </c>
      <c r="E34" s="297"/>
      <c r="F34" s="284">
        <v>3389600</v>
      </c>
      <c r="G34" s="284">
        <v>0</v>
      </c>
      <c r="H34" s="293">
        <f t="shared" si="0"/>
        <v>1715824494.3199999</v>
      </c>
    </row>
    <row r="35" spans="1:8" x14ac:dyDescent="0.35">
      <c r="A35" s="291">
        <v>30</v>
      </c>
      <c r="B35" s="295"/>
      <c r="C35" s="296" t="s">
        <v>17</v>
      </c>
      <c r="D35" s="297" t="s">
        <v>401</v>
      </c>
      <c r="E35" s="297"/>
      <c r="F35" s="284">
        <v>15000000</v>
      </c>
      <c r="G35" s="284">
        <v>0</v>
      </c>
      <c r="H35" s="293">
        <f t="shared" si="0"/>
        <v>1730824494.3199999</v>
      </c>
    </row>
    <row r="36" spans="1:8" x14ac:dyDescent="0.35">
      <c r="A36" s="291">
        <v>31</v>
      </c>
      <c r="B36" s="295"/>
      <c r="C36" s="296" t="s">
        <v>17</v>
      </c>
      <c r="D36" s="297" t="s">
        <v>388</v>
      </c>
      <c r="E36" s="297"/>
      <c r="F36" s="284">
        <v>1000000</v>
      </c>
      <c r="G36" s="284">
        <v>0</v>
      </c>
      <c r="H36" s="293">
        <f t="shared" si="0"/>
        <v>1731824494.3199999</v>
      </c>
    </row>
    <row r="37" spans="1:8" x14ac:dyDescent="0.35">
      <c r="A37" s="291">
        <v>32</v>
      </c>
      <c r="B37" s="295"/>
      <c r="C37" s="296" t="s">
        <v>17</v>
      </c>
      <c r="D37" s="297" t="s">
        <v>402</v>
      </c>
      <c r="E37" s="297"/>
      <c r="F37" s="284">
        <v>1000000</v>
      </c>
      <c r="G37" s="284">
        <v>0</v>
      </c>
      <c r="H37" s="293">
        <f t="shared" si="0"/>
        <v>1732824494.3199999</v>
      </c>
    </row>
    <row r="38" spans="1:8" x14ac:dyDescent="0.35">
      <c r="A38" s="291">
        <v>33</v>
      </c>
      <c r="B38" s="295"/>
      <c r="C38" s="296" t="s">
        <v>17</v>
      </c>
      <c r="D38" s="297" t="s">
        <v>403</v>
      </c>
      <c r="E38" s="297"/>
      <c r="F38" s="284">
        <v>4500000</v>
      </c>
      <c r="G38" s="284">
        <v>0</v>
      </c>
      <c r="H38" s="293">
        <f t="shared" si="0"/>
        <v>1737324494.3199999</v>
      </c>
    </row>
    <row r="39" spans="1:8" x14ac:dyDescent="0.35">
      <c r="A39" s="291">
        <v>34</v>
      </c>
      <c r="B39" s="295"/>
      <c r="C39" s="296" t="s">
        <v>17</v>
      </c>
      <c r="D39" s="297" t="s">
        <v>404</v>
      </c>
      <c r="E39" s="297"/>
      <c r="F39" s="284">
        <v>1500000</v>
      </c>
      <c r="G39" s="284">
        <v>0</v>
      </c>
      <c r="H39" s="293">
        <f t="shared" si="0"/>
        <v>1738824494.3199999</v>
      </c>
    </row>
    <row r="40" spans="1:8" x14ac:dyDescent="0.35">
      <c r="A40" s="291">
        <v>35</v>
      </c>
      <c r="B40" s="295"/>
      <c r="C40" s="296" t="s">
        <v>17</v>
      </c>
      <c r="D40" s="297" t="s">
        <v>405</v>
      </c>
      <c r="E40" s="297"/>
      <c r="F40" s="284">
        <v>2500000</v>
      </c>
      <c r="G40" s="284">
        <v>0</v>
      </c>
      <c r="H40" s="293">
        <f t="shared" si="0"/>
        <v>1741324494.3199999</v>
      </c>
    </row>
    <row r="41" spans="1:8" x14ac:dyDescent="0.35">
      <c r="A41" s="291">
        <v>36</v>
      </c>
      <c r="B41" s="295"/>
      <c r="C41" s="296" t="s">
        <v>17</v>
      </c>
      <c r="D41" s="297" t="s">
        <v>390</v>
      </c>
      <c r="E41" s="297"/>
      <c r="F41" s="284">
        <v>3956000</v>
      </c>
      <c r="G41" s="284">
        <v>0</v>
      </c>
      <c r="H41" s="293">
        <f t="shared" si="0"/>
        <v>1745280494.3199999</v>
      </c>
    </row>
    <row r="42" spans="1:8" x14ac:dyDescent="0.35">
      <c r="A42" s="291">
        <v>37</v>
      </c>
      <c r="B42" s="295"/>
      <c r="C42" s="296" t="s">
        <v>53</v>
      </c>
      <c r="D42" s="297" t="s">
        <v>379</v>
      </c>
      <c r="E42" s="297"/>
      <c r="F42" s="284">
        <v>0</v>
      </c>
      <c r="G42" s="284">
        <v>10000</v>
      </c>
      <c r="H42" s="293">
        <f t="shared" si="0"/>
        <v>1745270494.3199999</v>
      </c>
    </row>
    <row r="43" spans="1:8" x14ac:dyDescent="0.35">
      <c r="A43" s="291">
        <v>38</v>
      </c>
      <c r="B43" s="295"/>
      <c r="C43" s="296" t="s">
        <v>53</v>
      </c>
      <c r="D43" s="297" t="s">
        <v>380</v>
      </c>
      <c r="E43" s="297"/>
      <c r="F43" s="284">
        <v>0</v>
      </c>
      <c r="G43" s="284">
        <v>12500</v>
      </c>
      <c r="H43" s="293">
        <f t="shared" si="0"/>
        <v>1745257994.3199999</v>
      </c>
    </row>
    <row r="44" spans="1:8" x14ac:dyDescent="0.35">
      <c r="A44" s="291">
        <v>39</v>
      </c>
      <c r="B44" s="295"/>
      <c r="C44" s="296" t="s">
        <v>17</v>
      </c>
      <c r="D44" s="297" t="s">
        <v>378</v>
      </c>
      <c r="E44" s="297"/>
      <c r="F44" s="284">
        <v>1167316.28</v>
      </c>
      <c r="G44" s="284">
        <v>0</v>
      </c>
      <c r="H44" s="293">
        <f t="shared" si="0"/>
        <v>1746425310.5999999</v>
      </c>
    </row>
    <row r="45" spans="1:8" x14ac:dyDescent="0.35">
      <c r="A45" s="291">
        <v>40</v>
      </c>
      <c r="B45" s="295"/>
      <c r="C45" s="296" t="s">
        <v>106</v>
      </c>
      <c r="D45" s="297" t="s">
        <v>377</v>
      </c>
      <c r="E45" s="297"/>
      <c r="F45" s="284">
        <v>0</v>
      </c>
      <c r="G45" s="284">
        <v>233463.26</v>
      </c>
      <c r="H45" s="293">
        <f t="shared" si="0"/>
        <v>1746191847.3399999</v>
      </c>
    </row>
    <row r="46" spans="1:8" x14ac:dyDescent="0.35">
      <c r="A46" s="291">
        <v>41</v>
      </c>
      <c r="B46" s="295"/>
      <c r="C46" s="296"/>
      <c r="D46" s="297"/>
      <c r="E46" s="297"/>
      <c r="F46" s="284"/>
      <c r="G46" s="284"/>
      <c r="H46" s="293">
        <f t="shared" ref="H46:H71" si="1">H45+F46-G46</f>
        <v>1746191847.3399999</v>
      </c>
    </row>
    <row r="47" spans="1:8" x14ac:dyDescent="0.35">
      <c r="A47" s="291">
        <v>42</v>
      </c>
      <c r="B47" s="295"/>
      <c r="C47" s="296"/>
      <c r="D47" s="297"/>
      <c r="E47" s="297"/>
      <c r="F47" s="284"/>
      <c r="G47" s="284"/>
      <c r="H47" s="293">
        <f t="shared" si="1"/>
        <v>1746191847.3399999</v>
      </c>
    </row>
    <row r="48" spans="1:8" x14ac:dyDescent="0.35">
      <c r="A48" s="291">
        <v>43</v>
      </c>
      <c r="B48" s="295"/>
      <c r="C48" s="296"/>
      <c r="D48" s="297"/>
      <c r="E48" s="297"/>
      <c r="F48" s="284"/>
      <c r="G48" s="285"/>
      <c r="H48" s="293">
        <f t="shared" si="1"/>
        <v>1746191847.3399999</v>
      </c>
    </row>
    <row r="49" spans="1:10" x14ac:dyDescent="0.35">
      <c r="A49" s="291">
        <v>44</v>
      </c>
      <c r="B49" s="295"/>
      <c r="C49" s="296"/>
      <c r="D49" s="297"/>
      <c r="E49" s="297"/>
      <c r="F49" s="284"/>
      <c r="G49" s="284"/>
      <c r="H49" s="293">
        <f t="shared" si="1"/>
        <v>1746191847.3399999</v>
      </c>
    </row>
    <row r="50" spans="1:10" x14ac:dyDescent="0.35">
      <c r="A50" s="291">
        <v>45</v>
      </c>
      <c r="B50" s="295"/>
      <c r="C50" s="296"/>
      <c r="D50" s="297"/>
      <c r="E50" s="297"/>
      <c r="F50" s="284"/>
      <c r="G50" s="284"/>
      <c r="H50" s="293">
        <f t="shared" si="1"/>
        <v>1746191847.3399999</v>
      </c>
    </row>
    <row r="51" spans="1:10" x14ac:dyDescent="0.35">
      <c r="A51" s="291"/>
      <c r="B51" s="295"/>
      <c r="C51" s="296"/>
      <c r="D51" s="297"/>
      <c r="E51" s="297"/>
      <c r="F51" s="284"/>
      <c r="G51" s="284"/>
      <c r="H51" s="293">
        <f t="shared" si="1"/>
        <v>1746191847.3399999</v>
      </c>
    </row>
    <row r="52" spans="1:10" x14ac:dyDescent="0.35">
      <c r="A52" s="291">
        <v>46</v>
      </c>
      <c r="B52" s="295"/>
      <c r="C52" s="296"/>
      <c r="D52" s="297"/>
      <c r="E52" s="297"/>
      <c r="F52" s="284"/>
      <c r="G52" s="284"/>
      <c r="H52" s="293">
        <f t="shared" si="1"/>
        <v>1746191847.3399999</v>
      </c>
      <c r="J52" s="299"/>
    </row>
    <row r="53" spans="1:10" x14ac:dyDescent="0.35">
      <c r="A53" s="291">
        <v>47</v>
      </c>
      <c r="B53" s="295"/>
      <c r="C53" s="296"/>
      <c r="D53" s="297"/>
      <c r="E53" s="297"/>
      <c r="F53" s="284"/>
      <c r="G53" s="285"/>
      <c r="H53" s="293">
        <f t="shared" si="1"/>
        <v>1746191847.3399999</v>
      </c>
    </row>
    <row r="54" spans="1:10" x14ac:dyDescent="0.35">
      <c r="A54" s="291">
        <v>48</v>
      </c>
      <c r="B54" s="295"/>
      <c r="C54" s="296"/>
      <c r="D54" s="297"/>
      <c r="E54" s="297"/>
      <c r="F54" s="284"/>
      <c r="G54" s="284"/>
      <c r="H54" s="293">
        <f t="shared" si="1"/>
        <v>1746191847.3399999</v>
      </c>
    </row>
    <row r="55" spans="1:10" x14ac:dyDescent="0.35">
      <c r="A55" s="291">
        <v>49</v>
      </c>
      <c r="B55" s="295"/>
      <c r="C55" s="296"/>
      <c r="D55" s="297"/>
      <c r="E55" s="297"/>
      <c r="F55" s="284"/>
      <c r="G55" s="284"/>
      <c r="H55" s="293">
        <f t="shared" si="1"/>
        <v>1746191847.3399999</v>
      </c>
    </row>
    <row r="56" spans="1:10" x14ac:dyDescent="0.35">
      <c r="A56" s="291"/>
      <c r="B56" s="295"/>
      <c r="C56" s="296"/>
      <c r="D56" s="297"/>
      <c r="E56" s="297"/>
      <c r="F56" s="284"/>
      <c r="G56" s="284"/>
      <c r="H56" s="293">
        <f t="shared" si="1"/>
        <v>1746191847.3399999</v>
      </c>
    </row>
    <row r="57" spans="1:10" x14ac:dyDescent="0.35">
      <c r="A57" s="291">
        <v>50</v>
      </c>
      <c r="B57" s="295"/>
      <c r="C57" s="296"/>
      <c r="D57" s="297"/>
      <c r="E57" s="297"/>
      <c r="F57" s="284"/>
      <c r="G57" s="284"/>
      <c r="H57" s="293">
        <f t="shared" si="1"/>
        <v>1746191847.3399999</v>
      </c>
    </row>
    <row r="58" spans="1:10" x14ac:dyDescent="0.35">
      <c r="A58" s="291">
        <v>51</v>
      </c>
      <c r="B58" s="295"/>
      <c r="C58" s="296"/>
      <c r="D58" s="297"/>
      <c r="E58" s="297"/>
      <c r="F58" s="284"/>
      <c r="G58" s="284"/>
      <c r="H58" s="293">
        <f t="shared" si="1"/>
        <v>1746191847.3399999</v>
      </c>
    </row>
    <row r="59" spans="1:10" x14ac:dyDescent="0.35">
      <c r="A59" s="291"/>
      <c r="B59" s="295"/>
      <c r="C59" s="296"/>
      <c r="D59" s="297"/>
      <c r="E59" s="297"/>
      <c r="F59" s="284"/>
      <c r="G59" s="284"/>
      <c r="H59" s="293">
        <f t="shared" si="1"/>
        <v>1746191847.3399999</v>
      </c>
      <c r="J59" s="299"/>
    </row>
    <row r="60" spans="1:10" x14ac:dyDescent="0.35">
      <c r="A60" s="291">
        <v>52</v>
      </c>
      <c r="B60" s="295"/>
      <c r="C60" s="296"/>
      <c r="D60" s="297"/>
      <c r="E60" s="297"/>
      <c r="F60" s="284"/>
      <c r="G60" s="284"/>
      <c r="H60" s="293">
        <f t="shared" si="1"/>
        <v>1746191847.3399999</v>
      </c>
    </row>
    <row r="61" spans="1:10" x14ac:dyDescent="0.35">
      <c r="A61" s="291">
        <v>53</v>
      </c>
      <c r="B61" s="295"/>
      <c r="C61" s="296"/>
      <c r="D61" s="297"/>
      <c r="E61" s="297"/>
      <c r="F61" s="284"/>
      <c r="G61" s="284"/>
      <c r="H61" s="293">
        <f t="shared" si="1"/>
        <v>1746191847.3399999</v>
      </c>
    </row>
    <row r="62" spans="1:10" x14ac:dyDescent="0.35">
      <c r="A62" s="291">
        <v>54</v>
      </c>
      <c r="B62" s="295"/>
      <c r="C62" s="296"/>
      <c r="D62" s="297"/>
      <c r="E62" s="297"/>
      <c r="F62" s="284"/>
      <c r="G62" s="284"/>
      <c r="H62" s="293">
        <f t="shared" si="1"/>
        <v>1746191847.3399999</v>
      </c>
    </row>
    <row r="63" spans="1:10" x14ac:dyDescent="0.35">
      <c r="A63" s="291">
        <v>55</v>
      </c>
      <c r="B63" s="295"/>
      <c r="C63" s="296"/>
      <c r="D63" s="297"/>
      <c r="E63" s="297"/>
      <c r="F63" s="284"/>
      <c r="G63" s="284"/>
      <c r="H63" s="293">
        <f t="shared" si="1"/>
        <v>1746191847.3399999</v>
      </c>
    </row>
    <row r="64" spans="1:10" x14ac:dyDescent="0.35">
      <c r="A64" s="291"/>
      <c r="B64" s="295"/>
      <c r="C64" s="296"/>
      <c r="D64" s="297"/>
      <c r="E64" s="297"/>
      <c r="F64" s="284"/>
      <c r="G64" s="284"/>
      <c r="H64" s="293">
        <f t="shared" si="1"/>
        <v>1746191847.3399999</v>
      </c>
    </row>
    <row r="65" spans="1:8" x14ac:dyDescent="0.35">
      <c r="A65" s="291"/>
      <c r="B65" s="295"/>
      <c r="C65" s="296"/>
      <c r="D65" s="297"/>
      <c r="E65" s="297"/>
      <c r="F65" s="284"/>
      <c r="G65" s="284"/>
      <c r="H65" s="293">
        <f t="shared" si="1"/>
        <v>1746191847.3399999</v>
      </c>
    </row>
    <row r="66" spans="1:8" x14ac:dyDescent="0.35">
      <c r="A66" s="291">
        <v>56</v>
      </c>
      <c r="B66" s="295"/>
      <c r="C66" s="296"/>
      <c r="D66" s="297"/>
      <c r="E66" s="297"/>
      <c r="F66" s="284"/>
      <c r="G66" s="284"/>
      <c r="H66" s="293">
        <f t="shared" si="1"/>
        <v>1746191847.3399999</v>
      </c>
    </row>
    <row r="67" spans="1:8" x14ac:dyDescent="0.35">
      <c r="A67" s="291">
        <v>57</v>
      </c>
      <c r="B67" s="295"/>
      <c r="C67" s="296"/>
      <c r="D67" s="297"/>
      <c r="E67" s="297"/>
      <c r="F67" s="284"/>
      <c r="G67" s="284"/>
      <c r="H67" s="293">
        <f t="shared" si="1"/>
        <v>1746191847.3399999</v>
      </c>
    </row>
    <row r="68" spans="1:8" x14ac:dyDescent="0.35">
      <c r="A68" s="291">
        <v>58</v>
      </c>
      <c r="B68" s="295"/>
      <c r="C68" s="296"/>
      <c r="D68" s="297"/>
      <c r="E68" s="297"/>
      <c r="F68" s="284"/>
      <c r="G68" s="284"/>
      <c r="H68" s="293">
        <f t="shared" si="1"/>
        <v>1746191847.3399999</v>
      </c>
    </row>
    <row r="69" spans="1:8" x14ac:dyDescent="0.35">
      <c r="A69" s="291">
        <v>59</v>
      </c>
      <c r="B69" s="295"/>
      <c r="C69" s="296"/>
      <c r="D69" s="297"/>
      <c r="E69" s="297"/>
      <c r="F69" s="284"/>
      <c r="G69" s="284"/>
      <c r="H69" s="293">
        <f t="shared" si="1"/>
        <v>1746191847.3399999</v>
      </c>
    </row>
    <row r="70" spans="1:8" x14ac:dyDescent="0.35">
      <c r="A70" s="291">
        <v>60</v>
      </c>
      <c r="B70" s="295"/>
      <c r="C70" s="296"/>
      <c r="D70" s="297"/>
      <c r="E70" s="297"/>
      <c r="F70" s="284"/>
      <c r="G70" s="284"/>
      <c r="H70" s="293">
        <f t="shared" si="1"/>
        <v>1746191847.3399999</v>
      </c>
    </row>
    <row r="71" spans="1:8" x14ac:dyDescent="0.35">
      <c r="A71" s="291"/>
      <c r="B71" s="295"/>
      <c r="C71" s="296"/>
      <c r="D71" s="297"/>
      <c r="E71" s="297"/>
      <c r="F71" s="284"/>
      <c r="G71" s="284"/>
      <c r="H71" s="293">
        <f t="shared" si="1"/>
        <v>1746191847.3399999</v>
      </c>
    </row>
    <row r="72" spans="1:8" x14ac:dyDescent="0.35">
      <c r="A72" s="291">
        <v>61</v>
      </c>
      <c r="B72" s="295"/>
      <c r="C72" s="296"/>
      <c r="D72" s="297"/>
      <c r="E72" s="297"/>
      <c r="F72" s="284"/>
      <c r="G72" s="284"/>
      <c r="H72" s="293">
        <f t="shared" ref="H72:H138" si="2">H71+F72-G72</f>
        <v>1746191847.3399999</v>
      </c>
    </row>
    <row r="73" spans="1:8" x14ac:dyDescent="0.35">
      <c r="A73" s="291">
        <v>62</v>
      </c>
      <c r="B73" s="295"/>
      <c r="C73" s="296"/>
      <c r="D73" s="297"/>
      <c r="E73" s="297"/>
      <c r="F73" s="284"/>
      <c r="G73" s="284"/>
      <c r="H73" s="293">
        <f t="shared" si="2"/>
        <v>1746191847.3399999</v>
      </c>
    </row>
    <row r="74" spans="1:8" x14ac:dyDescent="0.35">
      <c r="A74" s="291">
        <v>63</v>
      </c>
      <c r="B74" s="295"/>
      <c r="C74" s="296"/>
      <c r="D74" s="297"/>
      <c r="E74" s="297"/>
      <c r="F74" s="284"/>
      <c r="G74" s="284"/>
      <c r="H74" s="293">
        <f t="shared" si="2"/>
        <v>1746191847.3399999</v>
      </c>
    </row>
    <row r="75" spans="1:8" x14ac:dyDescent="0.35">
      <c r="A75" s="291">
        <v>64</v>
      </c>
      <c r="B75" s="295"/>
      <c r="C75" s="296"/>
      <c r="D75" s="297"/>
      <c r="E75" s="297"/>
      <c r="F75" s="284"/>
      <c r="G75" s="284"/>
      <c r="H75" s="293">
        <f t="shared" si="2"/>
        <v>1746191847.3399999</v>
      </c>
    </row>
    <row r="76" spans="1:8" x14ac:dyDescent="0.35">
      <c r="A76" s="291">
        <v>65</v>
      </c>
      <c r="B76" s="295"/>
      <c r="C76" s="296"/>
      <c r="D76" s="297"/>
      <c r="E76" s="297"/>
      <c r="F76" s="284"/>
      <c r="G76" s="284"/>
      <c r="H76" s="293">
        <f t="shared" si="2"/>
        <v>1746191847.3399999</v>
      </c>
    </row>
    <row r="77" spans="1:8" x14ac:dyDescent="0.35">
      <c r="A77" s="291">
        <v>66</v>
      </c>
      <c r="B77" s="295"/>
      <c r="C77" s="296"/>
      <c r="D77" s="297"/>
      <c r="E77" s="297"/>
      <c r="F77" s="284"/>
      <c r="G77" s="284"/>
      <c r="H77" s="293">
        <f t="shared" si="2"/>
        <v>1746191847.3399999</v>
      </c>
    </row>
    <row r="78" spans="1:8" x14ac:dyDescent="0.35">
      <c r="A78" s="291">
        <v>67</v>
      </c>
      <c r="B78" s="295"/>
      <c r="C78" s="296"/>
      <c r="D78" s="297"/>
      <c r="E78" s="297"/>
      <c r="F78" s="284"/>
      <c r="G78" s="284"/>
      <c r="H78" s="293">
        <f t="shared" si="2"/>
        <v>1746191847.3399999</v>
      </c>
    </row>
    <row r="79" spans="1:8" x14ac:dyDescent="0.35">
      <c r="A79" s="291">
        <v>68</v>
      </c>
      <c r="B79" s="295"/>
      <c r="C79" s="296"/>
      <c r="D79" s="297"/>
      <c r="E79" s="297"/>
      <c r="F79" s="284"/>
      <c r="G79" s="284"/>
      <c r="H79" s="293">
        <f t="shared" si="2"/>
        <v>1746191847.3399999</v>
      </c>
    </row>
    <row r="80" spans="1:8" x14ac:dyDescent="0.35">
      <c r="A80" s="291">
        <v>69</v>
      </c>
      <c r="B80" s="295"/>
      <c r="C80" s="296"/>
      <c r="D80" s="297"/>
      <c r="E80" s="297"/>
      <c r="F80" s="284"/>
      <c r="G80" s="284"/>
      <c r="H80" s="293">
        <f t="shared" si="2"/>
        <v>1746191847.3399999</v>
      </c>
    </row>
    <row r="81" spans="1:8" x14ac:dyDescent="0.35">
      <c r="A81" s="291">
        <v>70</v>
      </c>
      <c r="B81" s="295"/>
      <c r="C81" s="296"/>
      <c r="D81" s="297"/>
      <c r="E81" s="297"/>
      <c r="F81" s="284"/>
      <c r="G81" s="284"/>
      <c r="H81" s="293">
        <f t="shared" si="2"/>
        <v>1746191847.3399999</v>
      </c>
    </row>
    <row r="82" spans="1:8" x14ac:dyDescent="0.35">
      <c r="A82" s="291">
        <v>71</v>
      </c>
      <c r="B82" s="295"/>
      <c r="C82" s="296"/>
      <c r="D82" s="297"/>
      <c r="E82" s="297"/>
      <c r="F82" s="284"/>
      <c r="G82" s="284"/>
      <c r="H82" s="293">
        <f t="shared" si="2"/>
        <v>1746191847.3399999</v>
      </c>
    </row>
    <row r="83" spans="1:8" x14ac:dyDescent="0.35">
      <c r="A83" s="291">
        <v>72</v>
      </c>
      <c r="B83" s="295"/>
      <c r="C83" s="296"/>
      <c r="D83" s="297"/>
      <c r="E83" s="297"/>
      <c r="F83" s="284"/>
      <c r="G83" s="284"/>
      <c r="H83" s="293">
        <f t="shared" si="2"/>
        <v>1746191847.3399999</v>
      </c>
    </row>
    <row r="84" spans="1:8" x14ac:dyDescent="0.35">
      <c r="A84" s="291">
        <v>73</v>
      </c>
      <c r="B84" s="295"/>
      <c r="C84" s="296"/>
      <c r="D84" s="297"/>
      <c r="E84" s="297"/>
      <c r="F84" s="284"/>
      <c r="G84" s="284"/>
      <c r="H84" s="293">
        <f t="shared" si="2"/>
        <v>1746191847.3399999</v>
      </c>
    </row>
    <row r="85" spans="1:8" x14ac:dyDescent="0.35">
      <c r="A85" s="291">
        <v>74</v>
      </c>
      <c r="B85" s="295"/>
      <c r="C85" s="296"/>
      <c r="D85" s="297"/>
      <c r="E85" s="297"/>
      <c r="F85" s="284"/>
      <c r="G85" s="284"/>
      <c r="H85" s="293">
        <f t="shared" si="2"/>
        <v>1746191847.3399999</v>
      </c>
    </row>
    <row r="86" spans="1:8" x14ac:dyDescent="0.35">
      <c r="A86" s="291"/>
      <c r="B86" s="295"/>
      <c r="C86" s="296"/>
      <c r="D86" s="297"/>
      <c r="E86" s="297"/>
      <c r="F86" s="284"/>
      <c r="G86" s="284"/>
      <c r="H86" s="293">
        <f t="shared" si="2"/>
        <v>1746191847.3399999</v>
      </c>
    </row>
    <row r="87" spans="1:8" x14ac:dyDescent="0.35">
      <c r="A87" s="291">
        <v>75</v>
      </c>
      <c r="B87" s="295"/>
      <c r="C87" s="296"/>
      <c r="D87" s="297"/>
      <c r="E87" s="297"/>
      <c r="F87" s="284"/>
      <c r="G87" s="284"/>
      <c r="H87" s="293">
        <f t="shared" si="2"/>
        <v>1746191847.3399999</v>
      </c>
    </row>
    <row r="88" spans="1:8" x14ac:dyDescent="0.35">
      <c r="A88" s="291">
        <v>76</v>
      </c>
      <c r="B88" s="295"/>
      <c r="C88" s="296"/>
      <c r="D88" s="297"/>
      <c r="E88" s="297"/>
      <c r="F88" s="284"/>
      <c r="G88" s="284"/>
      <c r="H88" s="293">
        <f t="shared" si="2"/>
        <v>1746191847.3399999</v>
      </c>
    </row>
    <row r="89" spans="1:8" x14ac:dyDescent="0.35">
      <c r="A89" s="291">
        <v>77</v>
      </c>
      <c r="B89" s="295"/>
      <c r="C89" s="296"/>
      <c r="D89" s="297"/>
      <c r="E89" s="297"/>
      <c r="F89" s="284"/>
      <c r="G89" s="284"/>
      <c r="H89" s="293">
        <f t="shared" si="2"/>
        <v>1746191847.3399999</v>
      </c>
    </row>
    <row r="90" spans="1:8" x14ac:dyDescent="0.35">
      <c r="A90" s="291">
        <v>78</v>
      </c>
      <c r="B90" s="295"/>
      <c r="C90" s="296"/>
      <c r="D90" s="297"/>
      <c r="E90" s="297"/>
      <c r="F90" s="284"/>
      <c r="G90" s="284"/>
      <c r="H90" s="293">
        <f t="shared" si="2"/>
        <v>1746191847.3399999</v>
      </c>
    </row>
    <row r="91" spans="1:8" x14ac:dyDescent="0.35">
      <c r="A91" s="291"/>
      <c r="B91" s="295"/>
      <c r="C91" s="296"/>
      <c r="D91" s="297"/>
      <c r="E91" s="297"/>
      <c r="F91" s="284"/>
      <c r="G91" s="284"/>
      <c r="H91" s="293">
        <f t="shared" si="2"/>
        <v>1746191847.3399999</v>
      </c>
    </row>
    <row r="92" spans="1:8" x14ac:dyDescent="0.35">
      <c r="A92" s="291">
        <v>79</v>
      </c>
      <c r="B92" s="295"/>
      <c r="C92" s="296"/>
      <c r="D92" s="297"/>
      <c r="E92" s="297"/>
      <c r="F92" s="284"/>
      <c r="G92" s="284"/>
      <c r="H92" s="293">
        <f t="shared" si="2"/>
        <v>1746191847.3399999</v>
      </c>
    </row>
    <row r="93" spans="1:8" x14ac:dyDescent="0.35">
      <c r="A93" s="291">
        <v>80</v>
      </c>
      <c r="B93" s="295"/>
      <c r="C93" s="296"/>
      <c r="D93" s="297"/>
      <c r="E93" s="297"/>
      <c r="F93" s="284"/>
      <c r="G93" s="284"/>
      <c r="H93" s="293">
        <f t="shared" si="2"/>
        <v>1746191847.3399999</v>
      </c>
    </row>
    <row r="94" spans="1:8" x14ac:dyDescent="0.35">
      <c r="A94" s="291">
        <v>81</v>
      </c>
      <c r="B94" s="295"/>
      <c r="C94" s="296"/>
      <c r="D94" s="297"/>
      <c r="E94" s="297"/>
      <c r="F94" s="284"/>
      <c r="G94" s="284"/>
      <c r="H94" s="293">
        <f t="shared" si="2"/>
        <v>1746191847.3399999</v>
      </c>
    </row>
    <row r="95" spans="1:8" x14ac:dyDescent="0.35">
      <c r="A95" s="291">
        <v>82</v>
      </c>
      <c r="B95" s="295"/>
      <c r="C95" s="296"/>
      <c r="D95" s="297"/>
      <c r="E95" s="297"/>
      <c r="F95" s="284"/>
      <c r="G95" s="284"/>
      <c r="H95" s="293">
        <f t="shared" si="2"/>
        <v>1746191847.3399999</v>
      </c>
    </row>
    <row r="96" spans="1:8" x14ac:dyDescent="0.35">
      <c r="A96" s="291">
        <v>83</v>
      </c>
      <c r="B96" s="295"/>
      <c r="C96" s="296"/>
      <c r="D96" s="297"/>
      <c r="E96" s="297"/>
      <c r="F96" s="284"/>
      <c r="G96" s="284"/>
      <c r="H96" s="293">
        <f t="shared" si="2"/>
        <v>1746191847.3399999</v>
      </c>
    </row>
    <row r="97" spans="1:8" x14ac:dyDescent="0.35">
      <c r="A97" s="291">
        <v>84</v>
      </c>
      <c r="B97" s="295"/>
      <c r="C97" s="296"/>
      <c r="D97" s="297"/>
      <c r="E97" s="297"/>
      <c r="F97" s="284"/>
      <c r="G97" s="284"/>
      <c r="H97" s="293">
        <f t="shared" si="2"/>
        <v>1746191847.3399999</v>
      </c>
    </row>
    <row r="98" spans="1:8" x14ac:dyDescent="0.35">
      <c r="A98" s="291">
        <v>85</v>
      </c>
      <c r="B98" s="295"/>
      <c r="C98" s="296"/>
      <c r="D98" s="297"/>
      <c r="E98" s="297"/>
      <c r="F98" s="284"/>
      <c r="G98" s="284"/>
      <c r="H98" s="293">
        <f t="shared" si="2"/>
        <v>1746191847.3399999</v>
      </c>
    </row>
    <row r="99" spans="1:8" x14ac:dyDescent="0.35">
      <c r="A99" s="291">
        <v>86</v>
      </c>
      <c r="B99" s="295"/>
      <c r="C99" s="296"/>
      <c r="D99" s="297"/>
      <c r="E99" s="297"/>
      <c r="F99" s="284"/>
      <c r="G99" s="284"/>
      <c r="H99" s="293">
        <f t="shared" si="2"/>
        <v>1746191847.3399999</v>
      </c>
    </row>
    <row r="100" spans="1:8" x14ac:dyDescent="0.35">
      <c r="A100" s="291">
        <v>87</v>
      </c>
      <c r="B100" s="295"/>
      <c r="C100" s="296"/>
      <c r="D100" s="297"/>
      <c r="E100" s="297"/>
      <c r="F100" s="284"/>
      <c r="G100" s="284"/>
      <c r="H100" s="293">
        <f t="shared" si="2"/>
        <v>1746191847.3399999</v>
      </c>
    </row>
    <row r="101" spans="1:8" x14ac:dyDescent="0.35">
      <c r="A101" s="291">
        <v>88</v>
      </c>
      <c r="B101" s="295"/>
      <c r="C101" s="296"/>
      <c r="D101" s="297"/>
      <c r="E101" s="297"/>
      <c r="F101" s="284"/>
      <c r="G101" s="284"/>
      <c r="H101" s="293">
        <f t="shared" si="2"/>
        <v>1746191847.3399999</v>
      </c>
    </row>
    <row r="102" spans="1:8" x14ac:dyDescent="0.35">
      <c r="A102" s="291">
        <v>89</v>
      </c>
      <c r="B102" s="295"/>
      <c r="C102" s="296"/>
      <c r="D102" s="297"/>
      <c r="E102" s="297"/>
      <c r="F102" s="284"/>
      <c r="G102" s="284"/>
      <c r="H102" s="293">
        <f t="shared" si="2"/>
        <v>1746191847.3399999</v>
      </c>
    </row>
    <row r="103" spans="1:8" x14ac:dyDescent="0.35">
      <c r="A103" s="291">
        <v>90</v>
      </c>
      <c r="B103" s="295"/>
      <c r="C103" s="296"/>
      <c r="D103" s="297"/>
      <c r="E103" s="297"/>
      <c r="F103" s="284"/>
      <c r="G103" s="284"/>
      <c r="H103" s="293">
        <f t="shared" si="2"/>
        <v>1746191847.3399999</v>
      </c>
    </row>
    <row r="104" spans="1:8" x14ac:dyDescent="0.35">
      <c r="A104" s="291">
        <v>91</v>
      </c>
      <c r="B104" s="295"/>
      <c r="C104" s="296"/>
      <c r="D104" s="297"/>
      <c r="E104" s="297"/>
      <c r="F104" s="284"/>
      <c r="G104" s="284"/>
      <c r="H104" s="293">
        <f t="shared" si="2"/>
        <v>1746191847.3399999</v>
      </c>
    </row>
    <row r="105" spans="1:8" x14ac:dyDescent="0.35">
      <c r="A105" s="291">
        <v>92</v>
      </c>
      <c r="B105" s="295"/>
      <c r="C105" s="296"/>
      <c r="D105" s="297"/>
      <c r="E105" s="297"/>
      <c r="F105" s="284"/>
      <c r="G105" s="284"/>
      <c r="H105" s="293">
        <f t="shared" si="2"/>
        <v>1746191847.3399999</v>
      </c>
    </row>
    <row r="106" spans="1:8" x14ac:dyDescent="0.35">
      <c r="A106" s="291">
        <v>93</v>
      </c>
      <c r="B106" s="295"/>
      <c r="C106" s="296"/>
      <c r="D106" s="297"/>
      <c r="E106" s="297"/>
      <c r="F106" s="284"/>
      <c r="G106" s="284"/>
      <c r="H106" s="293">
        <f t="shared" si="2"/>
        <v>1746191847.3399999</v>
      </c>
    </row>
    <row r="107" spans="1:8" x14ac:dyDescent="0.35">
      <c r="A107" s="291">
        <v>94</v>
      </c>
      <c r="B107" s="295"/>
      <c r="C107" s="296"/>
      <c r="D107" s="297"/>
      <c r="E107" s="297"/>
      <c r="F107" s="284"/>
      <c r="G107" s="284"/>
      <c r="H107" s="293">
        <f t="shared" si="2"/>
        <v>1746191847.3399999</v>
      </c>
    </row>
    <row r="108" spans="1:8" x14ac:dyDescent="0.35">
      <c r="A108" s="291">
        <v>95</v>
      </c>
      <c r="B108" s="295"/>
      <c r="C108" s="296"/>
      <c r="D108" s="297"/>
      <c r="E108" s="297"/>
      <c r="F108" s="284"/>
      <c r="G108" s="293"/>
      <c r="H108" s="293">
        <f t="shared" si="2"/>
        <v>1746191847.3399999</v>
      </c>
    </row>
    <row r="109" spans="1:8" x14ac:dyDescent="0.35">
      <c r="A109" s="291"/>
      <c r="B109" s="295"/>
      <c r="C109" s="296"/>
      <c r="D109" s="297"/>
      <c r="E109" s="297"/>
      <c r="F109" s="284"/>
      <c r="G109" s="300"/>
      <c r="H109" s="293">
        <f t="shared" si="2"/>
        <v>1746191847.3399999</v>
      </c>
    </row>
    <row r="110" spans="1:8" x14ac:dyDescent="0.35">
      <c r="A110" s="291">
        <v>96</v>
      </c>
      <c r="B110" s="295"/>
      <c r="C110" s="296"/>
      <c r="D110" s="297"/>
      <c r="E110" s="297"/>
      <c r="F110" s="284"/>
      <c r="G110" s="284"/>
      <c r="H110" s="293">
        <f t="shared" si="2"/>
        <v>1746191847.3399999</v>
      </c>
    </row>
    <row r="111" spans="1:8" x14ac:dyDescent="0.35">
      <c r="A111" s="291">
        <v>97</v>
      </c>
      <c r="B111" s="295"/>
      <c r="C111" s="296"/>
      <c r="D111" s="297"/>
      <c r="E111" s="297"/>
      <c r="F111" s="284"/>
      <c r="G111" s="284"/>
      <c r="H111" s="293">
        <f t="shared" si="2"/>
        <v>1746191847.3399999</v>
      </c>
    </row>
    <row r="112" spans="1:8" x14ac:dyDescent="0.35">
      <c r="A112" s="291">
        <v>98</v>
      </c>
      <c r="B112" s="295"/>
      <c r="C112" s="296"/>
      <c r="D112" s="297"/>
      <c r="E112" s="297"/>
      <c r="F112" s="284"/>
      <c r="G112" s="284"/>
      <c r="H112" s="293">
        <f t="shared" si="2"/>
        <v>1746191847.3399999</v>
      </c>
    </row>
    <row r="113" spans="1:8" x14ac:dyDescent="0.35">
      <c r="A113" s="291">
        <v>99</v>
      </c>
      <c r="B113" s="295"/>
      <c r="C113" s="296"/>
      <c r="D113" s="297"/>
      <c r="E113" s="297"/>
      <c r="F113" s="284"/>
      <c r="G113" s="284"/>
      <c r="H113" s="293">
        <f t="shared" si="2"/>
        <v>1746191847.3399999</v>
      </c>
    </row>
    <row r="114" spans="1:8" x14ac:dyDescent="0.35">
      <c r="A114" s="291">
        <v>100</v>
      </c>
      <c r="B114" s="295"/>
      <c r="C114" s="296"/>
      <c r="D114" s="297"/>
      <c r="E114" s="297"/>
      <c r="F114" s="284"/>
      <c r="G114" s="284"/>
      <c r="H114" s="293">
        <f t="shared" si="2"/>
        <v>1746191847.3399999</v>
      </c>
    </row>
    <row r="115" spans="1:8" x14ac:dyDescent="0.35">
      <c r="A115" s="291">
        <v>101</v>
      </c>
      <c r="B115" s="295"/>
      <c r="C115" s="296"/>
      <c r="D115" s="297"/>
      <c r="E115" s="297"/>
      <c r="F115" s="284"/>
      <c r="G115" s="284"/>
      <c r="H115" s="293">
        <f t="shared" si="2"/>
        <v>1746191847.3399999</v>
      </c>
    </row>
    <row r="116" spans="1:8" x14ac:dyDescent="0.35">
      <c r="A116" s="291">
        <v>102</v>
      </c>
      <c r="B116" s="295"/>
      <c r="C116" s="296"/>
      <c r="D116" s="297"/>
      <c r="E116" s="297"/>
      <c r="F116" s="284"/>
      <c r="G116" s="284"/>
      <c r="H116" s="293">
        <f t="shared" si="2"/>
        <v>1746191847.3399999</v>
      </c>
    </row>
    <row r="117" spans="1:8" x14ac:dyDescent="0.35">
      <c r="A117" s="291">
        <v>103</v>
      </c>
      <c r="B117" s="295"/>
      <c r="C117" s="296"/>
      <c r="D117" s="297"/>
      <c r="E117" s="297"/>
      <c r="F117" s="284"/>
      <c r="G117" s="284"/>
      <c r="H117" s="293">
        <f t="shared" si="2"/>
        <v>1746191847.3399999</v>
      </c>
    </row>
    <row r="118" spans="1:8" x14ac:dyDescent="0.35">
      <c r="A118" s="291">
        <v>104</v>
      </c>
      <c r="B118" s="295"/>
      <c r="C118" s="296"/>
      <c r="D118" s="297"/>
      <c r="E118" s="297"/>
      <c r="F118" s="284"/>
      <c r="G118" s="284"/>
      <c r="H118" s="293">
        <f t="shared" si="2"/>
        <v>1746191847.3399999</v>
      </c>
    </row>
    <row r="119" spans="1:8" x14ac:dyDescent="0.35">
      <c r="A119" s="291">
        <v>105</v>
      </c>
      <c r="B119" s="295"/>
      <c r="C119" s="296"/>
      <c r="D119" s="297"/>
      <c r="E119" s="297"/>
      <c r="F119" s="284"/>
      <c r="G119" s="284"/>
      <c r="H119" s="293">
        <f t="shared" si="2"/>
        <v>1746191847.3399999</v>
      </c>
    </row>
    <row r="120" spans="1:8" x14ac:dyDescent="0.35">
      <c r="A120" s="291">
        <v>106</v>
      </c>
      <c r="B120" s="295"/>
      <c r="C120" s="296"/>
      <c r="D120" s="297"/>
      <c r="E120" s="297"/>
      <c r="F120" s="284"/>
      <c r="G120" s="284"/>
      <c r="H120" s="293">
        <f t="shared" si="2"/>
        <v>1746191847.3399999</v>
      </c>
    </row>
    <row r="121" spans="1:8" x14ac:dyDescent="0.35">
      <c r="A121" s="291">
        <v>107</v>
      </c>
      <c r="B121" s="295"/>
      <c r="C121" s="296"/>
      <c r="D121" s="297"/>
      <c r="E121" s="297"/>
      <c r="F121" s="284"/>
      <c r="G121" s="284"/>
      <c r="H121" s="293">
        <f t="shared" si="2"/>
        <v>1746191847.3399999</v>
      </c>
    </row>
    <row r="122" spans="1:8" x14ac:dyDescent="0.35">
      <c r="A122" s="291">
        <v>108</v>
      </c>
      <c r="B122" s="295"/>
      <c r="C122" s="296"/>
      <c r="D122" s="297"/>
      <c r="E122" s="297"/>
      <c r="F122" s="284"/>
      <c r="G122" s="284"/>
      <c r="H122" s="293">
        <f t="shared" si="2"/>
        <v>1746191847.3399999</v>
      </c>
    </row>
    <row r="123" spans="1:8" x14ac:dyDescent="0.35">
      <c r="A123" s="291">
        <v>109</v>
      </c>
      <c r="B123" s="295"/>
      <c r="C123" s="296"/>
      <c r="D123" s="297"/>
      <c r="E123" s="297"/>
      <c r="F123" s="284"/>
      <c r="G123" s="284"/>
      <c r="H123" s="293">
        <f t="shared" si="2"/>
        <v>1746191847.3399999</v>
      </c>
    </row>
    <row r="124" spans="1:8" x14ac:dyDescent="0.35">
      <c r="A124" s="291">
        <v>110</v>
      </c>
      <c r="B124" s="295"/>
      <c r="C124" s="296"/>
      <c r="D124" s="297"/>
      <c r="E124" s="297"/>
      <c r="F124" s="284"/>
      <c r="G124" s="284"/>
      <c r="H124" s="293">
        <f t="shared" si="2"/>
        <v>1746191847.3399999</v>
      </c>
    </row>
    <row r="125" spans="1:8" x14ac:dyDescent="0.35">
      <c r="A125" s="291">
        <v>111</v>
      </c>
      <c r="B125" s="295"/>
      <c r="C125" s="296"/>
      <c r="D125" s="297"/>
      <c r="E125" s="297"/>
      <c r="F125" s="284"/>
      <c r="G125" s="284"/>
      <c r="H125" s="293">
        <f t="shared" si="2"/>
        <v>1746191847.3399999</v>
      </c>
    </row>
    <row r="126" spans="1:8" x14ac:dyDescent="0.35">
      <c r="A126" s="291">
        <v>112</v>
      </c>
      <c r="B126" s="295"/>
      <c r="C126" s="296"/>
      <c r="D126" s="297"/>
      <c r="E126" s="297"/>
      <c r="F126" s="284"/>
      <c r="G126" s="284"/>
      <c r="H126" s="293">
        <f t="shared" si="2"/>
        <v>1746191847.3399999</v>
      </c>
    </row>
    <row r="127" spans="1:8" x14ac:dyDescent="0.35">
      <c r="A127" s="291">
        <v>113</v>
      </c>
      <c r="B127" s="295"/>
      <c r="C127" s="296"/>
      <c r="D127" s="297"/>
      <c r="E127" s="297"/>
      <c r="F127" s="284"/>
      <c r="G127" s="284"/>
      <c r="H127" s="293">
        <f t="shared" si="2"/>
        <v>1746191847.3399999</v>
      </c>
    </row>
    <row r="128" spans="1:8" x14ac:dyDescent="0.35">
      <c r="A128" s="291">
        <v>114</v>
      </c>
      <c r="B128" s="295"/>
      <c r="C128" s="296"/>
      <c r="D128" s="297"/>
      <c r="E128" s="297"/>
      <c r="F128" s="284"/>
      <c r="G128" s="284"/>
      <c r="H128" s="293">
        <f t="shared" si="2"/>
        <v>1746191847.3399999</v>
      </c>
    </row>
    <row r="129" spans="1:10" x14ac:dyDescent="0.35">
      <c r="A129" s="291">
        <v>115</v>
      </c>
      <c r="B129" s="295"/>
      <c r="C129" s="296"/>
      <c r="D129" s="297"/>
      <c r="E129" s="297"/>
      <c r="F129" s="284"/>
      <c r="G129" s="284"/>
      <c r="H129" s="293">
        <f t="shared" si="2"/>
        <v>1746191847.3399999</v>
      </c>
    </row>
    <row r="130" spans="1:10" x14ac:dyDescent="0.35">
      <c r="A130" s="291">
        <v>116</v>
      </c>
      <c r="B130" s="301"/>
      <c r="C130" s="296"/>
      <c r="D130" s="291"/>
      <c r="E130" s="291"/>
      <c r="F130" s="293"/>
      <c r="G130" s="293"/>
      <c r="H130" s="293">
        <f t="shared" si="2"/>
        <v>1746191847.3399999</v>
      </c>
      <c r="J130" s="302"/>
    </row>
    <row r="131" spans="1:10" x14ac:dyDescent="0.35">
      <c r="A131" s="291">
        <v>117</v>
      </c>
      <c r="B131" s="295"/>
      <c r="C131" s="296"/>
      <c r="D131" s="297"/>
      <c r="E131" s="297"/>
      <c r="F131" s="284"/>
      <c r="G131" s="284"/>
      <c r="H131" s="293">
        <f t="shared" si="2"/>
        <v>1746191847.3399999</v>
      </c>
    </row>
    <row r="132" spans="1:10" x14ac:dyDescent="0.35">
      <c r="A132" s="291">
        <v>118</v>
      </c>
      <c r="B132" s="295"/>
      <c r="C132" s="296"/>
      <c r="D132" s="297"/>
      <c r="E132" s="297"/>
      <c r="F132" s="284"/>
      <c r="G132" s="284"/>
      <c r="H132" s="293">
        <f t="shared" si="2"/>
        <v>1746191847.3399999</v>
      </c>
    </row>
    <row r="133" spans="1:10" x14ac:dyDescent="0.35">
      <c r="A133" s="291">
        <v>119</v>
      </c>
      <c r="B133" s="295"/>
      <c r="C133" s="296"/>
      <c r="D133" s="297"/>
      <c r="E133" s="297"/>
      <c r="F133" s="284"/>
      <c r="G133" s="284"/>
      <c r="H133" s="293">
        <f t="shared" si="2"/>
        <v>1746191847.3399999</v>
      </c>
    </row>
    <row r="134" spans="1:10" x14ac:dyDescent="0.35">
      <c r="A134" s="291">
        <v>120</v>
      </c>
      <c r="B134" s="295"/>
      <c r="C134" s="296"/>
      <c r="D134" s="297"/>
      <c r="E134" s="297"/>
      <c r="F134" s="284"/>
      <c r="G134" s="284"/>
      <c r="H134" s="293">
        <f t="shared" si="2"/>
        <v>1746191847.3399999</v>
      </c>
    </row>
    <row r="135" spans="1:10" x14ac:dyDescent="0.35">
      <c r="A135" s="291">
        <v>121</v>
      </c>
      <c r="B135" s="295"/>
      <c r="C135" s="296"/>
      <c r="D135" s="297"/>
      <c r="E135" s="297"/>
      <c r="F135" s="284"/>
      <c r="G135" s="284"/>
      <c r="H135" s="293">
        <f t="shared" si="2"/>
        <v>1746191847.3399999</v>
      </c>
    </row>
    <row r="136" spans="1:10" x14ac:dyDescent="0.35">
      <c r="A136" s="291">
        <v>122</v>
      </c>
      <c r="B136" s="295"/>
      <c r="C136" s="296"/>
      <c r="D136" s="297"/>
      <c r="E136" s="297"/>
      <c r="F136" s="284"/>
      <c r="G136" s="284"/>
      <c r="H136" s="293">
        <f t="shared" si="2"/>
        <v>1746191847.3399999</v>
      </c>
    </row>
    <row r="137" spans="1:10" x14ac:dyDescent="0.35">
      <c r="A137" s="291">
        <v>123</v>
      </c>
      <c r="B137" s="295"/>
      <c r="C137" s="296"/>
      <c r="D137" s="297"/>
      <c r="E137" s="297"/>
      <c r="F137" s="284"/>
      <c r="G137" s="284"/>
      <c r="H137" s="293">
        <f t="shared" si="2"/>
        <v>1746191847.3399999</v>
      </c>
    </row>
    <row r="138" spans="1:10" x14ac:dyDescent="0.35">
      <c r="A138" s="291">
        <v>124</v>
      </c>
      <c r="B138" s="295"/>
      <c r="C138" s="296"/>
      <c r="D138" s="297"/>
      <c r="E138" s="297"/>
      <c r="F138" s="284"/>
      <c r="G138" s="284"/>
      <c r="H138" s="293">
        <f t="shared" si="2"/>
        <v>1746191847.3399999</v>
      </c>
    </row>
    <row r="139" spans="1:10" x14ac:dyDescent="0.35">
      <c r="A139" s="291">
        <v>125</v>
      </c>
      <c r="B139" s="295"/>
      <c r="C139" s="296"/>
      <c r="D139" s="297"/>
      <c r="E139" s="297"/>
      <c r="F139" s="284"/>
      <c r="G139" s="284"/>
      <c r="H139" s="293">
        <f t="shared" ref="H139:H187" si="3">H138+F139-G139</f>
        <v>1746191847.3399999</v>
      </c>
    </row>
    <row r="140" spans="1:10" x14ac:dyDescent="0.35">
      <c r="A140" s="291">
        <v>126</v>
      </c>
      <c r="B140" s="295"/>
      <c r="C140" s="296"/>
      <c r="D140" s="297"/>
      <c r="E140" s="297"/>
      <c r="F140" s="284"/>
      <c r="G140" s="284"/>
      <c r="H140" s="293">
        <f t="shared" si="3"/>
        <v>1746191847.3399999</v>
      </c>
    </row>
    <row r="141" spans="1:10" x14ac:dyDescent="0.35">
      <c r="A141" s="291">
        <v>127</v>
      </c>
      <c r="B141" s="295"/>
      <c r="C141" s="296"/>
      <c r="D141" s="297"/>
      <c r="E141" s="297"/>
      <c r="F141" s="284"/>
      <c r="G141" s="284"/>
      <c r="H141" s="293">
        <f t="shared" si="3"/>
        <v>1746191847.3399999</v>
      </c>
    </row>
    <row r="142" spans="1:10" x14ac:dyDescent="0.35">
      <c r="A142" s="291">
        <v>128</v>
      </c>
      <c r="B142" s="295"/>
      <c r="C142" s="296"/>
      <c r="D142" s="297"/>
      <c r="E142" s="297"/>
      <c r="F142" s="284"/>
      <c r="G142" s="284"/>
      <c r="H142" s="293">
        <f t="shared" si="3"/>
        <v>1746191847.3399999</v>
      </c>
    </row>
    <row r="143" spans="1:10" x14ac:dyDescent="0.35">
      <c r="A143" s="291"/>
      <c r="B143" s="295"/>
      <c r="C143" s="296"/>
      <c r="D143" s="297"/>
      <c r="E143" s="297"/>
      <c r="F143" s="284"/>
      <c r="G143" s="284"/>
      <c r="H143" s="293">
        <f t="shared" si="3"/>
        <v>1746191847.3399999</v>
      </c>
    </row>
    <row r="144" spans="1:10" x14ac:dyDescent="0.35">
      <c r="A144" s="291">
        <v>129</v>
      </c>
      <c r="B144" s="295"/>
      <c r="C144" s="296"/>
      <c r="D144" s="297"/>
      <c r="E144" s="297"/>
      <c r="F144" s="284"/>
      <c r="G144" s="284"/>
      <c r="H144" s="293">
        <f t="shared" si="3"/>
        <v>1746191847.3399999</v>
      </c>
    </row>
    <row r="145" spans="1:8" x14ac:dyDescent="0.35">
      <c r="A145" s="291">
        <v>130</v>
      </c>
      <c r="B145" s="295"/>
      <c r="C145" s="296"/>
      <c r="D145" s="297"/>
      <c r="E145" s="297"/>
      <c r="F145" s="284"/>
      <c r="G145" s="284"/>
      <c r="H145" s="293">
        <f t="shared" si="3"/>
        <v>1746191847.3399999</v>
      </c>
    </row>
    <row r="146" spans="1:8" x14ac:dyDescent="0.35">
      <c r="A146" s="291">
        <v>131</v>
      </c>
      <c r="B146" s="295"/>
      <c r="C146" s="296"/>
      <c r="D146" s="297"/>
      <c r="E146" s="297"/>
      <c r="F146" s="284"/>
      <c r="G146" s="284"/>
      <c r="H146" s="293">
        <f t="shared" si="3"/>
        <v>1746191847.3399999</v>
      </c>
    </row>
    <row r="147" spans="1:8" x14ac:dyDescent="0.35">
      <c r="A147" s="291">
        <v>132</v>
      </c>
      <c r="B147" s="295"/>
      <c r="C147" s="296"/>
      <c r="D147" s="297"/>
      <c r="E147" s="297"/>
      <c r="F147" s="284"/>
      <c r="G147" s="284"/>
      <c r="H147" s="293">
        <f t="shared" si="3"/>
        <v>1746191847.3399999</v>
      </c>
    </row>
    <row r="148" spans="1:8" x14ac:dyDescent="0.35">
      <c r="A148" s="291">
        <v>133</v>
      </c>
      <c r="B148" s="295"/>
      <c r="C148" s="296"/>
      <c r="D148" s="297"/>
      <c r="E148" s="297"/>
      <c r="F148" s="284"/>
      <c r="G148" s="284"/>
      <c r="H148" s="293">
        <f t="shared" si="3"/>
        <v>1746191847.3399999</v>
      </c>
    </row>
    <row r="149" spans="1:8" x14ac:dyDescent="0.35">
      <c r="A149" s="291">
        <v>134</v>
      </c>
      <c r="B149" s="295"/>
      <c r="C149" s="296"/>
      <c r="D149" s="297"/>
      <c r="E149" s="297"/>
      <c r="F149" s="284"/>
      <c r="G149" s="284"/>
      <c r="H149" s="293">
        <f t="shared" si="3"/>
        <v>1746191847.3399999</v>
      </c>
    </row>
    <row r="150" spans="1:8" x14ac:dyDescent="0.35">
      <c r="A150" s="291">
        <v>135</v>
      </c>
      <c r="B150" s="295"/>
      <c r="C150" s="296"/>
      <c r="D150" s="297"/>
      <c r="E150" s="297"/>
      <c r="F150" s="284"/>
      <c r="G150" s="284"/>
      <c r="H150" s="293">
        <f t="shared" si="3"/>
        <v>1746191847.3399999</v>
      </c>
    </row>
    <row r="151" spans="1:8" x14ac:dyDescent="0.35">
      <c r="A151" s="291">
        <v>136</v>
      </c>
      <c r="B151" s="295"/>
      <c r="C151" s="296"/>
      <c r="D151" s="297"/>
      <c r="E151" s="297"/>
      <c r="F151" s="284"/>
      <c r="G151" s="284"/>
      <c r="H151" s="293">
        <f t="shared" si="3"/>
        <v>1746191847.3399999</v>
      </c>
    </row>
    <row r="152" spans="1:8" x14ac:dyDescent="0.35">
      <c r="A152" s="291">
        <v>137</v>
      </c>
      <c r="B152" s="301"/>
      <c r="C152" s="296"/>
      <c r="D152" s="291"/>
      <c r="E152" s="291"/>
      <c r="F152" s="293"/>
      <c r="G152" s="293"/>
      <c r="H152" s="293">
        <f t="shared" si="3"/>
        <v>1746191847.3399999</v>
      </c>
    </row>
    <row r="153" spans="1:8" x14ac:dyDescent="0.35">
      <c r="A153" s="291">
        <v>138</v>
      </c>
      <c r="B153" s="301"/>
      <c r="C153" s="296"/>
      <c r="D153" s="291"/>
      <c r="E153" s="291"/>
      <c r="F153" s="293"/>
      <c r="G153" s="293"/>
      <c r="H153" s="293">
        <f t="shared" si="3"/>
        <v>1746191847.3399999</v>
      </c>
    </row>
    <row r="154" spans="1:8" x14ac:dyDescent="0.35">
      <c r="A154" s="291">
        <v>139</v>
      </c>
      <c r="B154" s="301"/>
      <c r="C154" s="296"/>
      <c r="D154" s="291"/>
      <c r="E154" s="291"/>
      <c r="F154" s="293"/>
      <c r="G154" s="293"/>
      <c r="H154" s="293">
        <f t="shared" si="3"/>
        <v>1746191847.3399999</v>
      </c>
    </row>
    <row r="155" spans="1:8" x14ac:dyDescent="0.35">
      <c r="A155" s="291">
        <v>140</v>
      </c>
      <c r="B155" s="301"/>
      <c r="C155" s="296"/>
      <c r="D155" s="291"/>
      <c r="E155" s="291"/>
      <c r="F155" s="293"/>
      <c r="G155" s="293"/>
      <c r="H155" s="293">
        <f t="shared" si="3"/>
        <v>1746191847.3399999</v>
      </c>
    </row>
    <row r="156" spans="1:8" x14ac:dyDescent="0.35">
      <c r="A156" s="291">
        <v>141</v>
      </c>
      <c r="B156" s="301"/>
      <c r="C156" s="296"/>
      <c r="D156" s="291"/>
      <c r="E156" s="291"/>
      <c r="F156" s="293"/>
      <c r="G156" s="293"/>
      <c r="H156" s="293">
        <f t="shared" si="3"/>
        <v>1746191847.3399999</v>
      </c>
    </row>
    <row r="157" spans="1:8" x14ac:dyDescent="0.35">
      <c r="A157" s="291">
        <v>142</v>
      </c>
      <c r="B157" s="301"/>
      <c r="C157" s="296"/>
      <c r="D157" s="291"/>
      <c r="E157" s="291"/>
      <c r="F157" s="293"/>
      <c r="G157" s="293"/>
      <c r="H157" s="293">
        <f t="shared" si="3"/>
        <v>1746191847.3399999</v>
      </c>
    </row>
    <row r="158" spans="1:8" x14ac:dyDescent="0.35">
      <c r="A158" s="291">
        <v>143</v>
      </c>
      <c r="B158" s="301"/>
      <c r="C158" s="296"/>
      <c r="D158" s="291"/>
      <c r="E158" s="291"/>
      <c r="F158" s="293"/>
      <c r="G158" s="293"/>
      <c r="H158" s="293">
        <f t="shared" si="3"/>
        <v>1746191847.3399999</v>
      </c>
    </row>
    <row r="159" spans="1:8" x14ac:dyDescent="0.35">
      <c r="A159" s="291">
        <v>144</v>
      </c>
      <c r="B159" s="301"/>
      <c r="C159" s="296"/>
      <c r="D159" s="291"/>
      <c r="E159" s="291"/>
      <c r="F159" s="293"/>
      <c r="G159" s="293"/>
      <c r="H159" s="293">
        <f t="shared" si="3"/>
        <v>1746191847.3399999</v>
      </c>
    </row>
    <row r="160" spans="1:8" x14ac:dyDescent="0.35">
      <c r="A160" s="291">
        <v>145</v>
      </c>
      <c r="B160" s="301"/>
      <c r="C160" s="296"/>
      <c r="D160" s="291"/>
      <c r="E160" s="291"/>
      <c r="F160" s="293"/>
      <c r="G160" s="293"/>
      <c r="H160" s="293">
        <f t="shared" si="3"/>
        <v>1746191847.3399999</v>
      </c>
    </row>
    <row r="161" spans="1:8" x14ac:dyDescent="0.35">
      <c r="A161" s="291">
        <v>146</v>
      </c>
      <c r="B161" s="301"/>
      <c r="C161" s="296"/>
      <c r="D161" s="291"/>
      <c r="E161" s="291"/>
      <c r="F161" s="293"/>
      <c r="G161" s="293"/>
      <c r="H161" s="293">
        <f t="shared" si="3"/>
        <v>1746191847.3399999</v>
      </c>
    </row>
    <row r="162" spans="1:8" x14ac:dyDescent="0.35">
      <c r="A162" s="291">
        <v>147</v>
      </c>
      <c r="B162" s="301"/>
      <c r="C162" s="296"/>
      <c r="D162" s="291"/>
      <c r="E162" s="291"/>
      <c r="F162" s="293"/>
      <c r="G162" s="293"/>
      <c r="H162" s="293">
        <f t="shared" si="3"/>
        <v>1746191847.3399999</v>
      </c>
    </row>
    <row r="163" spans="1:8" x14ac:dyDescent="0.35">
      <c r="A163" s="291">
        <v>148</v>
      </c>
      <c r="B163" s="301"/>
      <c r="C163" s="296"/>
      <c r="D163" s="291"/>
      <c r="E163" s="291"/>
      <c r="F163" s="293"/>
      <c r="G163" s="293"/>
      <c r="H163" s="293">
        <f t="shared" si="3"/>
        <v>1746191847.3399999</v>
      </c>
    </row>
    <row r="164" spans="1:8" x14ac:dyDescent="0.35">
      <c r="A164" s="291">
        <v>149</v>
      </c>
      <c r="B164" s="301"/>
      <c r="C164" s="296"/>
      <c r="D164" s="291"/>
      <c r="E164" s="291"/>
      <c r="F164" s="293"/>
      <c r="G164" s="293"/>
      <c r="H164" s="293">
        <f t="shared" si="3"/>
        <v>1746191847.3399999</v>
      </c>
    </row>
    <row r="165" spans="1:8" x14ac:dyDescent="0.35">
      <c r="A165" s="291">
        <v>150</v>
      </c>
      <c r="B165" s="301"/>
      <c r="C165" s="296"/>
      <c r="D165" s="291"/>
      <c r="E165" s="291"/>
      <c r="F165" s="293"/>
      <c r="G165" s="293"/>
      <c r="H165" s="293">
        <f t="shared" si="3"/>
        <v>1746191847.3399999</v>
      </c>
    </row>
    <row r="166" spans="1:8" x14ac:dyDescent="0.35">
      <c r="A166" s="291">
        <v>151</v>
      </c>
      <c r="B166" s="301"/>
      <c r="C166" s="296"/>
      <c r="D166" s="291"/>
      <c r="E166" s="291"/>
      <c r="F166" s="293"/>
      <c r="G166" s="293"/>
      <c r="H166" s="293">
        <f t="shared" si="3"/>
        <v>1746191847.3399999</v>
      </c>
    </row>
    <row r="167" spans="1:8" x14ac:dyDescent="0.35">
      <c r="A167" s="291">
        <v>152</v>
      </c>
      <c r="B167" s="301"/>
      <c r="C167" s="296"/>
      <c r="D167" s="291"/>
      <c r="E167" s="291"/>
      <c r="F167" s="293"/>
      <c r="G167" s="293"/>
      <c r="H167" s="293">
        <f t="shared" si="3"/>
        <v>1746191847.3399999</v>
      </c>
    </row>
    <row r="168" spans="1:8" x14ac:dyDescent="0.35">
      <c r="A168" s="291">
        <v>153</v>
      </c>
      <c r="B168" s="301"/>
      <c r="C168" s="296"/>
      <c r="D168" s="291"/>
      <c r="E168" s="291"/>
      <c r="F168" s="293"/>
      <c r="G168" s="293"/>
      <c r="H168" s="293">
        <f t="shared" si="3"/>
        <v>1746191847.3399999</v>
      </c>
    </row>
    <row r="169" spans="1:8" x14ac:dyDescent="0.35">
      <c r="A169" s="291">
        <v>154</v>
      </c>
      <c r="B169" s="301"/>
      <c r="C169" s="296"/>
      <c r="D169" s="291"/>
      <c r="E169" s="291"/>
      <c r="F169" s="293"/>
      <c r="G169" s="293"/>
      <c r="H169" s="293">
        <f t="shared" si="3"/>
        <v>1746191847.3399999</v>
      </c>
    </row>
    <row r="170" spans="1:8" x14ac:dyDescent="0.35">
      <c r="A170" s="291">
        <v>155</v>
      </c>
      <c r="B170" s="301"/>
      <c r="C170" s="296"/>
      <c r="D170" s="291"/>
      <c r="E170" s="291"/>
      <c r="F170" s="293"/>
      <c r="G170" s="293"/>
      <c r="H170" s="293">
        <f t="shared" si="3"/>
        <v>1746191847.3399999</v>
      </c>
    </row>
    <row r="171" spans="1:8" x14ac:dyDescent="0.35">
      <c r="A171" s="291">
        <v>156</v>
      </c>
      <c r="B171" s="301"/>
      <c r="C171" s="296"/>
      <c r="D171" s="291"/>
      <c r="E171" s="291"/>
      <c r="F171" s="293"/>
      <c r="G171" s="293"/>
      <c r="H171" s="293">
        <f t="shared" si="3"/>
        <v>1746191847.3399999</v>
      </c>
    </row>
    <row r="172" spans="1:8" x14ac:dyDescent="0.35">
      <c r="A172" s="291">
        <v>157</v>
      </c>
      <c r="B172" s="301"/>
      <c r="C172" s="296"/>
      <c r="D172" s="291"/>
      <c r="E172" s="291"/>
      <c r="F172" s="293"/>
      <c r="G172" s="293"/>
      <c r="H172" s="293">
        <f t="shared" si="3"/>
        <v>1746191847.3399999</v>
      </c>
    </row>
    <row r="173" spans="1:8" x14ac:dyDescent="0.35">
      <c r="A173" s="291">
        <v>158</v>
      </c>
      <c r="B173" s="301"/>
      <c r="C173" s="296"/>
      <c r="D173" s="291"/>
      <c r="E173" s="291"/>
      <c r="F173" s="293"/>
      <c r="G173" s="293"/>
      <c r="H173" s="293">
        <f t="shared" si="3"/>
        <v>1746191847.3399999</v>
      </c>
    </row>
    <row r="174" spans="1:8" x14ac:dyDescent="0.35">
      <c r="A174" s="291">
        <v>159</v>
      </c>
      <c r="B174" s="301"/>
      <c r="C174" s="296"/>
      <c r="D174" s="291"/>
      <c r="E174" s="291"/>
      <c r="F174" s="293"/>
      <c r="G174" s="293"/>
      <c r="H174" s="293">
        <f t="shared" si="3"/>
        <v>1746191847.3399999</v>
      </c>
    </row>
    <row r="175" spans="1:8" x14ac:dyDescent="0.35">
      <c r="A175" s="291">
        <v>160</v>
      </c>
      <c r="B175" s="301"/>
      <c r="C175" s="296"/>
      <c r="D175" s="291"/>
      <c r="E175" s="291"/>
      <c r="F175" s="293"/>
      <c r="G175" s="293"/>
      <c r="H175" s="293">
        <f t="shared" si="3"/>
        <v>1746191847.3399999</v>
      </c>
    </row>
    <row r="176" spans="1:8" x14ac:dyDescent="0.35">
      <c r="A176" s="291">
        <v>161</v>
      </c>
      <c r="B176" s="301"/>
      <c r="C176" s="296"/>
      <c r="D176" s="291"/>
      <c r="E176" s="291"/>
      <c r="F176" s="293"/>
      <c r="G176" s="293"/>
      <c r="H176" s="293">
        <f t="shared" si="3"/>
        <v>1746191847.3399999</v>
      </c>
    </row>
    <row r="177" spans="1:8" x14ac:dyDescent="0.35">
      <c r="A177" s="291">
        <v>162</v>
      </c>
      <c r="B177" s="301"/>
      <c r="C177" s="296"/>
      <c r="D177" s="291"/>
      <c r="E177" s="291"/>
      <c r="F177" s="293"/>
      <c r="G177" s="293"/>
      <c r="H177" s="293">
        <f t="shared" si="3"/>
        <v>1746191847.3399999</v>
      </c>
    </row>
    <row r="178" spans="1:8" x14ac:dyDescent="0.35">
      <c r="A178" s="291">
        <v>163</v>
      </c>
      <c r="B178" s="301"/>
      <c r="C178" s="296"/>
      <c r="D178" s="291"/>
      <c r="E178" s="291"/>
      <c r="F178" s="293"/>
      <c r="G178" s="293"/>
      <c r="H178" s="293">
        <f t="shared" si="3"/>
        <v>1746191847.3399999</v>
      </c>
    </row>
    <row r="179" spans="1:8" x14ac:dyDescent="0.35">
      <c r="A179" s="291">
        <v>164</v>
      </c>
      <c r="B179" s="301"/>
      <c r="C179" s="296"/>
      <c r="D179" s="291"/>
      <c r="E179" s="291"/>
      <c r="F179" s="293"/>
      <c r="G179" s="293"/>
      <c r="H179" s="293">
        <f t="shared" si="3"/>
        <v>1746191847.3399999</v>
      </c>
    </row>
    <row r="180" spans="1:8" x14ac:dyDescent="0.35">
      <c r="A180" s="291">
        <v>165</v>
      </c>
      <c r="B180" s="301"/>
      <c r="C180" s="296"/>
      <c r="D180" s="291"/>
      <c r="E180" s="291"/>
      <c r="F180" s="293"/>
      <c r="G180" s="293"/>
      <c r="H180" s="293">
        <f t="shared" si="3"/>
        <v>1746191847.3399999</v>
      </c>
    </row>
    <row r="181" spans="1:8" x14ac:dyDescent="0.35">
      <c r="A181" s="291">
        <v>166</v>
      </c>
      <c r="B181" s="301"/>
      <c r="C181" s="296"/>
      <c r="D181" s="291"/>
      <c r="E181" s="291"/>
      <c r="F181" s="293"/>
      <c r="G181" s="293"/>
      <c r="H181" s="293">
        <f t="shared" si="3"/>
        <v>1746191847.3399999</v>
      </c>
    </row>
    <row r="182" spans="1:8" x14ac:dyDescent="0.35">
      <c r="A182" s="291">
        <v>167</v>
      </c>
      <c r="B182" s="301"/>
      <c r="C182" s="296"/>
      <c r="D182" s="291"/>
      <c r="E182" s="291"/>
      <c r="F182" s="293"/>
      <c r="G182" s="293"/>
      <c r="H182" s="293">
        <f t="shared" si="3"/>
        <v>1746191847.3399999</v>
      </c>
    </row>
    <row r="183" spans="1:8" x14ac:dyDescent="0.35">
      <c r="A183" s="291">
        <v>168</v>
      </c>
      <c r="B183" s="301"/>
      <c r="C183" s="296"/>
      <c r="D183" s="291"/>
      <c r="E183" s="291"/>
      <c r="F183" s="293"/>
      <c r="G183" s="293"/>
      <c r="H183" s="293">
        <f t="shared" si="3"/>
        <v>1746191847.3399999</v>
      </c>
    </row>
    <row r="184" spans="1:8" x14ac:dyDescent="0.35">
      <c r="A184" s="291">
        <v>169</v>
      </c>
      <c r="B184" s="301"/>
      <c r="C184" s="296"/>
      <c r="D184" s="291"/>
      <c r="E184" s="291"/>
      <c r="F184" s="293"/>
      <c r="G184" s="293"/>
      <c r="H184" s="293">
        <f t="shared" si="3"/>
        <v>1746191847.3399999</v>
      </c>
    </row>
    <row r="185" spans="1:8" x14ac:dyDescent="0.35">
      <c r="A185" s="291">
        <v>170</v>
      </c>
      <c r="B185" s="301"/>
      <c r="C185" s="296"/>
      <c r="D185" s="291"/>
      <c r="E185" s="291"/>
      <c r="F185" s="293"/>
      <c r="G185" s="293"/>
      <c r="H185" s="293">
        <f t="shared" si="3"/>
        <v>1746191847.3399999</v>
      </c>
    </row>
    <row r="186" spans="1:8" x14ac:dyDescent="0.35">
      <c r="A186" s="291">
        <v>171</v>
      </c>
      <c r="B186" s="301"/>
      <c r="C186" s="296"/>
      <c r="D186" s="291"/>
      <c r="E186" s="291"/>
      <c r="F186" s="293"/>
      <c r="G186" s="293"/>
      <c r="H186" s="293">
        <f t="shared" si="3"/>
        <v>1746191847.3399999</v>
      </c>
    </row>
    <row r="187" spans="1:8" x14ac:dyDescent="0.35">
      <c r="A187" s="291">
        <v>172</v>
      </c>
      <c r="B187" s="301"/>
      <c r="C187" s="296"/>
      <c r="D187" s="291"/>
      <c r="E187" s="291"/>
      <c r="F187" s="293"/>
      <c r="G187" s="293"/>
      <c r="H187" s="293">
        <f t="shared" si="3"/>
        <v>1746191847.3399999</v>
      </c>
    </row>
    <row r="188" spans="1:8" x14ac:dyDescent="0.35">
      <c r="A188" s="291">
        <v>173</v>
      </c>
      <c r="B188" s="301"/>
      <c r="C188" s="296"/>
      <c r="D188" s="291"/>
      <c r="E188" s="291"/>
      <c r="F188" s="293"/>
      <c r="G188" s="293"/>
      <c r="H188" s="293">
        <f t="shared" ref="H188:H223" si="4">H187+F188-G188</f>
        <v>1746191847.3399999</v>
      </c>
    </row>
    <row r="189" spans="1:8" x14ac:dyDescent="0.35">
      <c r="A189" s="291">
        <v>174</v>
      </c>
      <c r="B189" s="301"/>
      <c r="C189" s="296"/>
      <c r="D189" s="291"/>
      <c r="E189" s="291"/>
      <c r="F189" s="293"/>
      <c r="G189" s="293"/>
      <c r="H189" s="293">
        <f t="shared" si="4"/>
        <v>1746191847.3399999</v>
      </c>
    </row>
    <row r="190" spans="1:8" x14ac:dyDescent="0.35">
      <c r="A190" s="291">
        <v>175</v>
      </c>
      <c r="B190" s="301"/>
      <c r="C190" s="296"/>
      <c r="D190" s="291"/>
      <c r="E190" s="291"/>
      <c r="F190" s="293"/>
      <c r="G190" s="293"/>
      <c r="H190" s="293">
        <f t="shared" si="4"/>
        <v>1746191847.3399999</v>
      </c>
    </row>
    <row r="191" spans="1:8" x14ac:dyDescent="0.35">
      <c r="A191" s="291">
        <v>176</v>
      </c>
      <c r="B191" s="301"/>
      <c r="C191" s="296"/>
      <c r="D191" s="291"/>
      <c r="E191" s="291"/>
      <c r="F191" s="293"/>
      <c r="G191" s="293"/>
      <c r="H191" s="293">
        <f t="shared" si="4"/>
        <v>1746191847.3399999</v>
      </c>
    </row>
    <row r="192" spans="1:8" x14ac:dyDescent="0.35">
      <c r="A192" s="291">
        <v>177</v>
      </c>
      <c r="B192" s="301"/>
      <c r="C192" s="296"/>
      <c r="D192" s="291"/>
      <c r="E192" s="291"/>
      <c r="F192" s="293"/>
      <c r="G192" s="293"/>
      <c r="H192" s="293">
        <f t="shared" si="4"/>
        <v>1746191847.3399999</v>
      </c>
    </row>
    <row r="193" spans="1:8" x14ac:dyDescent="0.35">
      <c r="A193" s="291">
        <v>178</v>
      </c>
      <c r="B193" s="301"/>
      <c r="C193" s="296"/>
      <c r="D193" s="291"/>
      <c r="E193" s="291"/>
      <c r="F193" s="293"/>
      <c r="G193" s="293"/>
      <c r="H193" s="293">
        <f t="shared" si="4"/>
        <v>1746191847.3399999</v>
      </c>
    </row>
    <row r="194" spans="1:8" x14ac:dyDescent="0.35">
      <c r="A194" s="291">
        <v>179</v>
      </c>
      <c r="B194" s="301"/>
      <c r="C194" s="296"/>
      <c r="D194" s="291"/>
      <c r="E194" s="291"/>
      <c r="F194" s="293"/>
      <c r="G194" s="293"/>
      <c r="H194" s="293">
        <f t="shared" si="4"/>
        <v>1746191847.3399999</v>
      </c>
    </row>
    <row r="195" spans="1:8" x14ac:dyDescent="0.35">
      <c r="A195" s="291">
        <v>180</v>
      </c>
      <c r="B195" s="301"/>
      <c r="C195" s="296"/>
      <c r="D195" s="291"/>
      <c r="E195" s="291"/>
      <c r="F195" s="293"/>
      <c r="G195" s="293"/>
      <c r="H195" s="293">
        <f t="shared" si="4"/>
        <v>1746191847.3399999</v>
      </c>
    </row>
    <row r="196" spans="1:8" x14ac:dyDescent="0.35">
      <c r="A196" s="291">
        <v>181</v>
      </c>
      <c r="B196" s="301"/>
      <c r="C196" s="296"/>
      <c r="D196" s="291"/>
      <c r="E196" s="291"/>
      <c r="F196" s="293"/>
      <c r="G196" s="293"/>
      <c r="H196" s="293">
        <f t="shared" si="4"/>
        <v>1746191847.3399999</v>
      </c>
    </row>
    <row r="197" spans="1:8" x14ac:dyDescent="0.35">
      <c r="A197" s="291">
        <v>182</v>
      </c>
      <c r="B197" s="301"/>
      <c r="C197" s="296"/>
      <c r="D197" s="291"/>
      <c r="E197" s="291"/>
      <c r="F197" s="293"/>
      <c r="G197" s="293"/>
      <c r="H197" s="293">
        <f t="shared" si="4"/>
        <v>1746191847.3399999</v>
      </c>
    </row>
    <row r="198" spans="1:8" x14ac:dyDescent="0.35">
      <c r="A198" s="291">
        <v>183</v>
      </c>
      <c r="B198" s="301"/>
      <c r="C198" s="296"/>
      <c r="D198" s="291"/>
      <c r="E198" s="291"/>
      <c r="F198" s="293"/>
      <c r="G198" s="293"/>
      <c r="H198" s="293">
        <f t="shared" si="4"/>
        <v>1746191847.3399999</v>
      </c>
    </row>
    <row r="199" spans="1:8" x14ac:dyDescent="0.35">
      <c r="A199" s="291">
        <v>184</v>
      </c>
      <c r="B199" s="301"/>
      <c r="C199" s="296"/>
      <c r="D199" s="291"/>
      <c r="E199" s="291"/>
      <c r="F199" s="293"/>
      <c r="G199" s="293"/>
      <c r="H199" s="293">
        <f t="shared" si="4"/>
        <v>1746191847.3399999</v>
      </c>
    </row>
    <row r="200" spans="1:8" x14ac:dyDescent="0.35">
      <c r="A200" s="291">
        <v>185</v>
      </c>
      <c r="B200" s="301"/>
      <c r="C200" s="296"/>
      <c r="D200" s="291"/>
      <c r="E200" s="291"/>
      <c r="F200" s="293"/>
      <c r="G200" s="293"/>
      <c r="H200" s="293">
        <f t="shared" si="4"/>
        <v>1746191847.3399999</v>
      </c>
    </row>
    <row r="201" spans="1:8" x14ac:dyDescent="0.35">
      <c r="A201" s="291">
        <v>186</v>
      </c>
      <c r="B201" s="301"/>
      <c r="C201" s="296"/>
      <c r="D201" s="291"/>
      <c r="E201" s="291"/>
      <c r="F201" s="293"/>
      <c r="G201" s="293"/>
      <c r="H201" s="293">
        <f t="shared" si="4"/>
        <v>1746191847.3399999</v>
      </c>
    </row>
    <row r="202" spans="1:8" x14ac:dyDescent="0.35">
      <c r="A202" s="291">
        <v>187</v>
      </c>
      <c r="B202" s="301"/>
      <c r="C202" s="296"/>
      <c r="D202" s="291"/>
      <c r="E202" s="291"/>
      <c r="F202" s="293"/>
      <c r="G202" s="293"/>
      <c r="H202" s="293">
        <f t="shared" si="4"/>
        <v>1746191847.3399999</v>
      </c>
    </row>
    <row r="203" spans="1:8" x14ac:dyDescent="0.35">
      <c r="A203" s="291">
        <v>188</v>
      </c>
      <c r="B203" s="301"/>
      <c r="C203" s="296"/>
      <c r="D203" s="291"/>
      <c r="E203" s="291"/>
      <c r="F203" s="293"/>
      <c r="G203" s="293"/>
      <c r="H203" s="293">
        <f t="shared" si="4"/>
        <v>1746191847.3399999</v>
      </c>
    </row>
    <row r="204" spans="1:8" x14ac:dyDescent="0.35">
      <c r="A204" s="291">
        <v>189</v>
      </c>
      <c r="B204" s="301"/>
      <c r="C204" s="296"/>
      <c r="D204" s="291"/>
      <c r="E204" s="291"/>
      <c r="F204" s="293"/>
      <c r="G204" s="293"/>
      <c r="H204" s="293">
        <f t="shared" si="4"/>
        <v>1746191847.3399999</v>
      </c>
    </row>
    <row r="205" spans="1:8" x14ac:dyDescent="0.35">
      <c r="A205" s="291">
        <v>190</v>
      </c>
      <c r="B205" s="301"/>
      <c r="C205" s="296"/>
      <c r="D205" s="291"/>
      <c r="E205" s="291"/>
      <c r="F205" s="293"/>
      <c r="G205" s="293"/>
      <c r="H205" s="293">
        <f t="shared" si="4"/>
        <v>1746191847.3399999</v>
      </c>
    </row>
    <row r="206" spans="1:8" x14ac:dyDescent="0.35">
      <c r="A206" s="291">
        <v>191</v>
      </c>
      <c r="B206" s="301"/>
      <c r="C206" s="296"/>
      <c r="D206" s="291"/>
      <c r="E206" s="291"/>
      <c r="F206" s="293"/>
      <c r="G206" s="293"/>
      <c r="H206" s="293">
        <f t="shared" si="4"/>
        <v>1746191847.3399999</v>
      </c>
    </row>
    <row r="207" spans="1:8" x14ac:dyDescent="0.35">
      <c r="A207" s="291">
        <v>192</v>
      </c>
      <c r="B207" s="301"/>
      <c r="C207" s="296"/>
      <c r="D207" s="291"/>
      <c r="E207" s="291"/>
      <c r="F207" s="293"/>
      <c r="G207" s="293"/>
      <c r="H207" s="293">
        <f t="shared" si="4"/>
        <v>1746191847.3399999</v>
      </c>
    </row>
    <row r="208" spans="1:8" x14ac:dyDescent="0.35">
      <c r="A208" s="291">
        <v>193</v>
      </c>
      <c r="B208" s="301"/>
      <c r="C208" s="296"/>
      <c r="D208" s="291"/>
      <c r="E208" s="291"/>
      <c r="F208" s="293"/>
      <c r="G208" s="293"/>
      <c r="H208" s="293">
        <f t="shared" si="4"/>
        <v>1746191847.3399999</v>
      </c>
    </row>
    <row r="209" spans="1:8" x14ac:dyDescent="0.35">
      <c r="A209" s="291">
        <v>194</v>
      </c>
      <c r="B209" s="301"/>
      <c r="C209" s="296"/>
      <c r="D209" s="291"/>
      <c r="E209" s="291"/>
      <c r="F209" s="293"/>
      <c r="G209" s="293"/>
      <c r="H209" s="293">
        <f t="shared" si="4"/>
        <v>1746191847.3399999</v>
      </c>
    </row>
    <row r="210" spans="1:8" x14ac:dyDescent="0.35">
      <c r="A210" s="291">
        <v>195</v>
      </c>
      <c r="B210" s="301"/>
      <c r="C210" s="296"/>
      <c r="D210" s="291"/>
      <c r="E210" s="291"/>
      <c r="F210" s="293"/>
      <c r="G210" s="293"/>
      <c r="H210" s="293">
        <f t="shared" si="4"/>
        <v>1746191847.3399999</v>
      </c>
    </row>
    <row r="211" spans="1:8" x14ac:dyDescent="0.35">
      <c r="A211" s="291">
        <v>196</v>
      </c>
      <c r="B211" s="301"/>
      <c r="C211" s="296"/>
      <c r="D211" s="291"/>
      <c r="E211" s="291"/>
      <c r="F211" s="293"/>
      <c r="G211" s="293"/>
      <c r="H211" s="293">
        <f t="shared" si="4"/>
        <v>1746191847.3399999</v>
      </c>
    </row>
    <row r="212" spans="1:8" x14ac:dyDescent="0.35">
      <c r="A212" s="291">
        <v>197</v>
      </c>
      <c r="B212" s="301"/>
      <c r="C212" s="296"/>
      <c r="D212" s="291"/>
      <c r="E212" s="291"/>
      <c r="F212" s="293"/>
      <c r="G212" s="293"/>
      <c r="H212" s="293">
        <f t="shared" si="4"/>
        <v>1746191847.3399999</v>
      </c>
    </row>
    <row r="213" spans="1:8" x14ac:dyDescent="0.35">
      <c r="A213" s="291">
        <v>198</v>
      </c>
      <c r="B213" s="301"/>
      <c r="C213" s="296"/>
      <c r="D213" s="291"/>
      <c r="E213" s="291"/>
      <c r="F213" s="293"/>
      <c r="G213" s="293"/>
      <c r="H213" s="293">
        <f t="shared" si="4"/>
        <v>1746191847.3399999</v>
      </c>
    </row>
    <row r="214" spans="1:8" x14ac:dyDescent="0.35">
      <c r="A214" s="291">
        <v>199</v>
      </c>
      <c r="B214" s="301"/>
      <c r="C214" s="296"/>
      <c r="D214" s="291"/>
      <c r="E214" s="291"/>
      <c r="F214" s="293"/>
      <c r="G214" s="293"/>
      <c r="H214" s="293">
        <f t="shared" si="4"/>
        <v>1746191847.3399999</v>
      </c>
    </row>
    <row r="215" spans="1:8" x14ac:dyDescent="0.35">
      <c r="A215" s="291">
        <v>200</v>
      </c>
      <c r="B215" s="301"/>
      <c r="C215" s="296"/>
      <c r="D215" s="291"/>
      <c r="E215" s="291"/>
      <c r="F215" s="293"/>
      <c r="G215" s="293"/>
      <c r="H215" s="293">
        <f t="shared" si="4"/>
        <v>1746191847.3399999</v>
      </c>
    </row>
    <row r="216" spans="1:8" x14ac:dyDescent="0.35">
      <c r="A216" s="291">
        <v>201</v>
      </c>
      <c r="B216" s="301"/>
      <c r="C216" s="296"/>
      <c r="D216" s="291"/>
      <c r="E216" s="291"/>
      <c r="F216" s="293"/>
      <c r="G216" s="293"/>
      <c r="H216" s="293">
        <f t="shared" si="4"/>
        <v>1746191847.3399999</v>
      </c>
    </row>
    <row r="217" spans="1:8" x14ac:dyDescent="0.35">
      <c r="A217" s="291">
        <v>202</v>
      </c>
      <c r="B217" s="301"/>
      <c r="C217" s="296"/>
      <c r="D217" s="291"/>
      <c r="E217" s="291"/>
      <c r="F217" s="293"/>
      <c r="G217" s="293"/>
      <c r="H217" s="293">
        <f t="shared" si="4"/>
        <v>1746191847.3399999</v>
      </c>
    </row>
    <row r="218" spans="1:8" x14ac:dyDescent="0.35">
      <c r="A218" s="291">
        <v>203</v>
      </c>
      <c r="B218" s="301"/>
      <c r="C218" s="296"/>
      <c r="D218" s="291"/>
      <c r="E218" s="291"/>
      <c r="F218" s="293"/>
      <c r="G218" s="293"/>
      <c r="H218" s="293">
        <f t="shared" si="4"/>
        <v>1746191847.3399999</v>
      </c>
    </row>
    <row r="219" spans="1:8" x14ac:dyDescent="0.35">
      <c r="A219" s="291">
        <v>204</v>
      </c>
      <c r="B219" s="301"/>
      <c r="C219" s="296"/>
      <c r="D219" s="291"/>
      <c r="E219" s="291"/>
      <c r="F219" s="293"/>
      <c r="G219" s="293"/>
      <c r="H219" s="293">
        <f t="shared" si="4"/>
        <v>1746191847.3399999</v>
      </c>
    </row>
    <row r="220" spans="1:8" x14ac:dyDescent="0.35">
      <c r="A220" s="291">
        <v>205</v>
      </c>
      <c r="B220" s="301"/>
      <c r="C220" s="296"/>
      <c r="D220" s="291"/>
      <c r="E220" s="291"/>
      <c r="F220" s="293"/>
      <c r="G220" s="293"/>
      <c r="H220" s="293">
        <f t="shared" si="4"/>
        <v>1746191847.3399999</v>
      </c>
    </row>
    <row r="221" spans="1:8" x14ac:dyDescent="0.35">
      <c r="A221" s="291">
        <v>206</v>
      </c>
      <c r="B221" s="301"/>
      <c r="C221" s="296"/>
      <c r="D221" s="291"/>
      <c r="E221" s="291"/>
      <c r="F221" s="293"/>
      <c r="G221" s="293"/>
      <c r="H221" s="293">
        <f t="shared" si="4"/>
        <v>1746191847.3399999</v>
      </c>
    </row>
    <row r="222" spans="1:8" x14ac:dyDescent="0.35">
      <c r="A222" s="291">
        <v>207</v>
      </c>
      <c r="B222" s="301"/>
      <c r="C222" s="296"/>
      <c r="D222" s="291"/>
      <c r="E222" s="291"/>
      <c r="F222" s="293"/>
      <c r="G222" s="293"/>
      <c r="H222" s="293">
        <f t="shared" si="4"/>
        <v>1746191847.3399999</v>
      </c>
    </row>
    <row r="223" spans="1:8" x14ac:dyDescent="0.35">
      <c r="A223" s="291">
        <v>208</v>
      </c>
      <c r="B223" s="301"/>
      <c r="C223" s="296"/>
      <c r="D223" s="291"/>
      <c r="E223" s="291"/>
      <c r="F223" s="293"/>
      <c r="G223" s="293"/>
      <c r="H223" s="293">
        <f t="shared" si="4"/>
        <v>1746191847.3399999</v>
      </c>
    </row>
    <row r="224" spans="1:8" x14ac:dyDescent="0.35">
      <c r="A224" s="291">
        <v>209</v>
      </c>
      <c r="B224" s="301"/>
      <c r="C224" s="296"/>
      <c r="D224" s="291"/>
      <c r="E224" s="291"/>
      <c r="F224" s="293"/>
      <c r="G224" s="293"/>
      <c r="H224" s="293">
        <f t="shared" ref="H224:H287" si="5">H223+F224-G224</f>
        <v>1746191847.3399999</v>
      </c>
    </row>
    <row r="225" spans="1:8" x14ac:dyDescent="0.35">
      <c r="A225" s="291">
        <v>210</v>
      </c>
      <c r="B225" s="301"/>
      <c r="C225" s="296"/>
      <c r="D225" s="291"/>
      <c r="E225" s="291"/>
      <c r="F225" s="293"/>
      <c r="G225" s="293"/>
      <c r="H225" s="293">
        <f t="shared" si="5"/>
        <v>1746191847.3399999</v>
      </c>
    </row>
    <row r="226" spans="1:8" x14ac:dyDescent="0.35">
      <c r="A226" s="291">
        <v>211</v>
      </c>
      <c r="B226" s="301"/>
      <c r="C226" s="296"/>
      <c r="D226" s="291"/>
      <c r="E226" s="291"/>
      <c r="F226" s="293"/>
      <c r="G226" s="293"/>
      <c r="H226" s="293">
        <f t="shared" si="5"/>
        <v>1746191847.3399999</v>
      </c>
    </row>
    <row r="227" spans="1:8" x14ac:dyDescent="0.35">
      <c r="A227" s="291">
        <v>212</v>
      </c>
      <c r="B227" s="301"/>
      <c r="C227" s="296"/>
      <c r="D227" s="291"/>
      <c r="E227" s="291"/>
      <c r="F227" s="293"/>
      <c r="G227" s="293"/>
      <c r="H227" s="293">
        <f t="shared" si="5"/>
        <v>1746191847.3399999</v>
      </c>
    </row>
    <row r="228" spans="1:8" x14ac:dyDescent="0.35">
      <c r="A228" s="291">
        <v>213</v>
      </c>
      <c r="B228" s="301"/>
      <c r="C228" s="296"/>
      <c r="D228" s="291"/>
      <c r="E228" s="291"/>
      <c r="F228" s="293"/>
      <c r="G228" s="293"/>
      <c r="H228" s="293">
        <f t="shared" si="5"/>
        <v>1746191847.3399999</v>
      </c>
    </row>
    <row r="229" spans="1:8" x14ac:dyDescent="0.35">
      <c r="A229" s="291">
        <v>214</v>
      </c>
      <c r="B229" s="301"/>
      <c r="C229" s="296"/>
      <c r="D229" s="291"/>
      <c r="E229" s="291"/>
      <c r="F229" s="293"/>
      <c r="G229" s="293"/>
      <c r="H229" s="293">
        <f t="shared" si="5"/>
        <v>1746191847.3399999</v>
      </c>
    </row>
    <row r="230" spans="1:8" x14ac:dyDescent="0.35">
      <c r="A230" s="291">
        <v>215</v>
      </c>
      <c r="B230" s="301"/>
      <c r="C230" s="296"/>
      <c r="D230" s="291"/>
      <c r="E230" s="291"/>
      <c r="F230" s="293"/>
      <c r="G230" s="293"/>
      <c r="H230" s="293">
        <f t="shared" si="5"/>
        <v>1746191847.3399999</v>
      </c>
    </row>
    <row r="231" spans="1:8" x14ac:dyDescent="0.35">
      <c r="A231" s="291">
        <v>216</v>
      </c>
      <c r="B231" s="301"/>
      <c r="C231" s="296"/>
      <c r="D231" s="291"/>
      <c r="E231" s="291"/>
      <c r="F231" s="293"/>
      <c r="G231" s="293"/>
      <c r="H231" s="293">
        <f t="shared" si="5"/>
        <v>1746191847.3399999</v>
      </c>
    </row>
    <row r="232" spans="1:8" x14ac:dyDescent="0.35">
      <c r="A232" s="291">
        <v>217</v>
      </c>
      <c r="B232" s="301"/>
      <c r="C232" s="296"/>
      <c r="D232" s="291"/>
      <c r="E232" s="291"/>
      <c r="F232" s="293"/>
      <c r="G232" s="293"/>
      <c r="H232" s="293">
        <f t="shared" si="5"/>
        <v>1746191847.3399999</v>
      </c>
    </row>
    <row r="233" spans="1:8" x14ac:dyDescent="0.35">
      <c r="A233" s="291">
        <v>218</v>
      </c>
      <c r="B233" s="301"/>
      <c r="C233" s="296"/>
      <c r="D233" s="291"/>
      <c r="E233" s="291"/>
      <c r="F233" s="293"/>
      <c r="G233" s="293"/>
      <c r="H233" s="293">
        <f t="shared" si="5"/>
        <v>1746191847.3399999</v>
      </c>
    </row>
    <row r="234" spans="1:8" x14ac:dyDescent="0.35">
      <c r="A234" s="291">
        <v>219</v>
      </c>
      <c r="B234" s="301"/>
      <c r="C234" s="296"/>
      <c r="D234" s="291"/>
      <c r="E234" s="291"/>
      <c r="F234" s="293"/>
      <c r="G234" s="293"/>
      <c r="H234" s="293">
        <f t="shared" si="5"/>
        <v>1746191847.3399999</v>
      </c>
    </row>
    <row r="235" spans="1:8" x14ac:dyDescent="0.35">
      <c r="A235" s="291">
        <v>220</v>
      </c>
      <c r="B235" s="301"/>
      <c r="C235" s="296"/>
      <c r="D235" s="291"/>
      <c r="E235" s="291"/>
      <c r="F235" s="293"/>
      <c r="G235" s="293"/>
      <c r="H235" s="293">
        <f t="shared" si="5"/>
        <v>1746191847.3399999</v>
      </c>
    </row>
    <row r="236" spans="1:8" x14ac:dyDescent="0.35">
      <c r="A236" s="291">
        <v>221</v>
      </c>
      <c r="B236" s="301"/>
      <c r="C236" s="296"/>
      <c r="D236" s="291"/>
      <c r="E236" s="291"/>
      <c r="F236" s="293"/>
      <c r="G236" s="293"/>
      <c r="H236" s="293">
        <f t="shared" si="5"/>
        <v>1746191847.3399999</v>
      </c>
    </row>
    <row r="237" spans="1:8" x14ac:dyDescent="0.35">
      <c r="A237" s="291">
        <v>222</v>
      </c>
      <c r="B237" s="301"/>
      <c r="C237" s="296"/>
      <c r="D237" s="291"/>
      <c r="E237" s="291"/>
      <c r="F237" s="293"/>
      <c r="G237" s="293"/>
      <c r="H237" s="293">
        <f t="shared" si="5"/>
        <v>1746191847.3399999</v>
      </c>
    </row>
    <row r="238" spans="1:8" x14ac:dyDescent="0.35">
      <c r="A238" s="291">
        <v>223</v>
      </c>
      <c r="B238" s="301"/>
      <c r="C238" s="296"/>
      <c r="D238" s="291"/>
      <c r="E238" s="291"/>
      <c r="F238" s="293"/>
      <c r="G238" s="293"/>
      <c r="H238" s="293">
        <f t="shared" si="5"/>
        <v>1746191847.3399999</v>
      </c>
    </row>
    <row r="239" spans="1:8" x14ac:dyDescent="0.35">
      <c r="A239" s="291">
        <v>224</v>
      </c>
      <c r="B239" s="301"/>
      <c r="C239" s="296"/>
      <c r="D239" s="291"/>
      <c r="E239" s="291"/>
      <c r="F239" s="293"/>
      <c r="G239" s="293"/>
      <c r="H239" s="293">
        <f t="shared" si="5"/>
        <v>1746191847.3399999</v>
      </c>
    </row>
    <row r="240" spans="1:8" x14ac:dyDescent="0.35">
      <c r="A240" s="291">
        <v>225</v>
      </c>
      <c r="B240" s="301"/>
      <c r="C240" s="296"/>
      <c r="D240" s="291"/>
      <c r="E240" s="291"/>
      <c r="F240" s="293"/>
      <c r="G240" s="293"/>
      <c r="H240" s="293">
        <f t="shared" si="5"/>
        <v>1746191847.3399999</v>
      </c>
    </row>
    <row r="241" spans="1:8" x14ac:dyDescent="0.35">
      <c r="A241" s="291">
        <v>226</v>
      </c>
      <c r="B241" s="301"/>
      <c r="C241" s="296"/>
      <c r="D241" s="291"/>
      <c r="E241" s="291"/>
      <c r="F241" s="293"/>
      <c r="G241" s="293"/>
      <c r="H241" s="293">
        <f t="shared" si="5"/>
        <v>1746191847.3399999</v>
      </c>
    </row>
    <row r="242" spans="1:8" x14ac:dyDescent="0.35">
      <c r="A242" s="291">
        <v>227</v>
      </c>
      <c r="B242" s="301"/>
      <c r="C242" s="296"/>
      <c r="D242" s="291"/>
      <c r="E242" s="291"/>
      <c r="F242" s="293"/>
      <c r="G242" s="293"/>
      <c r="H242" s="293">
        <f t="shared" si="5"/>
        <v>1746191847.3399999</v>
      </c>
    </row>
    <row r="243" spans="1:8" x14ac:dyDescent="0.35">
      <c r="A243" s="291">
        <v>228</v>
      </c>
      <c r="B243" s="301"/>
      <c r="C243" s="296"/>
      <c r="D243" s="291"/>
      <c r="E243" s="291"/>
      <c r="F243" s="293"/>
      <c r="G243" s="293"/>
      <c r="H243" s="293">
        <f t="shared" si="5"/>
        <v>1746191847.3399999</v>
      </c>
    </row>
    <row r="244" spans="1:8" x14ac:dyDescent="0.35">
      <c r="A244" s="291">
        <v>229</v>
      </c>
      <c r="B244" s="301"/>
      <c r="C244" s="296"/>
      <c r="D244" s="291"/>
      <c r="E244" s="291"/>
      <c r="F244" s="293"/>
      <c r="G244" s="293"/>
      <c r="H244" s="293">
        <f t="shared" si="5"/>
        <v>1746191847.3399999</v>
      </c>
    </row>
    <row r="245" spans="1:8" x14ac:dyDescent="0.35">
      <c r="A245" s="291">
        <v>230</v>
      </c>
      <c r="B245" s="301"/>
      <c r="C245" s="296"/>
      <c r="D245" s="291"/>
      <c r="E245" s="291"/>
      <c r="F245" s="293"/>
      <c r="G245" s="293"/>
      <c r="H245" s="293">
        <f t="shared" si="5"/>
        <v>1746191847.3399999</v>
      </c>
    </row>
    <row r="246" spans="1:8" x14ac:dyDescent="0.35">
      <c r="A246" s="291">
        <v>231</v>
      </c>
      <c r="B246" s="301"/>
      <c r="C246" s="296"/>
      <c r="D246" s="291"/>
      <c r="E246" s="291"/>
      <c r="F246" s="293"/>
      <c r="G246" s="293"/>
      <c r="H246" s="293">
        <f t="shared" si="5"/>
        <v>1746191847.3399999</v>
      </c>
    </row>
    <row r="247" spans="1:8" x14ac:dyDescent="0.35">
      <c r="A247" s="291">
        <v>232</v>
      </c>
      <c r="B247" s="301"/>
      <c r="C247" s="296"/>
      <c r="D247" s="291"/>
      <c r="E247" s="291"/>
      <c r="F247" s="293"/>
      <c r="G247" s="293"/>
      <c r="H247" s="293">
        <f t="shared" si="5"/>
        <v>1746191847.3399999</v>
      </c>
    </row>
    <row r="248" spans="1:8" x14ac:dyDescent="0.35">
      <c r="A248" s="291">
        <v>233</v>
      </c>
      <c r="B248" s="301"/>
      <c r="C248" s="296"/>
      <c r="D248" s="291"/>
      <c r="E248" s="291"/>
      <c r="F248" s="293"/>
      <c r="G248" s="293"/>
      <c r="H248" s="293">
        <f t="shared" si="5"/>
        <v>1746191847.3399999</v>
      </c>
    </row>
    <row r="249" spans="1:8" x14ac:dyDescent="0.35">
      <c r="A249" s="291">
        <v>234</v>
      </c>
      <c r="B249" s="301"/>
      <c r="C249" s="296"/>
      <c r="D249" s="291"/>
      <c r="E249" s="291"/>
      <c r="F249" s="293"/>
      <c r="G249" s="293"/>
      <c r="H249" s="293">
        <f t="shared" si="5"/>
        <v>1746191847.3399999</v>
      </c>
    </row>
    <row r="250" spans="1:8" x14ac:dyDescent="0.35">
      <c r="A250" s="291">
        <v>235</v>
      </c>
      <c r="B250" s="301"/>
      <c r="C250" s="296"/>
      <c r="D250" s="291"/>
      <c r="E250" s="291"/>
      <c r="F250" s="293"/>
      <c r="G250" s="293"/>
      <c r="H250" s="293">
        <f t="shared" si="5"/>
        <v>1746191847.3399999</v>
      </c>
    </row>
    <row r="251" spans="1:8" x14ac:dyDescent="0.35">
      <c r="A251" s="291">
        <v>236</v>
      </c>
      <c r="B251" s="301"/>
      <c r="C251" s="296"/>
      <c r="D251" s="291"/>
      <c r="E251" s="291"/>
      <c r="F251" s="293"/>
      <c r="G251" s="293"/>
      <c r="H251" s="293">
        <f t="shared" si="5"/>
        <v>1746191847.3399999</v>
      </c>
    </row>
    <row r="252" spans="1:8" x14ac:dyDescent="0.35">
      <c r="A252" s="291">
        <v>237</v>
      </c>
      <c r="B252" s="301"/>
      <c r="C252" s="296"/>
      <c r="D252" s="291"/>
      <c r="E252" s="291"/>
      <c r="F252" s="293"/>
      <c r="G252" s="293"/>
      <c r="H252" s="293">
        <f t="shared" si="5"/>
        <v>1746191847.3399999</v>
      </c>
    </row>
    <row r="253" spans="1:8" x14ac:dyDescent="0.35">
      <c r="A253" s="291">
        <v>238</v>
      </c>
      <c r="B253" s="301"/>
      <c r="C253" s="296"/>
      <c r="D253" s="291"/>
      <c r="E253" s="291"/>
      <c r="F253" s="293"/>
      <c r="G253" s="293"/>
      <c r="H253" s="293">
        <f t="shared" si="5"/>
        <v>1746191847.3399999</v>
      </c>
    </row>
    <row r="254" spans="1:8" x14ac:dyDescent="0.35">
      <c r="A254" s="291">
        <v>239</v>
      </c>
      <c r="B254" s="301"/>
      <c r="C254" s="296"/>
      <c r="D254" s="291"/>
      <c r="E254" s="291"/>
      <c r="F254" s="293"/>
      <c r="G254" s="293"/>
      <c r="H254" s="293">
        <f t="shared" si="5"/>
        <v>1746191847.3399999</v>
      </c>
    </row>
    <row r="255" spans="1:8" x14ac:dyDescent="0.35">
      <c r="A255" s="291">
        <v>240</v>
      </c>
      <c r="B255" s="301"/>
      <c r="C255" s="296"/>
      <c r="D255" s="291"/>
      <c r="E255" s="291"/>
      <c r="F255" s="293"/>
      <c r="G255" s="293"/>
      <c r="H255" s="293">
        <f t="shared" si="5"/>
        <v>1746191847.3399999</v>
      </c>
    </row>
    <row r="256" spans="1:8" x14ac:dyDescent="0.35">
      <c r="A256" s="291">
        <v>241</v>
      </c>
      <c r="B256" s="301"/>
      <c r="C256" s="296"/>
      <c r="D256" s="291"/>
      <c r="E256" s="291"/>
      <c r="F256" s="293"/>
      <c r="G256" s="293"/>
      <c r="H256" s="293">
        <f t="shared" si="5"/>
        <v>1746191847.3399999</v>
      </c>
    </row>
    <row r="257" spans="1:8" x14ac:dyDescent="0.35">
      <c r="A257" s="291">
        <v>242</v>
      </c>
      <c r="B257" s="301"/>
      <c r="C257" s="296"/>
      <c r="D257" s="291"/>
      <c r="E257" s="291"/>
      <c r="F257" s="293"/>
      <c r="G257" s="293"/>
      <c r="H257" s="293">
        <f t="shared" si="5"/>
        <v>1746191847.3399999</v>
      </c>
    </row>
    <row r="258" spans="1:8" x14ac:dyDescent="0.35">
      <c r="A258" s="291">
        <v>243</v>
      </c>
      <c r="B258" s="301"/>
      <c r="C258" s="296"/>
      <c r="D258" s="291"/>
      <c r="E258" s="291"/>
      <c r="F258" s="293"/>
      <c r="G258" s="293"/>
      <c r="H258" s="293">
        <f t="shared" si="5"/>
        <v>1746191847.3399999</v>
      </c>
    </row>
    <row r="259" spans="1:8" x14ac:dyDescent="0.35">
      <c r="A259" s="291">
        <v>244</v>
      </c>
      <c r="B259" s="301"/>
      <c r="C259" s="296"/>
      <c r="D259" s="291"/>
      <c r="E259" s="291"/>
      <c r="F259" s="293"/>
      <c r="G259" s="293"/>
      <c r="H259" s="293">
        <f t="shared" si="5"/>
        <v>1746191847.3399999</v>
      </c>
    </row>
    <row r="260" spans="1:8" x14ac:dyDescent="0.35">
      <c r="A260" s="291">
        <v>245</v>
      </c>
      <c r="B260" s="301"/>
      <c r="C260" s="296"/>
      <c r="D260" s="291"/>
      <c r="E260" s="291"/>
      <c r="F260" s="293"/>
      <c r="G260" s="293"/>
      <c r="H260" s="293">
        <f t="shared" si="5"/>
        <v>1746191847.3399999</v>
      </c>
    </row>
    <row r="261" spans="1:8" x14ac:dyDescent="0.35">
      <c r="A261" s="291">
        <v>246</v>
      </c>
      <c r="B261" s="301"/>
      <c r="C261" s="296"/>
      <c r="D261" s="291"/>
      <c r="E261" s="291"/>
      <c r="F261" s="293"/>
      <c r="G261" s="293"/>
      <c r="H261" s="293">
        <f t="shared" si="5"/>
        <v>1746191847.3399999</v>
      </c>
    </row>
    <row r="262" spans="1:8" x14ac:dyDescent="0.35">
      <c r="A262" s="291">
        <v>247</v>
      </c>
      <c r="B262" s="301"/>
      <c r="C262" s="296"/>
      <c r="D262" s="291"/>
      <c r="E262" s="291"/>
      <c r="F262" s="293"/>
      <c r="G262" s="293"/>
      <c r="H262" s="293">
        <f t="shared" si="5"/>
        <v>1746191847.3399999</v>
      </c>
    </row>
    <row r="263" spans="1:8" x14ac:dyDescent="0.35">
      <c r="A263" s="291">
        <v>248</v>
      </c>
      <c r="B263" s="301"/>
      <c r="C263" s="296"/>
      <c r="D263" s="291"/>
      <c r="E263" s="291"/>
      <c r="F263" s="293"/>
      <c r="G263" s="293"/>
      <c r="H263" s="293">
        <f t="shared" si="5"/>
        <v>1746191847.3399999</v>
      </c>
    </row>
    <row r="264" spans="1:8" x14ac:dyDescent="0.35">
      <c r="A264" s="291">
        <v>249</v>
      </c>
      <c r="B264" s="301"/>
      <c r="C264" s="296"/>
      <c r="D264" s="291"/>
      <c r="E264" s="291"/>
      <c r="F264" s="293"/>
      <c r="G264" s="293"/>
      <c r="H264" s="293">
        <f t="shared" si="5"/>
        <v>1746191847.3399999</v>
      </c>
    </row>
    <row r="265" spans="1:8" x14ac:dyDescent="0.35">
      <c r="A265" s="291">
        <v>250</v>
      </c>
      <c r="B265" s="301"/>
      <c r="C265" s="296"/>
      <c r="D265" s="291"/>
      <c r="E265" s="291"/>
      <c r="F265" s="293"/>
      <c r="G265" s="293"/>
      <c r="H265" s="293">
        <f t="shared" si="5"/>
        <v>1746191847.3399999</v>
      </c>
    </row>
    <row r="266" spans="1:8" x14ac:dyDescent="0.35">
      <c r="A266" s="291">
        <v>251</v>
      </c>
      <c r="B266" s="301"/>
      <c r="C266" s="296"/>
      <c r="D266" s="291"/>
      <c r="E266" s="291"/>
      <c r="F266" s="293"/>
      <c r="G266" s="293"/>
      <c r="H266" s="293">
        <f t="shared" si="5"/>
        <v>1746191847.3399999</v>
      </c>
    </row>
    <row r="267" spans="1:8" x14ac:dyDescent="0.35">
      <c r="A267" s="291">
        <v>252</v>
      </c>
      <c r="B267" s="301"/>
      <c r="C267" s="296"/>
      <c r="D267" s="291"/>
      <c r="E267" s="291"/>
      <c r="F267" s="293"/>
      <c r="G267" s="293"/>
      <c r="H267" s="293">
        <f t="shared" si="5"/>
        <v>1746191847.3399999</v>
      </c>
    </row>
    <row r="268" spans="1:8" x14ac:dyDescent="0.35">
      <c r="A268" s="291">
        <v>253</v>
      </c>
      <c r="B268" s="301"/>
      <c r="C268" s="296"/>
      <c r="D268" s="291"/>
      <c r="E268" s="291"/>
      <c r="F268" s="293"/>
      <c r="G268" s="293"/>
      <c r="H268" s="293">
        <f t="shared" si="5"/>
        <v>1746191847.3399999</v>
      </c>
    </row>
    <row r="269" spans="1:8" x14ac:dyDescent="0.35">
      <c r="A269" s="291">
        <v>254</v>
      </c>
      <c r="B269" s="301"/>
      <c r="C269" s="296"/>
      <c r="D269" s="291"/>
      <c r="E269" s="291"/>
      <c r="F269" s="293"/>
      <c r="G269" s="293"/>
      <c r="H269" s="293">
        <f t="shared" si="5"/>
        <v>1746191847.3399999</v>
      </c>
    </row>
    <row r="270" spans="1:8" x14ac:dyDescent="0.35">
      <c r="A270" s="291">
        <v>255</v>
      </c>
      <c r="B270" s="301"/>
      <c r="C270" s="296"/>
      <c r="D270" s="291"/>
      <c r="E270" s="291"/>
      <c r="F270" s="293"/>
      <c r="G270" s="293"/>
      <c r="H270" s="293">
        <f t="shared" si="5"/>
        <v>1746191847.3399999</v>
      </c>
    </row>
    <row r="271" spans="1:8" x14ac:dyDescent="0.35">
      <c r="A271" s="291">
        <v>256</v>
      </c>
      <c r="B271" s="301"/>
      <c r="C271" s="296"/>
      <c r="D271" s="291"/>
      <c r="E271" s="291"/>
      <c r="F271" s="293"/>
      <c r="G271" s="293"/>
      <c r="H271" s="293">
        <f t="shared" si="5"/>
        <v>1746191847.3399999</v>
      </c>
    </row>
    <row r="272" spans="1:8" x14ac:dyDescent="0.35">
      <c r="A272" s="291">
        <v>257</v>
      </c>
      <c r="B272" s="301"/>
      <c r="C272" s="296"/>
      <c r="D272" s="291"/>
      <c r="E272" s="291"/>
      <c r="F272" s="293"/>
      <c r="G272" s="293"/>
      <c r="H272" s="293">
        <f t="shared" si="5"/>
        <v>1746191847.3399999</v>
      </c>
    </row>
    <row r="273" spans="1:8" x14ac:dyDescent="0.35">
      <c r="A273" s="291">
        <v>258</v>
      </c>
      <c r="B273" s="301"/>
      <c r="C273" s="296"/>
      <c r="D273" s="291"/>
      <c r="E273" s="291"/>
      <c r="F273" s="293"/>
      <c r="G273" s="293"/>
      <c r="H273" s="293">
        <f t="shared" si="5"/>
        <v>1746191847.3399999</v>
      </c>
    </row>
    <row r="274" spans="1:8" x14ac:dyDescent="0.35">
      <c r="A274" s="291">
        <v>259</v>
      </c>
      <c r="B274" s="301"/>
      <c r="C274" s="296"/>
      <c r="D274" s="291"/>
      <c r="E274" s="291"/>
      <c r="F274" s="293"/>
      <c r="G274" s="293"/>
      <c r="H274" s="293">
        <f t="shared" si="5"/>
        <v>1746191847.3399999</v>
      </c>
    </row>
    <row r="275" spans="1:8" x14ac:dyDescent="0.35">
      <c r="A275" s="291">
        <v>260</v>
      </c>
      <c r="B275" s="301"/>
      <c r="C275" s="296"/>
      <c r="D275" s="291"/>
      <c r="E275" s="291"/>
      <c r="F275" s="293"/>
      <c r="G275" s="293"/>
      <c r="H275" s="293">
        <f t="shared" si="5"/>
        <v>1746191847.3399999</v>
      </c>
    </row>
    <row r="276" spans="1:8" x14ac:dyDescent="0.35">
      <c r="A276" s="291">
        <v>261</v>
      </c>
      <c r="B276" s="301"/>
      <c r="C276" s="296"/>
      <c r="D276" s="291"/>
      <c r="E276" s="291"/>
      <c r="F276" s="293"/>
      <c r="G276" s="293"/>
      <c r="H276" s="293">
        <f t="shared" si="5"/>
        <v>1746191847.3399999</v>
      </c>
    </row>
    <row r="277" spans="1:8" x14ac:dyDescent="0.35">
      <c r="A277" s="291">
        <v>262</v>
      </c>
      <c r="B277" s="301"/>
      <c r="C277" s="296"/>
      <c r="D277" s="291"/>
      <c r="E277" s="291"/>
      <c r="F277" s="293"/>
      <c r="G277" s="293"/>
      <c r="H277" s="293">
        <f t="shared" si="5"/>
        <v>1746191847.3399999</v>
      </c>
    </row>
    <row r="278" spans="1:8" x14ac:dyDescent="0.35">
      <c r="A278" s="291">
        <v>263</v>
      </c>
      <c r="B278" s="301"/>
      <c r="C278" s="296"/>
      <c r="D278" s="291"/>
      <c r="E278" s="291"/>
      <c r="F278" s="293"/>
      <c r="G278" s="293"/>
      <c r="H278" s="293">
        <f t="shared" si="5"/>
        <v>1746191847.3399999</v>
      </c>
    </row>
    <row r="279" spans="1:8" x14ac:dyDescent="0.35">
      <c r="A279" s="291">
        <v>264</v>
      </c>
      <c r="B279" s="301"/>
      <c r="C279" s="296"/>
      <c r="D279" s="291"/>
      <c r="E279" s="291"/>
      <c r="F279" s="293"/>
      <c r="G279" s="293"/>
      <c r="H279" s="293">
        <f t="shared" si="5"/>
        <v>1746191847.3399999</v>
      </c>
    </row>
    <row r="280" spans="1:8" x14ac:dyDescent="0.35">
      <c r="A280" s="291">
        <v>265</v>
      </c>
      <c r="B280" s="301"/>
      <c r="C280" s="296"/>
      <c r="D280" s="291"/>
      <c r="E280" s="291"/>
      <c r="F280" s="293"/>
      <c r="G280" s="293"/>
      <c r="H280" s="293">
        <f t="shared" si="5"/>
        <v>1746191847.3399999</v>
      </c>
    </row>
    <row r="281" spans="1:8" x14ac:dyDescent="0.35">
      <c r="A281" s="291">
        <v>266</v>
      </c>
      <c r="B281" s="301"/>
      <c r="C281" s="296"/>
      <c r="D281" s="291"/>
      <c r="E281" s="291"/>
      <c r="F281" s="293"/>
      <c r="G281" s="293"/>
      <c r="H281" s="293">
        <f t="shared" si="5"/>
        <v>1746191847.3399999</v>
      </c>
    </row>
    <row r="282" spans="1:8" x14ac:dyDescent="0.35">
      <c r="A282" s="291">
        <v>267</v>
      </c>
      <c r="B282" s="301"/>
      <c r="C282" s="296"/>
      <c r="D282" s="291"/>
      <c r="E282" s="291"/>
      <c r="F282" s="293"/>
      <c r="G282" s="293"/>
      <c r="H282" s="293">
        <f t="shared" si="5"/>
        <v>1746191847.3399999</v>
      </c>
    </row>
    <row r="283" spans="1:8" x14ac:dyDescent="0.35">
      <c r="A283" s="291">
        <v>268</v>
      </c>
      <c r="B283" s="301"/>
      <c r="C283" s="296"/>
      <c r="D283" s="291"/>
      <c r="E283" s="291"/>
      <c r="F283" s="293"/>
      <c r="G283" s="293"/>
      <c r="H283" s="293">
        <f t="shared" si="5"/>
        <v>1746191847.3399999</v>
      </c>
    </row>
    <row r="284" spans="1:8" x14ac:dyDescent="0.35">
      <c r="A284" s="291">
        <v>269</v>
      </c>
      <c r="B284" s="301"/>
      <c r="C284" s="296"/>
      <c r="D284" s="291"/>
      <c r="E284" s="291"/>
      <c r="F284" s="293"/>
      <c r="G284" s="293"/>
      <c r="H284" s="293">
        <f t="shared" si="5"/>
        <v>1746191847.3399999</v>
      </c>
    </row>
    <row r="285" spans="1:8" x14ac:dyDescent="0.35">
      <c r="A285" s="291">
        <v>270</v>
      </c>
      <c r="B285" s="301"/>
      <c r="C285" s="296"/>
      <c r="D285" s="291"/>
      <c r="E285" s="291"/>
      <c r="F285" s="293"/>
      <c r="G285" s="293"/>
      <c r="H285" s="293">
        <f t="shared" si="5"/>
        <v>1746191847.3399999</v>
      </c>
    </row>
    <row r="286" spans="1:8" x14ac:dyDescent="0.35">
      <c r="A286" s="291">
        <v>271</v>
      </c>
      <c r="B286" s="301"/>
      <c r="C286" s="296"/>
      <c r="D286" s="291"/>
      <c r="E286" s="291"/>
      <c r="F286" s="293"/>
      <c r="G286" s="293"/>
      <c r="H286" s="293">
        <f t="shared" si="5"/>
        <v>1746191847.3399999</v>
      </c>
    </row>
    <row r="287" spans="1:8" x14ac:dyDescent="0.35">
      <c r="A287" s="291">
        <v>272</v>
      </c>
      <c r="B287" s="301"/>
      <c r="C287" s="296"/>
      <c r="D287" s="291"/>
      <c r="E287" s="291"/>
      <c r="F287" s="293"/>
      <c r="G287" s="293"/>
      <c r="H287" s="293">
        <f t="shared" si="5"/>
        <v>1746191847.3399999</v>
      </c>
    </row>
    <row r="288" spans="1:8" x14ac:dyDescent="0.35">
      <c r="A288" s="291">
        <v>273</v>
      </c>
      <c r="B288" s="301"/>
      <c r="C288" s="296"/>
      <c r="D288" s="291"/>
      <c r="E288" s="291"/>
      <c r="F288" s="293"/>
      <c r="G288" s="293"/>
      <c r="H288" s="293">
        <f t="shared" ref="H288:H351" si="6">H287+F288-G288</f>
        <v>1746191847.3399999</v>
      </c>
    </row>
    <row r="289" spans="1:8" x14ac:dyDescent="0.35">
      <c r="A289" s="291">
        <v>274</v>
      </c>
      <c r="B289" s="301"/>
      <c r="C289" s="296"/>
      <c r="D289" s="291"/>
      <c r="E289" s="291"/>
      <c r="F289" s="293"/>
      <c r="G289" s="293"/>
      <c r="H289" s="293">
        <f t="shared" si="6"/>
        <v>1746191847.3399999</v>
      </c>
    </row>
    <row r="290" spans="1:8" x14ac:dyDescent="0.35">
      <c r="A290" s="291">
        <v>275</v>
      </c>
      <c r="B290" s="301"/>
      <c r="C290" s="296"/>
      <c r="D290" s="291"/>
      <c r="E290" s="291"/>
      <c r="F290" s="293"/>
      <c r="G290" s="293"/>
      <c r="H290" s="293">
        <f t="shared" si="6"/>
        <v>1746191847.3399999</v>
      </c>
    </row>
    <row r="291" spans="1:8" x14ac:dyDescent="0.35">
      <c r="A291" s="291">
        <v>276</v>
      </c>
      <c r="B291" s="301"/>
      <c r="C291" s="296"/>
      <c r="D291" s="291"/>
      <c r="E291" s="291"/>
      <c r="F291" s="293"/>
      <c r="G291" s="293"/>
      <c r="H291" s="293">
        <f t="shared" si="6"/>
        <v>1746191847.3399999</v>
      </c>
    </row>
    <row r="292" spans="1:8" x14ac:dyDescent="0.35">
      <c r="A292" s="291">
        <v>277</v>
      </c>
      <c r="B292" s="301"/>
      <c r="C292" s="296"/>
      <c r="D292" s="291"/>
      <c r="E292" s="291"/>
      <c r="F292" s="293"/>
      <c r="G292" s="293"/>
      <c r="H292" s="293">
        <f t="shared" si="6"/>
        <v>1746191847.3399999</v>
      </c>
    </row>
    <row r="293" spans="1:8" x14ac:dyDescent="0.35">
      <c r="A293" s="291">
        <v>278</v>
      </c>
      <c r="B293" s="301"/>
      <c r="C293" s="296"/>
      <c r="D293" s="291"/>
      <c r="E293" s="291"/>
      <c r="F293" s="293"/>
      <c r="G293" s="293"/>
      <c r="H293" s="293">
        <f t="shared" si="6"/>
        <v>1746191847.3399999</v>
      </c>
    </row>
    <row r="294" spans="1:8" x14ac:dyDescent="0.35">
      <c r="A294" s="291">
        <v>279</v>
      </c>
      <c r="B294" s="301"/>
      <c r="C294" s="296"/>
      <c r="D294" s="291"/>
      <c r="E294" s="291"/>
      <c r="F294" s="293"/>
      <c r="G294" s="293"/>
      <c r="H294" s="293">
        <f t="shared" si="6"/>
        <v>1746191847.3399999</v>
      </c>
    </row>
    <row r="295" spans="1:8" x14ac:dyDescent="0.35">
      <c r="A295" s="291">
        <v>280</v>
      </c>
      <c r="B295" s="301"/>
      <c r="C295" s="296"/>
      <c r="D295" s="291"/>
      <c r="E295" s="291"/>
      <c r="F295" s="293"/>
      <c r="G295" s="293"/>
      <c r="H295" s="293">
        <f t="shared" si="6"/>
        <v>1746191847.3399999</v>
      </c>
    </row>
    <row r="296" spans="1:8" x14ac:dyDescent="0.35">
      <c r="A296" s="291">
        <v>281</v>
      </c>
      <c r="B296" s="301"/>
      <c r="C296" s="296"/>
      <c r="D296" s="291"/>
      <c r="E296" s="291"/>
      <c r="F296" s="293"/>
      <c r="G296" s="293"/>
      <c r="H296" s="293">
        <f t="shared" si="6"/>
        <v>1746191847.3399999</v>
      </c>
    </row>
    <row r="297" spans="1:8" x14ac:dyDescent="0.35">
      <c r="A297" s="291">
        <v>282</v>
      </c>
      <c r="B297" s="301"/>
      <c r="C297" s="296"/>
      <c r="D297" s="291"/>
      <c r="E297" s="291"/>
      <c r="F297" s="293"/>
      <c r="G297" s="293"/>
      <c r="H297" s="293">
        <f t="shared" si="6"/>
        <v>1746191847.3399999</v>
      </c>
    </row>
    <row r="298" spans="1:8" x14ac:dyDescent="0.35">
      <c r="A298" s="291">
        <v>283</v>
      </c>
      <c r="B298" s="301"/>
      <c r="C298" s="296"/>
      <c r="D298" s="291"/>
      <c r="E298" s="291"/>
      <c r="F298" s="293"/>
      <c r="G298" s="293"/>
      <c r="H298" s="293">
        <f t="shared" si="6"/>
        <v>1746191847.3399999</v>
      </c>
    </row>
    <row r="299" spans="1:8" x14ac:dyDescent="0.35">
      <c r="A299" s="291">
        <v>284</v>
      </c>
      <c r="B299" s="301"/>
      <c r="C299" s="296"/>
      <c r="D299" s="291"/>
      <c r="E299" s="291"/>
      <c r="F299" s="293"/>
      <c r="G299" s="293"/>
      <c r="H299" s="293">
        <f t="shared" si="6"/>
        <v>1746191847.3399999</v>
      </c>
    </row>
    <row r="300" spans="1:8" x14ac:dyDescent="0.35">
      <c r="A300" s="291">
        <v>285</v>
      </c>
      <c r="B300" s="301"/>
      <c r="C300" s="296"/>
      <c r="D300" s="291"/>
      <c r="E300" s="291"/>
      <c r="F300" s="293"/>
      <c r="G300" s="293"/>
      <c r="H300" s="293">
        <f t="shared" si="6"/>
        <v>1746191847.3399999</v>
      </c>
    </row>
    <row r="301" spans="1:8" x14ac:dyDescent="0.35">
      <c r="A301" s="291">
        <v>286</v>
      </c>
      <c r="B301" s="301"/>
      <c r="C301" s="296"/>
      <c r="D301" s="291"/>
      <c r="E301" s="291"/>
      <c r="F301" s="293"/>
      <c r="G301" s="293"/>
      <c r="H301" s="293">
        <f t="shared" si="6"/>
        <v>1746191847.3399999</v>
      </c>
    </row>
    <row r="302" spans="1:8" x14ac:dyDescent="0.35">
      <c r="A302" s="291">
        <v>287</v>
      </c>
      <c r="B302" s="301"/>
      <c r="C302" s="296"/>
      <c r="D302" s="291"/>
      <c r="E302" s="291"/>
      <c r="F302" s="293"/>
      <c r="G302" s="293"/>
      <c r="H302" s="293">
        <f t="shared" si="6"/>
        <v>1746191847.3399999</v>
      </c>
    </row>
    <row r="303" spans="1:8" x14ac:dyDescent="0.35">
      <c r="A303" s="291">
        <v>288</v>
      </c>
      <c r="B303" s="301"/>
      <c r="C303" s="296"/>
      <c r="D303" s="291"/>
      <c r="E303" s="291"/>
      <c r="F303" s="293"/>
      <c r="G303" s="293"/>
      <c r="H303" s="293">
        <f t="shared" si="6"/>
        <v>1746191847.3399999</v>
      </c>
    </row>
    <row r="304" spans="1:8" x14ac:dyDescent="0.35">
      <c r="A304" s="291">
        <v>289</v>
      </c>
      <c r="B304" s="301"/>
      <c r="C304" s="296"/>
      <c r="D304" s="291"/>
      <c r="E304" s="291"/>
      <c r="F304" s="293"/>
      <c r="G304" s="293"/>
      <c r="H304" s="293">
        <f t="shared" si="6"/>
        <v>1746191847.3399999</v>
      </c>
    </row>
    <row r="305" spans="1:8" x14ac:dyDescent="0.35">
      <c r="A305" s="291">
        <v>290</v>
      </c>
      <c r="B305" s="301"/>
      <c r="C305" s="296"/>
      <c r="D305" s="291"/>
      <c r="E305" s="291"/>
      <c r="F305" s="293"/>
      <c r="G305" s="293"/>
      <c r="H305" s="293">
        <f t="shared" si="6"/>
        <v>1746191847.3399999</v>
      </c>
    </row>
    <row r="306" spans="1:8" x14ac:dyDescent="0.35">
      <c r="A306" s="291">
        <v>291</v>
      </c>
      <c r="B306" s="301"/>
      <c r="C306" s="296"/>
      <c r="D306" s="291"/>
      <c r="E306" s="291"/>
      <c r="F306" s="293"/>
      <c r="G306" s="293"/>
      <c r="H306" s="293">
        <f t="shared" si="6"/>
        <v>1746191847.3399999</v>
      </c>
    </row>
    <row r="307" spans="1:8" x14ac:dyDescent="0.35">
      <c r="A307" s="291">
        <v>292</v>
      </c>
      <c r="B307" s="301"/>
      <c r="C307" s="296"/>
      <c r="D307" s="291"/>
      <c r="E307" s="291"/>
      <c r="F307" s="293"/>
      <c r="G307" s="293"/>
      <c r="H307" s="293">
        <f t="shared" si="6"/>
        <v>1746191847.3399999</v>
      </c>
    </row>
    <row r="308" spans="1:8" x14ac:dyDescent="0.35">
      <c r="A308" s="291">
        <v>293</v>
      </c>
      <c r="B308" s="301"/>
      <c r="C308" s="296"/>
      <c r="D308" s="291"/>
      <c r="E308" s="291"/>
      <c r="F308" s="293"/>
      <c r="G308" s="293"/>
      <c r="H308" s="293">
        <f t="shared" si="6"/>
        <v>1746191847.3399999</v>
      </c>
    </row>
    <row r="309" spans="1:8" x14ac:dyDescent="0.35">
      <c r="A309" s="291">
        <v>294</v>
      </c>
      <c r="B309" s="301"/>
      <c r="C309" s="296"/>
      <c r="D309" s="291"/>
      <c r="E309" s="291"/>
      <c r="F309" s="293"/>
      <c r="G309" s="293"/>
      <c r="H309" s="293">
        <f t="shared" si="6"/>
        <v>1746191847.3399999</v>
      </c>
    </row>
    <row r="310" spans="1:8" x14ac:dyDescent="0.35">
      <c r="A310" s="291">
        <v>295</v>
      </c>
      <c r="B310" s="301"/>
      <c r="C310" s="296"/>
      <c r="D310" s="291"/>
      <c r="E310" s="291"/>
      <c r="F310" s="293"/>
      <c r="G310" s="293"/>
      <c r="H310" s="293">
        <f t="shared" si="6"/>
        <v>1746191847.3399999</v>
      </c>
    </row>
    <row r="311" spans="1:8" x14ac:dyDescent="0.35">
      <c r="A311" s="291">
        <v>296</v>
      </c>
      <c r="B311" s="301"/>
      <c r="C311" s="296"/>
      <c r="D311" s="291"/>
      <c r="E311" s="291"/>
      <c r="F311" s="293"/>
      <c r="G311" s="293"/>
      <c r="H311" s="293">
        <f t="shared" si="6"/>
        <v>1746191847.3399999</v>
      </c>
    </row>
    <row r="312" spans="1:8" x14ac:dyDescent="0.35">
      <c r="A312" s="291">
        <v>297</v>
      </c>
      <c r="B312" s="301"/>
      <c r="C312" s="296"/>
      <c r="D312" s="291"/>
      <c r="E312" s="291"/>
      <c r="F312" s="293"/>
      <c r="G312" s="293"/>
      <c r="H312" s="293">
        <f t="shared" si="6"/>
        <v>1746191847.3399999</v>
      </c>
    </row>
    <row r="313" spans="1:8" x14ac:dyDescent="0.35">
      <c r="A313" s="291">
        <v>298</v>
      </c>
      <c r="B313" s="301"/>
      <c r="C313" s="296"/>
      <c r="D313" s="291"/>
      <c r="E313" s="291"/>
      <c r="F313" s="293"/>
      <c r="G313" s="293"/>
      <c r="H313" s="293">
        <f t="shared" si="6"/>
        <v>1746191847.3399999</v>
      </c>
    </row>
    <row r="314" spans="1:8" x14ac:dyDescent="0.35">
      <c r="A314" s="291">
        <v>299</v>
      </c>
      <c r="B314" s="301"/>
      <c r="C314" s="296"/>
      <c r="D314" s="291"/>
      <c r="E314" s="291"/>
      <c r="F314" s="293"/>
      <c r="G314" s="293"/>
      <c r="H314" s="293">
        <f t="shared" si="6"/>
        <v>1746191847.3399999</v>
      </c>
    </row>
    <row r="315" spans="1:8" x14ac:dyDescent="0.35">
      <c r="A315" s="291">
        <v>300</v>
      </c>
      <c r="B315" s="301"/>
      <c r="C315" s="296"/>
      <c r="D315" s="291"/>
      <c r="E315" s="291"/>
      <c r="F315" s="293"/>
      <c r="G315" s="293"/>
      <c r="H315" s="293">
        <f t="shared" si="6"/>
        <v>1746191847.3399999</v>
      </c>
    </row>
    <row r="316" spans="1:8" x14ac:dyDescent="0.35">
      <c r="A316" s="291">
        <v>301</v>
      </c>
      <c r="B316" s="301"/>
      <c r="C316" s="296"/>
      <c r="D316" s="291"/>
      <c r="E316" s="291"/>
      <c r="F316" s="293"/>
      <c r="G316" s="293"/>
      <c r="H316" s="293">
        <f t="shared" si="6"/>
        <v>1746191847.3399999</v>
      </c>
    </row>
    <row r="317" spans="1:8" x14ac:dyDescent="0.35">
      <c r="A317" s="291">
        <v>302</v>
      </c>
      <c r="B317" s="301"/>
      <c r="C317" s="296"/>
      <c r="D317" s="291"/>
      <c r="E317" s="291"/>
      <c r="F317" s="293"/>
      <c r="G317" s="293"/>
      <c r="H317" s="293">
        <f t="shared" si="6"/>
        <v>1746191847.3399999</v>
      </c>
    </row>
    <row r="318" spans="1:8" x14ac:dyDescent="0.35">
      <c r="A318" s="291">
        <v>303</v>
      </c>
      <c r="B318" s="301"/>
      <c r="C318" s="296"/>
      <c r="D318" s="291"/>
      <c r="E318" s="291"/>
      <c r="F318" s="293"/>
      <c r="G318" s="293"/>
      <c r="H318" s="293">
        <f t="shared" si="6"/>
        <v>1746191847.3399999</v>
      </c>
    </row>
    <row r="319" spans="1:8" x14ac:dyDescent="0.35">
      <c r="A319" s="291">
        <v>304</v>
      </c>
      <c r="B319" s="301"/>
      <c r="C319" s="296"/>
      <c r="D319" s="291"/>
      <c r="E319" s="291"/>
      <c r="F319" s="293"/>
      <c r="G319" s="293"/>
      <c r="H319" s="293">
        <f t="shared" si="6"/>
        <v>1746191847.3399999</v>
      </c>
    </row>
    <row r="320" spans="1:8" x14ac:dyDescent="0.35">
      <c r="A320" s="291">
        <v>305</v>
      </c>
      <c r="B320" s="301"/>
      <c r="C320" s="296"/>
      <c r="D320" s="291"/>
      <c r="E320" s="291"/>
      <c r="F320" s="293"/>
      <c r="G320" s="293"/>
      <c r="H320" s="293">
        <f t="shared" si="6"/>
        <v>1746191847.3399999</v>
      </c>
    </row>
    <row r="321" spans="1:8" x14ac:dyDescent="0.35">
      <c r="A321" s="291">
        <v>306</v>
      </c>
      <c r="B321" s="301"/>
      <c r="C321" s="296"/>
      <c r="D321" s="291"/>
      <c r="E321" s="291"/>
      <c r="F321" s="293"/>
      <c r="G321" s="293"/>
      <c r="H321" s="293">
        <f t="shared" si="6"/>
        <v>1746191847.3399999</v>
      </c>
    </row>
    <row r="322" spans="1:8" x14ac:dyDescent="0.35">
      <c r="A322" s="291">
        <v>307</v>
      </c>
      <c r="B322" s="301"/>
      <c r="C322" s="296"/>
      <c r="D322" s="291"/>
      <c r="E322" s="291"/>
      <c r="F322" s="293"/>
      <c r="G322" s="293"/>
      <c r="H322" s="293">
        <f t="shared" si="6"/>
        <v>1746191847.3399999</v>
      </c>
    </row>
    <row r="323" spans="1:8" x14ac:dyDescent="0.35">
      <c r="A323" s="291">
        <v>308</v>
      </c>
      <c r="B323" s="301"/>
      <c r="C323" s="296"/>
      <c r="D323" s="291"/>
      <c r="E323" s="291"/>
      <c r="F323" s="293"/>
      <c r="G323" s="293"/>
      <c r="H323" s="293">
        <f t="shared" si="6"/>
        <v>1746191847.3399999</v>
      </c>
    </row>
    <row r="324" spans="1:8" x14ac:dyDescent="0.35">
      <c r="A324" s="291">
        <v>309</v>
      </c>
      <c r="B324" s="301"/>
      <c r="C324" s="296"/>
      <c r="D324" s="291"/>
      <c r="E324" s="291"/>
      <c r="F324" s="293"/>
      <c r="G324" s="293"/>
      <c r="H324" s="293">
        <f t="shared" si="6"/>
        <v>1746191847.3399999</v>
      </c>
    </row>
    <row r="325" spans="1:8" x14ac:dyDescent="0.35">
      <c r="A325" s="291">
        <v>310</v>
      </c>
      <c r="B325" s="301"/>
      <c r="C325" s="296"/>
      <c r="D325" s="291"/>
      <c r="E325" s="291"/>
      <c r="F325" s="293"/>
      <c r="G325" s="293"/>
      <c r="H325" s="293">
        <f t="shared" si="6"/>
        <v>1746191847.3399999</v>
      </c>
    </row>
    <row r="326" spans="1:8" x14ac:dyDescent="0.35">
      <c r="A326" s="291">
        <v>311</v>
      </c>
      <c r="B326" s="301"/>
      <c r="C326" s="296"/>
      <c r="D326" s="291"/>
      <c r="E326" s="291"/>
      <c r="F326" s="293"/>
      <c r="G326" s="293"/>
      <c r="H326" s="293">
        <f t="shared" si="6"/>
        <v>1746191847.3399999</v>
      </c>
    </row>
    <row r="327" spans="1:8" x14ac:dyDescent="0.35">
      <c r="A327" s="291">
        <v>312</v>
      </c>
      <c r="B327" s="301"/>
      <c r="C327" s="296"/>
      <c r="D327" s="291"/>
      <c r="E327" s="291"/>
      <c r="F327" s="293"/>
      <c r="G327" s="293"/>
      <c r="H327" s="293">
        <f t="shared" si="6"/>
        <v>1746191847.3399999</v>
      </c>
    </row>
    <row r="328" spans="1:8" x14ac:dyDescent="0.35">
      <c r="A328" s="291">
        <v>313</v>
      </c>
      <c r="B328" s="301"/>
      <c r="C328" s="296"/>
      <c r="D328" s="291"/>
      <c r="E328" s="291"/>
      <c r="F328" s="293"/>
      <c r="G328" s="293"/>
      <c r="H328" s="293">
        <f t="shared" si="6"/>
        <v>1746191847.3399999</v>
      </c>
    </row>
    <row r="329" spans="1:8" x14ac:dyDescent="0.35">
      <c r="A329" s="291">
        <v>314</v>
      </c>
      <c r="B329" s="301"/>
      <c r="C329" s="296"/>
      <c r="D329" s="291"/>
      <c r="E329" s="291"/>
      <c r="F329" s="293"/>
      <c r="G329" s="293"/>
      <c r="H329" s="293">
        <f t="shared" si="6"/>
        <v>1746191847.3399999</v>
      </c>
    </row>
    <row r="330" spans="1:8" x14ac:dyDescent="0.35">
      <c r="A330" s="291">
        <v>315</v>
      </c>
      <c r="B330" s="301"/>
      <c r="C330" s="296"/>
      <c r="D330" s="291"/>
      <c r="E330" s="291"/>
      <c r="F330" s="293"/>
      <c r="G330" s="293"/>
      <c r="H330" s="293">
        <f t="shared" si="6"/>
        <v>1746191847.3399999</v>
      </c>
    </row>
    <row r="331" spans="1:8" x14ac:dyDescent="0.35">
      <c r="A331" s="291">
        <v>316</v>
      </c>
      <c r="B331" s="301"/>
      <c r="C331" s="296"/>
      <c r="D331" s="291"/>
      <c r="E331" s="291"/>
      <c r="F331" s="293"/>
      <c r="G331" s="293"/>
      <c r="H331" s="293">
        <f t="shared" si="6"/>
        <v>1746191847.3399999</v>
      </c>
    </row>
    <row r="332" spans="1:8" x14ac:dyDescent="0.35">
      <c r="A332" s="291">
        <v>317</v>
      </c>
      <c r="B332" s="301"/>
      <c r="C332" s="296"/>
      <c r="D332" s="291"/>
      <c r="E332" s="291"/>
      <c r="F332" s="293"/>
      <c r="G332" s="293"/>
      <c r="H332" s="293">
        <f t="shared" si="6"/>
        <v>1746191847.3399999</v>
      </c>
    </row>
    <row r="333" spans="1:8" x14ac:dyDescent="0.35">
      <c r="A333" s="291">
        <v>318</v>
      </c>
      <c r="B333" s="301"/>
      <c r="C333" s="296"/>
      <c r="D333" s="291"/>
      <c r="E333" s="291"/>
      <c r="F333" s="293"/>
      <c r="G333" s="293"/>
      <c r="H333" s="293">
        <f t="shared" si="6"/>
        <v>1746191847.3399999</v>
      </c>
    </row>
    <row r="334" spans="1:8" x14ac:dyDescent="0.35">
      <c r="A334" s="291">
        <v>319</v>
      </c>
      <c r="B334" s="301"/>
      <c r="C334" s="296"/>
      <c r="D334" s="291"/>
      <c r="E334" s="291"/>
      <c r="F334" s="293"/>
      <c r="G334" s="293"/>
      <c r="H334" s="293">
        <f t="shared" si="6"/>
        <v>1746191847.3399999</v>
      </c>
    </row>
    <row r="335" spans="1:8" x14ac:dyDescent="0.35">
      <c r="A335" s="291">
        <v>320</v>
      </c>
      <c r="B335" s="301"/>
      <c r="C335" s="296"/>
      <c r="D335" s="291"/>
      <c r="E335" s="291"/>
      <c r="F335" s="293"/>
      <c r="G335" s="293"/>
      <c r="H335" s="293">
        <f t="shared" si="6"/>
        <v>1746191847.3399999</v>
      </c>
    </row>
    <row r="336" spans="1:8" x14ac:dyDescent="0.35">
      <c r="A336" s="291">
        <v>321</v>
      </c>
      <c r="B336" s="301"/>
      <c r="C336" s="296"/>
      <c r="D336" s="291"/>
      <c r="E336" s="291"/>
      <c r="F336" s="293"/>
      <c r="G336" s="293"/>
      <c r="H336" s="293">
        <f t="shared" si="6"/>
        <v>1746191847.3399999</v>
      </c>
    </row>
    <row r="337" spans="1:8" x14ac:dyDescent="0.35">
      <c r="A337" s="291">
        <v>322</v>
      </c>
      <c r="B337" s="301"/>
      <c r="C337" s="296"/>
      <c r="D337" s="291"/>
      <c r="E337" s="291"/>
      <c r="F337" s="293"/>
      <c r="G337" s="293"/>
      <c r="H337" s="293">
        <f t="shared" si="6"/>
        <v>1746191847.3399999</v>
      </c>
    </row>
    <row r="338" spans="1:8" x14ac:dyDescent="0.35">
      <c r="A338" s="291">
        <v>323</v>
      </c>
      <c r="B338" s="301"/>
      <c r="C338" s="296"/>
      <c r="D338" s="291"/>
      <c r="E338" s="291"/>
      <c r="F338" s="293"/>
      <c r="G338" s="293"/>
      <c r="H338" s="293">
        <f t="shared" si="6"/>
        <v>1746191847.3399999</v>
      </c>
    </row>
    <row r="339" spans="1:8" x14ac:dyDescent="0.35">
      <c r="A339" s="291">
        <v>324</v>
      </c>
      <c r="B339" s="301"/>
      <c r="C339" s="296"/>
      <c r="D339" s="291"/>
      <c r="E339" s="291"/>
      <c r="F339" s="293"/>
      <c r="G339" s="293"/>
      <c r="H339" s="293">
        <f t="shared" si="6"/>
        <v>1746191847.3399999</v>
      </c>
    </row>
    <row r="340" spans="1:8" x14ac:dyDescent="0.35">
      <c r="A340" s="291">
        <v>325</v>
      </c>
      <c r="B340" s="301"/>
      <c r="C340" s="296"/>
      <c r="D340" s="291"/>
      <c r="E340" s="291"/>
      <c r="F340" s="293"/>
      <c r="G340" s="293"/>
      <c r="H340" s="293">
        <f t="shared" si="6"/>
        <v>1746191847.3399999</v>
      </c>
    </row>
    <row r="341" spans="1:8" x14ac:dyDescent="0.35">
      <c r="A341" s="291">
        <v>326</v>
      </c>
      <c r="B341" s="301"/>
      <c r="C341" s="296"/>
      <c r="D341" s="291"/>
      <c r="E341" s="291"/>
      <c r="F341" s="293"/>
      <c r="G341" s="293"/>
      <c r="H341" s="293">
        <f t="shared" si="6"/>
        <v>1746191847.3399999</v>
      </c>
    </row>
    <row r="342" spans="1:8" x14ac:dyDescent="0.35">
      <c r="A342" s="291">
        <v>327</v>
      </c>
      <c r="B342" s="301"/>
      <c r="C342" s="296"/>
      <c r="D342" s="291"/>
      <c r="E342" s="291"/>
      <c r="F342" s="293"/>
      <c r="G342" s="293"/>
      <c r="H342" s="293">
        <f t="shared" si="6"/>
        <v>1746191847.3399999</v>
      </c>
    </row>
    <row r="343" spans="1:8" x14ac:dyDescent="0.35">
      <c r="A343" s="291">
        <v>328</v>
      </c>
      <c r="B343" s="301"/>
      <c r="C343" s="296"/>
      <c r="D343" s="291"/>
      <c r="E343" s="291"/>
      <c r="F343" s="293"/>
      <c r="G343" s="293"/>
      <c r="H343" s="293">
        <f t="shared" si="6"/>
        <v>1746191847.3399999</v>
      </c>
    </row>
    <row r="344" spans="1:8" x14ac:dyDescent="0.35">
      <c r="A344" s="291">
        <v>329</v>
      </c>
      <c r="B344" s="301"/>
      <c r="C344" s="296"/>
      <c r="D344" s="291"/>
      <c r="E344" s="291"/>
      <c r="F344" s="293"/>
      <c r="G344" s="293"/>
      <c r="H344" s="293">
        <f t="shared" si="6"/>
        <v>1746191847.3399999</v>
      </c>
    </row>
    <row r="345" spans="1:8" x14ac:dyDescent="0.35">
      <c r="A345" s="291">
        <v>330</v>
      </c>
      <c r="B345" s="301"/>
      <c r="C345" s="296"/>
      <c r="D345" s="291"/>
      <c r="E345" s="291"/>
      <c r="F345" s="293"/>
      <c r="G345" s="293"/>
      <c r="H345" s="293">
        <f t="shared" si="6"/>
        <v>1746191847.3399999</v>
      </c>
    </row>
    <row r="346" spans="1:8" x14ac:dyDescent="0.35">
      <c r="A346" s="291">
        <v>331</v>
      </c>
      <c r="B346" s="301"/>
      <c r="C346" s="296"/>
      <c r="D346" s="291"/>
      <c r="E346" s="291"/>
      <c r="F346" s="293"/>
      <c r="G346" s="293"/>
      <c r="H346" s="293">
        <f t="shared" si="6"/>
        <v>1746191847.3399999</v>
      </c>
    </row>
    <row r="347" spans="1:8" x14ac:dyDescent="0.35">
      <c r="A347" s="291">
        <v>332</v>
      </c>
      <c r="B347" s="301"/>
      <c r="C347" s="296"/>
      <c r="D347" s="291"/>
      <c r="E347" s="291"/>
      <c r="F347" s="293"/>
      <c r="G347" s="293"/>
      <c r="H347" s="293">
        <f t="shared" si="6"/>
        <v>1746191847.3399999</v>
      </c>
    </row>
    <row r="348" spans="1:8" x14ac:dyDescent="0.35">
      <c r="A348" s="291">
        <v>333</v>
      </c>
      <c r="B348" s="301"/>
      <c r="C348" s="296"/>
      <c r="D348" s="291"/>
      <c r="E348" s="291"/>
      <c r="F348" s="293"/>
      <c r="G348" s="293"/>
      <c r="H348" s="293">
        <f t="shared" si="6"/>
        <v>1746191847.3399999</v>
      </c>
    </row>
    <row r="349" spans="1:8" x14ac:dyDescent="0.35">
      <c r="A349" s="291">
        <v>334</v>
      </c>
      <c r="B349" s="301"/>
      <c r="C349" s="296"/>
      <c r="D349" s="291"/>
      <c r="E349" s="291"/>
      <c r="F349" s="293"/>
      <c r="G349" s="293"/>
      <c r="H349" s="293">
        <f t="shared" si="6"/>
        <v>1746191847.3399999</v>
      </c>
    </row>
    <row r="350" spans="1:8" x14ac:dyDescent="0.35">
      <c r="A350" s="291">
        <v>335</v>
      </c>
      <c r="B350" s="301"/>
      <c r="C350" s="296"/>
      <c r="D350" s="291"/>
      <c r="E350" s="291"/>
      <c r="F350" s="293"/>
      <c r="G350" s="293"/>
      <c r="H350" s="293">
        <f t="shared" si="6"/>
        <v>1746191847.3399999</v>
      </c>
    </row>
    <row r="351" spans="1:8" x14ac:dyDescent="0.35">
      <c r="A351" s="291">
        <v>336</v>
      </c>
      <c r="B351" s="301"/>
      <c r="C351" s="296"/>
      <c r="D351" s="291"/>
      <c r="E351" s="291"/>
      <c r="F351" s="293"/>
      <c r="G351" s="293"/>
      <c r="H351" s="293">
        <f t="shared" si="6"/>
        <v>1746191847.3399999</v>
      </c>
    </row>
    <row r="352" spans="1:8" x14ac:dyDescent="0.35">
      <c r="A352" s="291">
        <v>337</v>
      </c>
      <c r="B352" s="301"/>
      <c r="C352" s="296"/>
      <c r="D352" s="291"/>
      <c r="E352" s="291"/>
      <c r="F352" s="293"/>
      <c r="G352" s="293"/>
      <c r="H352" s="293">
        <f t="shared" ref="H352:H415" si="7">H351+F352-G352</f>
        <v>1746191847.3399999</v>
      </c>
    </row>
    <row r="353" spans="1:8" x14ac:dyDescent="0.35">
      <c r="A353" s="291">
        <v>338</v>
      </c>
      <c r="B353" s="301"/>
      <c r="C353" s="296"/>
      <c r="D353" s="291"/>
      <c r="E353" s="291"/>
      <c r="F353" s="293"/>
      <c r="G353" s="293"/>
      <c r="H353" s="293">
        <f t="shared" si="7"/>
        <v>1746191847.3399999</v>
      </c>
    </row>
    <row r="354" spans="1:8" x14ac:dyDescent="0.35">
      <c r="A354" s="291">
        <v>339</v>
      </c>
      <c r="B354" s="301"/>
      <c r="C354" s="296"/>
      <c r="D354" s="291"/>
      <c r="E354" s="291"/>
      <c r="F354" s="293"/>
      <c r="G354" s="293"/>
      <c r="H354" s="293">
        <f t="shared" si="7"/>
        <v>1746191847.3399999</v>
      </c>
    </row>
    <row r="355" spans="1:8" x14ac:dyDescent="0.35">
      <c r="A355" s="291">
        <v>340</v>
      </c>
      <c r="B355" s="301"/>
      <c r="C355" s="296"/>
      <c r="D355" s="291"/>
      <c r="E355" s="291"/>
      <c r="F355" s="293"/>
      <c r="G355" s="293"/>
      <c r="H355" s="293">
        <f t="shared" si="7"/>
        <v>1746191847.3399999</v>
      </c>
    </row>
    <row r="356" spans="1:8" x14ac:dyDescent="0.35">
      <c r="A356" s="291">
        <v>341</v>
      </c>
      <c r="B356" s="301"/>
      <c r="C356" s="296"/>
      <c r="D356" s="291"/>
      <c r="E356" s="291"/>
      <c r="F356" s="293"/>
      <c r="G356" s="293"/>
      <c r="H356" s="293">
        <f t="shared" si="7"/>
        <v>1746191847.3399999</v>
      </c>
    </row>
    <row r="357" spans="1:8" x14ac:dyDescent="0.35">
      <c r="A357" s="291">
        <v>342</v>
      </c>
      <c r="B357" s="301"/>
      <c r="C357" s="296"/>
      <c r="D357" s="291"/>
      <c r="E357" s="291"/>
      <c r="F357" s="293"/>
      <c r="G357" s="293"/>
      <c r="H357" s="293">
        <f t="shared" si="7"/>
        <v>1746191847.3399999</v>
      </c>
    </row>
    <row r="358" spans="1:8" x14ac:dyDescent="0.35">
      <c r="A358" s="291">
        <v>343</v>
      </c>
      <c r="B358" s="301"/>
      <c r="C358" s="296"/>
      <c r="D358" s="291"/>
      <c r="E358" s="291"/>
      <c r="F358" s="293"/>
      <c r="G358" s="293"/>
      <c r="H358" s="293">
        <f t="shared" si="7"/>
        <v>1746191847.3399999</v>
      </c>
    </row>
    <row r="359" spans="1:8" x14ac:dyDescent="0.35">
      <c r="A359" s="291">
        <v>344</v>
      </c>
      <c r="B359" s="301"/>
      <c r="C359" s="296"/>
      <c r="D359" s="291"/>
      <c r="E359" s="291"/>
      <c r="F359" s="293"/>
      <c r="G359" s="293"/>
      <c r="H359" s="293">
        <f t="shared" si="7"/>
        <v>1746191847.3399999</v>
      </c>
    </row>
    <row r="360" spans="1:8" x14ac:dyDescent="0.35">
      <c r="A360" s="291">
        <v>345</v>
      </c>
      <c r="B360" s="301"/>
      <c r="C360" s="296"/>
      <c r="D360" s="291"/>
      <c r="E360" s="291"/>
      <c r="F360" s="293"/>
      <c r="G360" s="293"/>
      <c r="H360" s="293">
        <f t="shared" si="7"/>
        <v>1746191847.3399999</v>
      </c>
    </row>
    <row r="361" spans="1:8" x14ac:dyDescent="0.35">
      <c r="A361" s="291">
        <v>346</v>
      </c>
      <c r="B361" s="301"/>
      <c r="C361" s="296"/>
      <c r="D361" s="291"/>
      <c r="E361" s="291"/>
      <c r="F361" s="293"/>
      <c r="G361" s="293"/>
      <c r="H361" s="293">
        <f t="shared" si="7"/>
        <v>1746191847.3399999</v>
      </c>
    </row>
    <row r="362" spans="1:8" x14ac:dyDescent="0.35">
      <c r="A362" s="291">
        <v>347</v>
      </c>
      <c r="B362" s="301"/>
      <c r="C362" s="296"/>
      <c r="D362" s="291"/>
      <c r="E362" s="291"/>
      <c r="F362" s="293"/>
      <c r="G362" s="293"/>
      <c r="H362" s="293">
        <f t="shared" si="7"/>
        <v>1746191847.3399999</v>
      </c>
    </row>
    <row r="363" spans="1:8" x14ac:dyDescent="0.35">
      <c r="A363" s="291">
        <v>348</v>
      </c>
      <c r="B363" s="301"/>
      <c r="C363" s="296"/>
      <c r="D363" s="291"/>
      <c r="E363" s="291"/>
      <c r="F363" s="293"/>
      <c r="G363" s="293"/>
      <c r="H363" s="293">
        <f t="shared" si="7"/>
        <v>1746191847.3399999</v>
      </c>
    </row>
    <row r="364" spans="1:8" x14ac:dyDescent="0.35">
      <c r="A364" s="291">
        <v>349</v>
      </c>
      <c r="B364" s="301"/>
      <c r="C364" s="296"/>
      <c r="D364" s="291"/>
      <c r="E364" s="291"/>
      <c r="F364" s="293"/>
      <c r="G364" s="293"/>
      <c r="H364" s="293">
        <f t="shared" si="7"/>
        <v>1746191847.3399999</v>
      </c>
    </row>
    <row r="365" spans="1:8" x14ac:dyDescent="0.35">
      <c r="A365" s="291">
        <v>350</v>
      </c>
      <c r="B365" s="301"/>
      <c r="C365" s="296"/>
      <c r="D365" s="291"/>
      <c r="E365" s="291"/>
      <c r="F365" s="293"/>
      <c r="G365" s="293"/>
      <c r="H365" s="293">
        <f t="shared" si="7"/>
        <v>1746191847.3399999</v>
      </c>
    </row>
    <row r="366" spans="1:8" x14ac:dyDescent="0.35">
      <c r="A366" s="291">
        <v>351</v>
      </c>
      <c r="B366" s="301"/>
      <c r="C366" s="296"/>
      <c r="D366" s="291"/>
      <c r="E366" s="291"/>
      <c r="F366" s="293"/>
      <c r="G366" s="293"/>
      <c r="H366" s="293">
        <f t="shared" si="7"/>
        <v>1746191847.3399999</v>
      </c>
    </row>
    <row r="367" spans="1:8" x14ac:dyDescent="0.35">
      <c r="A367" s="291">
        <v>352</v>
      </c>
      <c r="B367" s="301"/>
      <c r="C367" s="296"/>
      <c r="D367" s="291"/>
      <c r="E367" s="291"/>
      <c r="F367" s="293"/>
      <c r="G367" s="293"/>
      <c r="H367" s="293">
        <f t="shared" si="7"/>
        <v>1746191847.3399999</v>
      </c>
    </row>
    <row r="368" spans="1:8" x14ac:dyDescent="0.35">
      <c r="A368" s="291">
        <v>353</v>
      </c>
      <c r="B368" s="301"/>
      <c r="C368" s="296"/>
      <c r="D368" s="291"/>
      <c r="E368" s="291"/>
      <c r="F368" s="293"/>
      <c r="G368" s="293"/>
      <c r="H368" s="293">
        <f t="shared" si="7"/>
        <v>1746191847.3399999</v>
      </c>
    </row>
    <row r="369" spans="1:8" x14ac:dyDescent="0.35">
      <c r="A369" s="291">
        <v>354</v>
      </c>
      <c r="B369" s="301"/>
      <c r="C369" s="296"/>
      <c r="D369" s="291"/>
      <c r="E369" s="291"/>
      <c r="F369" s="293"/>
      <c r="G369" s="293"/>
      <c r="H369" s="293">
        <f t="shared" si="7"/>
        <v>1746191847.3399999</v>
      </c>
    </row>
    <row r="370" spans="1:8" x14ac:dyDescent="0.35">
      <c r="A370" s="291">
        <v>355</v>
      </c>
      <c r="B370" s="301"/>
      <c r="C370" s="296"/>
      <c r="D370" s="291"/>
      <c r="E370" s="291"/>
      <c r="F370" s="293"/>
      <c r="G370" s="293"/>
      <c r="H370" s="293">
        <f t="shared" si="7"/>
        <v>1746191847.3399999</v>
      </c>
    </row>
    <row r="371" spans="1:8" x14ac:dyDescent="0.35">
      <c r="A371" s="291">
        <v>356</v>
      </c>
      <c r="B371" s="301"/>
      <c r="C371" s="296"/>
      <c r="D371" s="291"/>
      <c r="E371" s="291"/>
      <c r="F371" s="293"/>
      <c r="G371" s="293"/>
      <c r="H371" s="293">
        <f t="shared" si="7"/>
        <v>1746191847.3399999</v>
      </c>
    </row>
    <row r="372" spans="1:8" x14ac:dyDescent="0.35">
      <c r="A372" s="291">
        <v>357</v>
      </c>
      <c r="B372" s="301"/>
      <c r="C372" s="296"/>
      <c r="D372" s="291"/>
      <c r="E372" s="291"/>
      <c r="F372" s="293"/>
      <c r="G372" s="293"/>
      <c r="H372" s="293">
        <f t="shared" si="7"/>
        <v>1746191847.3399999</v>
      </c>
    </row>
    <row r="373" spans="1:8" x14ac:dyDescent="0.35">
      <c r="A373" s="291">
        <v>358</v>
      </c>
      <c r="B373" s="301"/>
      <c r="C373" s="296"/>
      <c r="D373" s="291"/>
      <c r="E373" s="291"/>
      <c r="F373" s="293"/>
      <c r="G373" s="293"/>
      <c r="H373" s="293">
        <f t="shared" si="7"/>
        <v>1746191847.3399999</v>
      </c>
    </row>
    <row r="374" spans="1:8" x14ac:dyDescent="0.35">
      <c r="A374" s="291">
        <v>359</v>
      </c>
      <c r="B374" s="301"/>
      <c r="C374" s="296"/>
      <c r="D374" s="291"/>
      <c r="E374" s="291"/>
      <c r="F374" s="293"/>
      <c r="G374" s="293"/>
      <c r="H374" s="293">
        <f t="shared" si="7"/>
        <v>1746191847.3399999</v>
      </c>
    </row>
    <row r="375" spans="1:8" x14ac:dyDescent="0.35">
      <c r="A375" s="291">
        <v>360</v>
      </c>
      <c r="B375" s="301"/>
      <c r="C375" s="296"/>
      <c r="D375" s="291"/>
      <c r="E375" s="291"/>
      <c r="F375" s="293"/>
      <c r="G375" s="293"/>
      <c r="H375" s="293">
        <f t="shared" si="7"/>
        <v>1746191847.3399999</v>
      </c>
    </row>
    <row r="376" spans="1:8" x14ac:dyDescent="0.35">
      <c r="A376" s="291">
        <v>361</v>
      </c>
      <c r="B376" s="301"/>
      <c r="C376" s="296"/>
      <c r="D376" s="291"/>
      <c r="E376" s="291"/>
      <c r="F376" s="293"/>
      <c r="G376" s="293"/>
      <c r="H376" s="293">
        <f t="shared" si="7"/>
        <v>1746191847.3399999</v>
      </c>
    </row>
    <row r="377" spans="1:8" x14ac:dyDescent="0.35">
      <c r="A377" s="291">
        <v>362</v>
      </c>
      <c r="B377" s="301"/>
      <c r="C377" s="296"/>
      <c r="D377" s="291"/>
      <c r="E377" s="291"/>
      <c r="F377" s="293"/>
      <c r="G377" s="293"/>
      <c r="H377" s="293">
        <f t="shared" si="7"/>
        <v>1746191847.3399999</v>
      </c>
    </row>
    <row r="378" spans="1:8" x14ac:dyDescent="0.35">
      <c r="A378" s="291">
        <v>363</v>
      </c>
      <c r="B378" s="301"/>
      <c r="C378" s="296"/>
      <c r="D378" s="291"/>
      <c r="E378" s="291"/>
      <c r="F378" s="293"/>
      <c r="G378" s="293"/>
      <c r="H378" s="293">
        <f t="shared" si="7"/>
        <v>1746191847.3399999</v>
      </c>
    </row>
    <row r="379" spans="1:8" x14ac:dyDescent="0.35">
      <c r="A379" s="291">
        <v>364</v>
      </c>
      <c r="B379" s="301"/>
      <c r="C379" s="296"/>
      <c r="D379" s="291"/>
      <c r="E379" s="291"/>
      <c r="F379" s="293"/>
      <c r="G379" s="293"/>
      <c r="H379" s="293">
        <f t="shared" si="7"/>
        <v>1746191847.3399999</v>
      </c>
    </row>
    <row r="380" spans="1:8" x14ac:dyDescent="0.35">
      <c r="A380" s="291">
        <v>365</v>
      </c>
      <c r="B380" s="301"/>
      <c r="C380" s="296"/>
      <c r="D380" s="291"/>
      <c r="E380" s="291"/>
      <c r="F380" s="293"/>
      <c r="G380" s="293"/>
      <c r="H380" s="293">
        <f t="shared" si="7"/>
        <v>1746191847.3399999</v>
      </c>
    </row>
    <row r="381" spans="1:8" x14ac:dyDescent="0.35">
      <c r="A381" s="291">
        <v>366</v>
      </c>
      <c r="B381" s="301"/>
      <c r="C381" s="296"/>
      <c r="D381" s="291"/>
      <c r="E381" s="291"/>
      <c r="F381" s="293"/>
      <c r="G381" s="293"/>
      <c r="H381" s="293">
        <f t="shared" si="7"/>
        <v>1746191847.3399999</v>
      </c>
    </row>
    <row r="382" spans="1:8" x14ac:dyDescent="0.35">
      <c r="A382" s="291">
        <v>367</v>
      </c>
      <c r="B382" s="301"/>
      <c r="C382" s="296"/>
      <c r="D382" s="291"/>
      <c r="E382" s="291"/>
      <c r="F382" s="293"/>
      <c r="G382" s="293"/>
      <c r="H382" s="293">
        <f t="shared" si="7"/>
        <v>1746191847.3399999</v>
      </c>
    </row>
    <row r="383" spans="1:8" x14ac:dyDescent="0.35">
      <c r="A383" s="291">
        <v>368</v>
      </c>
      <c r="B383" s="301"/>
      <c r="C383" s="296"/>
      <c r="D383" s="291"/>
      <c r="E383" s="291"/>
      <c r="F383" s="293"/>
      <c r="G383" s="293"/>
      <c r="H383" s="293">
        <f t="shared" si="7"/>
        <v>1746191847.3399999</v>
      </c>
    </row>
    <row r="384" spans="1:8" x14ac:dyDescent="0.35">
      <c r="A384" s="291">
        <v>369</v>
      </c>
      <c r="B384" s="301"/>
      <c r="C384" s="296"/>
      <c r="D384" s="291"/>
      <c r="E384" s="291"/>
      <c r="F384" s="293"/>
      <c r="G384" s="293"/>
      <c r="H384" s="293">
        <f t="shared" si="7"/>
        <v>1746191847.3399999</v>
      </c>
    </row>
    <row r="385" spans="1:8" x14ac:dyDescent="0.35">
      <c r="A385" s="291">
        <v>370</v>
      </c>
      <c r="B385" s="301"/>
      <c r="C385" s="296"/>
      <c r="D385" s="291"/>
      <c r="E385" s="291"/>
      <c r="F385" s="293"/>
      <c r="G385" s="293"/>
      <c r="H385" s="293">
        <f t="shared" si="7"/>
        <v>1746191847.3399999</v>
      </c>
    </row>
    <row r="386" spans="1:8" x14ac:dyDescent="0.35">
      <c r="A386" s="291">
        <v>371</v>
      </c>
      <c r="B386" s="301"/>
      <c r="C386" s="296"/>
      <c r="D386" s="291"/>
      <c r="E386" s="291"/>
      <c r="F386" s="293"/>
      <c r="G386" s="293"/>
      <c r="H386" s="293">
        <f t="shared" si="7"/>
        <v>1746191847.3399999</v>
      </c>
    </row>
    <row r="387" spans="1:8" x14ac:dyDescent="0.35">
      <c r="A387" s="291">
        <v>372</v>
      </c>
      <c r="B387" s="301"/>
      <c r="C387" s="296"/>
      <c r="D387" s="291"/>
      <c r="E387" s="291"/>
      <c r="F387" s="293"/>
      <c r="G387" s="293"/>
      <c r="H387" s="293">
        <f t="shared" si="7"/>
        <v>1746191847.3399999</v>
      </c>
    </row>
    <row r="388" spans="1:8" x14ac:dyDescent="0.35">
      <c r="A388" s="291">
        <v>373</v>
      </c>
      <c r="B388" s="301"/>
      <c r="C388" s="296"/>
      <c r="D388" s="291"/>
      <c r="E388" s="291"/>
      <c r="F388" s="293"/>
      <c r="G388" s="293"/>
      <c r="H388" s="293">
        <f t="shared" si="7"/>
        <v>1746191847.3399999</v>
      </c>
    </row>
    <row r="389" spans="1:8" x14ac:dyDescent="0.35">
      <c r="A389" s="291">
        <v>374</v>
      </c>
      <c r="B389" s="301"/>
      <c r="C389" s="296"/>
      <c r="D389" s="291"/>
      <c r="E389" s="291"/>
      <c r="F389" s="293"/>
      <c r="G389" s="293"/>
      <c r="H389" s="293">
        <f t="shared" si="7"/>
        <v>1746191847.3399999</v>
      </c>
    </row>
    <row r="390" spans="1:8" x14ac:dyDescent="0.35">
      <c r="A390" s="291">
        <v>375</v>
      </c>
      <c r="B390" s="301"/>
      <c r="C390" s="296"/>
      <c r="D390" s="291"/>
      <c r="E390" s="291"/>
      <c r="F390" s="293"/>
      <c r="G390" s="293"/>
      <c r="H390" s="293">
        <f t="shared" si="7"/>
        <v>1746191847.3399999</v>
      </c>
    </row>
    <row r="391" spans="1:8" x14ac:dyDescent="0.35">
      <c r="A391" s="291">
        <v>376</v>
      </c>
      <c r="B391" s="301"/>
      <c r="C391" s="296"/>
      <c r="D391" s="291"/>
      <c r="E391" s="291"/>
      <c r="F391" s="293"/>
      <c r="G391" s="293"/>
      <c r="H391" s="293">
        <f t="shared" si="7"/>
        <v>1746191847.3399999</v>
      </c>
    </row>
    <row r="392" spans="1:8" x14ac:dyDescent="0.35">
      <c r="A392" s="291">
        <v>377</v>
      </c>
      <c r="B392" s="301"/>
      <c r="C392" s="296"/>
      <c r="D392" s="291"/>
      <c r="E392" s="291"/>
      <c r="F392" s="293"/>
      <c r="G392" s="293"/>
      <c r="H392" s="293">
        <f t="shared" si="7"/>
        <v>1746191847.3399999</v>
      </c>
    </row>
    <row r="393" spans="1:8" x14ac:dyDescent="0.35">
      <c r="A393" s="291">
        <v>378</v>
      </c>
      <c r="B393" s="301"/>
      <c r="C393" s="296"/>
      <c r="D393" s="291"/>
      <c r="E393" s="291"/>
      <c r="F393" s="293"/>
      <c r="G393" s="293"/>
      <c r="H393" s="293">
        <f t="shared" si="7"/>
        <v>1746191847.3399999</v>
      </c>
    </row>
    <row r="394" spans="1:8" x14ac:dyDescent="0.35">
      <c r="A394" s="291">
        <v>379</v>
      </c>
      <c r="B394" s="301"/>
      <c r="C394" s="296"/>
      <c r="D394" s="291"/>
      <c r="E394" s="291"/>
      <c r="F394" s="293"/>
      <c r="G394" s="293"/>
      <c r="H394" s="293">
        <f t="shared" si="7"/>
        <v>1746191847.3399999</v>
      </c>
    </row>
    <row r="395" spans="1:8" x14ac:dyDescent="0.35">
      <c r="A395" s="291">
        <v>380</v>
      </c>
      <c r="B395" s="301"/>
      <c r="C395" s="296"/>
      <c r="D395" s="291"/>
      <c r="E395" s="291"/>
      <c r="F395" s="293"/>
      <c r="G395" s="293"/>
      <c r="H395" s="293">
        <f t="shared" si="7"/>
        <v>1746191847.3399999</v>
      </c>
    </row>
    <row r="396" spans="1:8" x14ac:dyDescent="0.35">
      <c r="A396" s="291">
        <v>381</v>
      </c>
      <c r="B396" s="301"/>
      <c r="C396" s="296"/>
      <c r="D396" s="291"/>
      <c r="E396" s="291"/>
      <c r="F396" s="293"/>
      <c r="G396" s="293"/>
      <c r="H396" s="293">
        <f t="shared" si="7"/>
        <v>1746191847.3399999</v>
      </c>
    </row>
    <row r="397" spans="1:8" x14ac:dyDescent="0.35">
      <c r="A397" s="291">
        <v>382</v>
      </c>
      <c r="B397" s="301"/>
      <c r="C397" s="296"/>
      <c r="D397" s="291"/>
      <c r="E397" s="291"/>
      <c r="F397" s="293"/>
      <c r="G397" s="293"/>
      <c r="H397" s="293">
        <f t="shared" si="7"/>
        <v>1746191847.3399999</v>
      </c>
    </row>
    <row r="398" spans="1:8" x14ac:dyDescent="0.35">
      <c r="A398" s="291">
        <v>383</v>
      </c>
      <c r="B398" s="301"/>
      <c r="C398" s="296"/>
      <c r="D398" s="291"/>
      <c r="E398" s="291"/>
      <c r="F398" s="293"/>
      <c r="G398" s="293"/>
      <c r="H398" s="293">
        <f t="shared" si="7"/>
        <v>1746191847.3399999</v>
      </c>
    </row>
    <row r="399" spans="1:8" x14ac:dyDescent="0.35">
      <c r="A399" s="291">
        <v>384</v>
      </c>
      <c r="B399" s="301"/>
      <c r="C399" s="296"/>
      <c r="D399" s="291"/>
      <c r="E399" s="291"/>
      <c r="F399" s="293"/>
      <c r="G399" s="293"/>
      <c r="H399" s="293">
        <f t="shared" si="7"/>
        <v>1746191847.3399999</v>
      </c>
    </row>
    <row r="400" spans="1:8" x14ac:dyDescent="0.35">
      <c r="A400" s="291">
        <v>385</v>
      </c>
      <c r="B400" s="301"/>
      <c r="C400" s="296"/>
      <c r="D400" s="291"/>
      <c r="E400" s="291"/>
      <c r="F400" s="293"/>
      <c r="G400" s="293"/>
      <c r="H400" s="293">
        <f t="shared" si="7"/>
        <v>1746191847.3399999</v>
      </c>
    </row>
    <row r="401" spans="1:8" x14ac:dyDescent="0.35">
      <c r="A401" s="291">
        <v>386</v>
      </c>
      <c r="B401" s="301"/>
      <c r="C401" s="296"/>
      <c r="D401" s="291"/>
      <c r="E401" s="291"/>
      <c r="F401" s="293"/>
      <c r="G401" s="293"/>
      <c r="H401" s="293">
        <f t="shared" si="7"/>
        <v>1746191847.3399999</v>
      </c>
    </row>
    <row r="402" spans="1:8" x14ac:dyDescent="0.35">
      <c r="A402" s="291">
        <v>387</v>
      </c>
      <c r="B402" s="301"/>
      <c r="C402" s="296"/>
      <c r="D402" s="291"/>
      <c r="E402" s="291"/>
      <c r="F402" s="293"/>
      <c r="G402" s="293"/>
      <c r="H402" s="293">
        <f t="shared" si="7"/>
        <v>1746191847.3399999</v>
      </c>
    </row>
    <row r="403" spans="1:8" x14ac:dyDescent="0.35">
      <c r="A403" s="291">
        <v>388</v>
      </c>
      <c r="B403" s="301"/>
      <c r="C403" s="296"/>
      <c r="D403" s="291"/>
      <c r="E403" s="291"/>
      <c r="F403" s="293"/>
      <c r="G403" s="293"/>
      <c r="H403" s="293">
        <f t="shared" si="7"/>
        <v>1746191847.3399999</v>
      </c>
    </row>
    <row r="404" spans="1:8" x14ac:dyDescent="0.35">
      <c r="A404" s="291">
        <v>389</v>
      </c>
      <c r="B404" s="301"/>
      <c r="C404" s="296"/>
      <c r="D404" s="291"/>
      <c r="E404" s="291"/>
      <c r="F404" s="293"/>
      <c r="G404" s="293"/>
      <c r="H404" s="293">
        <f t="shared" si="7"/>
        <v>1746191847.3399999</v>
      </c>
    </row>
    <row r="405" spans="1:8" x14ac:dyDescent="0.35">
      <c r="A405" s="291">
        <v>390</v>
      </c>
      <c r="B405" s="301"/>
      <c r="C405" s="296"/>
      <c r="D405" s="291"/>
      <c r="E405" s="291"/>
      <c r="F405" s="293"/>
      <c r="G405" s="293"/>
      <c r="H405" s="293">
        <f t="shared" si="7"/>
        <v>1746191847.3399999</v>
      </c>
    </row>
    <row r="406" spans="1:8" x14ac:dyDescent="0.35">
      <c r="A406" s="291">
        <v>391</v>
      </c>
      <c r="B406" s="301"/>
      <c r="C406" s="296"/>
      <c r="D406" s="291"/>
      <c r="E406" s="291"/>
      <c r="F406" s="293"/>
      <c r="G406" s="293"/>
      <c r="H406" s="293">
        <f t="shared" si="7"/>
        <v>1746191847.3399999</v>
      </c>
    </row>
    <row r="407" spans="1:8" x14ac:dyDescent="0.35">
      <c r="A407" s="291">
        <v>392</v>
      </c>
      <c r="B407" s="301"/>
      <c r="C407" s="296"/>
      <c r="D407" s="291"/>
      <c r="E407" s="291"/>
      <c r="F407" s="293"/>
      <c r="G407" s="293"/>
      <c r="H407" s="293">
        <f t="shared" si="7"/>
        <v>1746191847.3399999</v>
      </c>
    </row>
    <row r="408" spans="1:8" x14ac:dyDescent="0.35">
      <c r="A408" s="291">
        <v>393</v>
      </c>
      <c r="B408" s="301"/>
      <c r="C408" s="296"/>
      <c r="D408" s="291"/>
      <c r="E408" s="291"/>
      <c r="F408" s="293"/>
      <c r="G408" s="293"/>
      <c r="H408" s="293">
        <f t="shared" si="7"/>
        <v>1746191847.3399999</v>
      </c>
    </row>
    <row r="409" spans="1:8" x14ac:dyDescent="0.35">
      <c r="A409" s="291">
        <v>394</v>
      </c>
      <c r="B409" s="301"/>
      <c r="C409" s="296"/>
      <c r="D409" s="291"/>
      <c r="E409" s="291"/>
      <c r="F409" s="293"/>
      <c r="G409" s="293"/>
      <c r="H409" s="293">
        <f t="shared" si="7"/>
        <v>1746191847.3399999</v>
      </c>
    </row>
    <row r="410" spans="1:8" x14ac:dyDescent="0.35">
      <c r="A410" s="291">
        <v>395</v>
      </c>
      <c r="B410" s="301"/>
      <c r="C410" s="296"/>
      <c r="D410" s="291"/>
      <c r="E410" s="291"/>
      <c r="F410" s="293"/>
      <c r="G410" s="293"/>
      <c r="H410" s="293">
        <f t="shared" si="7"/>
        <v>1746191847.3399999</v>
      </c>
    </row>
    <row r="411" spans="1:8" x14ac:dyDescent="0.35">
      <c r="A411" s="291">
        <v>396</v>
      </c>
      <c r="B411" s="301"/>
      <c r="C411" s="296"/>
      <c r="D411" s="291"/>
      <c r="E411" s="291"/>
      <c r="F411" s="293"/>
      <c r="G411" s="293"/>
      <c r="H411" s="293">
        <f t="shared" si="7"/>
        <v>1746191847.3399999</v>
      </c>
    </row>
    <row r="412" spans="1:8" x14ac:dyDescent="0.35">
      <c r="A412" s="291">
        <v>397</v>
      </c>
      <c r="B412" s="301"/>
      <c r="C412" s="296"/>
      <c r="D412" s="291"/>
      <c r="E412" s="291"/>
      <c r="F412" s="293"/>
      <c r="G412" s="293"/>
      <c r="H412" s="293">
        <f t="shared" si="7"/>
        <v>1746191847.3399999</v>
      </c>
    </row>
    <row r="413" spans="1:8" x14ac:dyDescent="0.35">
      <c r="A413" s="291">
        <v>398</v>
      </c>
      <c r="B413" s="301"/>
      <c r="C413" s="296"/>
      <c r="D413" s="291"/>
      <c r="E413" s="291"/>
      <c r="F413" s="293"/>
      <c r="G413" s="293"/>
      <c r="H413" s="293">
        <f t="shared" si="7"/>
        <v>1746191847.3399999</v>
      </c>
    </row>
    <row r="414" spans="1:8" x14ac:dyDescent="0.35">
      <c r="A414" s="291">
        <v>399</v>
      </c>
      <c r="B414" s="301"/>
      <c r="C414" s="296"/>
      <c r="D414" s="291"/>
      <c r="E414" s="291"/>
      <c r="F414" s="293"/>
      <c r="G414" s="293"/>
      <c r="H414" s="293">
        <f t="shared" si="7"/>
        <v>1746191847.3399999</v>
      </c>
    </row>
    <row r="415" spans="1:8" x14ac:dyDescent="0.35">
      <c r="A415" s="291">
        <v>400</v>
      </c>
      <c r="B415" s="301"/>
      <c r="C415" s="296"/>
      <c r="D415" s="291"/>
      <c r="E415" s="291"/>
      <c r="F415" s="293"/>
      <c r="G415" s="293"/>
      <c r="H415" s="293">
        <f t="shared" si="7"/>
        <v>1746191847.3399999</v>
      </c>
    </row>
    <row r="416" spans="1:8" x14ac:dyDescent="0.35">
      <c r="A416" s="291">
        <v>401</v>
      </c>
      <c r="B416" s="301"/>
      <c r="C416" s="296"/>
      <c r="D416" s="291"/>
      <c r="E416" s="291"/>
      <c r="F416" s="293"/>
      <c r="G416" s="293"/>
      <c r="H416" s="293">
        <f t="shared" ref="H416:H479" si="8">H415+F416-G416</f>
        <v>1746191847.3399999</v>
      </c>
    </row>
    <row r="417" spans="1:8" x14ac:dyDescent="0.35">
      <c r="A417" s="291">
        <v>402</v>
      </c>
      <c r="B417" s="301"/>
      <c r="C417" s="296"/>
      <c r="D417" s="291"/>
      <c r="E417" s="291"/>
      <c r="F417" s="293"/>
      <c r="G417" s="293"/>
      <c r="H417" s="293">
        <f t="shared" si="8"/>
        <v>1746191847.3399999</v>
      </c>
    </row>
    <row r="418" spans="1:8" x14ac:dyDescent="0.35">
      <c r="A418" s="291">
        <v>403</v>
      </c>
      <c r="B418" s="301"/>
      <c r="C418" s="296"/>
      <c r="D418" s="291"/>
      <c r="E418" s="291"/>
      <c r="F418" s="293"/>
      <c r="G418" s="293"/>
      <c r="H418" s="293">
        <f t="shared" si="8"/>
        <v>1746191847.3399999</v>
      </c>
    </row>
    <row r="419" spans="1:8" x14ac:dyDescent="0.35">
      <c r="A419" s="291">
        <v>404</v>
      </c>
      <c r="B419" s="301"/>
      <c r="C419" s="296"/>
      <c r="D419" s="291"/>
      <c r="E419" s="291"/>
      <c r="F419" s="293"/>
      <c r="G419" s="293"/>
      <c r="H419" s="293">
        <f t="shared" si="8"/>
        <v>1746191847.3399999</v>
      </c>
    </row>
    <row r="420" spans="1:8" x14ac:dyDescent="0.35">
      <c r="A420" s="291">
        <v>405</v>
      </c>
      <c r="B420" s="301"/>
      <c r="C420" s="296"/>
      <c r="D420" s="291"/>
      <c r="E420" s="291"/>
      <c r="F420" s="293"/>
      <c r="G420" s="293"/>
      <c r="H420" s="293">
        <f t="shared" si="8"/>
        <v>1746191847.3399999</v>
      </c>
    </row>
    <row r="421" spans="1:8" x14ac:dyDescent="0.35">
      <c r="A421" s="291">
        <v>406</v>
      </c>
      <c r="B421" s="301"/>
      <c r="C421" s="296"/>
      <c r="D421" s="291"/>
      <c r="E421" s="291"/>
      <c r="F421" s="293"/>
      <c r="G421" s="293"/>
      <c r="H421" s="293">
        <f t="shared" si="8"/>
        <v>1746191847.3399999</v>
      </c>
    </row>
    <row r="422" spans="1:8" x14ac:dyDescent="0.35">
      <c r="A422" s="291">
        <v>407</v>
      </c>
      <c r="B422" s="301"/>
      <c r="C422" s="296"/>
      <c r="D422" s="291"/>
      <c r="E422" s="291"/>
      <c r="F422" s="293"/>
      <c r="G422" s="293"/>
      <c r="H422" s="293">
        <f t="shared" si="8"/>
        <v>1746191847.3399999</v>
      </c>
    </row>
    <row r="423" spans="1:8" x14ac:dyDescent="0.35">
      <c r="A423" s="291">
        <v>408</v>
      </c>
      <c r="B423" s="301"/>
      <c r="C423" s="296"/>
      <c r="D423" s="291"/>
      <c r="E423" s="291"/>
      <c r="F423" s="293"/>
      <c r="G423" s="293"/>
      <c r="H423" s="293">
        <f t="shared" si="8"/>
        <v>1746191847.3399999</v>
      </c>
    </row>
    <row r="424" spans="1:8" x14ac:dyDescent="0.35">
      <c r="A424" s="291">
        <v>409</v>
      </c>
      <c r="B424" s="301"/>
      <c r="C424" s="296"/>
      <c r="D424" s="291"/>
      <c r="E424" s="291"/>
      <c r="F424" s="293"/>
      <c r="G424" s="293"/>
      <c r="H424" s="293">
        <f t="shared" si="8"/>
        <v>1746191847.3399999</v>
      </c>
    </row>
    <row r="425" spans="1:8" x14ac:dyDescent="0.35">
      <c r="A425" s="291">
        <v>410</v>
      </c>
      <c r="B425" s="301"/>
      <c r="C425" s="296"/>
      <c r="D425" s="291"/>
      <c r="E425" s="291"/>
      <c r="F425" s="293"/>
      <c r="G425" s="293"/>
      <c r="H425" s="293">
        <f t="shared" si="8"/>
        <v>1746191847.3399999</v>
      </c>
    </row>
    <row r="426" spans="1:8" x14ac:dyDescent="0.35">
      <c r="A426" s="291">
        <v>411</v>
      </c>
      <c r="B426" s="301"/>
      <c r="C426" s="296"/>
      <c r="D426" s="291"/>
      <c r="E426" s="291"/>
      <c r="F426" s="293"/>
      <c r="G426" s="293"/>
      <c r="H426" s="293">
        <f t="shared" si="8"/>
        <v>1746191847.3399999</v>
      </c>
    </row>
    <row r="427" spans="1:8" x14ac:dyDescent="0.35">
      <c r="A427" s="291">
        <v>412</v>
      </c>
      <c r="B427" s="301"/>
      <c r="C427" s="296"/>
      <c r="D427" s="291"/>
      <c r="E427" s="291"/>
      <c r="F427" s="293"/>
      <c r="G427" s="293"/>
      <c r="H427" s="293">
        <f t="shared" si="8"/>
        <v>1746191847.3399999</v>
      </c>
    </row>
    <row r="428" spans="1:8" x14ac:dyDescent="0.35">
      <c r="A428" s="291">
        <v>413</v>
      </c>
      <c r="B428" s="301"/>
      <c r="C428" s="296"/>
      <c r="D428" s="291"/>
      <c r="E428" s="291"/>
      <c r="F428" s="293"/>
      <c r="G428" s="293"/>
      <c r="H428" s="293">
        <f t="shared" si="8"/>
        <v>1746191847.3399999</v>
      </c>
    </row>
    <row r="429" spans="1:8" x14ac:dyDescent="0.35">
      <c r="A429" s="291">
        <v>414</v>
      </c>
      <c r="B429" s="301"/>
      <c r="C429" s="296"/>
      <c r="D429" s="291"/>
      <c r="E429" s="291"/>
      <c r="F429" s="293"/>
      <c r="G429" s="293"/>
      <c r="H429" s="293">
        <f t="shared" si="8"/>
        <v>1746191847.3399999</v>
      </c>
    </row>
    <row r="430" spans="1:8" x14ac:dyDescent="0.35">
      <c r="A430" s="291">
        <v>415</v>
      </c>
      <c r="B430" s="301"/>
      <c r="C430" s="296"/>
      <c r="D430" s="291"/>
      <c r="E430" s="291"/>
      <c r="F430" s="293"/>
      <c r="G430" s="293"/>
      <c r="H430" s="293">
        <f t="shared" si="8"/>
        <v>1746191847.3399999</v>
      </c>
    </row>
    <row r="431" spans="1:8" x14ac:dyDescent="0.35">
      <c r="A431" s="291">
        <v>416</v>
      </c>
      <c r="B431" s="301"/>
      <c r="C431" s="296"/>
      <c r="D431" s="291"/>
      <c r="E431" s="291"/>
      <c r="F431" s="293"/>
      <c r="G431" s="293"/>
      <c r="H431" s="293">
        <f t="shared" si="8"/>
        <v>1746191847.3399999</v>
      </c>
    </row>
    <row r="432" spans="1:8" x14ac:dyDescent="0.35">
      <c r="A432" s="291">
        <v>417</v>
      </c>
      <c r="B432" s="301"/>
      <c r="C432" s="296"/>
      <c r="D432" s="291"/>
      <c r="E432" s="291"/>
      <c r="F432" s="293"/>
      <c r="G432" s="293"/>
      <c r="H432" s="293">
        <f t="shared" si="8"/>
        <v>1746191847.3399999</v>
      </c>
    </row>
    <row r="433" spans="1:8" x14ac:dyDescent="0.35">
      <c r="A433" s="291">
        <v>418</v>
      </c>
      <c r="B433" s="301"/>
      <c r="C433" s="296"/>
      <c r="D433" s="291"/>
      <c r="E433" s="291"/>
      <c r="F433" s="293"/>
      <c r="G433" s="293"/>
      <c r="H433" s="293">
        <f t="shared" si="8"/>
        <v>1746191847.3399999</v>
      </c>
    </row>
    <row r="434" spans="1:8" x14ac:dyDescent="0.35">
      <c r="A434" s="291">
        <v>419</v>
      </c>
      <c r="B434" s="301"/>
      <c r="C434" s="296"/>
      <c r="D434" s="291"/>
      <c r="E434" s="291"/>
      <c r="F434" s="293"/>
      <c r="G434" s="293"/>
      <c r="H434" s="293">
        <f t="shared" si="8"/>
        <v>1746191847.3399999</v>
      </c>
    </row>
    <row r="435" spans="1:8" x14ac:dyDescent="0.35">
      <c r="A435" s="291">
        <v>420</v>
      </c>
      <c r="B435" s="301"/>
      <c r="C435" s="296"/>
      <c r="D435" s="291"/>
      <c r="E435" s="291"/>
      <c r="F435" s="293"/>
      <c r="G435" s="293"/>
      <c r="H435" s="293">
        <f t="shared" si="8"/>
        <v>1746191847.3399999</v>
      </c>
    </row>
    <row r="436" spans="1:8" x14ac:dyDescent="0.35">
      <c r="A436" s="291">
        <v>421</v>
      </c>
      <c r="B436" s="301"/>
      <c r="C436" s="296"/>
      <c r="D436" s="291"/>
      <c r="E436" s="291"/>
      <c r="F436" s="293"/>
      <c r="G436" s="293"/>
      <c r="H436" s="293">
        <f t="shared" si="8"/>
        <v>1746191847.3399999</v>
      </c>
    </row>
    <row r="437" spans="1:8" x14ac:dyDescent="0.35">
      <c r="A437" s="291">
        <v>422</v>
      </c>
      <c r="B437" s="301"/>
      <c r="C437" s="296"/>
      <c r="D437" s="291"/>
      <c r="E437" s="291"/>
      <c r="F437" s="293"/>
      <c r="G437" s="293"/>
      <c r="H437" s="293">
        <f t="shared" si="8"/>
        <v>1746191847.3399999</v>
      </c>
    </row>
    <row r="438" spans="1:8" x14ac:dyDescent="0.35">
      <c r="A438" s="291">
        <v>423</v>
      </c>
      <c r="B438" s="301"/>
      <c r="C438" s="296"/>
      <c r="D438" s="291"/>
      <c r="E438" s="291"/>
      <c r="F438" s="293"/>
      <c r="G438" s="293"/>
      <c r="H438" s="293">
        <f t="shared" si="8"/>
        <v>1746191847.3399999</v>
      </c>
    </row>
    <row r="439" spans="1:8" x14ac:dyDescent="0.35">
      <c r="A439" s="291">
        <v>424</v>
      </c>
      <c r="B439" s="301"/>
      <c r="C439" s="296"/>
      <c r="D439" s="291"/>
      <c r="E439" s="291"/>
      <c r="F439" s="293"/>
      <c r="G439" s="293"/>
      <c r="H439" s="293">
        <f t="shared" si="8"/>
        <v>1746191847.3399999</v>
      </c>
    </row>
    <row r="440" spans="1:8" x14ac:dyDescent="0.35">
      <c r="A440" s="291">
        <v>425</v>
      </c>
      <c r="B440" s="301"/>
      <c r="C440" s="296"/>
      <c r="D440" s="291"/>
      <c r="E440" s="291"/>
      <c r="F440" s="293"/>
      <c r="G440" s="293"/>
      <c r="H440" s="293">
        <f t="shared" si="8"/>
        <v>1746191847.3399999</v>
      </c>
    </row>
    <row r="441" spans="1:8" x14ac:dyDescent="0.35">
      <c r="A441" s="291">
        <v>426</v>
      </c>
      <c r="B441" s="301"/>
      <c r="C441" s="296"/>
      <c r="D441" s="291"/>
      <c r="E441" s="291"/>
      <c r="F441" s="293"/>
      <c r="G441" s="293"/>
      <c r="H441" s="293">
        <f t="shared" si="8"/>
        <v>1746191847.3399999</v>
      </c>
    </row>
    <row r="442" spans="1:8" x14ac:dyDescent="0.35">
      <c r="A442" s="291">
        <v>427</v>
      </c>
      <c r="B442" s="301"/>
      <c r="C442" s="296"/>
      <c r="D442" s="291"/>
      <c r="E442" s="291"/>
      <c r="F442" s="293"/>
      <c r="G442" s="293"/>
      <c r="H442" s="293">
        <f t="shared" si="8"/>
        <v>1746191847.3399999</v>
      </c>
    </row>
    <row r="443" spans="1:8" x14ac:dyDescent="0.35">
      <c r="A443" s="291">
        <v>428</v>
      </c>
      <c r="B443" s="301"/>
      <c r="C443" s="296"/>
      <c r="D443" s="291"/>
      <c r="E443" s="291"/>
      <c r="F443" s="293"/>
      <c r="G443" s="293"/>
      <c r="H443" s="293">
        <f t="shared" si="8"/>
        <v>1746191847.3399999</v>
      </c>
    </row>
    <row r="444" spans="1:8" x14ac:dyDescent="0.35">
      <c r="A444" s="291">
        <v>429</v>
      </c>
      <c r="B444" s="301"/>
      <c r="C444" s="296"/>
      <c r="D444" s="291"/>
      <c r="E444" s="291"/>
      <c r="F444" s="293"/>
      <c r="G444" s="293"/>
      <c r="H444" s="293">
        <f t="shared" si="8"/>
        <v>1746191847.3399999</v>
      </c>
    </row>
    <row r="445" spans="1:8" x14ac:dyDescent="0.35">
      <c r="A445" s="291">
        <v>430</v>
      </c>
      <c r="B445" s="301"/>
      <c r="C445" s="296"/>
      <c r="D445" s="291"/>
      <c r="E445" s="291"/>
      <c r="F445" s="293"/>
      <c r="G445" s="293"/>
      <c r="H445" s="293">
        <f t="shared" si="8"/>
        <v>1746191847.3399999</v>
      </c>
    </row>
    <row r="446" spans="1:8" x14ac:dyDescent="0.35">
      <c r="A446" s="291">
        <v>431</v>
      </c>
      <c r="B446" s="301"/>
      <c r="C446" s="296"/>
      <c r="D446" s="291"/>
      <c r="E446" s="291"/>
      <c r="F446" s="293"/>
      <c r="G446" s="293"/>
      <c r="H446" s="293">
        <f t="shared" si="8"/>
        <v>1746191847.3399999</v>
      </c>
    </row>
    <row r="447" spans="1:8" x14ac:dyDescent="0.35">
      <c r="A447" s="291">
        <v>432</v>
      </c>
      <c r="B447" s="301"/>
      <c r="C447" s="296"/>
      <c r="D447" s="291"/>
      <c r="E447" s="291"/>
      <c r="F447" s="293"/>
      <c r="G447" s="293"/>
      <c r="H447" s="293">
        <f t="shared" si="8"/>
        <v>1746191847.3399999</v>
      </c>
    </row>
    <row r="448" spans="1:8" x14ac:dyDescent="0.35">
      <c r="A448" s="291">
        <v>433</v>
      </c>
      <c r="B448" s="301"/>
      <c r="C448" s="296"/>
      <c r="D448" s="291"/>
      <c r="E448" s="291"/>
      <c r="F448" s="293"/>
      <c r="G448" s="293"/>
      <c r="H448" s="293">
        <f t="shared" si="8"/>
        <v>1746191847.3399999</v>
      </c>
    </row>
    <row r="449" spans="1:8" x14ac:dyDescent="0.35">
      <c r="A449" s="291">
        <v>434</v>
      </c>
      <c r="B449" s="301"/>
      <c r="C449" s="296"/>
      <c r="D449" s="291"/>
      <c r="E449" s="291"/>
      <c r="F449" s="293"/>
      <c r="G449" s="293"/>
      <c r="H449" s="293">
        <f t="shared" si="8"/>
        <v>1746191847.3399999</v>
      </c>
    </row>
    <row r="450" spans="1:8" x14ac:dyDescent="0.35">
      <c r="A450" s="291">
        <v>435</v>
      </c>
      <c r="B450" s="301"/>
      <c r="C450" s="296"/>
      <c r="D450" s="291"/>
      <c r="E450" s="291"/>
      <c r="F450" s="293"/>
      <c r="G450" s="293"/>
      <c r="H450" s="293">
        <f t="shared" si="8"/>
        <v>1746191847.3399999</v>
      </c>
    </row>
    <row r="451" spans="1:8" x14ac:dyDescent="0.35">
      <c r="A451" s="291">
        <v>436</v>
      </c>
      <c r="B451" s="301"/>
      <c r="C451" s="296"/>
      <c r="D451" s="291"/>
      <c r="E451" s="291"/>
      <c r="F451" s="293"/>
      <c r="G451" s="293"/>
      <c r="H451" s="293">
        <f t="shared" si="8"/>
        <v>1746191847.3399999</v>
      </c>
    </row>
    <row r="452" spans="1:8" x14ac:dyDescent="0.35">
      <c r="A452" s="291">
        <v>437</v>
      </c>
      <c r="B452" s="301"/>
      <c r="C452" s="296"/>
      <c r="D452" s="291"/>
      <c r="E452" s="291"/>
      <c r="F452" s="293"/>
      <c r="G452" s="293"/>
      <c r="H452" s="293">
        <f t="shared" si="8"/>
        <v>1746191847.3399999</v>
      </c>
    </row>
    <row r="453" spans="1:8" x14ac:dyDescent="0.35">
      <c r="A453" s="291">
        <v>438</v>
      </c>
      <c r="B453" s="301"/>
      <c r="C453" s="296"/>
      <c r="D453" s="291"/>
      <c r="E453" s="291"/>
      <c r="F453" s="293"/>
      <c r="G453" s="293"/>
      <c r="H453" s="293">
        <f t="shared" si="8"/>
        <v>1746191847.3399999</v>
      </c>
    </row>
    <row r="454" spans="1:8" x14ac:dyDescent="0.35">
      <c r="A454" s="291">
        <v>439</v>
      </c>
      <c r="B454" s="301"/>
      <c r="C454" s="296"/>
      <c r="D454" s="291"/>
      <c r="E454" s="291"/>
      <c r="F454" s="293"/>
      <c r="G454" s="293"/>
      <c r="H454" s="293">
        <f t="shared" si="8"/>
        <v>1746191847.3399999</v>
      </c>
    </row>
    <row r="455" spans="1:8" x14ac:dyDescent="0.35">
      <c r="A455" s="291">
        <v>440</v>
      </c>
      <c r="B455" s="301"/>
      <c r="C455" s="296"/>
      <c r="D455" s="291"/>
      <c r="E455" s="291"/>
      <c r="F455" s="293"/>
      <c r="G455" s="293"/>
      <c r="H455" s="293">
        <f t="shared" si="8"/>
        <v>1746191847.3399999</v>
      </c>
    </row>
    <row r="456" spans="1:8" x14ac:dyDescent="0.35">
      <c r="A456" s="291">
        <v>441</v>
      </c>
      <c r="B456" s="301"/>
      <c r="C456" s="296"/>
      <c r="D456" s="291"/>
      <c r="E456" s="291"/>
      <c r="F456" s="293"/>
      <c r="G456" s="293"/>
      <c r="H456" s="293">
        <f t="shared" si="8"/>
        <v>1746191847.3399999</v>
      </c>
    </row>
    <row r="457" spans="1:8" x14ac:dyDescent="0.35">
      <c r="A457" s="291">
        <v>442</v>
      </c>
      <c r="B457" s="301"/>
      <c r="C457" s="296"/>
      <c r="D457" s="291"/>
      <c r="E457" s="291"/>
      <c r="F457" s="293"/>
      <c r="G457" s="293"/>
      <c r="H457" s="293">
        <f t="shared" si="8"/>
        <v>1746191847.3399999</v>
      </c>
    </row>
    <row r="458" spans="1:8" x14ac:dyDescent="0.35">
      <c r="A458" s="291">
        <v>443</v>
      </c>
      <c r="B458" s="301"/>
      <c r="C458" s="296"/>
      <c r="D458" s="291"/>
      <c r="E458" s="291"/>
      <c r="F458" s="293"/>
      <c r="G458" s="293"/>
      <c r="H458" s="293">
        <f t="shared" si="8"/>
        <v>1746191847.3399999</v>
      </c>
    </row>
    <row r="459" spans="1:8" x14ac:dyDescent="0.35">
      <c r="A459" s="291">
        <v>444</v>
      </c>
      <c r="B459" s="301"/>
      <c r="C459" s="296"/>
      <c r="D459" s="291"/>
      <c r="E459" s="291"/>
      <c r="F459" s="293"/>
      <c r="G459" s="293"/>
      <c r="H459" s="293">
        <f t="shared" si="8"/>
        <v>1746191847.3399999</v>
      </c>
    </row>
    <row r="460" spans="1:8" x14ac:dyDescent="0.35">
      <c r="A460" s="291">
        <v>445</v>
      </c>
      <c r="B460" s="301"/>
      <c r="C460" s="296"/>
      <c r="D460" s="291"/>
      <c r="E460" s="291"/>
      <c r="F460" s="293"/>
      <c r="G460" s="293"/>
      <c r="H460" s="293">
        <f t="shared" si="8"/>
        <v>1746191847.3399999</v>
      </c>
    </row>
    <row r="461" spans="1:8" x14ac:dyDescent="0.35">
      <c r="A461" s="291">
        <v>446</v>
      </c>
      <c r="B461" s="301"/>
      <c r="C461" s="296"/>
      <c r="D461" s="291"/>
      <c r="E461" s="291"/>
      <c r="F461" s="293"/>
      <c r="G461" s="293"/>
      <c r="H461" s="293">
        <f t="shared" si="8"/>
        <v>1746191847.3399999</v>
      </c>
    </row>
    <row r="462" spans="1:8" x14ac:dyDescent="0.35">
      <c r="A462" s="291">
        <v>447</v>
      </c>
      <c r="B462" s="301"/>
      <c r="C462" s="296"/>
      <c r="D462" s="291"/>
      <c r="E462" s="291"/>
      <c r="F462" s="293"/>
      <c r="G462" s="293"/>
      <c r="H462" s="293">
        <f t="shared" si="8"/>
        <v>1746191847.3399999</v>
      </c>
    </row>
    <row r="463" spans="1:8" x14ac:dyDescent="0.35">
      <c r="A463" s="291">
        <v>448</v>
      </c>
      <c r="B463" s="301"/>
      <c r="C463" s="296"/>
      <c r="D463" s="291"/>
      <c r="E463" s="291"/>
      <c r="F463" s="293"/>
      <c r="G463" s="293"/>
      <c r="H463" s="293">
        <f t="shared" si="8"/>
        <v>1746191847.3399999</v>
      </c>
    </row>
    <row r="464" spans="1:8" x14ac:dyDescent="0.35">
      <c r="A464" s="291">
        <v>449</v>
      </c>
      <c r="B464" s="301"/>
      <c r="C464" s="296"/>
      <c r="D464" s="291"/>
      <c r="E464" s="291"/>
      <c r="F464" s="293"/>
      <c r="G464" s="293"/>
      <c r="H464" s="293">
        <f t="shared" si="8"/>
        <v>1746191847.3399999</v>
      </c>
    </row>
    <row r="465" spans="1:8" x14ac:dyDescent="0.35">
      <c r="A465" s="291">
        <v>450</v>
      </c>
      <c r="B465" s="301"/>
      <c r="C465" s="296"/>
      <c r="D465" s="291"/>
      <c r="E465" s="291"/>
      <c r="F465" s="293"/>
      <c r="G465" s="293"/>
      <c r="H465" s="293">
        <f t="shared" si="8"/>
        <v>1746191847.3399999</v>
      </c>
    </row>
    <row r="466" spans="1:8" x14ac:dyDescent="0.35">
      <c r="A466" s="291">
        <v>451</v>
      </c>
      <c r="B466" s="301"/>
      <c r="C466" s="296"/>
      <c r="D466" s="291"/>
      <c r="E466" s="291"/>
      <c r="F466" s="293"/>
      <c r="G466" s="293"/>
      <c r="H466" s="293">
        <f t="shared" si="8"/>
        <v>1746191847.3399999</v>
      </c>
    </row>
    <row r="467" spans="1:8" x14ac:dyDescent="0.35">
      <c r="A467" s="291">
        <v>452</v>
      </c>
      <c r="B467" s="301"/>
      <c r="C467" s="296"/>
      <c r="D467" s="291"/>
      <c r="E467" s="291"/>
      <c r="F467" s="293"/>
      <c r="G467" s="293"/>
      <c r="H467" s="293">
        <f t="shared" si="8"/>
        <v>1746191847.3399999</v>
      </c>
    </row>
    <row r="468" spans="1:8" x14ac:dyDescent="0.35">
      <c r="A468" s="291">
        <v>453</v>
      </c>
      <c r="B468" s="301"/>
      <c r="C468" s="296"/>
      <c r="D468" s="291"/>
      <c r="E468" s="291"/>
      <c r="F468" s="293"/>
      <c r="G468" s="293"/>
      <c r="H468" s="293">
        <f t="shared" si="8"/>
        <v>1746191847.3399999</v>
      </c>
    </row>
    <row r="469" spans="1:8" x14ac:dyDescent="0.35">
      <c r="A469" s="291">
        <v>454</v>
      </c>
      <c r="B469" s="301"/>
      <c r="C469" s="296"/>
      <c r="D469" s="291"/>
      <c r="E469" s="291"/>
      <c r="F469" s="293"/>
      <c r="G469" s="293"/>
      <c r="H469" s="293">
        <f t="shared" si="8"/>
        <v>1746191847.3399999</v>
      </c>
    </row>
    <row r="470" spans="1:8" x14ac:dyDescent="0.35">
      <c r="A470" s="291">
        <v>455</v>
      </c>
      <c r="B470" s="301"/>
      <c r="C470" s="296"/>
      <c r="D470" s="291"/>
      <c r="E470" s="291"/>
      <c r="F470" s="293"/>
      <c r="G470" s="293"/>
      <c r="H470" s="293">
        <f t="shared" si="8"/>
        <v>1746191847.3399999</v>
      </c>
    </row>
    <row r="471" spans="1:8" x14ac:dyDescent="0.35">
      <c r="A471" s="291">
        <v>456</v>
      </c>
      <c r="B471" s="301"/>
      <c r="C471" s="296"/>
      <c r="D471" s="291"/>
      <c r="E471" s="291"/>
      <c r="F471" s="293"/>
      <c r="G471" s="293"/>
      <c r="H471" s="293">
        <f t="shared" si="8"/>
        <v>1746191847.3399999</v>
      </c>
    </row>
    <row r="472" spans="1:8" x14ac:dyDescent="0.35">
      <c r="A472" s="291">
        <v>457</v>
      </c>
      <c r="B472" s="301"/>
      <c r="C472" s="296"/>
      <c r="D472" s="291"/>
      <c r="E472" s="291"/>
      <c r="F472" s="293"/>
      <c r="G472" s="293"/>
      <c r="H472" s="293">
        <f t="shared" si="8"/>
        <v>1746191847.3399999</v>
      </c>
    </row>
    <row r="473" spans="1:8" x14ac:dyDescent="0.35">
      <c r="A473" s="291">
        <v>458</v>
      </c>
      <c r="B473" s="301"/>
      <c r="C473" s="296"/>
      <c r="D473" s="291"/>
      <c r="E473" s="291"/>
      <c r="F473" s="293"/>
      <c r="G473" s="293"/>
      <c r="H473" s="293">
        <f t="shared" si="8"/>
        <v>1746191847.3399999</v>
      </c>
    </row>
    <row r="474" spans="1:8" x14ac:dyDescent="0.35">
      <c r="A474" s="291">
        <v>459</v>
      </c>
      <c r="B474" s="301"/>
      <c r="C474" s="296"/>
      <c r="D474" s="291"/>
      <c r="E474" s="291"/>
      <c r="F474" s="293"/>
      <c r="G474" s="293"/>
      <c r="H474" s="293">
        <f t="shared" si="8"/>
        <v>1746191847.3399999</v>
      </c>
    </row>
    <row r="475" spans="1:8" x14ac:dyDescent="0.35">
      <c r="A475" s="291">
        <v>460</v>
      </c>
      <c r="B475" s="301"/>
      <c r="C475" s="296"/>
      <c r="D475" s="291"/>
      <c r="E475" s="291"/>
      <c r="F475" s="293"/>
      <c r="G475" s="293"/>
      <c r="H475" s="293">
        <f t="shared" si="8"/>
        <v>1746191847.3399999</v>
      </c>
    </row>
    <row r="476" spans="1:8" x14ac:dyDescent="0.35">
      <c r="A476" s="291">
        <v>461</v>
      </c>
      <c r="B476" s="301"/>
      <c r="C476" s="296"/>
      <c r="D476" s="291"/>
      <c r="E476" s="291"/>
      <c r="F476" s="293"/>
      <c r="G476" s="293"/>
      <c r="H476" s="293">
        <f t="shared" si="8"/>
        <v>1746191847.3399999</v>
      </c>
    </row>
    <row r="477" spans="1:8" x14ac:dyDescent="0.35">
      <c r="A477" s="291">
        <v>462</v>
      </c>
      <c r="B477" s="301"/>
      <c r="C477" s="296"/>
      <c r="D477" s="291"/>
      <c r="E477" s="291"/>
      <c r="F477" s="293"/>
      <c r="G477" s="293"/>
      <c r="H477" s="293">
        <f t="shared" si="8"/>
        <v>1746191847.3399999</v>
      </c>
    </row>
    <row r="478" spans="1:8" x14ac:dyDescent="0.35">
      <c r="A478" s="291">
        <v>463</v>
      </c>
      <c r="B478" s="301"/>
      <c r="C478" s="296"/>
      <c r="D478" s="291"/>
      <c r="E478" s="291"/>
      <c r="F478" s="293"/>
      <c r="G478" s="293"/>
      <c r="H478" s="293">
        <f t="shared" si="8"/>
        <v>1746191847.3399999</v>
      </c>
    </row>
    <row r="479" spans="1:8" x14ac:dyDescent="0.35">
      <c r="A479" s="291">
        <v>464</v>
      </c>
      <c r="B479" s="301"/>
      <c r="C479" s="296"/>
      <c r="D479" s="291"/>
      <c r="E479" s="291"/>
      <c r="F479" s="293"/>
      <c r="G479" s="293"/>
      <c r="H479" s="293">
        <f t="shared" si="8"/>
        <v>1746191847.3399999</v>
      </c>
    </row>
    <row r="480" spans="1:8" x14ac:dyDescent="0.35">
      <c r="A480" s="291">
        <v>465</v>
      </c>
      <c r="B480" s="301"/>
      <c r="C480" s="296"/>
      <c r="D480" s="291"/>
      <c r="E480" s="291"/>
      <c r="F480" s="293"/>
      <c r="G480" s="293"/>
      <c r="H480" s="293">
        <f t="shared" ref="H480:H543" si="9">H479+F480-G480</f>
        <v>1746191847.3399999</v>
      </c>
    </row>
    <row r="481" spans="1:8" x14ac:dyDescent="0.35">
      <c r="A481" s="291">
        <v>466</v>
      </c>
      <c r="B481" s="301"/>
      <c r="C481" s="296"/>
      <c r="D481" s="291"/>
      <c r="E481" s="291"/>
      <c r="F481" s="293"/>
      <c r="G481" s="293"/>
      <c r="H481" s="293">
        <f t="shared" si="9"/>
        <v>1746191847.3399999</v>
      </c>
    </row>
    <row r="482" spans="1:8" x14ac:dyDescent="0.35">
      <c r="A482" s="291">
        <v>467</v>
      </c>
      <c r="B482" s="301"/>
      <c r="C482" s="296"/>
      <c r="D482" s="291"/>
      <c r="E482" s="291"/>
      <c r="F482" s="293"/>
      <c r="G482" s="293"/>
      <c r="H482" s="293">
        <f t="shared" si="9"/>
        <v>1746191847.3399999</v>
      </c>
    </row>
    <row r="483" spans="1:8" x14ac:dyDescent="0.35">
      <c r="A483" s="291">
        <v>468</v>
      </c>
      <c r="B483" s="301"/>
      <c r="C483" s="296"/>
      <c r="D483" s="291"/>
      <c r="E483" s="291"/>
      <c r="F483" s="293"/>
      <c r="G483" s="293"/>
      <c r="H483" s="293">
        <f t="shared" si="9"/>
        <v>1746191847.3399999</v>
      </c>
    </row>
    <row r="484" spans="1:8" x14ac:dyDescent="0.35">
      <c r="A484" s="291">
        <v>469</v>
      </c>
      <c r="B484" s="301"/>
      <c r="C484" s="296"/>
      <c r="D484" s="291"/>
      <c r="E484" s="291"/>
      <c r="F484" s="293"/>
      <c r="G484" s="293"/>
      <c r="H484" s="293">
        <f t="shared" si="9"/>
        <v>1746191847.3399999</v>
      </c>
    </row>
    <row r="485" spans="1:8" x14ac:dyDescent="0.35">
      <c r="A485" s="291">
        <v>470</v>
      </c>
      <c r="B485" s="301"/>
      <c r="C485" s="296"/>
      <c r="D485" s="291"/>
      <c r="E485" s="291"/>
      <c r="F485" s="293"/>
      <c r="G485" s="293"/>
      <c r="H485" s="293">
        <f t="shared" si="9"/>
        <v>1746191847.3399999</v>
      </c>
    </row>
    <row r="486" spans="1:8" x14ac:dyDescent="0.35">
      <c r="A486" s="291">
        <v>471</v>
      </c>
      <c r="B486" s="301"/>
      <c r="C486" s="296"/>
      <c r="D486" s="291"/>
      <c r="E486" s="291"/>
      <c r="F486" s="293"/>
      <c r="G486" s="293"/>
      <c r="H486" s="293">
        <f t="shared" si="9"/>
        <v>1746191847.3399999</v>
      </c>
    </row>
    <row r="487" spans="1:8" x14ac:dyDescent="0.35">
      <c r="A487" s="291">
        <v>472</v>
      </c>
      <c r="B487" s="301"/>
      <c r="C487" s="296"/>
      <c r="D487" s="291"/>
      <c r="E487" s="291"/>
      <c r="F487" s="293"/>
      <c r="G487" s="293"/>
      <c r="H487" s="293">
        <f t="shared" si="9"/>
        <v>1746191847.3399999</v>
      </c>
    </row>
    <row r="488" spans="1:8" x14ac:dyDescent="0.35">
      <c r="A488" s="291">
        <v>473</v>
      </c>
      <c r="B488" s="301"/>
      <c r="C488" s="296"/>
      <c r="D488" s="291"/>
      <c r="E488" s="291"/>
      <c r="F488" s="293"/>
      <c r="G488" s="293"/>
      <c r="H488" s="293">
        <f t="shared" si="9"/>
        <v>1746191847.3399999</v>
      </c>
    </row>
    <row r="489" spans="1:8" x14ac:dyDescent="0.35">
      <c r="A489" s="291">
        <v>474</v>
      </c>
      <c r="B489" s="301"/>
      <c r="C489" s="296"/>
      <c r="D489" s="291"/>
      <c r="E489" s="291"/>
      <c r="F489" s="293"/>
      <c r="G489" s="293"/>
      <c r="H489" s="293">
        <f t="shared" si="9"/>
        <v>1746191847.3399999</v>
      </c>
    </row>
    <row r="490" spans="1:8" x14ac:dyDescent="0.35">
      <c r="A490" s="291">
        <v>475</v>
      </c>
      <c r="B490" s="301"/>
      <c r="C490" s="296"/>
      <c r="D490" s="291"/>
      <c r="E490" s="291"/>
      <c r="F490" s="293"/>
      <c r="G490" s="293"/>
      <c r="H490" s="293">
        <f t="shared" si="9"/>
        <v>1746191847.3399999</v>
      </c>
    </row>
    <row r="491" spans="1:8" x14ac:dyDescent="0.35">
      <c r="A491" s="291">
        <v>476</v>
      </c>
      <c r="B491" s="301"/>
      <c r="C491" s="296"/>
      <c r="D491" s="291"/>
      <c r="E491" s="291"/>
      <c r="F491" s="293"/>
      <c r="G491" s="293"/>
      <c r="H491" s="293">
        <f t="shared" si="9"/>
        <v>1746191847.3399999</v>
      </c>
    </row>
    <row r="492" spans="1:8" x14ac:dyDescent="0.35">
      <c r="A492" s="291">
        <v>477</v>
      </c>
      <c r="B492" s="301"/>
      <c r="C492" s="296"/>
      <c r="D492" s="291"/>
      <c r="E492" s="291"/>
      <c r="F492" s="293"/>
      <c r="G492" s="293"/>
      <c r="H492" s="293">
        <f t="shared" si="9"/>
        <v>1746191847.3399999</v>
      </c>
    </row>
    <row r="493" spans="1:8" x14ac:dyDescent="0.35">
      <c r="A493" s="291">
        <v>478</v>
      </c>
      <c r="B493" s="301"/>
      <c r="C493" s="296"/>
      <c r="D493" s="291"/>
      <c r="E493" s="291"/>
      <c r="F493" s="293"/>
      <c r="G493" s="293"/>
      <c r="H493" s="293">
        <f t="shared" si="9"/>
        <v>1746191847.3399999</v>
      </c>
    </row>
    <row r="494" spans="1:8" x14ac:dyDescent="0.35">
      <c r="A494" s="291">
        <v>479</v>
      </c>
      <c r="B494" s="301"/>
      <c r="C494" s="296"/>
      <c r="D494" s="291"/>
      <c r="E494" s="291"/>
      <c r="F494" s="293"/>
      <c r="G494" s="293"/>
      <c r="H494" s="293">
        <f t="shared" si="9"/>
        <v>1746191847.3399999</v>
      </c>
    </row>
    <row r="495" spans="1:8" x14ac:dyDescent="0.35">
      <c r="A495" s="291">
        <v>480</v>
      </c>
      <c r="B495" s="301"/>
      <c r="C495" s="296"/>
      <c r="D495" s="291"/>
      <c r="E495" s="291"/>
      <c r="F495" s="293"/>
      <c r="G495" s="293"/>
      <c r="H495" s="293">
        <f t="shared" si="9"/>
        <v>1746191847.3399999</v>
      </c>
    </row>
    <row r="496" spans="1:8" x14ac:dyDescent="0.35">
      <c r="A496" s="291">
        <v>481</v>
      </c>
      <c r="B496" s="301"/>
      <c r="C496" s="296"/>
      <c r="D496" s="291"/>
      <c r="E496" s="291"/>
      <c r="F496" s="293"/>
      <c r="G496" s="293"/>
      <c r="H496" s="293">
        <f t="shared" si="9"/>
        <v>1746191847.3399999</v>
      </c>
    </row>
    <row r="497" spans="1:8" x14ac:dyDescent="0.35">
      <c r="A497" s="291">
        <v>482</v>
      </c>
      <c r="B497" s="301"/>
      <c r="C497" s="296"/>
      <c r="D497" s="291"/>
      <c r="E497" s="291"/>
      <c r="F497" s="293"/>
      <c r="G497" s="293"/>
      <c r="H497" s="293">
        <f t="shared" si="9"/>
        <v>1746191847.3399999</v>
      </c>
    </row>
    <row r="498" spans="1:8" x14ac:dyDescent="0.35">
      <c r="A498" s="291">
        <v>483</v>
      </c>
      <c r="B498" s="301"/>
      <c r="C498" s="296"/>
      <c r="D498" s="291"/>
      <c r="E498" s="291"/>
      <c r="F498" s="293"/>
      <c r="G498" s="293"/>
      <c r="H498" s="293">
        <f t="shared" si="9"/>
        <v>1746191847.3399999</v>
      </c>
    </row>
    <row r="499" spans="1:8" x14ac:dyDescent="0.35">
      <c r="A499" s="291">
        <v>484</v>
      </c>
      <c r="B499" s="301"/>
      <c r="C499" s="296"/>
      <c r="D499" s="291"/>
      <c r="E499" s="291"/>
      <c r="F499" s="293"/>
      <c r="G499" s="293"/>
      <c r="H499" s="293">
        <f t="shared" si="9"/>
        <v>1746191847.3399999</v>
      </c>
    </row>
    <row r="500" spans="1:8" x14ac:dyDescent="0.35">
      <c r="A500" s="291">
        <v>485</v>
      </c>
      <c r="B500" s="301"/>
      <c r="C500" s="296"/>
      <c r="D500" s="291"/>
      <c r="E500" s="291"/>
      <c r="F500" s="293"/>
      <c r="G500" s="293"/>
      <c r="H500" s="293">
        <f t="shared" si="9"/>
        <v>1746191847.3399999</v>
      </c>
    </row>
    <row r="501" spans="1:8" x14ac:dyDescent="0.35">
      <c r="A501" s="291">
        <v>486</v>
      </c>
      <c r="B501" s="301"/>
      <c r="C501" s="296"/>
      <c r="D501" s="291"/>
      <c r="E501" s="291"/>
      <c r="F501" s="293"/>
      <c r="G501" s="293"/>
      <c r="H501" s="293">
        <f t="shared" si="9"/>
        <v>1746191847.3399999</v>
      </c>
    </row>
    <row r="502" spans="1:8" x14ac:dyDescent="0.35">
      <c r="A502" s="291">
        <v>487</v>
      </c>
      <c r="B502" s="301"/>
      <c r="C502" s="296"/>
      <c r="D502" s="291"/>
      <c r="E502" s="291"/>
      <c r="F502" s="293"/>
      <c r="G502" s="293"/>
      <c r="H502" s="293">
        <f t="shared" si="9"/>
        <v>1746191847.3399999</v>
      </c>
    </row>
    <row r="503" spans="1:8" x14ac:dyDescent="0.35">
      <c r="A503" s="291">
        <v>488</v>
      </c>
      <c r="B503" s="301"/>
      <c r="C503" s="296"/>
      <c r="D503" s="291"/>
      <c r="E503" s="291"/>
      <c r="F503" s="293"/>
      <c r="G503" s="293"/>
      <c r="H503" s="293">
        <f t="shared" si="9"/>
        <v>1746191847.3399999</v>
      </c>
    </row>
    <row r="504" spans="1:8" x14ac:dyDescent="0.35">
      <c r="A504" s="291">
        <v>489</v>
      </c>
      <c r="B504" s="301"/>
      <c r="C504" s="296"/>
      <c r="D504" s="291"/>
      <c r="E504" s="291"/>
      <c r="F504" s="293"/>
      <c r="G504" s="293"/>
      <c r="H504" s="293">
        <f t="shared" si="9"/>
        <v>1746191847.3399999</v>
      </c>
    </row>
    <row r="505" spans="1:8" x14ac:dyDescent="0.35">
      <c r="A505" s="291">
        <v>490</v>
      </c>
      <c r="B505" s="301"/>
      <c r="C505" s="296"/>
      <c r="D505" s="291"/>
      <c r="E505" s="291"/>
      <c r="F505" s="293"/>
      <c r="G505" s="293"/>
      <c r="H505" s="293">
        <f t="shared" si="9"/>
        <v>1746191847.3399999</v>
      </c>
    </row>
    <row r="506" spans="1:8" x14ac:dyDescent="0.35">
      <c r="A506" s="291">
        <v>491</v>
      </c>
      <c r="B506" s="301"/>
      <c r="C506" s="296"/>
      <c r="D506" s="291"/>
      <c r="E506" s="291"/>
      <c r="F506" s="293"/>
      <c r="G506" s="293"/>
      <c r="H506" s="293">
        <f t="shared" si="9"/>
        <v>1746191847.3399999</v>
      </c>
    </row>
    <row r="507" spans="1:8" x14ac:dyDescent="0.35">
      <c r="A507" s="291">
        <v>492</v>
      </c>
      <c r="B507" s="301"/>
      <c r="C507" s="296"/>
      <c r="D507" s="291"/>
      <c r="E507" s="291"/>
      <c r="F507" s="293"/>
      <c r="G507" s="293"/>
      <c r="H507" s="293">
        <f t="shared" si="9"/>
        <v>1746191847.3399999</v>
      </c>
    </row>
    <row r="508" spans="1:8" x14ac:dyDescent="0.35">
      <c r="A508" s="291">
        <v>493</v>
      </c>
      <c r="B508" s="301"/>
      <c r="C508" s="296"/>
      <c r="D508" s="291"/>
      <c r="E508" s="291"/>
      <c r="F508" s="293"/>
      <c r="G508" s="293"/>
      <c r="H508" s="293">
        <f t="shared" si="9"/>
        <v>1746191847.3399999</v>
      </c>
    </row>
    <row r="509" spans="1:8" x14ac:dyDescent="0.35">
      <c r="A509" s="291">
        <v>494</v>
      </c>
      <c r="B509" s="301"/>
      <c r="C509" s="296"/>
      <c r="D509" s="291"/>
      <c r="E509" s="291"/>
      <c r="F509" s="293"/>
      <c r="G509" s="293"/>
      <c r="H509" s="293">
        <f t="shared" si="9"/>
        <v>1746191847.3399999</v>
      </c>
    </row>
    <row r="510" spans="1:8" x14ac:dyDescent="0.35">
      <c r="A510" s="291">
        <v>495</v>
      </c>
      <c r="B510" s="301"/>
      <c r="C510" s="296"/>
      <c r="D510" s="291"/>
      <c r="E510" s="291"/>
      <c r="F510" s="293"/>
      <c r="G510" s="293"/>
      <c r="H510" s="293">
        <f t="shared" si="9"/>
        <v>1746191847.3399999</v>
      </c>
    </row>
    <row r="511" spans="1:8" x14ac:dyDescent="0.35">
      <c r="A511" s="291">
        <v>496</v>
      </c>
      <c r="B511" s="301"/>
      <c r="C511" s="296"/>
      <c r="D511" s="291"/>
      <c r="E511" s="291"/>
      <c r="F511" s="293"/>
      <c r="G511" s="293"/>
      <c r="H511" s="293">
        <f t="shared" si="9"/>
        <v>1746191847.3399999</v>
      </c>
    </row>
    <row r="512" spans="1:8" x14ac:dyDescent="0.35">
      <c r="A512" s="291">
        <v>497</v>
      </c>
      <c r="B512" s="301"/>
      <c r="C512" s="296"/>
      <c r="D512" s="291"/>
      <c r="E512" s="291"/>
      <c r="F512" s="293"/>
      <c r="G512" s="293"/>
      <c r="H512" s="293">
        <f t="shared" si="9"/>
        <v>1746191847.3399999</v>
      </c>
    </row>
    <row r="513" spans="1:8" x14ac:dyDescent="0.35">
      <c r="A513" s="291">
        <v>498</v>
      </c>
      <c r="B513" s="301"/>
      <c r="C513" s="296"/>
      <c r="D513" s="291"/>
      <c r="E513" s="291"/>
      <c r="F513" s="293"/>
      <c r="G513" s="293"/>
      <c r="H513" s="293">
        <f t="shared" si="9"/>
        <v>1746191847.3399999</v>
      </c>
    </row>
    <row r="514" spans="1:8" x14ac:dyDescent="0.35">
      <c r="A514" s="291">
        <v>499</v>
      </c>
      <c r="B514" s="301"/>
      <c r="C514" s="296"/>
      <c r="D514" s="291"/>
      <c r="E514" s="291"/>
      <c r="F514" s="293"/>
      <c r="G514" s="293"/>
      <c r="H514" s="293">
        <f t="shared" si="9"/>
        <v>1746191847.3399999</v>
      </c>
    </row>
    <row r="515" spans="1:8" x14ac:dyDescent="0.35">
      <c r="A515" s="291">
        <v>500</v>
      </c>
      <c r="B515" s="301"/>
      <c r="C515" s="296"/>
      <c r="D515" s="291"/>
      <c r="E515" s="291"/>
      <c r="F515" s="293"/>
      <c r="G515" s="293"/>
      <c r="H515" s="293">
        <f t="shared" si="9"/>
        <v>1746191847.3399999</v>
      </c>
    </row>
    <row r="516" spans="1:8" x14ac:dyDescent="0.35">
      <c r="A516" s="291">
        <v>501</v>
      </c>
      <c r="B516" s="301"/>
      <c r="C516" s="296"/>
      <c r="D516" s="291"/>
      <c r="E516" s="291"/>
      <c r="F516" s="293"/>
      <c r="G516" s="293"/>
      <c r="H516" s="293">
        <f t="shared" si="9"/>
        <v>1746191847.3399999</v>
      </c>
    </row>
    <row r="517" spans="1:8" x14ac:dyDescent="0.35">
      <c r="A517" s="291">
        <v>502</v>
      </c>
      <c r="B517" s="301"/>
      <c r="C517" s="296"/>
      <c r="D517" s="291"/>
      <c r="E517" s="291"/>
      <c r="F517" s="293"/>
      <c r="G517" s="293"/>
      <c r="H517" s="293">
        <f t="shared" si="9"/>
        <v>1746191847.3399999</v>
      </c>
    </row>
    <row r="518" spans="1:8" x14ac:dyDescent="0.35">
      <c r="A518" s="291">
        <v>503</v>
      </c>
      <c r="B518" s="301"/>
      <c r="C518" s="296"/>
      <c r="D518" s="291"/>
      <c r="E518" s="291"/>
      <c r="F518" s="293"/>
      <c r="G518" s="293"/>
      <c r="H518" s="293">
        <f t="shared" si="9"/>
        <v>1746191847.3399999</v>
      </c>
    </row>
    <row r="519" spans="1:8" x14ac:dyDescent="0.35">
      <c r="A519" s="291">
        <v>504</v>
      </c>
      <c r="B519" s="301"/>
      <c r="C519" s="296"/>
      <c r="D519" s="291"/>
      <c r="E519" s="291"/>
      <c r="F519" s="293"/>
      <c r="G519" s="293"/>
      <c r="H519" s="293">
        <f t="shared" si="9"/>
        <v>1746191847.3399999</v>
      </c>
    </row>
    <row r="520" spans="1:8" x14ac:dyDescent="0.35">
      <c r="A520" s="291">
        <v>505</v>
      </c>
      <c r="B520" s="301"/>
      <c r="C520" s="296"/>
      <c r="D520" s="291"/>
      <c r="E520" s="291"/>
      <c r="F520" s="293"/>
      <c r="G520" s="293"/>
      <c r="H520" s="293">
        <f t="shared" si="9"/>
        <v>1746191847.3399999</v>
      </c>
    </row>
    <row r="521" spans="1:8" x14ac:dyDescent="0.35">
      <c r="A521" s="291">
        <v>506</v>
      </c>
      <c r="B521" s="301"/>
      <c r="C521" s="296"/>
      <c r="D521" s="291"/>
      <c r="E521" s="291"/>
      <c r="F521" s="293"/>
      <c r="G521" s="293"/>
      <c r="H521" s="293">
        <f t="shared" si="9"/>
        <v>1746191847.3399999</v>
      </c>
    </row>
    <row r="522" spans="1:8" x14ac:dyDescent="0.35">
      <c r="A522" s="291">
        <v>507</v>
      </c>
      <c r="B522" s="301"/>
      <c r="C522" s="296"/>
      <c r="D522" s="291"/>
      <c r="E522" s="291"/>
      <c r="F522" s="293"/>
      <c r="G522" s="293"/>
      <c r="H522" s="293">
        <f t="shared" si="9"/>
        <v>1746191847.3399999</v>
      </c>
    </row>
    <row r="523" spans="1:8" x14ac:dyDescent="0.35">
      <c r="A523" s="291">
        <v>508</v>
      </c>
      <c r="B523" s="301"/>
      <c r="C523" s="296"/>
      <c r="D523" s="291"/>
      <c r="E523" s="291"/>
      <c r="F523" s="293"/>
      <c r="G523" s="293"/>
      <c r="H523" s="293">
        <f t="shared" si="9"/>
        <v>1746191847.3399999</v>
      </c>
    </row>
    <row r="524" spans="1:8" x14ac:dyDescent="0.35">
      <c r="A524" s="291">
        <v>509</v>
      </c>
      <c r="B524" s="301"/>
      <c r="C524" s="296"/>
      <c r="D524" s="291"/>
      <c r="E524" s="291"/>
      <c r="F524" s="293"/>
      <c r="G524" s="293"/>
      <c r="H524" s="293">
        <f t="shared" si="9"/>
        <v>1746191847.3399999</v>
      </c>
    </row>
    <row r="525" spans="1:8" x14ac:dyDescent="0.35">
      <c r="A525" s="291">
        <v>510</v>
      </c>
      <c r="B525" s="301"/>
      <c r="C525" s="296"/>
      <c r="D525" s="291"/>
      <c r="E525" s="291"/>
      <c r="F525" s="293"/>
      <c r="G525" s="293"/>
      <c r="H525" s="293">
        <f t="shared" si="9"/>
        <v>1746191847.3399999</v>
      </c>
    </row>
    <row r="526" spans="1:8" x14ac:dyDescent="0.35">
      <c r="A526" s="291">
        <v>511</v>
      </c>
      <c r="B526" s="301"/>
      <c r="C526" s="296"/>
      <c r="D526" s="291"/>
      <c r="E526" s="291"/>
      <c r="F526" s="293"/>
      <c r="G526" s="293"/>
      <c r="H526" s="293">
        <f t="shared" si="9"/>
        <v>1746191847.3399999</v>
      </c>
    </row>
    <row r="527" spans="1:8" x14ac:dyDescent="0.35">
      <c r="A527" s="291">
        <v>512</v>
      </c>
      <c r="B527" s="301"/>
      <c r="C527" s="296"/>
      <c r="D527" s="291"/>
      <c r="E527" s="291"/>
      <c r="F527" s="293"/>
      <c r="G527" s="293"/>
      <c r="H527" s="293">
        <f t="shared" si="9"/>
        <v>1746191847.3399999</v>
      </c>
    </row>
    <row r="528" spans="1:8" x14ac:dyDescent="0.35">
      <c r="A528" s="291">
        <v>513</v>
      </c>
      <c r="B528" s="301"/>
      <c r="C528" s="296"/>
      <c r="D528" s="291"/>
      <c r="E528" s="291"/>
      <c r="F528" s="293"/>
      <c r="G528" s="293"/>
      <c r="H528" s="293">
        <f t="shared" si="9"/>
        <v>1746191847.3399999</v>
      </c>
    </row>
    <row r="529" spans="1:8" x14ac:dyDescent="0.35">
      <c r="A529" s="291">
        <v>514</v>
      </c>
      <c r="B529" s="301"/>
      <c r="C529" s="296"/>
      <c r="D529" s="291"/>
      <c r="E529" s="291"/>
      <c r="F529" s="293"/>
      <c r="G529" s="293"/>
      <c r="H529" s="293">
        <f t="shared" si="9"/>
        <v>1746191847.3399999</v>
      </c>
    </row>
    <row r="530" spans="1:8" x14ac:dyDescent="0.35">
      <c r="A530" s="291">
        <v>515</v>
      </c>
      <c r="B530" s="301"/>
      <c r="C530" s="296"/>
      <c r="D530" s="291"/>
      <c r="E530" s="291"/>
      <c r="F530" s="293"/>
      <c r="G530" s="293"/>
      <c r="H530" s="293">
        <f t="shared" si="9"/>
        <v>1746191847.3399999</v>
      </c>
    </row>
    <row r="531" spans="1:8" x14ac:dyDescent="0.35">
      <c r="A531" s="291">
        <v>516</v>
      </c>
      <c r="B531" s="301"/>
      <c r="C531" s="296"/>
      <c r="D531" s="291"/>
      <c r="E531" s="291"/>
      <c r="F531" s="293"/>
      <c r="G531" s="293"/>
      <c r="H531" s="293">
        <f t="shared" si="9"/>
        <v>1746191847.3399999</v>
      </c>
    </row>
    <row r="532" spans="1:8" x14ac:dyDescent="0.35">
      <c r="A532" s="291">
        <v>517</v>
      </c>
      <c r="B532" s="301"/>
      <c r="C532" s="296"/>
      <c r="D532" s="291"/>
      <c r="E532" s="291"/>
      <c r="F532" s="293"/>
      <c r="G532" s="293"/>
      <c r="H532" s="293">
        <f t="shared" si="9"/>
        <v>1746191847.3399999</v>
      </c>
    </row>
    <row r="533" spans="1:8" x14ac:dyDescent="0.35">
      <c r="A533" s="291">
        <v>518</v>
      </c>
      <c r="B533" s="301"/>
      <c r="C533" s="296"/>
      <c r="D533" s="291"/>
      <c r="E533" s="291"/>
      <c r="F533" s="293"/>
      <c r="G533" s="293"/>
      <c r="H533" s="293">
        <f t="shared" si="9"/>
        <v>1746191847.3399999</v>
      </c>
    </row>
    <row r="534" spans="1:8" x14ac:dyDescent="0.35">
      <c r="A534" s="291">
        <v>519</v>
      </c>
      <c r="B534" s="301"/>
      <c r="C534" s="296"/>
      <c r="D534" s="291"/>
      <c r="E534" s="291"/>
      <c r="F534" s="293"/>
      <c r="G534" s="293"/>
      <c r="H534" s="293">
        <f t="shared" si="9"/>
        <v>1746191847.3399999</v>
      </c>
    </row>
    <row r="535" spans="1:8" x14ac:dyDescent="0.35">
      <c r="A535" s="291">
        <v>520</v>
      </c>
      <c r="B535" s="301"/>
      <c r="C535" s="296"/>
      <c r="D535" s="291"/>
      <c r="E535" s="291"/>
      <c r="F535" s="293"/>
      <c r="G535" s="293"/>
      <c r="H535" s="293">
        <f t="shared" si="9"/>
        <v>1746191847.3399999</v>
      </c>
    </row>
    <row r="536" spans="1:8" x14ac:dyDescent="0.35">
      <c r="A536" s="291">
        <v>521</v>
      </c>
      <c r="B536" s="301"/>
      <c r="C536" s="296"/>
      <c r="D536" s="291"/>
      <c r="E536" s="291"/>
      <c r="F536" s="293"/>
      <c r="G536" s="293"/>
      <c r="H536" s="293">
        <f t="shared" si="9"/>
        <v>1746191847.3399999</v>
      </c>
    </row>
    <row r="537" spans="1:8" x14ac:dyDescent="0.35">
      <c r="A537" s="291">
        <v>522</v>
      </c>
      <c r="B537" s="301"/>
      <c r="C537" s="296"/>
      <c r="D537" s="291"/>
      <c r="E537" s="291"/>
      <c r="F537" s="293"/>
      <c r="G537" s="293"/>
      <c r="H537" s="293">
        <f t="shared" si="9"/>
        <v>1746191847.3399999</v>
      </c>
    </row>
    <row r="538" spans="1:8" x14ac:dyDescent="0.35">
      <c r="A538" s="291">
        <v>523</v>
      </c>
      <c r="B538" s="301"/>
      <c r="C538" s="296"/>
      <c r="D538" s="291"/>
      <c r="E538" s="291"/>
      <c r="F538" s="293"/>
      <c r="G538" s="293"/>
      <c r="H538" s="293">
        <f t="shared" si="9"/>
        <v>1746191847.3399999</v>
      </c>
    </row>
    <row r="539" spans="1:8" x14ac:dyDescent="0.35">
      <c r="A539" s="291">
        <v>524</v>
      </c>
      <c r="B539" s="301"/>
      <c r="C539" s="296"/>
      <c r="D539" s="291"/>
      <c r="E539" s="291"/>
      <c r="F539" s="293"/>
      <c r="G539" s="293"/>
      <c r="H539" s="293">
        <f t="shared" si="9"/>
        <v>1746191847.3399999</v>
      </c>
    </row>
    <row r="540" spans="1:8" x14ac:dyDescent="0.35">
      <c r="A540" s="291">
        <v>525</v>
      </c>
      <c r="B540" s="301"/>
      <c r="C540" s="296"/>
      <c r="D540" s="291"/>
      <c r="E540" s="291"/>
      <c r="F540" s="293"/>
      <c r="G540" s="293"/>
      <c r="H540" s="293">
        <f t="shared" si="9"/>
        <v>1746191847.3399999</v>
      </c>
    </row>
    <row r="541" spans="1:8" x14ac:dyDescent="0.35">
      <c r="A541" s="291">
        <v>526</v>
      </c>
      <c r="B541" s="301"/>
      <c r="C541" s="296"/>
      <c r="D541" s="291"/>
      <c r="E541" s="291"/>
      <c r="F541" s="293"/>
      <c r="G541" s="293"/>
      <c r="H541" s="293">
        <f t="shared" si="9"/>
        <v>1746191847.3399999</v>
      </c>
    </row>
    <row r="542" spans="1:8" x14ac:dyDescent="0.35">
      <c r="A542" s="291">
        <v>527</v>
      </c>
      <c r="B542" s="301"/>
      <c r="C542" s="296"/>
      <c r="D542" s="291"/>
      <c r="E542" s="291"/>
      <c r="F542" s="293"/>
      <c r="G542" s="293"/>
      <c r="H542" s="293">
        <f t="shared" si="9"/>
        <v>1746191847.3399999</v>
      </c>
    </row>
    <row r="543" spans="1:8" x14ac:dyDescent="0.35">
      <c r="A543" s="291">
        <v>528</v>
      </c>
      <c r="B543" s="301"/>
      <c r="C543" s="296"/>
      <c r="D543" s="291"/>
      <c r="E543" s="291"/>
      <c r="F543" s="293"/>
      <c r="G543" s="293"/>
      <c r="H543" s="293">
        <f t="shared" si="9"/>
        <v>1746191847.3399999</v>
      </c>
    </row>
    <row r="544" spans="1:8" x14ac:dyDescent="0.35">
      <c r="A544" s="291">
        <v>529</v>
      </c>
      <c r="B544" s="301"/>
      <c r="C544" s="296"/>
      <c r="D544" s="291"/>
      <c r="E544" s="291"/>
      <c r="F544" s="293"/>
      <c r="G544" s="293"/>
      <c r="H544" s="293">
        <f t="shared" ref="H544:H607" si="10">H543+F544-G544</f>
        <v>1746191847.3399999</v>
      </c>
    </row>
    <row r="545" spans="1:8" x14ac:dyDescent="0.35">
      <c r="A545" s="291">
        <v>530</v>
      </c>
      <c r="B545" s="301"/>
      <c r="C545" s="296"/>
      <c r="D545" s="291"/>
      <c r="E545" s="291"/>
      <c r="F545" s="293"/>
      <c r="G545" s="293"/>
      <c r="H545" s="293">
        <f t="shared" si="10"/>
        <v>1746191847.3399999</v>
      </c>
    </row>
    <row r="546" spans="1:8" x14ac:dyDescent="0.35">
      <c r="A546" s="291">
        <v>531</v>
      </c>
      <c r="B546" s="301"/>
      <c r="C546" s="296"/>
      <c r="D546" s="291"/>
      <c r="E546" s="291"/>
      <c r="F546" s="293"/>
      <c r="G546" s="293"/>
      <c r="H546" s="293">
        <f t="shared" si="10"/>
        <v>1746191847.3399999</v>
      </c>
    </row>
    <row r="547" spans="1:8" x14ac:dyDescent="0.35">
      <c r="A547" s="291">
        <v>532</v>
      </c>
      <c r="B547" s="301"/>
      <c r="C547" s="296"/>
      <c r="D547" s="291"/>
      <c r="E547" s="291"/>
      <c r="F547" s="293"/>
      <c r="G547" s="293"/>
      <c r="H547" s="293">
        <f t="shared" si="10"/>
        <v>1746191847.3399999</v>
      </c>
    </row>
    <row r="548" spans="1:8" x14ac:dyDescent="0.35">
      <c r="A548" s="291">
        <v>533</v>
      </c>
      <c r="B548" s="301"/>
      <c r="C548" s="296"/>
      <c r="D548" s="291"/>
      <c r="E548" s="291"/>
      <c r="F548" s="293"/>
      <c r="G548" s="293"/>
      <c r="H548" s="293">
        <f t="shared" si="10"/>
        <v>1746191847.3399999</v>
      </c>
    </row>
    <row r="549" spans="1:8" x14ac:dyDescent="0.35">
      <c r="A549" s="291">
        <v>534</v>
      </c>
      <c r="B549" s="301"/>
      <c r="C549" s="296"/>
      <c r="D549" s="291"/>
      <c r="E549" s="291"/>
      <c r="F549" s="293"/>
      <c r="G549" s="293"/>
      <c r="H549" s="293">
        <f t="shared" si="10"/>
        <v>1746191847.3399999</v>
      </c>
    </row>
    <row r="550" spans="1:8" x14ac:dyDescent="0.35">
      <c r="A550" s="291">
        <v>535</v>
      </c>
      <c r="B550" s="301"/>
      <c r="C550" s="296"/>
      <c r="D550" s="291"/>
      <c r="E550" s="291"/>
      <c r="F550" s="293"/>
      <c r="G550" s="293"/>
      <c r="H550" s="293">
        <f t="shared" si="10"/>
        <v>1746191847.3399999</v>
      </c>
    </row>
    <row r="551" spans="1:8" x14ac:dyDescent="0.35">
      <c r="A551" s="291">
        <v>536</v>
      </c>
      <c r="B551" s="301"/>
      <c r="C551" s="296"/>
      <c r="D551" s="291"/>
      <c r="E551" s="291"/>
      <c r="F551" s="293"/>
      <c r="G551" s="293"/>
      <c r="H551" s="293">
        <f t="shared" si="10"/>
        <v>1746191847.3399999</v>
      </c>
    </row>
    <row r="552" spans="1:8" x14ac:dyDescent="0.35">
      <c r="A552" s="291">
        <v>537</v>
      </c>
      <c r="B552" s="301"/>
      <c r="C552" s="296"/>
      <c r="D552" s="291"/>
      <c r="E552" s="291"/>
      <c r="F552" s="293"/>
      <c r="G552" s="293"/>
      <c r="H552" s="293">
        <f t="shared" si="10"/>
        <v>1746191847.3399999</v>
      </c>
    </row>
    <row r="553" spans="1:8" x14ac:dyDescent="0.35">
      <c r="A553" s="291">
        <v>538</v>
      </c>
      <c r="B553" s="301"/>
      <c r="C553" s="296"/>
      <c r="D553" s="291"/>
      <c r="E553" s="291"/>
      <c r="F553" s="293"/>
      <c r="G553" s="293"/>
      <c r="H553" s="293">
        <f t="shared" si="10"/>
        <v>1746191847.3399999</v>
      </c>
    </row>
    <row r="554" spans="1:8" x14ac:dyDescent="0.35">
      <c r="A554" s="291">
        <v>539</v>
      </c>
      <c r="B554" s="301"/>
      <c r="C554" s="296"/>
      <c r="D554" s="291"/>
      <c r="E554" s="291"/>
      <c r="F554" s="293"/>
      <c r="G554" s="293"/>
      <c r="H554" s="293">
        <f t="shared" si="10"/>
        <v>1746191847.3399999</v>
      </c>
    </row>
    <row r="555" spans="1:8" x14ac:dyDescent="0.35">
      <c r="A555" s="291">
        <v>540</v>
      </c>
      <c r="B555" s="301"/>
      <c r="C555" s="296"/>
      <c r="D555" s="291"/>
      <c r="E555" s="291"/>
      <c r="F555" s="293"/>
      <c r="G555" s="293"/>
      <c r="H555" s="293">
        <f t="shared" si="10"/>
        <v>1746191847.3399999</v>
      </c>
    </row>
    <row r="556" spans="1:8" x14ac:dyDescent="0.35">
      <c r="A556" s="291">
        <v>541</v>
      </c>
      <c r="B556" s="301"/>
      <c r="C556" s="296"/>
      <c r="D556" s="291"/>
      <c r="E556" s="291"/>
      <c r="F556" s="293"/>
      <c r="G556" s="293"/>
      <c r="H556" s="293">
        <f t="shared" si="10"/>
        <v>1746191847.3399999</v>
      </c>
    </row>
    <row r="557" spans="1:8" x14ac:dyDescent="0.35">
      <c r="A557" s="291">
        <v>542</v>
      </c>
      <c r="B557" s="301"/>
      <c r="C557" s="296"/>
      <c r="D557" s="291"/>
      <c r="E557" s="291"/>
      <c r="F557" s="293"/>
      <c r="G557" s="293"/>
      <c r="H557" s="293">
        <f t="shared" si="10"/>
        <v>1746191847.3399999</v>
      </c>
    </row>
    <row r="558" spans="1:8" x14ac:dyDescent="0.35">
      <c r="A558" s="291">
        <v>543</v>
      </c>
      <c r="B558" s="301"/>
      <c r="C558" s="296"/>
      <c r="D558" s="291"/>
      <c r="E558" s="291"/>
      <c r="F558" s="293"/>
      <c r="G558" s="293"/>
      <c r="H558" s="293">
        <f t="shared" si="10"/>
        <v>1746191847.3399999</v>
      </c>
    </row>
    <row r="559" spans="1:8" x14ac:dyDescent="0.35">
      <c r="A559" s="291">
        <v>544</v>
      </c>
      <c r="B559" s="301"/>
      <c r="C559" s="296"/>
      <c r="D559" s="291"/>
      <c r="E559" s="291"/>
      <c r="F559" s="293"/>
      <c r="G559" s="293"/>
      <c r="H559" s="293">
        <f t="shared" si="10"/>
        <v>1746191847.3399999</v>
      </c>
    </row>
    <row r="560" spans="1:8" x14ac:dyDescent="0.35">
      <c r="A560" s="291">
        <v>545</v>
      </c>
      <c r="B560" s="301"/>
      <c r="C560" s="296"/>
      <c r="D560" s="291"/>
      <c r="E560" s="291"/>
      <c r="F560" s="293"/>
      <c r="G560" s="293"/>
      <c r="H560" s="293">
        <f t="shared" si="10"/>
        <v>1746191847.3399999</v>
      </c>
    </row>
    <row r="561" spans="1:8" x14ac:dyDescent="0.35">
      <c r="A561" s="291">
        <v>546</v>
      </c>
      <c r="B561" s="301"/>
      <c r="C561" s="296"/>
      <c r="D561" s="291"/>
      <c r="E561" s="291"/>
      <c r="F561" s="293"/>
      <c r="G561" s="293"/>
      <c r="H561" s="293">
        <f t="shared" si="10"/>
        <v>1746191847.3399999</v>
      </c>
    </row>
    <row r="562" spans="1:8" x14ac:dyDescent="0.35">
      <c r="A562" s="291">
        <v>547</v>
      </c>
      <c r="B562" s="301"/>
      <c r="C562" s="296"/>
      <c r="D562" s="291"/>
      <c r="E562" s="291"/>
      <c r="F562" s="293"/>
      <c r="G562" s="293"/>
      <c r="H562" s="293">
        <f t="shared" si="10"/>
        <v>1746191847.3399999</v>
      </c>
    </row>
    <row r="563" spans="1:8" x14ac:dyDescent="0.35">
      <c r="A563" s="291">
        <v>548</v>
      </c>
      <c r="B563" s="301"/>
      <c r="C563" s="296"/>
      <c r="D563" s="291"/>
      <c r="E563" s="291"/>
      <c r="F563" s="293"/>
      <c r="G563" s="293"/>
      <c r="H563" s="293">
        <f t="shared" si="10"/>
        <v>1746191847.3399999</v>
      </c>
    </row>
    <row r="564" spans="1:8" x14ac:dyDescent="0.35">
      <c r="A564" s="291">
        <v>549</v>
      </c>
      <c r="B564" s="301"/>
      <c r="C564" s="296"/>
      <c r="D564" s="291"/>
      <c r="E564" s="291"/>
      <c r="F564" s="293"/>
      <c r="G564" s="293"/>
      <c r="H564" s="293">
        <f t="shared" si="10"/>
        <v>1746191847.3399999</v>
      </c>
    </row>
    <row r="565" spans="1:8" x14ac:dyDescent="0.35">
      <c r="A565" s="291">
        <v>550</v>
      </c>
      <c r="B565" s="301"/>
      <c r="C565" s="296"/>
      <c r="D565" s="291"/>
      <c r="E565" s="291"/>
      <c r="F565" s="293"/>
      <c r="G565" s="293"/>
      <c r="H565" s="293">
        <f t="shared" si="10"/>
        <v>1746191847.3399999</v>
      </c>
    </row>
    <row r="566" spans="1:8" x14ac:dyDescent="0.35">
      <c r="A566" s="291">
        <v>551</v>
      </c>
      <c r="B566" s="301"/>
      <c r="C566" s="296"/>
      <c r="D566" s="291"/>
      <c r="E566" s="291"/>
      <c r="F566" s="293"/>
      <c r="G566" s="293"/>
      <c r="H566" s="293">
        <f t="shared" si="10"/>
        <v>1746191847.3399999</v>
      </c>
    </row>
    <row r="567" spans="1:8" x14ac:dyDescent="0.35">
      <c r="A567" s="291">
        <v>552</v>
      </c>
      <c r="B567" s="301"/>
      <c r="C567" s="296"/>
      <c r="D567" s="291"/>
      <c r="E567" s="291"/>
      <c r="F567" s="293"/>
      <c r="G567" s="293"/>
      <c r="H567" s="293">
        <f t="shared" si="10"/>
        <v>1746191847.3399999</v>
      </c>
    </row>
    <row r="568" spans="1:8" x14ac:dyDescent="0.35">
      <c r="A568" s="291">
        <v>553</v>
      </c>
      <c r="B568" s="301"/>
      <c r="C568" s="296"/>
      <c r="D568" s="291"/>
      <c r="E568" s="291"/>
      <c r="F568" s="293"/>
      <c r="G568" s="293"/>
      <c r="H568" s="293">
        <f t="shared" si="10"/>
        <v>1746191847.3399999</v>
      </c>
    </row>
    <row r="569" spans="1:8" x14ac:dyDescent="0.35">
      <c r="A569" s="291">
        <v>554</v>
      </c>
      <c r="B569" s="301"/>
      <c r="C569" s="296"/>
      <c r="D569" s="291"/>
      <c r="E569" s="291"/>
      <c r="F569" s="293"/>
      <c r="G569" s="293"/>
      <c r="H569" s="293">
        <f t="shared" si="10"/>
        <v>1746191847.3399999</v>
      </c>
    </row>
    <row r="570" spans="1:8" x14ac:dyDescent="0.35">
      <c r="A570" s="291">
        <v>555</v>
      </c>
      <c r="B570" s="301"/>
      <c r="C570" s="296"/>
      <c r="D570" s="291"/>
      <c r="E570" s="291"/>
      <c r="F570" s="293"/>
      <c r="G570" s="293"/>
      <c r="H570" s="293">
        <f t="shared" si="10"/>
        <v>1746191847.3399999</v>
      </c>
    </row>
    <row r="571" spans="1:8" x14ac:dyDescent="0.35">
      <c r="A571" s="291">
        <v>556</v>
      </c>
      <c r="B571" s="301"/>
      <c r="C571" s="296"/>
      <c r="D571" s="291"/>
      <c r="E571" s="291"/>
      <c r="F571" s="293"/>
      <c r="G571" s="293"/>
      <c r="H571" s="293">
        <f t="shared" si="10"/>
        <v>1746191847.3399999</v>
      </c>
    </row>
    <row r="572" spans="1:8" x14ac:dyDescent="0.35">
      <c r="A572" s="291">
        <v>557</v>
      </c>
      <c r="B572" s="301"/>
      <c r="C572" s="296"/>
      <c r="D572" s="291"/>
      <c r="E572" s="291"/>
      <c r="F572" s="293"/>
      <c r="G572" s="293"/>
      <c r="H572" s="293">
        <f t="shared" si="10"/>
        <v>1746191847.3399999</v>
      </c>
    </row>
    <row r="573" spans="1:8" x14ac:dyDescent="0.35">
      <c r="A573" s="291">
        <v>558</v>
      </c>
      <c r="B573" s="301"/>
      <c r="C573" s="296"/>
      <c r="D573" s="291"/>
      <c r="E573" s="291"/>
      <c r="F573" s="293"/>
      <c r="G573" s="293"/>
      <c r="H573" s="293">
        <f t="shared" si="10"/>
        <v>1746191847.3399999</v>
      </c>
    </row>
    <row r="574" spans="1:8" x14ac:dyDescent="0.35">
      <c r="A574" s="291">
        <v>559</v>
      </c>
      <c r="B574" s="301"/>
      <c r="C574" s="296"/>
      <c r="D574" s="291"/>
      <c r="E574" s="291"/>
      <c r="F574" s="293"/>
      <c r="G574" s="293"/>
      <c r="H574" s="293">
        <f t="shared" si="10"/>
        <v>1746191847.3399999</v>
      </c>
    </row>
    <row r="575" spans="1:8" x14ac:dyDescent="0.35">
      <c r="A575" s="291">
        <v>560</v>
      </c>
      <c r="B575" s="301"/>
      <c r="C575" s="296"/>
      <c r="D575" s="291"/>
      <c r="E575" s="291"/>
      <c r="F575" s="293"/>
      <c r="G575" s="293"/>
      <c r="H575" s="293">
        <f t="shared" si="10"/>
        <v>1746191847.3399999</v>
      </c>
    </row>
    <row r="576" spans="1:8" x14ac:dyDescent="0.35">
      <c r="A576" s="291">
        <v>561</v>
      </c>
      <c r="B576" s="301"/>
      <c r="C576" s="296"/>
      <c r="D576" s="291"/>
      <c r="E576" s="291"/>
      <c r="F576" s="293"/>
      <c r="G576" s="293"/>
      <c r="H576" s="293">
        <f t="shared" si="10"/>
        <v>1746191847.3399999</v>
      </c>
    </row>
    <row r="577" spans="1:8" x14ac:dyDescent="0.35">
      <c r="A577" s="291">
        <v>562</v>
      </c>
      <c r="B577" s="301"/>
      <c r="C577" s="296"/>
      <c r="D577" s="291"/>
      <c r="E577" s="291"/>
      <c r="F577" s="293"/>
      <c r="G577" s="293"/>
      <c r="H577" s="293">
        <f t="shared" si="10"/>
        <v>1746191847.3399999</v>
      </c>
    </row>
    <row r="578" spans="1:8" x14ac:dyDescent="0.35">
      <c r="A578" s="291">
        <v>563</v>
      </c>
      <c r="B578" s="301"/>
      <c r="C578" s="296"/>
      <c r="D578" s="291"/>
      <c r="E578" s="291"/>
      <c r="F578" s="293"/>
      <c r="G578" s="293"/>
      <c r="H578" s="293">
        <f t="shared" si="10"/>
        <v>1746191847.3399999</v>
      </c>
    </row>
    <row r="579" spans="1:8" x14ac:dyDescent="0.35">
      <c r="A579" s="291">
        <v>564</v>
      </c>
      <c r="B579" s="301"/>
      <c r="C579" s="296"/>
      <c r="D579" s="291"/>
      <c r="E579" s="291"/>
      <c r="F579" s="293"/>
      <c r="G579" s="293"/>
      <c r="H579" s="293">
        <f t="shared" si="10"/>
        <v>1746191847.3399999</v>
      </c>
    </row>
    <row r="580" spans="1:8" x14ac:dyDescent="0.35">
      <c r="A580" s="291">
        <v>565</v>
      </c>
      <c r="B580" s="301"/>
      <c r="C580" s="296"/>
      <c r="D580" s="291"/>
      <c r="E580" s="291"/>
      <c r="F580" s="293"/>
      <c r="G580" s="293"/>
      <c r="H580" s="293">
        <f t="shared" si="10"/>
        <v>1746191847.3399999</v>
      </c>
    </row>
    <row r="581" spans="1:8" x14ac:dyDescent="0.35">
      <c r="A581" s="291">
        <v>566</v>
      </c>
      <c r="B581" s="301"/>
      <c r="C581" s="296"/>
      <c r="D581" s="291"/>
      <c r="E581" s="291"/>
      <c r="F581" s="293"/>
      <c r="G581" s="293"/>
      <c r="H581" s="293">
        <f t="shared" si="10"/>
        <v>1746191847.3399999</v>
      </c>
    </row>
    <row r="582" spans="1:8" x14ac:dyDescent="0.35">
      <c r="A582" s="291">
        <v>567</v>
      </c>
      <c r="B582" s="301"/>
      <c r="C582" s="296"/>
      <c r="D582" s="291"/>
      <c r="E582" s="291"/>
      <c r="F582" s="293"/>
      <c r="G582" s="293"/>
      <c r="H582" s="293">
        <f t="shared" si="10"/>
        <v>1746191847.3399999</v>
      </c>
    </row>
    <row r="583" spans="1:8" x14ac:dyDescent="0.35">
      <c r="A583" s="291">
        <v>568</v>
      </c>
      <c r="B583" s="301"/>
      <c r="C583" s="296"/>
      <c r="D583" s="291"/>
      <c r="E583" s="291"/>
      <c r="F583" s="293"/>
      <c r="G583" s="293"/>
      <c r="H583" s="293">
        <f t="shared" si="10"/>
        <v>1746191847.3399999</v>
      </c>
    </row>
    <row r="584" spans="1:8" x14ac:dyDescent="0.35">
      <c r="A584" s="291">
        <v>569</v>
      </c>
      <c r="B584" s="301"/>
      <c r="C584" s="296"/>
      <c r="D584" s="291"/>
      <c r="E584" s="291"/>
      <c r="F584" s="293"/>
      <c r="G584" s="293"/>
      <c r="H584" s="293">
        <f t="shared" si="10"/>
        <v>1746191847.3399999</v>
      </c>
    </row>
    <row r="585" spans="1:8" x14ac:dyDescent="0.35">
      <c r="A585" s="291">
        <v>570</v>
      </c>
      <c r="B585" s="301"/>
      <c r="C585" s="296"/>
      <c r="D585" s="291"/>
      <c r="E585" s="291"/>
      <c r="F585" s="293"/>
      <c r="G585" s="293"/>
      <c r="H585" s="293">
        <f t="shared" si="10"/>
        <v>1746191847.3399999</v>
      </c>
    </row>
    <row r="586" spans="1:8" x14ac:dyDescent="0.35">
      <c r="A586" s="291">
        <v>571</v>
      </c>
      <c r="B586" s="301"/>
      <c r="C586" s="296"/>
      <c r="D586" s="291"/>
      <c r="E586" s="291"/>
      <c r="F586" s="293"/>
      <c r="G586" s="293"/>
      <c r="H586" s="293">
        <f t="shared" si="10"/>
        <v>1746191847.3399999</v>
      </c>
    </row>
    <row r="587" spans="1:8" x14ac:dyDescent="0.35">
      <c r="A587" s="291">
        <v>572</v>
      </c>
      <c r="B587" s="301"/>
      <c r="C587" s="296"/>
      <c r="D587" s="291"/>
      <c r="E587" s="291"/>
      <c r="F587" s="293"/>
      <c r="G587" s="293"/>
      <c r="H587" s="293">
        <f t="shared" si="10"/>
        <v>1746191847.3399999</v>
      </c>
    </row>
    <row r="588" spans="1:8" x14ac:dyDescent="0.35">
      <c r="A588" s="291">
        <v>573</v>
      </c>
      <c r="B588" s="301"/>
      <c r="C588" s="296"/>
      <c r="D588" s="291"/>
      <c r="E588" s="291"/>
      <c r="F588" s="293"/>
      <c r="G588" s="293"/>
      <c r="H588" s="293">
        <f t="shared" si="10"/>
        <v>1746191847.3399999</v>
      </c>
    </row>
    <row r="589" spans="1:8" x14ac:dyDescent="0.35">
      <c r="A589" s="291">
        <v>574</v>
      </c>
      <c r="B589" s="301"/>
      <c r="C589" s="296"/>
      <c r="D589" s="291"/>
      <c r="E589" s="291"/>
      <c r="F589" s="293"/>
      <c r="G589" s="293"/>
      <c r="H589" s="293">
        <f t="shared" si="10"/>
        <v>1746191847.3399999</v>
      </c>
    </row>
    <row r="590" spans="1:8" x14ac:dyDescent="0.35">
      <c r="A590" s="291">
        <v>575</v>
      </c>
      <c r="B590" s="301"/>
      <c r="C590" s="296"/>
      <c r="D590" s="291"/>
      <c r="E590" s="291"/>
      <c r="F590" s="293"/>
      <c r="G590" s="293"/>
      <c r="H590" s="293">
        <f t="shared" si="10"/>
        <v>1746191847.3399999</v>
      </c>
    </row>
    <row r="591" spans="1:8" x14ac:dyDescent="0.35">
      <c r="A591" s="291">
        <v>576</v>
      </c>
      <c r="B591" s="301"/>
      <c r="C591" s="296"/>
      <c r="D591" s="291"/>
      <c r="E591" s="291"/>
      <c r="F591" s="293"/>
      <c r="G591" s="293"/>
      <c r="H591" s="293">
        <f t="shared" si="10"/>
        <v>1746191847.3399999</v>
      </c>
    </row>
    <row r="592" spans="1:8" x14ac:dyDescent="0.35">
      <c r="A592" s="291">
        <v>577</v>
      </c>
      <c r="B592" s="301"/>
      <c r="C592" s="296"/>
      <c r="D592" s="291"/>
      <c r="E592" s="291"/>
      <c r="F592" s="293"/>
      <c r="G592" s="293"/>
      <c r="H592" s="293">
        <f t="shared" si="10"/>
        <v>1746191847.3399999</v>
      </c>
    </row>
    <row r="593" spans="1:8" x14ac:dyDescent="0.35">
      <c r="A593" s="291">
        <v>578</v>
      </c>
      <c r="B593" s="301"/>
      <c r="C593" s="296"/>
      <c r="D593" s="291"/>
      <c r="E593" s="291"/>
      <c r="F593" s="293"/>
      <c r="G593" s="293"/>
      <c r="H593" s="293">
        <f t="shared" si="10"/>
        <v>1746191847.3399999</v>
      </c>
    </row>
    <row r="594" spans="1:8" x14ac:dyDescent="0.35">
      <c r="A594" s="291">
        <v>579</v>
      </c>
      <c r="B594" s="301"/>
      <c r="C594" s="296"/>
      <c r="D594" s="291"/>
      <c r="E594" s="291"/>
      <c r="F594" s="293"/>
      <c r="G594" s="293"/>
      <c r="H594" s="293">
        <f t="shared" si="10"/>
        <v>1746191847.3399999</v>
      </c>
    </row>
    <row r="595" spans="1:8" x14ac:dyDescent="0.35">
      <c r="A595" s="291">
        <v>580</v>
      </c>
      <c r="B595" s="301"/>
      <c r="C595" s="296"/>
      <c r="D595" s="291"/>
      <c r="E595" s="291"/>
      <c r="F595" s="293"/>
      <c r="G595" s="293"/>
      <c r="H595" s="293">
        <f t="shared" si="10"/>
        <v>1746191847.3399999</v>
      </c>
    </row>
    <row r="596" spans="1:8" x14ac:dyDescent="0.35">
      <c r="A596" s="291">
        <v>581</v>
      </c>
      <c r="B596" s="301"/>
      <c r="C596" s="296"/>
      <c r="D596" s="291"/>
      <c r="E596" s="291"/>
      <c r="F596" s="293"/>
      <c r="G596" s="293"/>
      <c r="H596" s="293">
        <f t="shared" si="10"/>
        <v>1746191847.3399999</v>
      </c>
    </row>
    <row r="597" spans="1:8" x14ac:dyDescent="0.35">
      <c r="A597" s="291">
        <v>582</v>
      </c>
      <c r="B597" s="301"/>
      <c r="C597" s="296"/>
      <c r="D597" s="291"/>
      <c r="E597" s="291"/>
      <c r="F597" s="293"/>
      <c r="G597" s="293"/>
      <c r="H597" s="293">
        <f t="shared" si="10"/>
        <v>1746191847.3399999</v>
      </c>
    </row>
    <row r="598" spans="1:8" x14ac:dyDescent="0.35">
      <c r="A598" s="291">
        <v>583</v>
      </c>
      <c r="B598" s="301"/>
      <c r="C598" s="296"/>
      <c r="D598" s="291"/>
      <c r="E598" s="291"/>
      <c r="F598" s="293"/>
      <c r="G598" s="293"/>
      <c r="H598" s="293">
        <f t="shared" si="10"/>
        <v>1746191847.3399999</v>
      </c>
    </row>
    <row r="599" spans="1:8" x14ac:dyDescent="0.35">
      <c r="A599" s="291">
        <v>584</v>
      </c>
      <c r="B599" s="301"/>
      <c r="C599" s="296"/>
      <c r="D599" s="291"/>
      <c r="E599" s="291"/>
      <c r="F599" s="293"/>
      <c r="G599" s="293"/>
      <c r="H599" s="293">
        <f t="shared" si="10"/>
        <v>1746191847.3399999</v>
      </c>
    </row>
    <row r="600" spans="1:8" x14ac:dyDescent="0.35">
      <c r="A600" s="291">
        <v>585</v>
      </c>
      <c r="B600" s="301"/>
      <c r="C600" s="296"/>
      <c r="D600" s="291"/>
      <c r="E600" s="291"/>
      <c r="F600" s="293"/>
      <c r="G600" s="293"/>
      <c r="H600" s="293">
        <f t="shared" si="10"/>
        <v>1746191847.3399999</v>
      </c>
    </row>
    <row r="601" spans="1:8" x14ac:dyDescent="0.35">
      <c r="A601" s="291">
        <v>586</v>
      </c>
      <c r="B601" s="301"/>
      <c r="C601" s="296"/>
      <c r="D601" s="291"/>
      <c r="E601" s="291"/>
      <c r="F601" s="293"/>
      <c r="G601" s="293"/>
      <c r="H601" s="293">
        <f t="shared" si="10"/>
        <v>1746191847.3399999</v>
      </c>
    </row>
    <row r="602" spans="1:8" x14ac:dyDescent="0.35">
      <c r="A602" s="291">
        <v>587</v>
      </c>
      <c r="B602" s="301"/>
      <c r="C602" s="296"/>
      <c r="D602" s="291"/>
      <c r="E602" s="291"/>
      <c r="F602" s="293"/>
      <c r="G602" s="293"/>
      <c r="H602" s="293">
        <f t="shared" si="10"/>
        <v>1746191847.3399999</v>
      </c>
    </row>
    <row r="603" spans="1:8" x14ac:dyDescent="0.35">
      <c r="A603" s="291">
        <v>588</v>
      </c>
      <c r="B603" s="301"/>
      <c r="C603" s="296"/>
      <c r="D603" s="291"/>
      <c r="E603" s="291"/>
      <c r="F603" s="293"/>
      <c r="G603" s="293"/>
      <c r="H603" s="293">
        <f t="shared" si="10"/>
        <v>1746191847.3399999</v>
      </c>
    </row>
    <row r="604" spans="1:8" x14ac:dyDescent="0.35">
      <c r="A604" s="291">
        <v>589</v>
      </c>
      <c r="B604" s="301"/>
      <c r="C604" s="296"/>
      <c r="D604" s="291"/>
      <c r="E604" s="291"/>
      <c r="F604" s="293"/>
      <c r="G604" s="293"/>
      <c r="H604" s="293">
        <f t="shared" si="10"/>
        <v>1746191847.3399999</v>
      </c>
    </row>
    <row r="605" spans="1:8" x14ac:dyDescent="0.35">
      <c r="A605" s="291">
        <v>590</v>
      </c>
      <c r="B605" s="301"/>
      <c r="C605" s="296"/>
      <c r="D605" s="291"/>
      <c r="E605" s="291"/>
      <c r="F605" s="293"/>
      <c r="G605" s="293"/>
      <c r="H605" s="293">
        <f t="shared" si="10"/>
        <v>1746191847.3399999</v>
      </c>
    </row>
    <row r="606" spans="1:8" x14ac:dyDescent="0.35">
      <c r="A606" s="291">
        <v>591</v>
      </c>
      <c r="B606" s="301"/>
      <c r="C606" s="296"/>
      <c r="D606" s="291"/>
      <c r="E606" s="291"/>
      <c r="F606" s="293"/>
      <c r="G606" s="293"/>
      <c r="H606" s="293">
        <f t="shared" si="10"/>
        <v>1746191847.3399999</v>
      </c>
    </row>
    <row r="607" spans="1:8" x14ac:dyDescent="0.35">
      <c r="A607" s="291">
        <v>592</v>
      </c>
      <c r="B607" s="301"/>
      <c r="C607" s="296"/>
      <c r="D607" s="291"/>
      <c r="E607" s="291"/>
      <c r="F607" s="293"/>
      <c r="G607" s="293"/>
      <c r="H607" s="293">
        <f t="shared" si="10"/>
        <v>1746191847.3399999</v>
      </c>
    </row>
    <row r="608" spans="1:8" x14ac:dyDescent="0.35">
      <c r="A608" s="291">
        <v>593</v>
      </c>
      <c r="B608" s="301"/>
      <c r="C608" s="296"/>
      <c r="D608" s="291"/>
      <c r="E608" s="291"/>
      <c r="F608" s="293"/>
      <c r="G608" s="293"/>
      <c r="H608" s="293">
        <f t="shared" ref="H608:H671" si="11">H607+F608-G608</f>
        <v>1746191847.3399999</v>
      </c>
    </row>
    <row r="609" spans="1:8" x14ac:dyDescent="0.35">
      <c r="A609" s="291">
        <v>594</v>
      </c>
      <c r="B609" s="301"/>
      <c r="C609" s="296"/>
      <c r="D609" s="291"/>
      <c r="E609" s="291"/>
      <c r="F609" s="293"/>
      <c r="G609" s="293"/>
      <c r="H609" s="293">
        <f t="shared" si="11"/>
        <v>1746191847.3399999</v>
      </c>
    </row>
    <row r="610" spans="1:8" x14ac:dyDescent="0.35">
      <c r="A610" s="291">
        <v>595</v>
      </c>
      <c r="B610" s="301"/>
      <c r="C610" s="296"/>
      <c r="D610" s="291"/>
      <c r="E610" s="291"/>
      <c r="F610" s="293"/>
      <c r="G610" s="293"/>
      <c r="H610" s="293">
        <f t="shared" si="11"/>
        <v>1746191847.3399999</v>
      </c>
    </row>
    <row r="611" spans="1:8" x14ac:dyDescent="0.35">
      <c r="A611" s="291">
        <v>596</v>
      </c>
      <c r="B611" s="301"/>
      <c r="C611" s="296"/>
      <c r="D611" s="291"/>
      <c r="E611" s="291"/>
      <c r="F611" s="293"/>
      <c r="G611" s="293"/>
      <c r="H611" s="293">
        <f t="shared" si="11"/>
        <v>1746191847.3399999</v>
      </c>
    </row>
    <row r="612" spans="1:8" x14ac:dyDescent="0.35">
      <c r="A612" s="291">
        <v>597</v>
      </c>
      <c r="B612" s="301"/>
      <c r="C612" s="296"/>
      <c r="D612" s="291"/>
      <c r="E612" s="291"/>
      <c r="F612" s="293"/>
      <c r="G612" s="293"/>
      <c r="H612" s="293">
        <f t="shared" si="11"/>
        <v>1746191847.3399999</v>
      </c>
    </row>
    <row r="613" spans="1:8" x14ac:dyDescent="0.35">
      <c r="A613" s="291">
        <v>598</v>
      </c>
      <c r="B613" s="301"/>
      <c r="C613" s="296"/>
      <c r="D613" s="291"/>
      <c r="E613" s="291"/>
      <c r="F613" s="293"/>
      <c r="G613" s="293"/>
      <c r="H613" s="293">
        <f t="shared" si="11"/>
        <v>1746191847.3399999</v>
      </c>
    </row>
    <row r="614" spans="1:8" x14ac:dyDescent="0.35">
      <c r="A614" s="291">
        <v>599</v>
      </c>
      <c r="B614" s="301"/>
      <c r="C614" s="296"/>
      <c r="D614" s="291"/>
      <c r="E614" s="291"/>
      <c r="F614" s="293"/>
      <c r="G614" s="293"/>
      <c r="H614" s="293">
        <f t="shared" si="11"/>
        <v>1746191847.3399999</v>
      </c>
    </row>
    <row r="615" spans="1:8" x14ac:dyDescent="0.35">
      <c r="A615" s="291">
        <v>600</v>
      </c>
      <c r="B615" s="301"/>
      <c r="C615" s="296"/>
      <c r="D615" s="291"/>
      <c r="E615" s="291"/>
      <c r="F615" s="293"/>
      <c r="G615" s="293"/>
      <c r="H615" s="293">
        <f t="shared" si="11"/>
        <v>1746191847.3399999</v>
      </c>
    </row>
    <row r="616" spans="1:8" x14ac:dyDescent="0.35">
      <c r="A616" s="291">
        <v>601</v>
      </c>
      <c r="B616" s="301"/>
      <c r="C616" s="296"/>
      <c r="D616" s="291"/>
      <c r="E616" s="291"/>
      <c r="F616" s="293"/>
      <c r="G616" s="293"/>
      <c r="H616" s="293">
        <f t="shared" si="11"/>
        <v>1746191847.3399999</v>
      </c>
    </row>
    <row r="617" spans="1:8" x14ac:dyDescent="0.35">
      <c r="A617" s="291">
        <v>602</v>
      </c>
      <c r="B617" s="301"/>
      <c r="C617" s="296"/>
      <c r="D617" s="291"/>
      <c r="E617" s="291"/>
      <c r="F617" s="293"/>
      <c r="G617" s="293"/>
      <c r="H617" s="293">
        <f t="shared" si="11"/>
        <v>1746191847.3399999</v>
      </c>
    </row>
    <row r="618" spans="1:8" x14ac:dyDescent="0.35">
      <c r="A618" s="291">
        <v>603</v>
      </c>
      <c r="B618" s="301"/>
      <c r="C618" s="296"/>
      <c r="D618" s="291"/>
      <c r="E618" s="291"/>
      <c r="F618" s="293"/>
      <c r="G618" s="293"/>
      <c r="H618" s="293">
        <f t="shared" si="11"/>
        <v>1746191847.3399999</v>
      </c>
    </row>
    <row r="619" spans="1:8" x14ac:dyDescent="0.35">
      <c r="A619" s="291">
        <v>604</v>
      </c>
      <c r="B619" s="301"/>
      <c r="C619" s="296"/>
      <c r="D619" s="291"/>
      <c r="E619" s="291"/>
      <c r="F619" s="293"/>
      <c r="G619" s="293"/>
      <c r="H619" s="293">
        <f t="shared" si="11"/>
        <v>1746191847.3399999</v>
      </c>
    </row>
    <row r="620" spans="1:8" x14ac:dyDescent="0.35">
      <c r="A620" s="291">
        <v>605</v>
      </c>
      <c r="B620" s="301"/>
      <c r="C620" s="296"/>
      <c r="D620" s="291"/>
      <c r="E620" s="291"/>
      <c r="F620" s="293"/>
      <c r="G620" s="293"/>
      <c r="H620" s="293">
        <f t="shared" si="11"/>
        <v>1746191847.3399999</v>
      </c>
    </row>
    <row r="621" spans="1:8" x14ac:dyDescent="0.35">
      <c r="A621" s="291">
        <v>606</v>
      </c>
      <c r="B621" s="301"/>
      <c r="C621" s="296"/>
      <c r="D621" s="291"/>
      <c r="E621" s="291"/>
      <c r="F621" s="293"/>
      <c r="G621" s="293"/>
      <c r="H621" s="293">
        <f t="shared" si="11"/>
        <v>1746191847.3399999</v>
      </c>
    </row>
    <row r="622" spans="1:8" x14ac:dyDescent="0.35">
      <c r="A622" s="291">
        <v>607</v>
      </c>
      <c r="B622" s="301"/>
      <c r="C622" s="296"/>
      <c r="D622" s="291"/>
      <c r="E622" s="291"/>
      <c r="F622" s="293"/>
      <c r="G622" s="293"/>
      <c r="H622" s="293">
        <f t="shared" si="11"/>
        <v>1746191847.3399999</v>
      </c>
    </row>
    <row r="623" spans="1:8" x14ac:dyDescent="0.35">
      <c r="A623" s="291">
        <v>608</v>
      </c>
      <c r="B623" s="301"/>
      <c r="C623" s="296"/>
      <c r="D623" s="291"/>
      <c r="E623" s="291"/>
      <c r="F623" s="293"/>
      <c r="G623" s="293"/>
      <c r="H623" s="293">
        <f t="shared" si="11"/>
        <v>1746191847.3399999</v>
      </c>
    </row>
    <row r="624" spans="1:8" x14ac:dyDescent="0.35">
      <c r="A624" s="291">
        <v>609</v>
      </c>
      <c r="B624" s="301"/>
      <c r="C624" s="296"/>
      <c r="D624" s="291"/>
      <c r="E624" s="291"/>
      <c r="F624" s="293"/>
      <c r="G624" s="293"/>
      <c r="H624" s="293">
        <f t="shared" si="11"/>
        <v>1746191847.3399999</v>
      </c>
    </row>
    <row r="625" spans="1:8" x14ac:dyDescent="0.35">
      <c r="A625" s="291">
        <v>610</v>
      </c>
      <c r="B625" s="301"/>
      <c r="C625" s="296"/>
      <c r="D625" s="291"/>
      <c r="E625" s="291"/>
      <c r="F625" s="293"/>
      <c r="G625" s="293"/>
      <c r="H625" s="293">
        <f t="shared" si="11"/>
        <v>1746191847.3399999</v>
      </c>
    </row>
    <row r="626" spans="1:8" x14ac:dyDescent="0.35">
      <c r="A626" s="291">
        <v>611</v>
      </c>
      <c r="B626" s="301"/>
      <c r="C626" s="296"/>
      <c r="D626" s="291"/>
      <c r="E626" s="291"/>
      <c r="F626" s="293"/>
      <c r="G626" s="293"/>
      <c r="H626" s="293">
        <f t="shared" si="11"/>
        <v>1746191847.3399999</v>
      </c>
    </row>
    <row r="627" spans="1:8" x14ac:dyDescent="0.35">
      <c r="A627" s="291">
        <v>612</v>
      </c>
      <c r="B627" s="301"/>
      <c r="C627" s="296"/>
      <c r="D627" s="291"/>
      <c r="E627" s="291"/>
      <c r="F627" s="293"/>
      <c r="G627" s="293"/>
      <c r="H627" s="293">
        <f t="shared" si="11"/>
        <v>1746191847.3399999</v>
      </c>
    </row>
    <row r="628" spans="1:8" x14ac:dyDescent="0.35">
      <c r="A628" s="291">
        <v>613</v>
      </c>
      <c r="B628" s="301"/>
      <c r="C628" s="296"/>
      <c r="D628" s="291"/>
      <c r="E628" s="291"/>
      <c r="F628" s="293"/>
      <c r="G628" s="293"/>
      <c r="H628" s="293">
        <f t="shared" si="11"/>
        <v>1746191847.3399999</v>
      </c>
    </row>
    <row r="629" spans="1:8" x14ac:dyDescent="0.35">
      <c r="A629" s="291">
        <v>614</v>
      </c>
      <c r="B629" s="301"/>
      <c r="C629" s="296"/>
      <c r="D629" s="291"/>
      <c r="E629" s="291"/>
      <c r="F629" s="293"/>
      <c r="G629" s="293"/>
      <c r="H629" s="293">
        <f t="shared" si="11"/>
        <v>1746191847.3399999</v>
      </c>
    </row>
    <row r="630" spans="1:8" x14ac:dyDescent="0.35">
      <c r="A630" s="291">
        <v>615</v>
      </c>
      <c r="B630" s="301"/>
      <c r="C630" s="296"/>
      <c r="D630" s="291"/>
      <c r="E630" s="291"/>
      <c r="F630" s="293"/>
      <c r="G630" s="293"/>
      <c r="H630" s="293">
        <f t="shared" si="11"/>
        <v>1746191847.3399999</v>
      </c>
    </row>
    <row r="631" spans="1:8" x14ac:dyDescent="0.35">
      <c r="A631" s="291">
        <v>616</v>
      </c>
      <c r="B631" s="301"/>
      <c r="C631" s="296"/>
      <c r="D631" s="291"/>
      <c r="E631" s="291"/>
      <c r="F631" s="293"/>
      <c r="G631" s="293"/>
      <c r="H631" s="293">
        <f t="shared" si="11"/>
        <v>1746191847.3399999</v>
      </c>
    </row>
    <row r="632" spans="1:8" x14ac:dyDescent="0.35">
      <c r="A632" s="291">
        <v>617</v>
      </c>
      <c r="B632" s="301"/>
      <c r="C632" s="296"/>
      <c r="D632" s="291"/>
      <c r="E632" s="291"/>
      <c r="F632" s="293"/>
      <c r="G632" s="293"/>
      <c r="H632" s="293">
        <f t="shared" si="11"/>
        <v>1746191847.3399999</v>
      </c>
    </row>
    <row r="633" spans="1:8" x14ac:dyDescent="0.35">
      <c r="A633" s="291">
        <v>618</v>
      </c>
      <c r="B633" s="301"/>
      <c r="C633" s="296"/>
      <c r="D633" s="291"/>
      <c r="E633" s="291"/>
      <c r="F633" s="293"/>
      <c r="G633" s="293"/>
      <c r="H633" s="293">
        <f t="shared" si="11"/>
        <v>1746191847.3399999</v>
      </c>
    </row>
    <row r="634" spans="1:8" x14ac:dyDescent="0.35">
      <c r="A634" s="291">
        <v>619</v>
      </c>
      <c r="B634" s="301"/>
      <c r="C634" s="296"/>
      <c r="D634" s="291"/>
      <c r="E634" s="291"/>
      <c r="F634" s="293"/>
      <c r="G634" s="293"/>
      <c r="H634" s="293">
        <f t="shared" si="11"/>
        <v>1746191847.3399999</v>
      </c>
    </row>
    <row r="635" spans="1:8" x14ac:dyDescent="0.35">
      <c r="A635" s="291">
        <v>620</v>
      </c>
      <c r="B635" s="301"/>
      <c r="C635" s="296"/>
      <c r="D635" s="291"/>
      <c r="E635" s="291"/>
      <c r="F635" s="293"/>
      <c r="G635" s="293"/>
      <c r="H635" s="293">
        <f t="shared" si="11"/>
        <v>1746191847.3399999</v>
      </c>
    </row>
    <row r="636" spans="1:8" x14ac:dyDescent="0.35">
      <c r="A636" s="291">
        <v>621</v>
      </c>
      <c r="B636" s="301"/>
      <c r="C636" s="296"/>
      <c r="D636" s="291"/>
      <c r="E636" s="291"/>
      <c r="F636" s="293"/>
      <c r="G636" s="293"/>
      <c r="H636" s="293">
        <f t="shared" si="11"/>
        <v>1746191847.3399999</v>
      </c>
    </row>
    <row r="637" spans="1:8" x14ac:dyDescent="0.35">
      <c r="A637" s="291">
        <v>622</v>
      </c>
      <c r="B637" s="301"/>
      <c r="C637" s="296"/>
      <c r="D637" s="291"/>
      <c r="E637" s="291"/>
      <c r="F637" s="293"/>
      <c r="G637" s="293"/>
      <c r="H637" s="293">
        <f t="shared" si="11"/>
        <v>1746191847.3399999</v>
      </c>
    </row>
    <row r="638" spans="1:8" x14ac:dyDescent="0.35">
      <c r="A638" s="291">
        <v>623</v>
      </c>
      <c r="B638" s="301"/>
      <c r="C638" s="296"/>
      <c r="D638" s="291"/>
      <c r="E638" s="291"/>
      <c r="F638" s="293"/>
      <c r="G638" s="293"/>
      <c r="H638" s="293">
        <f t="shared" si="11"/>
        <v>1746191847.3399999</v>
      </c>
    </row>
    <row r="639" spans="1:8" x14ac:dyDescent="0.35">
      <c r="A639" s="291">
        <v>624</v>
      </c>
      <c r="B639" s="301"/>
      <c r="C639" s="296"/>
      <c r="D639" s="291"/>
      <c r="E639" s="291"/>
      <c r="F639" s="293"/>
      <c r="G639" s="293"/>
      <c r="H639" s="293">
        <f t="shared" si="11"/>
        <v>1746191847.3399999</v>
      </c>
    </row>
    <row r="640" spans="1:8" x14ac:dyDescent="0.35">
      <c r="A640" s="291"/>
      <c r="B640" s="301"/>
      <c r="C640" s="296"/>
      <c r="D640" s="291"/>
      <c r="E640" s="291"/>
      <c r="F640" s="293"/>
      <c r="G640" s="293"/>
      <c r="H640" s="293">
        <f t="shared" si="11"/>
        <v>1746191847.3399999</v>
      </c>
    </row>
    <row r="641" spans="1:8" x14ac:dyDescent="0.35">
      <c r="A641" s="291"/>
      <c r="B641" s="301"/>
      <c r="C641" s="296"/>
      <c r="D641" s="291"/>
      <c r="E641" s="291"/>
      <c r="F641" s="293"/>
      <c r="G641" s="293"/>
      <c r="H641" s="293">
        <f t="shared" si="11"/>
        <v>1746191847.3399999</v>
      </c>
    </row>
    <row r="642" spans="1:8" x14ac:dyDescent="0.35">
      <c r="A642" s="291"/>
      <c r="B642" s="301"/>
      <c r="C642" s="296"/>
      <c r="D642" s="291"/>
      <c r="E642" s="291"/>
      <c r="F642" s="293"/>
      <c r="G642" s="293"/>
      <c r="H642" s="293">
        <f t="shared" si="11"/>
        <v>1746191847.3399999</v>
      </c>
    </row>
    <row r="643" spans="1:8" x14ac:dyDescent="0.35">
      <c r="A643" s="291"/>
      <c r="B643" s="301"/>
      <c r="C643" s="296"/>
      <c r="D643" s="291"/>
      <c r="E643" s="291"/>
      <c r="F643" s="293"/>
      <c r="G643" s="293"/>
      <c r="H643" s="293">
        <f t="shared" si="11"/>
        <v>1746191847.3399999</v>
      </c>
    </row>
    <row r="644" spans="1:8" x14ac:dyDescent="0.35">
      <c r="A644" s="291"/>
      <c r="B644" s="301"/>
      <c r="C644" s="296"/>
      <c r="D644" s="291"/>
      <c r="E644" s="291"/>
      <c r="F644" s="293"/>
      <c r="G644" s="293"/>
      <c r="H644" s="293">
        <f t="shared" si="11"/>
        <v>1746191847.3399999</v>
      </c>
    </row>
    <row r="645" spans="1:8" x14ac:dyDescent="0.35">
      <c r="A645" s="291"/>
      <c r="B645" s="301"/>
      <c r="C645" s="296"/>
      <c r="D645" s="291"/>
      <c r="E645" s="291"/>
      <c r="F645" s="293"/>
      <c r="G645" s="293"/>
      <c r="H645" s="293">
        <f t="shared" si="11"/>
        <v>1746191847.3399999</v>
      </c>
    </row>
    <row r="646" spans="1:8" x14ac:dyDescent="0.35">
      <c r="A646" s="291"/>
      <c r="B646" s="301"/>
      <c r="C646" s="296"/>
      <c r="D646" s="291"/>
      <c r="E646" s="291"/>
      <c r="F646" s="293"/>
      <c r="G646" s="293"/>
      <c r="H646" s="293">
        <f t="shared" si="11"/>
        <v>1746191847.3399999</v>
      </c>
    </row>
    <row r="647" spans="1:8" x14ac:dyDescent="0.35">
      <c r="A647" s="291"/>
      <c r="B647" s="301"/>
      <c r="C647" s="296"/>
      <c r="D647" s="291"/>
      <c r="E647" s="291"/>
      <c r="F647" s="293"/>
      <c r="G647" s="293"/>
      <c r="H647" s="293">
        <f t="shared" si="11"/>
        <v>1746191847.3399999</v>
      </c>
    </row>
    <row r="648" spans="1:8" x14ac:dyDescent="0.35">
      <c r="A648" s="291"/>
      <c r="B648" s="301"/>
      <c r="C648" s="296"/>
      <c r="D648" s="291"/>
      <c r="E648" s="291"/>
      <c r="F648" s="293"/>
      <c r="G648" s="293"/>
      <c r="H648" s="293">
        <f t="shared" si="11"/>
        <v>1746191847.3399999</v>
      </c>
    </row>
    <row r="649" spans="1:8" x14ac:dyDescent="0.35">
      <c r="A649" s="291"/>
      <c r="B649" s="301"/>
      <c r="C649" s="296"/>
      <c r="D649" s="291"/>
      <c r="E649" s="291"/>
      <c r="F649" s="293"/>
      <c r="G649" s="293"/>
      <c r="H649" s="293">
        <f t="shared" si="11"/>
        <v>1746191847.3399999</v>
      </c>
    </row>
    <row r="650" spans="1:8" x14ac:dyDescent="0.35">
      <c r="A650" s="291"/>
      <c r="B650" s="301"/>
      <c r="C650" s="296"/>
      <c r="D650" s="291"/>
      <c r="E650" s="291"/>
      <c r="F650" s="293"/>
      <c r="G650" s="293"/>
      <c r="H650" s="293">
        <f t="shared" si="11"/>
        <v>1746191847.3399999</v>
      </c>
    </row>
    <row r="651" spans="1:8" x14ac:dyDescent="0.35">
      <c r="A651" s="291"/>
      <c r="B651" s="301"/>
      <c r="C651" s="296"/>
      <c r="D651" s="291"/>
      <c r="E651" s="291"/>
      <c r="F651" s="293"/>
      <c r="G651" s="293"/>
      <c r="H651" s="293">
        <f t="shared" si="11"/>
        <v>1746191847.3399999</v>
      </c>
    </row>
    <row r="652" spans="1:8" x14ac:dyDescent="0.35">
      <c r="A652" s="291"/>
      <c r="B652" s="301"/>
      <c r="C652" s="296"/>
      <c r="D652" s="291"/>
      <c r="E652" s="291"/>
      <c r="F652" s="293"/>
      <c r="G652" s="293"/>
      <c r="H652" s="293">
        <f t="shared" si="11"/>
        <v>1746191847.3399999</v>
      </c>
    </row>
    <row r="653" spans="1:8" x14ac:dyDescent="0.35">
      <c r="A653" s="291"/>
      <c r="B653" s="301"/>
      <c r="C653" s="296"/>
      <c r="D653" s="291"/>
      <c r="E653" s="291"/>
      <c r="F653" s="293"/>
      <c r="G653" s="293"/>
      <c r="H653" s="293">
        <f t="shared" si="11"/>
        <v>1746191847.3399999</v>
      </c>
    </row>
    <row r="654" spans="1:8" x14ac:dyDescent="0.35">
      <c r="A654" s="291"/>
      <c r="B654" s="301"/>
      <c r="C654" s="296"/>
      <c r="D654" s="291"/>
      <c r="E654" s="291"/>
      <c r="F654" s="293"/>
      <c r="G654" s="293"/>
      <c r="H654" s="293">
        <f t="shared" si="11"/>
        <v>1746191847.3399999</v>
      </c>
    </row>
    <row r="655" spans="1:8" x14ac:dyDescent="0.35">
      <c r="A655" s="291"/>
      <c r="B655" s="301"/>
      <c r="C655" s="296"/>
      <c r="D655" s="291"/>
      <c r="E655" s="291"/>
      <c r="F655" s="293"/>
      <c r="G655" s="293"/>
      <c r="H655" s="293">
        <f t="shared" si="11"/>
        <v>1746191847.3399999</v>
      </c>
    </row>
    <row r="656" spans="1:8" x14ac:dyDescent="0.35">
      <c r="A656" s="291"/>
      <c r="B656" s="301"/>
      <c r="C656" s="296"/>
      <c r="D656" s="291"/>
      <c r="E656" s="291"/>
      <c r="F656" s="293"/>
      <c r="G656" s="293"/>
      <c r="H656" s="293">
        <f t="shared" si="11"/>
        <v>1746191847.3399999</v>
      </c>
    </row>
    <row r="657" spans="1:8" x14ac:dyDescent="0.35">
      <c r="A657" s="291"/>
      <c r="B657" s="301"/>
      <c r="C657" s="296"/>
      <c r="D657" s="291"/>
      <c r="E657" s="291"/>
      <c r="F657" s="293"/>
      <c r="G657" s="293"/>
      <c r="H657" s="293">
        <f t="shared" si="11"/>
        <v>1746191847.3399999</v>
      </c>
    </row>
    <row r="658" spans="1:8" x14ac:dyDescent="0.35">
      <c r="A658" s="291"/>
      <c r="B658" s="301"/>
      <c r="C658" s="296"/>
      <c r="D658" s="291"/>
      <c r="E658" s="291"/>
      <c r="F658" s="293"/>
      <c r="G658" s="293"/>
      <c r="H658" s="293">
        <f t="shared" si="11"/>
        <v>1746191847.3399999</v>
      </c>
    </row>
    <row r="659" spans="1:8" x14ac:dyDescent="0.35">
      <c r="A659" s="291"/>
      <c r="B659" s="301"/>
      <c r="C659" s="296"/>
      <c r="D659" s="291"/>
      <c r="E659" s="291"/>
      <c r="F659" s="293"/>
      <c r="G659" s="293"/>
      <c r="H659" s="293">
        <f t="shared" si="11"/>
        <v>1746191847.3399999</v>
      </c>
    </row>
    <row r="660" spans="1:8" x14ac:dyDescent="0.35">
      <c r="A660" s="291"/>
      <c r="B660" s="301"/>
      <c r="C660" s="296"/>
      <c r="D660" s="291"/>
      <c r="E660" s="291"/>
      <c r="F660" s="293"/>
      <c r="G660" s="293"/>
      <c r="H660" s="293">
        <f t="shared" si="11"/>
        <v>1746191847.3399999</v>
      </c>
    </row>
    <row r="661" spans="1:8" x14ac:dyDescent="0.35">
      <c r="A661" s="291"/>
      <c r="B661" s="301"/>
      <c r="C661" s="296"/>
      <c r="D661" s="291"/>
      <c r="E661" s="291"/>
      <c r="F661" s="293"/>
      <c r="G661" s="293"/>
      <c r="H661" s="293">
        <f t="shared" si="11"/>
        <v>1746191847.3399999</v>
      </c>
    </row>
    <row r="662" spans="1:8" x14ac:dyDescent="0.35">
      <c r="A662" s="291"/>
      <c r="B662" s="301"/>
      <c r="C662" s="296"/>
      <c r="D662" s="291"/>
      <c r="E662" s="291"/>
      <c r="F662" s="293"/>
      <c r="G662" s="293"/>
      <c r="H662" s="293">
        <f t="shared" si="11"/>
        <v>1746191847.3399999</v>
      </c>
    </row>
    <row r="663" spans="1:8" x14ac:dyDescent="0.35">
      <c r="A663" s="291"/>
      <c r="B663" s="301"/>
      <c r="C663" s="296"/>
      <c r="D663" s="291"/>
      <c r="E663" s="291"/>
      <c r="F663" s="293"/>
      <c r="G663" s="293"/>
      <c r="H663" s="293">
        <f t="shared" si="11"/>
        <v>1746191847.3399999</v>
      </c>
    </row>
    <row r="664" spans="1:8" x14ac:dyDescent="0.35">
      <c r="A664" s="291"/>
      <c r="B664" s="301"/>
      <c r="C664" s="296"/>
      <c r="D664" s="291"/>
      <c r="E664" s="291"/>
      <c r="F664" s="293"/>
      <c r="G664" s="293"/>
      <c r="H664" s="293">
        <f t="shared" si="11"/>
        <v>1746191847.3399999</v>
      </c>
    </row>
    <row r="665" spans="1:8" x14ac:dyDescent="0.35">
      <c r="A665" s="291"/>
      <c r="B665" s="301"/>
      <c r="C665" s="296"/>
      <c r="D665" s="291"/>
      <c r="E665" s="291"/>
      <c r="F665" s="293"/>
      <c r="G665" s="293"/>
      <c r="H665" s="293">
        <f t="shared" si="11"/>
        <v>1746191847.3399999</v>
      </c>
    </row>
    <row r="666" spans="1:8" x14ac:dyDescent="0.35">
      <c r="A666" s="291"/>
      <c r="B666" s="301"/>
      <c r="C666" s="296"/>
      <c r="D666" s="291"/>
      <c r="E666" s="291"/>
      <c r="F666" s="293"/>
      <c r="G666" s="293"/>
      <c r="H666" s="293">
        <f t="shared" si="11"/>
        <v>1746191847.3399999</v>
      </c>
    </row>
    <row r="667" spans="1:8" x14ac:dyDescent="0.35">
      <c r="A667" s="291"/>
      <c r="B667" s="301"/>
      <c r="C667" s="296"/>
      <c r="D667" s="291"/>
      <c r="E667" s="291"/>
      <c r="F667" s="293"/>
      <c r="G667" s="293"/>
      <c r="H667" s="293">
        <f t="shared" si="11"/>
        <v>1746191847.3399999</v>
      </c>
    </row>
    <row r="668" spans="1:8" x14ac:dyDescent="0.35">
      <c r="A668" s="291"/>
      <c r="B668" s="301"/>
      <c r="C668" s="296"/>
      <c r="D668" s="291"/>
      <c r="E668" s="291"/>
      <c r="F668" s="293"/>
      <c r="G668" s="293"/>
      <c r="H668" s="293">
        <f t="shared" si="11"/>
        <v>1746191847.3399999</v>
      </c>
    </row>
    <row r="669" spans="1:8" x14ac:dyDescent="0.35">
      <c r="A669" s="291"/>
      <c r="B669" s="301"/>
      <c r="C669" s="296"/>
      <c r="D669" s="291"/>
      <c r="E669" s="291"/>
      <c r="F669" s="293"/>
      <c r="G669" s="293"/>
      <c r="H669" s="293">
        <f t="shared" si="11"/>
        <v>1746191847.3399999</v>
      </c>
    </row>
    <row r="670" spans="1:8" x14ac:dyDescent="0.35">
      <c r="A670" s="291"/>
      <c r="B670" s="301"/>
      <c r="C670" s="296"/>
      <c r="D670" s="291"/>
      <c r="E670" s="291"/>
      <c r="F670" s="293"/>
      <c r="G670" s="293"/>
      <c r="H670" s="293">
        <f t="shared" si="11"/>
        <v>1746191847.3399999</v>
      </c>
    </row>
    <row r="671" spans="1:8" x14ac:dyDescent="0.35">
      <c r="A671" s="291"/>
      <c r="B671" s="301"/>
      <c r="C671" s="296"/>
      <c r="D671" s="291"/>
      <c r="E671" s="291"/>
      <c r="F671" s="293"/>
      <c r="G671" s="293"/>
      <c r="H671" s="293">
        <f t="shared" si="11"/>
        <v>1746191847.3399999</v>
      </c>
    </row>
    <row r="672" spans="1:8" x14ac:dyDescent="0.35">
      <c r="A672" s="291"/>
      <c r="B672" s="301"/>
      <c r="C672" s="296"/>
      <c r="D672" s="291"/>
      <c r="E672" s="291"/>
      <c r="F672" s="293"/>
      <c r="G672" s="293"/>
      <c r="H672" s="293">
        <f t="shared" ref="H672:H735" si="12">H671+F672-G672</f>
        <v>1746191847.3399999</v>
      </c>
    </row>
    <row r="673" spans="1:8" x14ac:dyDescent="0.35">
      <c r="A673" s="291"/>
      <c r="B673" s="301"/>
      <c r="C673" s="296"/>
      <c r="D673" s="291"/>
      <c r="E673" s="291"/>
      <c r="F673" s="293"/>
      <c r="G673" s="293"/>
      <c r="H673" s="293">
        <f t="shared" si="12"/>
        <v>1746191847.3399999</v>
      </c>
    </row>
    <row r="674" spans="1:8" x14ac:dyDescent="0.35">
      <c r="A674" s="291"/>
      <c r="B674" s="301"/>
      <c r="C674" s="296"/>
      <c r="D674" s="291"/>
      <c r="E674" s="291"/>
      <c r="F674" s="293"/>
      <c r="G674" s="293"/>
      <c r="H674" s="293">
        <f t="shared" si="12"/>
        <v>1746191847.3399999</v>
      </c>
    </row>
    <row r="675" spans="1:8" x14ac:dyDescent="0.35">
      <c r="A675" s="291"/>
      <c r="B675" s="301"/>
      <c r="C675" s="296"/>
      <c r="D675" s="291"/>
      <c r="E675" s="291"/>
      <c r="F675" s="293"/>
      <c r="G675" s="293"/>
      <c r="H675" s="293">
        <f t="shared" si="12"/>
        <v>1746191847.3399999</v>
      </c>
    </row>
    <row r="676" spans="1:8" x14ac:dyDescent="0.35">
      <c r="A676" s="291"/>
      <c r="B676" s="301"/>
      <c r="C676" s="296"/>
      <c r="D676" s="291"/>
      <c r="E676" s="291"/>
      <c r="F676" s="293"/>
      <c r="G676" s="293"/>
      <c r="H676" s="293">
        <f t="shared" si="12"/>
        <v>1746191847.3399999</v>
      </c>
    </row>
    <row r="677" spans="1:8" x14ac:dyDescent="0.35">
      <c r="A677" s="291"/>
      <c r="B677" s="301"/>
      <c r="C677" s="296"/>
      <c r="D677" s="291"/>
      <c r="E677" s="291"/>
      <c r="F677" s="293"/>
      <c r="G677" s="293"/>
      <c r="H677" s="293">
        <f t="shared" si="12"/>
        <v>1746191847.3399999</v>
      </c>
    </row>
    <row r="678" spans="1:8" x14ac:dyDescent="0.35">
      <c r="A678" s="291"/>
      <c r="B678" s="301"/>
      <c r="C678" s="296"/>
      <c r="D678" s="291"/>
      <c r="E678" s="291"/>
      <c r="F678" s="293"/>
      <c r="G678" s="293"/>
      <c r="H678" s="293">
        <f t="shared" si="12"/>
        <v>1746191847.3399999</v>
      </c>
    </row>
    <row r="679" spans="1:8" x14ac:dyDescent="0.35">
      <c r="A679" s="291"/>
      <c r="B679" s="301"/>
      <c r="C679" s="296"/>
      <c r="D679" s="291"/>
      <c r="E679" s="291"/>
      <c r="F679" s="293"/>
      <c r="G679" s="293"/>
      <c r="H679" s="293">
        <f t="shared" si="12"/>
        <v>1746191847.3399999</v>
      </c>
    </row>
    <row r="680" spans="1:8" x14ac:dyDescent="0.35">
      <c r="A680" s="291"/>
      <c r="B680" s="301"/>
      <c r="C680" s="296"/>
      <c r="D680" s="291"/>
      <c r="E680" s="291"/>
      <c r="F680" s="293"/>
      <c r="G680" s="293"/>
      <c r="H680" s="293">
        <f t="shared" si="12"/>
        <v>1746191847.3399999</v>
      </c>
    </row>
    <row r="681" spans="1:8" x14ac:dyDescent="0.35">
      <c r="A681" s="291"/>
      <c r="B681" s="301"/>
      <c r="C681" s="296"/>
      <c r="D681" s="291"/>
      <c r="E681" s="291"/>
      <c r="F681" s="293"/>
      <c r="G681" s="293"/>
      <c r="H681" s="293">
        <f t="shared" si="12"/>
        <v>1746191847.3399999</v>
      </c>
    </row>
    <row r="682" spans="1:8" x14ac:dyDescent="0.35">
      <c r="A682" s="291"/>
      <c r="B682" s="301"/>
      <c r="C682" s="296"/>
      <c r="D682" s="291"/>
      <c r="E682" s="291"/>
      <c r="F682" s="293"/>
      <c r="G682" s="293"/>
      <c r="H682" s="293">
        <f t="shared" si="12"/>
        <v>1746191847.3399999</v>
      </c>
    </row>
    <row r="683" spans="1:8" x14ac:dyDescent="0.35">
      <c r="A683" s="291"/>
      <c r="B683" s="301"/>
      <c r="C683" s="296"/>
      <c r="D683" s="291"/>
      <c r="E683" s="291"/>
      <c r="F683" s="293"/>
      <c r="G683" s="293"/>
      <c r="H683" s="293">
        <f t="shared" si="12"/>
        <v>1746191847.3399999</v>
      </c>
    </row>
    <row r="684" spans="1:8" x14ac:dyDescent="0.35">
      <c r="A684" s="291"/>
      <c r="B684" s="301"/>
      <c r="C684" s="296"/>
      <c r="D684" s="291"/>
      <c r="E684" s="291"/>
      <c r="F684" s="293"/>
      <c r="G684" s="293"/>
      <c r="H684" s="293">
        <f t="shared" si="12"/>
        <v>1746191847.3399999</v>
      </c>
    </row>
    <row r="685" spans="1:8" x14ac:dyDescent="0.35">
      <c r="A685" s="291"/>
      <c r="B685" s="301"/>
      <c r="C685" s="296"/>
      <c r="D685" s="291"/>
      <c r="E685" s="291"/>
      <c r="F685" s="293"/>
      <c r="G685" s="293"/>
      <c r="H685" s="293">
        <f t="shared" si="12"/>
        <v>1746191847.3399999</v>
      </c>
    </row>
    <row r="686" spans="1:8" x14ac:dyDescent="0.35">
      <c r="A686" s="291"/>
      <c r="B686" s="301"/>
      <c r="C686" s="296"/>
      <c r="D686" s="291"/>
      <c r="E686" s="291"/>
      <c r="F686" s="293"/>
      <c r="G686" s="293"/>
      <c r="H686" s="293">
        <f t="shared" si="12"/>
        <v>1746191847.3399999</v>
      </c>
    </row>
    <row r="687" spans="1:8" x14ac:dyDescent="0.35">
      <c r="A687" s="291"/>
      <c r="B687" s="301"/>
      <c r="C687" s="296"/>
      <c r="D687" s="291"/>
      <c r="E687" s="291"/>
      <c r="F687" s="293"/>
      <c r="G687" s="293"/>
      <c r="H687" s="293">
        <f t="shared" si="12"/>
        <v>1746191847.3399999</v>
      </c>
    </row>
    <row r="688" spans="1:8" x14ac:dyDescent="0.35">
      <c r="A688" s="291"/>
      <c r="B688" s="301"/>
      <c r="C688" s="296"/>
      <c r="D688" s="291"/>
      <c r="E688" s="291"/>
      <c r="F688" s="293"/>
      <c r="G688" s="293"/>
      <c r="H688" s="293">
        <f t="shared" si="12"/>
        <v>1746191847.3399999</v>
      </c>
    </row>
    <row r="689" spans="1:8" x14ac:dyDescent="0.35">
      <c r="A689" s="291"/>
      <c r="B689" s="301"/>
      <c r="C689" s="296"/>
      <c r="D689" s="291"/>
      <c r="E689" s="291"/>
      <c r="F689" s="293"/>
      <c r="G689" s="293"/>
      <c r="H689" s="293">
        <f t="shared" si="12"/>
        <v>1746191847.3399999</v>
      </c>
    </row>
    <row r="690" spans="1:8" x14ac:dyDescent="0.35">
      <c r="A690" s="291"/>
      <c r="B690" s="301"/>
      <c r="C690" s="296"/>
      <c r="D690" s="291"/>
      <c r="E690" s="291"/>
      <c r="F690" s="293"/>
      <c r="G690" s="293"/>
      <c r="H690" s="293">
        <f t="shared" si="12"/>
        <v>1746191847.3399999</v>
      </c>
    </row>
    <row r="691" spans="1:8" x14ac:dyDescent="0.35">
      <c r="A691" s="291"/>
      <c r="B691" s="301"/>
      <c r="C691" s="296"/>
      <c r="D691" s="291"/>
      <c r="E691" s="291"/>
      <c r="F691" s="293"/>
      <c r="G691" s="293"/>
      <c r="H691" s="293">
        <f t="shared" si="12"/>
        <v>1746191847.3399999</v>
      </c>
    </row>
    <row r="692" spans="1:8" x14ac:dyDescent="0.35">
      <c r="A692" s="291"/>
      <c r="B692" s="301"/>
      <c r="C692" s="296"/>
      <c r="D692" s="291"/>
      <c r="E692" s="291"/>
      <c r="F692" s="293"/>
      <c r="G692" s="293"/>
      <c r="H692" s="293">
        <f t="shared" si="12"/>
        <v>1746191847.3399999</v>
      </c>
    </row>
    <row r="693" spans="1:8" x14ac:dyDescent="0.35">
      <c r="A693" s="291"/>
      <c r="B693" s="301"/>
      <c r="C693" s="296"/>
      <c r="D693" s="291"/>
      <c r="E693" s="291"/>
      <c r="F693" s="293"/>
      <c r="G693" s="293"/>
      <c r="H693" s="293">
        <f t="shared" si="12"/>
        <v>1746191847.3399999</v>
      </c>
    </row>
    <row r="694" spans="1:8" x14ac:dyDescent="0.35">
      <c r="A694" s="291"/>
      <c r="B694" s="301"/>
      <c r="C694" s="296"/>
      <c r="D694" s="291"/>
      <c r="E694" s="291"/>
      <c r="F694" s="293"/>
      <c r="G694" s="293"/>
      <c r="H694" s="293">
        <f t="shared" si="12"/>
        <v>1746191847.3399999</v>
      </c>
    </row>
    <row r="695" spans="1:8" x14ac:dyDescent="0.35">
      <c r="A695" s="291"/>
      <c r="B695" s="301"/>
      <c r="C695" s="296"/>
      <c r="D695" s="291"/>
      <c r="E695" s="291"/>
      <c r="F695" s="293"/>
      <c r="G695" s="293"/>
      <c r="H695" s="293">
        <f t="shared" si="12"/>
        <v>1746191847.3399999</v>
      </c>
    </row>
    <row r="696" spans="1:8" x14ac:dyDescent="0.35">
      <c r="A696" s="291"/>
      <c r="B696" s="301"/>
      <c r="C696" s="296"/>
      <c r="D696" s="291"/>
      <c r="E696" s="291"/>
      <c r="F696" s="293"/>
      <c r="G696" s="293"/>
      <c r="H696" s="293">
        <f t="shared" si="12"/>
        <v>1746191847.3399999</v>
      </c>
    </row>
    <row r="697" spans="1:8" x14ac:dyDescent="0.35">
      <c r="A697" s="291"/>
      <c r="B697" s="301"/>
      <c r="C697" s="296"/>
      <c r="D697" s="291"/>
      <c r="E697" s="291"/>
      <c r="F697" s="293"/>
      <c r="G697" s="293"/>
      <c r="H697" s="293">
        <f t="shared" si="12"/>
        <v>1746191847.3399999</v>
      </c>
    </row>
    <row r="698" spans="1:8" x14ac:dyDescent="0.35">
      <c r="A698" s="291"/>
      <c r="B698" s="301"/>
      <c r="C698" s="296"/>
      <c r="D698" s="291"/>
      <c r="E698" s="291"/>
      <c r="F698" s="293"/>
      <c r="G698" s="293"/>
      <c r="H698" s="293">
        <f t="shared" si="12"/>
        <v>1746191847.3399999</v>
      </c>
    </row>
    <row r="699" spans="1:8" x14ac:dyDescent="0.35">
      <c r="A699" s="291"/>
      <c r="B699" s="301"/>
      <c r="C699" s="296"/>
      <c r="D699" s="291"/>
      <c r="E699" s="291"/>
      <c r="F699" s="293"/>
      <c r="G699" s="293"/>
      <c r="H699" s="293">
        <f t="shared" si="12"/>
        <v>1746191847.3399999</v>
      </c>
    </row>
    <row r="700" spans="1:8" x14ac:dyDescent="0.35">
      <c r="A700" s="291"/>
      <c r="B700" s="301"/>
      <c r="C700" s="296"/>
      <c r="D700" s="291"/>
      <c r="E700" s="291"/>
      <c r="F700" s="293"/>
      <c r="G700" s="293"/>
      <c r="H700" s="293">
        <f t="shared" si="12"/>
        <v>1746191847.3399999</v>
      </c>
    </row>
    <row r="701" spans="1:8" x14ac:dyDescent="0.35">
      <c r="A701" s="291"/>
      <c r="B701" s="301"/>
      <c r="C701" s="296"/>
      <c r="D701" s="291"/>
      <c r="E701" s="291"/>
      <c r="F701" s="293"/>
      <c r="G701" s="293"/>
      <c r="H701" s="293">
        <f t="shared" si="12"/>
        <v>1746191847.3399999</v>
      </c>
    </row>
    <row r="702" spans="1:8" x14ac:dyDescent="0.35">
      <c r="A702" s="291"/>
      <c r="B702" s="301"/>
      <c r="C702" s="296"/>
      <c r="D702" s="291"/>
      <c r="E702" s="291"/>
      <c r="F702" s="293"/>
      <c r="G702" s="293"/>
      <c r="H702" s="293">
        <f t="shared" si="12"/>
        <v>1746191847.3399999</v>
      </c>
    </row>
    <row r="703" spans="1:8" x14ac:dyDescent="0.35">
      <c r="A703" s="291"/>
      <c r="B703" s="301"/>
      <c r="C703" s="296"/>
      <c r="D703" s="291"/>
      <c r="E703" s="291"/>
      <c r="F703" s="293"/>
      <c r="G703" s="293"/>
      <c r="H703" s="293">
        <f t="shared" si="12"/>
        <v>1746191847.3399999</v>
      </c>
    </row>
    <row r="704" spans="1:8" x14ac:dyDescent="0.35">
      <c r="A704" s="291"/>
      <c r="B704" s="301"/>
      <c r="C704" s="296"/>
      <c r="D704" s="291"/>
      <c r="E704" s="291"/>
      <c r="F704" s="293"/>
      <c r="G704" s="293"/>
      <c r="H704" s="293">
        <f t="shared" si="12"/>
        <v>1746191847.3399999</v>
      </c>
    </row>
    <row r="705" spans="1:8" x14ac:dyDescent="0.35">
      <c r="A705" s="291"/>
      <c r="B705" s="301"/>
      <c r="C705" s="296"/>
      <c r="D705" s="291"/>
      <c r="E705" s="291"/>
      <c r="F705" s="293"/>
      <c r="G705" s="293"/>
      <c r="H705" s="293">
        <f t="shared" si="12"/>
        <v>1746191847.3399999</v>
      </c>
    </row>
    <row r="706" spans="1:8" x14ac:dyDescent="0.35">
      <c r="A706" s="291"/>
      <c r="B706" s="301"/>
      <c r="C706" s="296"/>
      <c r="D706" s="291"/>
      <c r="E706" s="291"/>
      <c r="F706" s="293"/>
      <c r="G706" s="293"/>
      <c r="H706" s="293">
        <f t="shared" si="12"/>
        <v>1746191847.3399999</v>
      </c>
    </row>
    <row r="707" spans="1:8" x14ac:dyDescent="0.35">
      <c r="A707" s="291"/>
      <c r="B707" s="301"/>
      <c r="C707" s="296"/>
      <c r="D707" s="291"/>
      <c r="E707" s="291"/>
      <c r="F707" s="293"/>
      <c r="G707" s="293"/>
      <c r="H707" s="293">
        <f t="shared" si="12"/>
        <v>1746191847.3399999</v>
      </c>
    </row>
    <row r="708" spans="1:8" x14ac:dyDescent="0.35">
      <c r="A708" s="291"/>
      <c r="B708" s="301"/>
      <c r="C708" s="296"/>
      <c r="D708" s="291"/>
      <c r="E708" s="291"/>
      <c r="F708" s="293"/>
      <c r="G708" s="293"/>
      <c r="H708" s="293">
        <f t="shared" si="12"/>
        <v>1746191847.3399999</v>
      </c>
    </row>
    <row r="709" spans="1:8" x14ac:dyDescent="0.35">
      <c r="A709" s="291"/>
      <c r="B709" s="301"/>
      <c r="C709" s="296"/>
      <c r="D709" s="291"/>
      <c r="E709" s="291"/>
      <c r="F709" s="293"/>
      <c r="G709" s="293"/>
      <c r="H709" s="293">
        <f t="shared" si="12"/>
        <v>1746191847.3399999</v>
      </c>
    </row>
    <row r="710" spans="1:8" x14ac:dyDescent="0.35">
      <c r="A710" s="291"/>
      <c r="B710" s="301"/>
      <c r="C710" s="296"/>
      <c r="D710" s="291"/>
      <c r="E710" s="291"/>
      <c r="F710" s="293"/>
      <c r="G710" s="293"/>
      <c r="H710" s="293">
        <f t="shared" si="12"/>
        <v>1746191847.3399999</v>
      </c>
    </row>
    <row r="711" spans="1:8" x14ac:dyDescent="0.35">
      <c r="A711" s="291"/>
      <c r="B711" s="301"/>
      <c r="C711" s="296"/>
      <c r="D711" s="291"/>
      <c r="E711" s="291"/>
      <c r="F711" s="293"/>
      <c r="G711" s="293"/>
      <c r="H711" s="293">
        <f t="shared" si="12"/>
        <v>1746191847.3399999</v>
      </c>
    </row>
    <row r="712" spans="1:8" x14ac:dyDescent="0.35">
      <c r="A712" s="291"/>
      <c r="B712" s="301"/>
      <c r="C712" s="296"/>
      <c r="D712" s="291"/>
      <c r="E712" s="291"/>
      <c r="F712" s="293"/>
      <c r="G712" s="293"/>
      <c r="H712" s="293">
        <f t="shared" si="12"/>
        <v>1746191847.3399999</v>
      </c>
    </row>
    <row r="713" spans="1:8" x14ac:dyDescent="0.35">
      <c r="A713" s="291"/>
      <c r="B713" s="301"/>
      <c r="C713" s="296"/>
      <c r="D713" s="291"/>
      <c r="E713" s="291"/>
      <c r="F713" s="293"/>
      <c r="G713" s="293"/>
      <c r="H713" s="293">
        <f t="shared" si="12"/>
        <v>1746191847.3399999</v>
      </c>
    </row>
    <row r="714" spans="1:8" x14ac:dyDescent="0.35">
      <c r="A714" s="291"/>
      <c r="B714" s="301"/>
      <c r="C714" s="296"/>
      <c r="D714" s="291"/>
      <c r="E714" s="291"/>
      <c r="F714" s="293"/>
      <c r="G714" s="293"/>
      <c r="H714" s="293">
        <f t="shared" si="12"/>
        <v>1746191847.3399999</v>
      </c>
    </row>
    <row r="715" spans="1:8" x14ac:dyDescent="0.35">
      <c r="A715" s="291"/>
      <c r="B715" s="301"/>
      <c r="C715" s="296"/>
      <c r="D715" s="291"/>
      <c r="E715" s="291"/>
      <c r="F715" s="293"/>
      <c r="G715" s="293"/>
      <c r="H715" s="293">
        <f t="shared" si="12"/>
        <v>1746191847.3399999</v>
      </c>
    </row>
    <row r="716" spans="1:8" x14ac:dyDescent="0.35">
      <c r="A716" s="291"/>
      <c r="B716" s="301"/>
      <c r="C716" s="296"/>
      <c r="D716" s="291"/>
      <c r="E716" s="291"/>
      <c r="F716" s="293"/>
      <c r="G716" s="293"/>
      <c r="H716" s="293">
        <f t="shared" si="12"/>
        <v>1746191847.3399999</v>
      </c>
    </row>
    <row r="717" spans="1:8" x14ac:dyDescent="0.35">
      <c r="A717" s="291"/>
      <c r="B717" s="301"/>
      <c r="C717" s="296"/>
      <c r="D717" s="291"/>
      <c r="E717" s="291"/>
      <c r="F717" s="293"/>
      <c r="G717" s="293"/>
      <c r="H717" s="293">
        <f t="shared" si="12"/>
        <v>1746191847.3399999</v>
      </c>
    </row>
    <row r="718" spans="1:8" x14ac:dyDescent="0.35">
      <c r="A718" s="291"/>
      <c r="B718" s="301"/>
      <c r="C718" s="296"/>
      <c r="D718" s="291"/>
      <c r="E718" s="291"/>
      <c r="F718" s="293"/>
      <c r="G718" s="293"/>
      <c r="H718" s="293">
        <f t="shared" si="12"/>
        <v>1746191847.3399999</v>
      </c>
    </row>
    <row r="719" spans="1:8" x14ac:dyDescent="0.35">
      <c r="A719" s="291"/>
      <c r="B719" s="301"/>
      <c r="C719" s="296"/>
      <c r="D719" s="291"/>
      <c r="E719" s="291"/>
      <c r="F719" s="293"/>
      <c r="G719" s="293"/>
      <c r="H719" s="293">
        <f t="shared" si="12"/>
        <v>1746191847.3399999</v>
      </c>
    </row>
    <row r="720" spans="1:8" x14ac:dyDescent="0.35">
      <c r="A720" s="291"/>
      <c r="B720" s="301"/>
      <c r="C720" s="296"/>
      <c r="D720" s="291"/>
      <c r="E720" s="291"/>
      <c r="F720" s="293"/>
      <c r="G720" s="293"/>
      <c r="H720" s="293">
        <f t="shared" si="12"/>
        <v>1746191847.3399999</v>
      </c>
    </row>
    <row r="721" spans="1:8" x14ac:dyDescent="0.35">
      <c r="A721" s="291"/>
      <c r="B721" s="301"/>
      <c r="C721" s="296"/>
      <c r="D721" s="291"/>
      <c r="E721" s="291"/>
      <c r="F721" s="293"/>
      <c r="G721" s="293"/>
      <c r="H721" s="293">
        <f t="shared" si="12"/>
        <v>1746191847.3399999</v>
      </c>
    </row>
    <row r="722" spans="1:8" x14ac:dyDescent="0.35">
      <c r="A722" s="291"/>
      <c r="B722" s="301"/>
      <c r="C722" s="296"/>
      <c r="D722" s="291"/>
      <c r="E722" s="291"/>
      <c r="F722" s="293"/>
      <c r="G722" s="293"/>
      <c r="H722" s="293">
        <f t="shared" si="12"/>
        <v>1746191847.3399999</v>
      </c>
    </row>
    <row r="723" spans="1:8" x14ac:dyDescent="0.35">
      <c r="A723" s="291"/>
      <c r="B723" s="301"/>
      <c r="C723" s="296"/>
      <c r="D723" s="291"/>
      <c r="E723" s="291"/>
      <c r="F723" s="293"/>
      <c r="G723" s="293"/>
      <c r="H723" s="293">
        <f t="shared" si="12"/>
        <v>1746191847.3399999</v>
      </c>
    </row>
    <row r="724" spans="1:8" x14ac:dyDescent="0.35">
      <c r="A724" s="291"/>
      <c r="B724" s="301"/>
      <c r="C724" s="296"/>
      <c r="D724" s="291"/>
      <c r="E724" s="291"/>
      <c r="F724" s="293"/>
      <c r="G724" s="293"/>
      <c r="H724" s="293">
        <f t="shared" si="12"/>
        <v>1746191847.3399999</v>
      </c>
    </row>
    <row r="725" spans="1:8" x14ac:dyDescent="0.35">
      <c r="A725" s="291"/>
      <c r="B725" s="301"/>
      <c r="C725" s="296"/>
      <c r="D725" s="291"/>
      <c r="E725" s="291"/>
      <c r="F725" s="293"/>
      <c r="G725" s="293"/>
      <c r="H725" s="293">
        <f t="shared" si="12"/>
        <v>1746191847.3399999</v>
      </c>
    </row>
    <row r="726" spans="1:8" x14ac:dyDescent="0.35">
      <c r="A726" s="291"/>
      <c r="B726" s="301"/>
      <c r="C726" s="296"/>
      <c r="D726" s="291"/>
      <c r="E726" s="291"/>
      <c r="F726" s="293"/>
      <c r="G726" s="293"/>
      <c r="H726" s="293">
        <f t="shared" si="12"/>
        <v>1746191847.3399999</v>
      </c>
    </row>
    <row r="727" spans="1:8" x14ac:dyDescent="0.35">
      <c r="A727" s="291"/>
      <c r="B727" s="301"/>
      <c r="C727" s="296"/>
      <c r="D727" s="291"/>
      <c r="E727" s="291"/>
      <c r="F727" s="293"/>
      <c r="G727" s="293"/>
      <c r="H727" s="293">
        <f t="shared" si="12"/>
        <v>1746191847.3399999</v>
      </c>
    </row>
    <row r="728" spans="1:8" x14ac:dyDescent="0.35">
      <c r="A728" s="291"/>
      <c r="B728" s="301"/>
      <c r="C728" s="296"/>
      <c r="D728" s="291"/>
      <c r="E728" s="291"/>
      <c r="F728" s="293"/>
      <c r="G728" s="293"/>
      <c r="H728" s="293">
        <f t="shared" si="12"/>
        <v>1746191847.3399999</v>
      </c>
    </row>
    <row r="729" spans="1:8" x14ac:dyDescent="0.35">
      <c r="A729" s="291"/>
      <c r="B729" s="301"/>
      <c r="C729" s="296"/>
      <c r="D729" s="291"/>
      <c r="E729" s="291"/>
      <c r="F729" s="293"/>
      <c r="G729" s="293"/>
      <c r="H729" s="293">
        <f t="shared" si="12"/>
        <v>1746191847.3399999</v>
      </c>
    </row>
    <row r="730" spans="1:8" x14ac:dyDescent="0.35">
      <c r="A730" s="291"/>
      <c r="B730" s="301"/>
      <c r="C730" s="296"/>
      <c r="D730" s="291"/>
      <c r="E730" s="291"/>
      <c r="F730" s="293"/>
      <c r="G730" s="293"/>
      <c r="H730" s="293">
        <f t="shared" si="12"/>
        <v>1746191847.3399999</v>
      </c>
    </row>
    <row r="731" spans="1:8" x14ac:dyDescent="0.35">
      <c r="A731" s="291"/>
      <c r="B731" s="301"/>
      <c r="C731" s="296"/>
      <c r="D731" s="291"/>
      <c r="E731" s="291"/>
      <c r="F731" s="293"/>
      <c r="G731" s="293"/>
      <c r="H731" s="293">
        <f t="shared" si="12"/>
        <v>1746191847.3399999</v>
      </c>
    </row>
    <row r="732" spans="1:8" x14ac:dyDescent="0.35">
      <c r="A732" s="291"/>
      <c r="B732" s="301"/>
      <c r="C732" s="296"/>
      <c r="D732" s="291"/>
      <c r="E732" s="291"/>
      <c r="F732" s="293"/>
      <c r="G732" s="293"/>
      <c r="H732" s="293">
        <f t="shared" si="12"/>
        <v>1746191847.3399999</v>
      </c>
    </row>
    <row r="733" spans="1:8" x14ac:dyDescent="0.35">
      <c r="A733" s="291"/>
      <c r="B733" s="301"/>
      <c r="C733" s="296"/>
      <c r="D733" s="291"/>
      <c r="E733" s="291"/>
      <c r="F733" s="293"/>
      <c r="G733" s="293"/>
      <c r="H733" s="293">
        <f t="shared" si="12"/>
        <v>1746191847.3399999</v>
      </c>
    </row>
    <row r="734" spans="1:8" x14ac:dyDescent="0.35">
      <c r="A734" s="291"/>
      <c r="B734" s="301"/>
      <c r="C734" s="296"/>
      <c r="D734" s="291"/>
      <c r="E734" s="291"/>
      <c r="F734" s="293"/>
      <c r="G734" s="293"/>
      <c r="H734" s="293">
        <f t="shared" si="12"/>
        <v>1746191847.3399999</v>
      </c>
    </row>
    <row r="735" spans="1:8" x14ac:dyDescent="0.35">
      <c r="A735" s="291"/>
      <c r="B735" s="301"/>
      <c r="C735" s="296"/>
      <c r="D735" s="291"/>
      <c r="E735" s="291"/>
      <c r="F735" s="293"/>
      <c r="G735" s="293"/>
      <c r="H735" s="293">
        <f t="shared" si="12"/>
        <v>1746191847.3399999</v>
      </c>
    </row>
    <row r="736" spans="1:8" x14ac:dyDescent="0.35">
      <c r="A736" s="291"/>
      <c r="B736" s="301"/>
      <c r="C736" s="296"/>
      <c r="D736" s="291"/>
      <c r="E736" s="291"/>
      <c r="F736" s="293"/>
      <c r="G736" s="293"/>
      <c r="H736" s="293">
        <f t="shared" ref="H736:H799" si="13">H735+F736-G736</f>
        <v>1746191847.3399999</v>
      </c>
    </row>
    <row r="737" spans="1:8" x14ac:dyDescent="0.35">
      <c r="A737" s="291"/>
      <c r="B737" s="301"/>
      <c r="C737" s="296"/>
      <c r="D737" s="291"/>
      <c r="E737" s="291"/>
      <c r="F737" s="293"/>
      <c r="G737" s="293"/>
      <c r="H737" s="293">
        <f t="shared" si="13"/>
        <v>1746191847.3399999</v>
      </c>
    </row>
    <row r="738" spans="1:8" x14ac:dyDescent="0.35">
      <c r="A738" s="291"/>
      <c r="B738" s="301"/>
      <c r="C738" s="296"/>
      <c r="D738" s="291"/>
      <c r="E738" s="291"/>
      <c r="F738" s="293"/>
      <c r="G738" s="293"/>
      <c r="H738" s="293">
        <f t="shared" si="13"/>
        <v>1746191847.3399999</v>
      </c>
    </row>
    <row r="739" spans="1:8" x14ac:dyDescent="0.35">
      <c r="A739" s="291"/>
      <c r="B739" s="301"/>
      <c r="C739" s="296"/>
      <c r="D739" s="291"/>
      <c r="E739" s="291"/>
      <c r="F739" s="293"/>
      <c r="G739" s="293"/>
      <c r="H739" s="293">
        <f t="shared" si="13"/>
        <v>1746191847.3399999</v>
      </c>
    </row>
    <row r="740" spans="1:8" x14ac:dyDescent="0.35">
      <c r="A740" s="291"/>
      <c r="B740" s="301"/>
      <c r="C740" s="296"/>
      <c r="D740" s="291"/>
      <c r="E740" s="291"/>
      <c r="F740" s="293"/>
      <c r="G740" s="293"/>
      <c r="H740" s="293">
        <f t="shared" si="13"/>
        <v>1746191847.3399999</v>
      </c>
    </row>
    <row r="741" spans="1:8" x14ac:dyDescent="0.35">
      <c r="A741" s="291"/>
      <c r="B741" s="301"/>
      <c r="C741" s="296"/>
      <c r="D741" s="291"/>
      <c r="E741" s="291"/>
      <c r="F741" s="293"/>
      <c r="G741" s="293"/>
      <c r="H741" s="293">
        <f t="shared" si="13"/>
        <v>1746191847.3399999</v>
      </c>
    </row>
    <row r="742" spans="1:8" x14ac:dyDescent="0.35">
      <c r="A742" s="291"/>
      <c r="B742" s="301"/>
      <c r="C742" s="296"/>
      <c r="D742" s="291"/>
      <c r="E742" s="291"/>
      <c r="F742" s="293"/>
      <c r="G742" s="293"/>
      <c r="H742" s="293">
        <f t="shared" si="13"/>
        <v>1746191847.3399999</v>
      </c>
    </row>
    <row r="743" spans="1:8" x14ac:dyDescent="0.35">
      <c r="A743" s="291"/>
      <c r="B743" s="301"/>
      <c r="C743" s="296"/>
      <c r="D743" s="291"/>
      <c r="E743" s="291"/>
      <c r="F743" s="293"/>
      <c r="G743" s="293"/>
      <c r="H743" s="293">
        <f t="shared" si="13"/>
        <v>1746191847.3399999</v>
      </c>
    </row>
    <row r="744" spans="1:8" x14ac:dyDescent="0.35">
      <c r="A744" s="291"/>
      <c r="B744" s="301"/>
      <c r="C744" s="296"/>
      <c r="D744" s="291"/>
      <c r="E744" s="291"/>
      <c r="F744" s="293"/>
      <c r="G744" s="293"/>
      <c r="H744" s="293">
        <f t="shared" si="13"/>
        <v>1746191847.3399999</v>
      </c>
    </row>
    <row r="745" spans="1:8" x14ac:dyDescent="0.35">
      <c r="A745" s="291"/>
      <c r="B745" s="301"/>
      <c r="C745" s="296"/>
      <c r="D745" s="291"/>
      <c r="E745" s="291"/>
      <c r="F745" s="293"/>
      <c r="G745" s="293"/>
      <c r="H745" s="293">
        <f t="shared" si="13"/>
        <v>1746191847.3399999</v>
      </c>
    </row>
    <row r="746" spans="1:8" x14ac:dyDescent="0.35">
      <c r="A746" s="291"/>
      <c r="B746" s="301"/>
      <c r="C746" s="296"/>
      <c r="D746" s="291"/>
      <c r="E746" s="291"/>
      <c r="F746" s="293"/>
      <c r="G746" s="293"/>
      <c r="H746" s="293">
        <f t="shared" si="13"/>
        <v>1746191847.3399999</v>
      </c>
    </row>
    <row r="747" spans="1:8" x14ac:dyDescent="0.35">
      <c r="A747" s="291"/>
      <c r="B747" s="301"/>
      <c r="C747" s="296"/>
      <c r="D747" s="291"/>
      <c r="E747" s="291"/>
      <c r="F747" s="293"/>
      <c r="G747" s="293"/>
      <c r="H747" s="293">
        <f t="shared" si="13"/>
        <v>1746191847.3399999</v>
      </c>
    </row>
    <row r="748" spans="1:8" x14ac:dyDescent="0.35">
      <c r="A748" s="291"/>
      <c r="B748" s="301"/>
      <c r="C748" s="296"/>
      <c r="D748" s="291"/>
      <c r="E748" s="291"/>
      <c r="F748" s="293"/>
      <c r="G748" s="293"/>
      <c r="H748" s="293">
        <f t="shared" si="13"/>
        <v>1746191847.3399999</v>
      </c>
    </row>
    <row r="749" spans="1:8" x14ac:dyDescent="0.35">
      <c r="A749" s="291"/>
      <c r="B749" s="301"/>
      <c r="C749" s="296"/>
      <c r="D749" s="291"/>
      <c r="E749" s="291"/>
      <c r="F749" s="293"/>
      <c r="G749" s="293"/>
      <c r="H749" s="293">
        <f t="shared" si="13"/>
        <v>1746191847.3399999</v>
      </c>
    </row>
    <row r="750" spans="1:8" x14ac:dyDescent="0.35">
      <c r="A750" s="291"/>
      <c r="B750" s="301"/>
      <c r="C750" s="296"/>
      <c r="D750" s="291"/>
      <c r="E750" s="291"/>
      <c r="F750" s="293"/>
      <c r="G750" s="293"/>
      <c r="H750" s="293">
        <f t="shared" si="13"/>
        <v>1746191847.3399999</v>
      </c>
    </row>
    <row r="751" spans="1:8" x14ac:dyDescent="0.35">
      <c r="A751" s="291"/>
      <c r="B751" s="301"/>
      <c r="C751" s="296"/>
      <c r="D751" s="291"/>
      <c r="E751" s="291"/>
      <c r="F751" s="293"/>
      <c r="G751" s="293"/>
      <c r="H751" s="293">
        <f t="shared" si="13"/>
        <v>1746191847.3399999</v>
      </c>
    </row>
    <row r="752" spans="1:8" x14ac:dyDescent="0.35">
      <c r="A752" s="291"/>
      <c r="B752" s="301"/>
      <c r="C752" s="296"/>
      <c r="D752" s="291"/>
      <c r="E752" s="291"/>
      <c r="F752" s="293"/>
      <c r="G752" s="293"/>
      <c r="H752" s="293">
        <f t="shared" si="13"/>
        <v>1746191847.3399999</v>
      </c>
    </row>
    <row r="753" spans="1:8" x14ac:dyDescent="0.35">
      <c r="A753" s="291"/>
      <c r="B753" s="301"/>
      <c r="C753" s="296"/>
      <c r="D753" s="291"/>
      <c r="E753" s="291"/>
      <c r="F753" s="293"/>
      <c r="G753" s="293"/>
      <c r="H753" s="293">
        <f t="shared" si="13"/>
        <v>1746191847.3399999</v>
      </c>
    </row>
    <row r="754" spans="1:8" x14ac:dyDescent="0.35">
      <c r="A754" s="291"/>
      <c r="B754" s="301"/>
      <c r="C754" s="296"/>
      <c r="D754" s="291"/>
      <c r="E754" s="291"/>
      <c r="F754" s="293"/>
      <c r="G754" s="293"/>
      <c r="H754" s="293">
        <f t="shared" si="13"/>
        <v>1746191847.3399999</v>
      </c>
    </row>
    <row r="755" spans="1:8" x14ac:dyDescent="0.35">
      <c r="A755" s="291"/>
      <c r="B755" s="301"/>
      <c r="C755" s="296"/>
      <c r="D755" s="291"/>
      <c r="E755" s="291"/>
      <c r="F755" s="293"/>
      <c r="G755" s="293"/>
      <c r="H755" s="293">
        <f t="shared" si="13"/>
        <v>1746191847.3399999</v>
      </c>
    </row>
    <row r="756" spans="1:8" x14ac:dyDescent="0.35">
      <c r="A756" s="291"/>
      <c r="B756" s="301"/>
      <c r="C756" s="296"/>
      <c r="D756" s="291"/>
      <c r="E756" s="291"/>
      <c r="F756" s="293"/>
      <c r="G756" s="293"/>
      <c r="H756" s="293">
        <f t="shared" si="13"/>
        <v>1746191847.3399999</v>
      </c>
    </row>
    <row r="757" spans="1:8" x14ac:dyDescent="0.35">
      <c r="A757" s="291"/>
      <c r="B757" s="301"/>
      <c r="C757" s="296"/>
      <c r="D757" s="291"/>
      <c r="E757" s="291"/>
      <c r="F757" s="293"/>
      <c r="G757" s="293"/>
      <c r="H757" s="293">
        <f t="shared" si="13"/>
        <v>1746191847.3399999</v>
      </c>
    </row>
    <row r="758" spans="1:8" x14ac:dyDescent="0.35">
      <c r="A758" s="291"/>
      <c r="B758" s="301"/>
      <c r="C758" s="296"/>
      <c r="D758" s="291"/>
      <c r="E758" s="291"/>
      <c r="F758" s="293"/>
      <c r="G758" s="293"/>
      <c r="H758" s="293">
        <f t="shared" si="13"/>
        <v>1746191847.3399999</v>
      </c>
    </row>
    <row r="759" spans="1:8" x14ac:dyDescent="0.35">
      <c r="A759" s="291"/>
      <c r="B759" s="301"/>
      <c r="C759" s="296"/>
      <c r="D759" s="291"/>
      <c r="E759" s="291"/>
      <c r="F759" s="293"/>
      <c r="G759" s="293"/>
      <c r="H759" s="293">
        <f t="shared" si="13"/>
        <v>1746191847.3399999</v>
      </c>
    </row>
    <row r="760" spans="1:8" x14ac:dyDescent="0.35">
      <c r="A760" s="291"/>
      <c r="B760" s="301"/>
      <c r="C760" s="296"/>
      <c r="D760" s="291"/>
      <c r="E760" s="291"/>
      <c r="F760" s="293"/>
      <c r="G760" s="293"/>
      <c r="H760" s="293">
        <f t="shared" si="13"/>
        <v>1746191847.3399999</v>
      </c>
    </row>
    <row r="761" spans="1:8" x14ac:dyDescent="0.35">
      <c r="A761" s="291"/>
      <c r="B761" s="301"/>
      <c r="C761" s="296"/>
      <c r="D761" s="291"/>
      <c r="E761" s="291"/>
      <c r="F761" s="293"/>
      <c r="G761" s="293"/>
      <c r="H761" s="293">
        <f t="shared" si="13"/>
        <v>1746191847.3399999</v>
      </c>
    </row>
    <row r="762" spans="1:8" x14ac:dyDescent="0.35">
      <c r="A762" s="291"/>
      <c r="B762" s="301"/>
      <c r="C762" s="296"/>
      <c r="D762" s="291"/>
      <c r="E762" s="291"/>
      <c r="F762" s="293"/>
      <c r="G762" s="293"/>
      <c r="H762" s="293">
        <f t="shared" si="13"/>
        <v>1746191847.3399999</v>
      </c>
    </row>
    <row r="763" spans="1:8" x14ac:dyDescent="0.35">
      <c r="A763" s="291"/>
      <c r="B763" s="301"/>
      <c r="C763" s="296"/>
      <c r="D763" s="291"/>
      <c r="E763" s="291"/>
      <c r="F763" s="293"/>
      <c r="G763" s="293"/>
      <c r="H763" s="293">
        <f t="shared" si="13"/>
        <v>1746191847.3399999</v>
      </c>
    </row>
    <row r="764" spans="1:8" x14ac:dyDescent="0.35">
      <c r="A764" s="291"/>
      <c r="B764" s="301"/>
      <c r="C764" s="296"/>
      <c r="D764" s="291"/>
      <c r="E764" s="291"/>
      <c r="F764" s="293"/>
      <c r="G764" s="293"/>
      <c r="H764" s="293">
        <f t="shared" si="13"/>
        <v>1746191847.3399999</v>
      </c>
    </row>
    <row r="765" spans="1:8" x14ac:dyDescent="0.35">
      <c r="A765" s="291"/>
      <c r="B765" s="301"/>
      <c r="C765" s="296"/>
      <c r="D765" s="291"/>
      <c r="E765" s="291"/>
      <c r="F765" s="293"/>
      <c r="G765" s="293"/>
      <c r="H765" s="293">
        <f t="shared" si="13"/>
        <v>1746191847.3399999</v>
      </c>
    </row>
    <row r="766" spans="1:8" x14ac:dyDescent="0.35">
      <c r="A766" s="291"/>
      <c r="B766" s="301"/>
      <c r="C766" s="296"/>
      <c r="D766" s="291"/>
      <c r="E766" s="291"/>
      <c r="F766" s="293"/>
      <c r="G766" s="293"/>
      <c r="H766" s="293">
        <f t="shared" si="13"/>
        <v>1746191847.3399999</v>
      </c>
    </row>
    <row r="767" spans="1:8" x14ac:dyDescent="0.35">
      <c r="A767" s="291"/>
      <c r="B767" s="301"/>
      <c r="C767" s="296"/>
      <c r="D767" s="291"/>
      <c r="E767" s="291"/>
      <c r="F767" s="293"/>
      <c r="G767" s="293"/>
      <c r="H767" s="293">
        <f t="shared" si="13"/>
        <v>1746191847.3399999</v>
      </c>
    </row>
    <row r="768" spans="1:8" x14ac:dyDescent="0.35">
      <c r="A768" s="291"/>
      <c r="B768" s="301"/>
      <c r="C768" s="296"/>
      <c r="D768" s="291"/>
      <c r="E768" s="291"/>
      <c r="F768" s="293"/>
      <c r="G768" s="293"/>
      <c r="H768" s="293">
        <f t="shared" si="13"/>
        <v>1746191847.3399999</v>
      </c>
    </row>
    <row r="769" spans="1:8" x14ac:dyDescent="0.35">
      <c r="A769" s="291"/>
      <c r="B769" s="301"/>
      <c r="C769" s="296"/>
      <c r="D769" s="291"/>
      <c r="E769" s="291"/>
      <c r="F769" s="293"/>
      <c r="G769" s="293"/>
      <c r="H769" s="293">
        <f t="shared" si="13"/>
        <v>1746191847.3399999</v>
      </c>
    </row>
    <row r="770" spans="1:8" x14ac:dyDescent="0.35">
      <c r="A770" s="291"/>
      <c r="B770" s="301"/>
      <c r="C770" s="296"/>
      <c r="D770" s="291"/>
      <c r="E770" s="291"/>
      <c r="F770" s="293"/>
      <c r="G770" s="293"/>
      <c r="H770" s="293">
        <f t="shared" si="13"/>
        <v>1746191847.3399999</v>
      </c>
    </row>
    <row r="771" spans="1:8" x14ac:dyDescent="0.35">
      <c r="A771" s="291"/>
      <c r="B771" s="301"/>
      <c r="C771" s="296"/>
      <c r="D771" s="291"/>
      <c r="E771" s="291"/>
      <c r="F771" s="293"/>
      <c r="G771" s="293"/>
      <c r="H771" s="293">
        <f t="shared" si="13"/>
        <v>1746191847.3399999</v>
      </c>
    </row>
    <row r="772" spans="1:8" x14ac:dyDescent="0.35">
      <c r="A772" s="291"/>
      <c r="B772" s="301"/>
      <c r="C772" s="296"/>
      <c r="D772" s="291"/>
      <c r="E772" s="291"/>
      <c r="F772" s="293"/>
      <c r="G772" s="293"/>
      <c r="H772" s="293">
        <f t="shared" si="13"/>
        <v>1746191847.3399999</v>
      </c>
    </row>
    <row r="773" spans="1:8" x14ac:dyDescent="0.35">
      <c r="A773" s="291"/>
      <c r="B773" s="301"/>
      <c r="C773" s="296"/>
      <c r="D773" s="291"/>
      <c r="E773" s="291"/>
      <c r="F773" s="293"/>
      <c r="G773" s="293"/>
      <c r="H773" s="293">
        <f t="shared" si="13"/>
        <v>1746191847.3399999</v>
      </c>
    </row>
    <row r="774" spans="1:8" x14ac:dyDescent="0.35">
      <c r="A774" s="291"/>
      <c r="B774" s="301"/>
      <c r="C774" s="296"/>
      <c r="D774" s="291"/>
      <c r="E774" s="291"/>
      <c r="F774" s="293"/>
      <c r="G774" s="293"/>
      <c r="H774" s="293">
        <f t="shared" si="13"/>
        <v>1746191847.3399999</v>
      </c>
    </row>
    <row r="775" spans="1:8" x14ac:dyDescent="0.35">
      <c r="A775" s="291"/>
      <c r="B775" s="301"/>
      <c r="C775" s="296"/>
      <c r="D775" s="291"/>
      <c r="E775" s="291"/>
      <c r="F775" s="293"/>
      <c r="G775" s="293"/>
      <c r="H775" s="293">
        <f t="shared" si="13"/>
        <v>1746191847.3399999</v>
      </c>
    </row>
    <row r="776" spans="1:8" x14ac:dyDescent="0.35">
      <c r="A776" s="291"/>
      <c r="B776" s="301"/>
      <c r="C776" s="296"/>
      <c r="D776" s="291"/>
      <c r="E776" s="291"/>
      <c r="F776" s="293"/>
      <c r="G776" s="293"/>
      <c r="H776" s="293">
        <f t="shared" si="13"/>
        <v>1746191847.3399999</v>
      </c>
    </row>
    <row r="777" spans="1:8" x14ac:dyDescent="0.35">
      <c r="A777" s="291"/>
      <c r="B777" s="301"/>
      <c r="C777" s="296"/>
      <c r="D777" s="291"/>
      <c r="E777" s="291"/>
      <c r="F777" s="293"/>
      <c r="G777" s="293"/>
      <c r="H777" s="293">
        <f t="shared" si="13"/>
        <v>1746191847.3399999</v>
      </c>
    </row>
    <row r="778" spans="1:8" x14ac:dyDescent="0.35">
      <c r="A778" s="291"/>
      <c r="B778" s="301"/>
      <c r="C778" s="296"/>
      <c r="D778" s="291"/>
      <c r="E778" s="291"/>
      <c r="F778" s="293"/>
      <c r="G778" s="293"/>
      <c r="H778" s="293">
        <f t="shared" si="13"/>
        <v>1746191847.3399999</v>
      </c>
    </row>
    <row r="779" spans="1:8" x14ac:dyDescent="0.35">
      <c r="A779" s="291"/>
      <c r="B779" s="301"/>
      <c r="C779" s="296"/>
      <c r="D779" s="291"/>
      <c r="E779" s="291"/>
      <c r="F779" s="293"/>
      <c r="G779" s="293"/>
      <c r="H779" s="293">
        <f t="shared" si="13"/>
        <v>1746191847.3399999</v>
      </c>
    </row>
    <row r="780" spans="1:8" x14ac:dyDescent="0.35">
      <c r="A780" s="291"/>
      <c r="B780" s="301"/>
      <c r="C780" s="296"/>
      <c r="D780" s="291"/>
      <c r="E780" s="291"/>
      <c r="F780" s="293"/>
      <c r="G780" s="293"/>
      <c r="H780" s="293">
        <f t="shared" si="13"/>
        <v>1746191847.3399999</v>
      </c>
    </row>
    <row r="781" spans="1:8" x14ac:dyDescent="0.35">
      <c r="A781" s="291"/>
      <c r="B781" s="301"/>
      <c r="C781" s="296"/>
      <c r="D781" s="291"/>
      <c r="E781" s="291"/>
      <c r="F781" s="293"/>
      <c r="G781" s="293"/>
      <c r="H781" s="293">
        <f t="shared" si="13"/>
        <v>1746191847.3399999</v>
      </c>
    </row>
    <row r="782" spans="1:8" x14ac:dyDescent="0.35">
      <c r="A782" s="291"/>
      <c r="B782" s="301"/>
      <c r="C782" s="296"/>
      <c r="D782" s="291"/>
      <c r="E782" s="291"/>
      <c r="F782" s="293"/>
      <c r="G782" s="293"/>
      <c r="H782" s="293">
        <f t="shared" si="13"/>
        <v>1746191847.3399999</v>
      </c>
    </row>
    <row r="783" spans="1:8" x14ac:dyDescent="0.35">
      <c r="A783" s="291"/>
      <c r="B783" s="301"/>
      <c r="C783" s="296"/>
      <c r="D783" s="291"/>
      <c r="E783" s="291"/>
      <c r="F783" s="293"/>
      <c r="G783" s="293"/>
      <c r="H783" s="293">
        <f t="shared" si="13"/>
        <v>1746191847.3399999</v>
      </c>
    </row>
    <row r="784" spans="1:8" x14ac:dyDescent="0.35">
      <c r="A784" s="291"/>
      <c r="B784" s="301"/>
      <c r="C784" s="296"/>
      <c r="D784" s="291"/>
      <c r="E784" s="291"/>
      <c r="F784" s="293"/>
      <c r="G784" s="293"/>
      <c r="H784" s="293">
        <f t="shared" si="13"/>
        <v>1746191847.3399999</v>
      </c>
    </row>
    <row r="785" spans="1:8" x14ac:dyDescent="0.35">
      <c r="A785" s="291"/>
      <c r="B785" s="301"/>
      <c r="C785" s="296"/>
      <c r="D785" s="291"/>
      <c r="E785" s="291"/>
      <c r="F785" s="293"/>
      <c r="G785" s="293"/>
      <c r="H785" s="293">
        <f t="shared" si="13"/>
        <v>1746191847.3399999</v>
      </c>
    </row>
    <row r="786" spans="1:8" x14ac:dyDescent="0.35">
      <c r="A786" s="291"/>
      <c r="B786" s="301"/>
      <c r="C786" s="296"/>
      <c r="D786" s="291"/>
      <c r="E786" s="291"/>
      <c r="F786" s="293"/>
      <c r="G786" s="293"/>
      <c r="H786" s="293">
        <f t="shared" si="13"/>
        <v>1746191847.3399999</v>
      </c>
    </row>
    <row r="787" spans="1:8" x14ac:dyDescent="0.35">
      <c r="A787" s="291"/>
      <c r="B787" s="301"/>
      <c r="C787" s="296"/>
      <c r="D787" s="291"/>
      <c r="E787" s="291"/>
      <c r="F787" s="293"/>
      <c r="G787" s="293"/>
      <c r="H787" s="293">
        <f t="shared" si="13"/>
        <v>1746191847.3399999</v>
      </c>
    </row>
    <row r="788" spans="1:8" x14ac:dyDescent="0.35">
      <c r="A788" s="291"/>
      <c r="B788" s="301"/>
      <c r="C788" s="296"/>
      <c r="D788" s="291"/>
      <c r="E788" s="291"/>
      <c r="F788" s="293"/>
      <c r="G788" s="293"/>
      <c r="H788" s="293">
        <f t="shared" si="13"/>
        <v>1746191847.3399999</v>
      </c>
    </row>
    <row r="789" spans="1:8" x14ac:dyDescent="0.35">
      <c r="A789" s="291"/>
      <c r="B789" s="301"/>
      <c r="C789" s="296"/>
      <c r="D789" s="291"/>
      <c r="E789" s="291"/>
      <c r="F789" s="293"/>
      <c r="G789" s="293"/>
      <c r="H789" s="293">
        <f t="shared" si="13"/>
        <v>1746191847.3399999</v>
      </c>
    </row>
    <row r="790" spans="1:8" x14ac:dyDescent="0.35">
      <c r="A790" s="291"/>
      <c r="B790" s="301"/>
      <c r="C790" s="296"/>
      <c r="D790" s="291"/>
      <c r="E790" s="291"/>
      <c r="F790" s="293"/>
      <c r="G790" s="293"/>
      <c r="H790" s="293">
        <f t="shared" si="13"/>
        <v>1746191847.3399999</v>
      </c>
    </row>
    <row r="791" spans="1:8" x14ac:dyDescent="0.35">
      <c r="A791" s="291"/>
      <c r="B791" s="301"/>
      <c r="C791" s="296"/>
      <c r="D791" s="291"/>
      <c r="E791" s="291"/>
      <c r="F791" s="293"/>
      <c r="G791" s="293"/>
      <c r="H791" s="293">
        <f t="shared" si="13"/>
        <v>1746191847.3399999</v>
      </c>
    </row>
    <row r="792" spans="1:8" x14ac:dyDescent="0.35">
      <c r="A792" s="291"/>
      <c r="B792" s="301"/>
      <c r="C792" s="296"/>
      <c r="D792" s="291"/>
      <c r="E792" s="291"/>
      <c r="F792" s="293"/>
      <c r="G792" s="293"/>
      <c r="H792" s="293">
        <f t="shared" si="13"/>
        <v>1746191847.3399999</v>
      </c>
    </row>
    <row r="793" spans="1:8" x14ac:dyDescent="0.35">
      <c r="A793" s="291"/>
      <c r="B793" s="301"/>
      <c r="C793" s="296"/>
      <c r="D793" s="291"/>
      <c r="E793" s="291"/>
      <c r="F793" s="293"/>
      <c r="G793" s="293"/>
      <c r="H793" s="293">
        <f t="shared" si="13"/>
        <v>1746191847.3399999</v>
      </c>
    </row>
    <row r="794" spans="1:8" x14ac:dyDescent="0.35">
      <c r="A794" s="291"/>
      <c r="B794" s="301"/>
      <c r="C794" s="296"/>
      <c r="D794" s="291"/>
      <c r="E794" s="291"/>
      <c r="F794" s="293"/>
      <c r="G794" s="293"/>
      <c r="H794" s="293">
        <f t="shared" si="13"/>
        <v>1746191847.3399999</v>
      </c>
    </row>
    <row r="795" spans="1:8" x14ac:dyDescent="0.35">
      <c r="A795" s="291"/>
      <c r="B795" s="301"/>
      <c r="C795" s="296"/>
      <c r="D795" s="291"/>
      <c r="E795" s="291"/>
      <c r="F795" s="293"/>
      <c r="G795" s="293"/>
      <c r="H795" s="293">
        <f t="shared" si="13"/>
        <v>1746191847.3399999</v>
      </c>
    </row>
    <row r="796" spans="1:8" x14ac:dyDescent="0.35">
      <c r="A796" s="291"/>
      <c r="B796" s="301"/>
      <c r="C796" s="296"/>
      <c r="D796" s="291"/>
      <c r="E796" s="291"/>
      <c r="F796" s="293"/>
      <c r="G796" s="293"/>
      <c r="H796" s="293">
        <f t="shared" si="13"/>
        <v>1746191847.3399999</v>
      </c>
    </row>
    <row r="797" spans="1:8" x14ac:dyDescent="0.35">
      <c r="A797" s="291"/>
      <c r="B797" s="301"/>
      <c r="C797" s="296"/>
      <c r="D797" s="291"/>
      <c r="E797" s="291"/>
      <c r="F797" s="293"/>
      <c r="G797" s="293"/>
      <c r="H797" s="293">
        <f t="shared" si="13"/>
        <v>1746191847.3399999</v>
      </c>
    </row>
    <row r="798" spans="1:8" x14ac:dyDescent="0.35">
      <c r="A798" s="291"/>
      <c r="B798" s="301"/>
      <c r="C798" s="296"/>
      <c r="D798" s="291"/>
      <c r="E798" s="291"/>
      <c r="F798" s="293"/>
      <c r="G798" s="293"/>
      <c r="H798" s="293">
        <f t="shared" si="13"/>
        <v>1746191847.3399999</v>
      </c>
    </row>
    <row r="799" spans="1:8" x14ac:dyDescent="0.35">
      <c r="A799" s="291"/>
      <c r="B799" s="301"/>
      <c r="C799" s="296"/>
      <c r="D799" s="291"/>
      <c r="E799" s="291"/>
      <c r="F799" s="293"/>
      <c r="G799" s="293"/>
      <c r="H799" s="293">
        <f t="shared" si="13"/>
        <v>1746191847.3399999</v>
      </c>
    </row>
    <row r="800" spans="1:8" x14ac:dyDescent="0.35">
      <c r="A800" s="291"/>
      <c r="B800" s="301"/>
      <c r="C800" s="296"/>
      <c r="D800" s="291"/>
      <c r="E800" s="291"/>
      <c r="F800" s="293"/>
      <c r="G800" s="293"/>
      <c r="H800" s="293">
        <f t="shared" ref="H800:H863" si="14">H799+F800-G800</f>
        <v>1746191847.3399999</v>
      </c>
    </row>
    <row r="801" spans="1:8" x14ac:dyDescent="0.35">
      <c r="A801" s="291"/>
      <c r="B801" s="301"/>
      <c r="C801" s="296"/>
      <c r="D801" s="291"/>
      <c r="E801" s="291"/>
      <c r="F801" s="293"/>
      <c r="G801" s="293"/>
      <c r="H801" s="293">
        <f t="shared" si="14"/>
        <v>1746191847.3399999</v>
      </c>
    </row>
    <row r="802" spans="1:8" x14ac:dyDescent="0.35">
      <c r="A802" s="291"/>
      <c r="B802" s="301"/>
      <c r="C802" s="296"/>
      <c r="D802" s="291"/>
      <c r="E802" s="291"/>
      <c r="F802" s="293"/>
      <c r="G802" s="293"/>
      <c r="H802" s="293">
        <f t="shared" si="14"/>
        <v>1746191847.3399999</v>
      </c>
    </row>
    <row r="803" spans="1:8" x14ac:dyDescent="0.35">
      <c r="A803" s="291"/>
      <c r="B803" s="301"/>
      <c r="C803" s="296"/>
      <c r="D803" s="291"/>
      <c r="E803" s="291"/>
      <c r="F803" s="293"/>
      <c r="G803" s="293"/>
      <c r="H803" s="293">
        <f t="shared" si="14"/>
        <v>1746191847.3399999</v>
      </c>
    </row>
    <row r="804" spans="1:8" x14ac:dyDescent="0.35">
      <c r="A804" s="291"/>
      <c r="B804" s="301"/>
      <c r="C804" s="296"/>
      <c r="D804" s="291"/>
      <c r="E804" s="291"/>
      <c r="F804" s="293"/>
      <c r="G804" s="293"/>
      <c r="H804" s="293">
        <f t="shared" si="14"/>
        <v>1746191847.3399999</v>
      </c>
    </row>
    <row r="805" spans="1:8" x14ac:dyDescent="0.35">
      <c r="A805" s="291"/>
      <c r="B805" s="301"/>
      <c r="C805" s="296"/>
      <c r="D805" s="291"/>
      <c r="E805" s="291"/>
      <c r="F805" s="293"/>
      <c r="G805" s="293"/>
      <c r="H805" s="293">
        <f t="shared" si="14"/>
        <v>1746191847.3399999</v>
      </c>
    </row>
    <row r="806" spans="1:8" x14ac:dyDescent="0.35">
      <c r="A806" s="291"/>
      <c r="B806" s="301"/>
      <c r="C806" s="296"/>
      <c r="D806" s="291"/>
      <c r="E806" s="291"/>
      <c r="F806" s="293"/>
      <c r="G806" s="293"/>
      <c r="H806" s="293">
        <f t="shared" si="14"/>
        <v>1746191847.3399999</v>
      </c>
    </row>
    <row r="807" spans="1:8" x14ac:dyDescent="0.35">
      <c r="A807" s="291"/>
      <c r="B807" s="301"/>
      <c r="C807" s="296"/>
      <c r="D807" s="291"/>
      <c r="E807" s="291"/>
      <c r="F807" s="293"/>
      <c r="G807" s="293"/>
      <c r="H807" s="293">
        <f t="shared" si="14"/>
        <v>1746191847.3399999</v>
      </c>
    </row>
    <row r="808" spans="1:8" x14ac:dyDescent="0.35">
      <c r="A808" s="291"/>
      <c r="B808" s="301"/>
      <c r="C808" s="296"/>
      <c r="D808" s="291"/>
      <c r="E808" s="291"/>
      <c r="F808" s="293"/>
      <c r="G808" s="293"/>
      <c r="H808" s="293">
        <f t="shared" si="14"/>
        <v>1746191847.3399999</v>
      </c>
    </row>
    <row r="809" spans="1:8" x14ac:dyDescent="0.35">
      <c r="A809" s="291"/>
      <c r="B809" s="301"/>
      <c r="C809" s="296"/>
      <c r="D809" s="291"/>
      <c r="E809" s="291"/>
      <c r="F809" s="293"/>
      <c r="G809" s="293"/>
      <c r="H809" s="293">
        <f t="shared" si="14"/>
        <v>1746191847.3399999</v>
      </c>
    </row>
    <row r="810" spans="1:8" x14ac:dyDescent="0.35">
      <c r="A810" s="291"/>
      <c r="B810" s="301"/>
      <c r="C810" s="296"/>
      <c r="D810" s="291"/>
      <c r="E810" s="291"/>
      <c r="F810" s="293"/>
      <c r="G810" s="293"/>
      <c r="H810" s="293">
        <f t="shared" si="14"/>
        <v>1746191847.3399999</v>
      </c>
    </row>
    <row r="811" spans="1:8" x14ac:dyDescent="0.35">
      <c r="A811" s="291"/>
      <c r="B811" s="301"/>
      <c r="C811" s="296"/>
      <c r="D811" s="291"/>
      <c r="E811" s="291"/>
      <c r="F811" s="293"/>
      <c r="G811" s="293"/>
      <c r="H811" s="293">
        <f t="shared" si="14"/>
        <v>1746191847.3399999</v>
      </c>
    </row>
    <row r="812" spans="1:8" x14ac:dyDescent="0.35">
      <c r="A812" s="291"/>
      <c r="B812" s="301"/>
      <c r="C812" s="296"/>
      <c r="D812" s="291"/>
      <c r="E812" s="291"/>
      <c r="F812" s="293"/>
      <c r="G812" s="293"/>
      <c r="H812" s="293">
        <f t="shared" si="14"/>
        <v>1746191847.3399999</v>
      </c>
    </row>
    <row r="813" spans="1:8" x14ac:dyDescent="0.35">
      <c r="A813" s="291"/>
      <c r="B813" s="301"/>
      <c r="C813" s="296"/>
      <c r="D813" s="291"/>
      <c r="E813" s="291"/>
      <c r="F813" s="293"/>
      <c r="G813" s="293"/>
      <c r="H813" s="293">
        <f t="shared" si="14"/>
        <v>1746191847.3399999</v>
      </c>
    </row>
    <row r="814" spans="1:8" x14ac:dyDescent="0.35">
      <c r="A814" s="291"/>
      <c r="B814" s="301"/>
      <c r="C814" s="296"/>
      <c r="D814" s="291"/>
      <c r="E814" s="291"/>
      <c r="F814" s="293"/>
      <c r="G814" s="293"/>
      <c r="H814" s="293">
        <f t="shared" si="14"/>
        <v>1746191847.3399999</v>
      </c>
    </row>
    <row r="815" spans="1:8" x14ac:dyDescent="0.35">
      <c r="A815" s="291"/>
      <c r="B815" s="301"/>
      <c r="C815" s="296"/>
      <c r="D815" s="291"/>
      <c r="E815" s="291"/>
      <c r="F815" s="293"/>
      <c r="G815" s="293"/>
      <c r="H815" s="293">
        <f t="shared" si="14"/>
        <v>1746191847.3399999</v>
      </c>
    </row>
    <row r="816" spans="1:8" x14ac:dyDescent="0.35">
      <c r="A816" s="291"/>
      <c r="B816" s="301"/>
      <c r="C816" s="296"/>
      <c r="D816" s="291"/>
      <c r="E816" s="291"/>
      <c r="F816" s="293"/>
      <c r="G816" s="293"/>
      <c r="H816" s="293">
        <f t="shared" si="14"/>
        <v>1746191847.3399999</v>
      </c>
    </row>
    <row r="817" spans="1:8" x14ac:dyDescent="0.35">
      <c r="A817" s="291"/>
      <c r="B817" s="301"/>
      <c r="C817" s="296"/>
      <c r="D817" s="291"/>
      <c r="E817" s="291"/>
      <c r="F817" s="293"/>
      <c r="G817" s="293"/>
      <c r="H817" s="293">
        <f t="shared" si="14"/>
        <v>1746191847.3399999</v>
      </c>
    </row>
    <row r="818" spans="1:8" x14ac:dyDescent="0.35">
      <c r="A818" s="291"/>
      <c r="B818" s="301"/>
      <c r="C818" s="296"/>
      <c r="D818" s="291"/>
      <c r="E818" s="291"/>
      <c r="F818" s="293"/>
      <c r="G818" s="293"/>
      <c r="H818" s="293">
        <f t="shared" si="14"/>
        <v>1746191847.3399999</v>
      </c>
    </row>
    <row r="819" spans="1:8" x14ac:dyDescent="0.35">
      <c r="A819" s="291"/>
      <c r="B819" s="301"/>
      <c r="C819" s="296"/>
      <c r="D819" s="291"/>
      <c r="E819" s="291"/>
      <c r="F819" s="293"/>
      <c r="G819" s="293"/>
      <c r="H819" s="293">
        <f t="shared" si="14"/>
        <v>1746191847.3399999</v>
      </c>
    </row>
    <row r="820" spans="1:8" x14ac:dyDescent="0.35">
      <c r="A820" s="291"/>
      <c r="B820" s="301"/>
      <c r="C820" s="296"/>
      <c r="D820" s="291"/>
      <c r="E820" s="291"/>
      <c r="F820" s="293"/>
      <c r="G820" s="293"/>
      <c r="H820" s="293">
        <f t="shared" si="14"/>
        <v>1746191847.3399999</v>
      </c>
    </row>
    <row r="821" spans="1:8" x14ac:dyDescent="0.35">
      <c r="A821" s="291"/>
      <c r="B821" s="301"/>
      <c r="C821" s="296"/>
      <c r="D821" s="291"/>
      <c r="E821" s="291"/>
      <c r="F821" s="293"/>
      <c r="G821" s="293"/>
      <c r="H821" s="293">
        <f t="shared" si="14"/>
        <v>1746191847.3399999</v>
      </c>
    </row>
    <row r="822" spans="1:8" x14ac:dyDescent="0.35">
      <c r="A822" s="291"/>
      <c r="B822" s="301"/>
      <c r="C822" s="296"/>
      <c r="D822" s="291"/>
      <c r="E822" s="291"/>
      <c r="F822" s="293"/>
      <c r="G822" s="293"/>
      <c r="H822" s="293">
        <f t="shared" si="14"/>
        <v>1746191847.3399999</v>
      </c>
    </row>
    <row r="823" spans="1:8" x14ac:dyDescent="0.35">
      <c r="A823" s="291"/>
      <c r="B823" s="301"/>
      <c r="C823" s="296"/>
      <c r="D823" s="291"/>
      <c r="E823" s="291"/>
      <c r="F823" s="293"/>
      <c r="G823" s="293"/>
      <c r="H823" s="293">
        <f t="shared" si="14"/>
        <v>1746191847.3399999</v>
      </c>
    </row>
    <row r="824" spans="1:8" x14ac:dyDescent="0.35">
      <c r="A824" s="291"/>
      <c r="B824" s="301"/>
      <c r="C824" s="296"/>
      <c r="D824" s="291"/>
      <c r="E824" s="291"/>
      <c r="F824" s="293"/>
      <c r="G824" s="293"/>
      <c r="H824" s="293">
        <f t="shared" si="14"/>
        <v>1746191847.3399999</v>
      </c>
    </row>
    <row r="825" spans="1:8" x14ac:dyDescent="0.35">
      <c r="A825" s="291"/>
      <c r="B825" s="301"/>
      <c r="C825" s="296"/>
      <c r="D825" s="291"/>
      <c r="E825" s="291"/>
      <c r="F825" s="293"/>
      <c r="G825" s="293"/>
      <c r="H825" s="293">
        <f t="shared" si="14"/>
        <v>1746191847.3399999</v>
      </c>
    </row>
    <row r="826" spans="1:8" x14ac:dyDescent="0.35">
      <c r="A826" s="291"/>
      <c r="B826" s="301"/>
      <c r="C826" s="296"/>
      <c r="D826" s="291"/>
      <c r="E826" s="291"/>
      <c r="F826" s="293"/>
      <c r="G826" s="293"/>
      <c r="H826" s="293">
        <f t="shared" si="14"/>
        <v>1746191847.3399999</v>
      </c>
    </row>
    <row r="827" spans="1:8" x14ac:dyDescent="0.35">
      <c r="A827" s="291"/>
      <c r="B827" s="301"/>
      <c r="C827" s="296"/>
      <c r="D827" s="291"/>
      <c r="E827" s="291"/>
      <c r="F827" s="293"/>
      <c r="G827" s="293"/>
      <c r="H827" s="293">
        <f t="shared" si="14"/>
        <v>1746191847.3399999</v>
      </c>
    </row>
    <row r="828" spans="1:8" x14ac:dyDescent="0.35">
      <c r="A828" s="291"/>
      <c r="B828" s="301"/>
      <c r="C828" s="296"/>
      <c r="D828" s="291"/>
      <c r="E828" s="291"/>
      <c r="F828" s="293"/>
      <c r="G828" s="293"/>
      <c r="H828" s="293">
        <f t="shared" si="14"/>
        <v>1746191847.3399999</v>
      </c>
    </row>
    <row r="829" spans="1:8" x14ac:dyDescent="0.35">
      <c r="A829" s="291"/>
      <c r="B829" s="301"/>
      <c r="C829" s="296"/>
      <c r="D829" s="291"/>
      <c r="E829" s="291"/>
      <c r="F829" s="293"/>
      <c r="G829" s="293"/>
      <c r="H829" s="293">
        <f t="shared" si="14"/>
        <v>1746191847.3399999</v>
      </c>
    </row>
    <row r="830" spans="1:8" x14ac:dyDescent="0.35">
      <c r="A830" s="291"/>
      <c r="B830" s="301"/>
      <c r="C830" s="296"/>
      <c r="D830" s="291"/>
      <c r="E830" s="291"/>
      <c r="F830" s="293"/>
      <c r="G830" s="293"/>
      <c r="H830" s="293">
        <f t="shared" si="14"/>
        <v>1746191847.3399999</v>
      </c>
    </row>
    <row r="831" spans="1:8" x14ac:dyDescent="0.35">
      <c r="A831" s="291"/>
      <c r="B831" s="301"/>
      <c r="C831" s="296"/>
      <c r="D831" s="291"/>
      <c r="E831" s="291"/>
      <c r="F831" s="293"/>
      <c r="G831" s="293"/>
      <c r="H831" s="293">
        <f t="shared" si="14"/>
        <v>1746191847.3399999</v>
      </c>
    </row>
    <row r="832" spans="1:8" x14ac:dyDescent="0.35">
      <c r="A832" s="291"/>
      <c r="B832" s="301"/>
      <c r="C832" s="296"/>
      <c r="D832" s="291"/>
      <c r="E832" s="291"/>
      <c r="F832" s="293"/>
      <c r="G832" s="293"/>
      <c r="H832" s="293">
        <f t="shared" si="14"/>
        <v>1746191847.3399999</v>
      </c>
    </row>
    <row r="833" spans="1:8" x14ac:dyDescent="0.35">
      <c r="A833" s="291"/>
      <c r="B833" s="301"/>
      <c r="C833" s="296"/>
      <c r="D833" s="291"/>
      <c r="E833" s="291"/>
      <c r="F833" s="293"/>
      <c r="G833" s="293"/>
      <c r="H833" s="293">
        <f t="shared" si="14"/>
        <v>1746191847.3399999</v>
      </c>
    </row>
    <row r="834" spans="1:8" x14ac:dyDescent="0.35">
      <c r="A834" s="291"/>
      <c r="B834" s="301"/>
      <c r="C834" s="296"/>
      <c r="D834" s="291"/>
      <c r="E834" s="291"/>
      <c r="F834" s="293"/>
      <c r="G834" s="293"/>
      <c r="H834" s="293">
        <f t="shared" si="14"/>
        <v>1746191847.3399999</v>
      </c>
    </row>
    <row r="835" spans="1:8" x14ac:dyDescent="0.35">
      <c r="A835" s="291"/>
      <c r="B835" s="301"/>
      <c r="C835" s="296"/>
      <c r="D835" s="291"/>
      <c r="E835" s="291"/>
      <c r="F835" s="293"/>
      <c r="G835" s="293"/>
      <c r="H835" s="293">
        <f t="shared" si="14"/>
        <v>1746191847.3399999</v>
      </c>
    </row>
    <row r="836" spans="1:8" x14ac:dyDescent="0.35">
      <c r="A836" s="291"/>
      <c r="B836" s="301"/>
      <c r="C836" s="296"/>
      <c r="D836" s="291"/>
      <c r="E836" s="291"/>
      <c r="F836" s="293"/>
      <c r="G836" s="293"/>
      <c r="H836" s="293">
        <f t="shared" si="14"/>
        <v>1746191847.3399999</v>
      </c>
    </row>
    <row r="837" spans="1:8" x14ac:dyDescent="0.35">
      <c r="A837" s="291"/>
      <c r="B837" s="301"/>
      <c r="C837" s="296"/>
      <c r="D837" s="291"/>
      <c r="E837" s="291"/>
      <c r="F837" s="293"/>
      <c r="G837" s="293"/>
      <c r="H837" s="293">
        <f t="shared" si="14"/>
        <v>1746191847.3399999</v>
      </c>
    </row>
    <row r="838" spans="1:8" x14ac:dyDescent="0.35">
      <c r="A838" s="291"/>
      <c r="B838" s="301"/>
      <c r="C838" s="296"/>
      <c r="D838" s="291"/>
      <c r="E838" s="291"/>
      <c r="F838" s="293"/>
      <c r="G838" s="293"/>
      <c r="H838" s="293">
        <f t="shared" si="14"/>
        <v>1746191847.3399999</v>
      </c>
    </row>
    <row r="839" spans="1:8" x14ac:dyDescent="0.35">
      <c r="A839" s="291"/>
      <c r="B839" s="301"/>
      <c r="C839" s="296"/>
      <c r="D839" s="291"/>
      <c r="E839" s="291"/>
      <c r="F839" s="293"/>
      <c r="G839" s="293"/>
      <c r="H839" s="293">
        <f t="shared" si="14"/>
        <v>1746191847.3399999</v>
      </c>
    </row>
    <row r="840" spans="1:8" x14ac:dyDescent="0.35">
      <c r="A840" s="291"/>
      <c r="B840" s="301"/>
      <c r="C840" s="296"/>
      <c r="D840" s="291"/>
      <c r="E840" s="291"/>
      <c r="F840" s="293"/>
      <c r="G840" s="293"/>
      <c r="H840" s="293">
        <f t="shared" si="14"/>
        <v>1746191847.3399999</v>
      </c>
    </row>
    <row r="841" spans="1:8" x14ac:dyDescent="0.35">
      <c r="A841" s="291"/>
      <c r="B841" s="301"/>
      <c r="C841" s="296"/>
      <c r="D841" s="291"/>
      <c r="E841" s="291"/>
      <c r="F841" s="293"/>
      <c r="G841" s="293"/>
      <c r="H841" s="293">
        <f t="shared" si="14"/>
        <v>1746191847.3399999</v>
      </c>
    </row>
    <row r="842" spans="1:8" x14ac:dyDescent="0.35">
      <c r="A842" s="291"/>
      <c r="B842" s="301"/>
      <c r="C842" s="296"/>
      <c r="D842" s="291"/>
      <c r="E842" s="291"/>
      <c r="F842" s="293"/>
      <c r="G842" s="293"/>
      <c r="H842" s="293">
        <f t="shared" si="14"/>
        <v>1746191847.3399999</v>
      </c>
    </row>
    <row r="843" spans="1:8" x14ac:dyDescent="0.35">
      <c r="A843" s="291"/>
      <c r="B843" s="301"/>
      <c r="C843" s="296"/>
      <c r="D843" s="291"/>
      <c r="E843" s="291"/>
      <c r="F843" s="293"/>
      <c r="G843" s="293"/>
      <c r="H843" s="293">
        <f t="shared" si="14"/>
        <v>1746191847.3399999</v>
      </c>
    </row>
    <row r="844" spans="1:8" x14ac:dyDescent="0.35">
      <c r="A844" s="291"/>
      <c r="B844" s="301"/>
      <c r="C844" s="296"/>
      <c r="D844" s="291"/>
      <c r="E844" s="291"/>
      <c r="F844" s="293"/>
      <c r="G844" s="293"/>
      <c r="H844" s="293">
        <f t="shared" si="14"/>
        <v>1746191847.3399999</v>
      </c>
    </row>
    <row r="845" spans="1:8" x14ac:dyDescent="0.35">
      <c r="A845" s="291"/>
      <c r="B845" s="301"/>
      <c r="C845" s="296"/>
      <c r="D845" s="291"/>
      <c r="E845" s="291"/>
      <c r="F845" s="293"/>
      <c r="G845" s="293"/>
      <c r="H845" s="293">
        <f t="shared" si="14"/>
        <v>1746191847.3399999</v>
      </c>
    </row>
    <row r="846" spans="1:8" x14ac:dyDescent="0.35">
      <c r="A846" s="291"/>
      <c r="B846" s="301"/>
      <c r="C846" s="296"/>
      <c r="D846" s="291"/>
      <c r="E846" s="291"/>
      <c r="F846" s="293"/>
      <c r="G846" s="293"/>
      <c r="H846" s="293">
        <f t="shared" si="14"/>
        <v>1746191847.3399999</v>
      </c>
    </row>
    <row r="847" spans="1:8" x14ac:dyDescent="0.35">
      <c r="A847" s="291"/>
      <c r="B847" s="301"/>
      <c r="C847" s="296"/>
      <c r="D847" s="291"/>
      <c r="E847" s="291"/>
      <c r="F847" s="293"/>
      <c r="G847" s="293"/>
      <c r="H847" s="293">
        <f t="shared" si="14"/>
        <v>1746191847.3399999</v>
      </c>
    </row>
    <row r="848" spans="1:8" x14ac:dyDescent="0.35">
      <c r="A848" s="291"/>
      <c r="B848" s="301"/>
      <c r="C848" s="296"/>
      <c r="D848" s="291"/>
      <c r="E848" s="291"/>
      <c r="F848" s="293"/>
      <c r="G848" s="293"/>
      <c r="H848" s="293">
        <f t="shared" si="14"/>
        <v>1746191847.3399999</v>
      </c>
    </row>
    <row r="849" spans="1:8" x14ac:dyDescent="0.35">
      <c r="A849" s="291"/>
      <c r="B849" s="301"/>
      <c r="C849" s="296"/>
      <c r="D849" s="291"/>
      <c r="E849" s="291"/>
      <c r="F849" s="293"/>
      <c r="G849" s="293"/>
      <c r="H849" s="293">
        <f t="shared" si="14"/>
        <v>1746191847.3399999</v>
      </c>
    </row>
    <row r="850" spans="1:8" x14ac:dyDescent="0.35">
      <c r="A850" s="291"/>
      <c r="B850" s="301"/>
      <c r="C850" s="296"/>
      <c r="D850" s="291"/>
      <c r="E850" s="291"/>
      <c r="F850" s="293"/>
      <c r="G850" s="293"/>
      <c r="H850" s="293">
        <f t="shared" si="14"/>
        <v>1746191847.3399999</v>
      </c>
    </row>
    <row r="851" spans="1:8" x14ac:dyDescent="0.35">
      <c r="A851" s="291"/>
      <c r="B851" s="301"/>
      <c r="C851" s="296"/>
      <c r="D851" s="291"/>
      <c r="E851" s="291"/>
      <c r="F851" s="293"/>
      <c r="G851" s="293"/>
      <c r="H851" s="293">
        <f t="shared" si="14"/>
        <v>1746191847.3399999</v>
      </c>
    </row>
    <row r="852" spans="1:8" x14ac:dyDescent="0.35">
      <c r="A852" s="291"/>
      <c r="B852" s="301"/>
      <c r="C852" s="296"/>
      <c r="D852" s="291"/>
      <c r="E852" s="291"/>
      <c r="F852" s="293"/>
      <c r="G852" s="293"/>
      <c r="H852" s="293">
        <f t="shared" si="14"/>
        <v>1746191847.3399999</v>
      </c>
    </row>
    <row r="853" spans="1:8" x14ac:dyDescent="0.35">
      <c r="A853" s="291"/>
      <c r="B853" s="301"/>
      <c r="C853" s="296"/>
      <c r="D853" s="291"/>
      <c r="E853" s="291"/>
      <c r="F853" s="293"/>
      <c r="G853" s="293"/>
      <c r="H853" s="293">
        <f t="shared" si="14"/>
        <v>1746191847.3399999</v>
      </c>
    </row>
    <row r="854" spans="1:8" x14ac:dyDescent="0.35">
      <c r="A854" s="291"/>
      <c r="B854" s="301"/>
      <c r="C854" s="296"/>
      <c r="D854" s="291"/>
      <c r="E854" s="291"/>
      <c r="F854" s="293"/>
      <c r="G854" s="293"/>
      <c r="H854" s="293">
        <f t="shared" si="14"/>
        <v>1746191847.3399999</v>
      </c>
    </row>
    <row r="855" spans="1:8" x14ac:dyDescent="0.35">
      <c r="A855" s="291"/>
      <c r="B855" s="301"/>
      <c r="C855" s="296"/>
      <c r="D855" s="291"/>
      <c r="E855" s="291"/>
      <c r="F855" s="293"/>
      <c r="G855" s="293"/>
      <c r="H855" s="293">
        <f t="shared" si="14"/>
        <v>1746191847.3399999</v>
      </c>
    </row>
    <row r="856" spans="1:8" x14ac:dyDescent="0.35">
      <c r="A856" s="291"/>
      <c r="B856" s="301"/>
      <c r="C856" s="296"/>
      <c r="D856" s="291"/>
      <c r="E856" s="291"/>
      <c r="F856" s="293"/>
      <c r="G856" s="293"/>
      <c r="H856" s="293">
        <f t="shared" si="14"/>
        <v>1746191847.3399999</v>
      </c>
    </row>
    <row r="857" spans="1:8" x14ac:dyDescent="0.35">
      <c r="A857" s="291"/>
      <c r="B857" s="301"/>
      <c r="C857" s="296"/>
      <c r="D857" s="291"/>
      <c r="E857" s="291"/>
      <c r="F857" s="293"/>
      <c r="G857" s="293"/>
      <c r="H857" s="293">
        <f t="shared" si="14"/>
        <v>1746191847.3399999</v>
      </c>
    </row>
    <row r="858" spans="1:8" x14ac:dyDescent="0.35">
      <c r="A858" s="291"/>
      <c r="B858" s="301"/>
      <c r="C858" s="296"/>
      <c r="D858" s="291"/>
      <c r="E858" s="291"/>
      <c r="F858" s="293"/>
      <c r="G858" s="293"/>
      <c r="H858" s="293">
        <f t="shared" si="14"/>
        <v>1746191847.3399999</v>
      </c>
    </row>
    <row r="859" spans="1:8" x14ac:dyDescent="0.35">
      <c r="A859" s="291"/>
      <c r="B859" s="301"/>
      <c r="C859" s="296"/>
      <c r="D859" s="291"/>
      <c r="E859" s="291"/>
      <c r="F859" s="293"/>
      <c r="G859" s="293"/>
      <c r="H859" s="293">
        <f t="shared" si="14"/>
        <v>1746191847.3399999</v>
      </c>
    </row>
    <row r="860" spans="1:8" x14ac:dyDescent="0.35">
      <c r="A860" s="291"/>
      <c r="B860" s="301"/>
      <c r="C860" s="296"/>
      <c r="D860" s="291"/>
      <c r="E860" s="291"/>
      <c r="F860" s="293"/>
      <c r="G860" s="293"/>
      <c r="H860" s="293">
        <f t="shared" si="14"/>
        <v>1746191847.3399999</v>
      </c>
    </row>
    <row r="861" spans="1:8" x14ac:dyDescent="0.35">
      <c r="A861" s="291"/>
      <c r="B861" s="301"/>
      <c r="C861" s="296"/>
      <c r="D861" s="291"/>
      <c r="E861" s="291"/>
      <c r="F861" s="293"/>
      <c r="G861" s="293"/>
      <c r="H861" s="293">
        <f t="shared" si="14"/>
        <v>1746191847.3399999</v>
      </c>
    </row>
    <row r="862" spans="1:8" x14ac:dyDescent="0.35">
      <c r="A862" s="291"/>
      <c r="B862" s="301"/>
      <c r="C862" s="296"/>
      <c r="D862" s="291"/>
      <c r="E862" s="291"/>
      <c r="F862" s="293"/>
      <c r="G862" s="293"/>
      <c r="H862" s="293">
        <f t="shared" si="14"/>
        <v>1746191847.3399999</v>
      </c>
    </row>
    <row r="863" spans="1:8" x14ac:dyDescent="0.35">
      <c r="A863" s="291"/>
      <c r="B863" s="301"/>
      <c r="C863" s="296"/>
      <c r="D863" s="291"/>
      <c r="E863" s="291"/>
      <c r="F863" s="293"/>
      <c r="G863" s="293"/>
      <c r="H863" s="293">
        <f t="shared" si="14"/>
        <v>1746191847.3399999</v>
      </c>
    </row>
    <row r="864" spans="1:8" x14ac:dyDescent="0.35">
      <c r="A864" s="291"/>
      <c r="B864" s="301"/>
      <c r="C864" s="296"/>
      <c r="D864" s="291"/>
      <c r="E864" s="291"/>
      <c r="F864" s="293"/>
      <c r="G864" s="293"/>
      <c r="H864" s="293">
        <f t="shared" ref="H864:H927" si="15">H863+F864-G864</f>
        <v>1746191847.3399999</v>
      </c>
    </row>
    <row r="865" spans="1:8" x14ac:dyDescent="0.35">
      <c r="A865" s="291"/>
      <c r="B865" s="301"/>
      <c r="C865" s="296"/>
      <c r="D865" s="291"/>
      <c r="E865" s="291"/>
      <c r="F865" s="293"/>
      <c r="G865" s="293"/>
      <c r="H865" s="293">
        <f t="shared" si="15"/>
        <v>1746191847.3399999</v>
      </c>
    </row>
    <row r="866" spans="1:8" x14ac:dyDescent="0.35">
      <c r="A866" s="291"/>
      <c r="B866" s="301"/>
      <c r="C866" s="296"/>
      <c r="D866" s="291"/>
      <c r="E866" s="291"/>
      <c r="F866" s="293"/>
      <c r="G866" s="293"/>
      <c r="H866" s="293">
        <f t="shared" si="15"/>
        <v>1746191847.3399999</v>
      </c>
    </row>
    <row r="867" spans="1:8" x14ac:dyDescent="0.35">
      <c r="A867" s="291"/>
      <c r="B867" s="301"/>
      <c r="C867" s="296"/>
      <c r="D867" s="291"/>
      <c r="E867" s="291"/>
      <c r="F867" s="293"/>
      <c r="G867" s="293"/>
      <c r="H867" s="293">
        <f t="shared" si="15"/>
        <v>1746191847.3399999</v>
      </c>
    </row>
    <row r="868" spans="1:8" x14ac:dyDescent="0.35">
      <c r="A868" s="291"/>
      <c r="B868" s="301"/>
      <c r="C868" s="296"/>
      <c r="D868" s="291"/>
      <c r="E868" s="291"/>
      <c r="F868" s="293"/>
      <c r="G868" s="293"/>
      <c r="H868" s="293">
        <f t="shared" si="15"/>
        <v>1746191847.3399999</v>
      </c>
    </row>
    <row r="869" spans="1:8" x14ac:dyDescent="0.35">
      <c r="A869" s="291"/>
      <c r="B869" s="301"/>
      <c r="C869" s="296"/>
      <c r="D869" s="291"/>
      <c r="E869" s="291"/>
      <c r="F869" s="293"/>
      <c r="G869" s="293"/>
      <c r="H869" s="293">
        <f t="shared" si="15"/>
        <v>1746191847.3399999</v>
      </c>
    </row>
    <row r="870" spans="1:8" x14ac:dyDescent="0.35">
      <c r="A870" s="291"/>
      <c r="B870" s="301"/>
      <c r="C870" s="296"/>
      <c r="D870" s="291"/>
      <c r="E870" s="291"/>
      <c r="F870" s="293"/>
      <c r="G870" s="293"/>
      <c r="H870" s="293">
        <f t="shared" si="15"/>
        <v>1746191847.3399999</v>
      </c>
    </row>
    <row r="871" spans="1:8" x14ac:dyDescent="0.35">
      <c r="A871" s="291"/>
      <c r="B871" s="301"/>
      <c r="C871" s="296"/>
      <c r="D871" s="291"/>
      <c r="E871" s="291"/>
      <c r="F871" s="293"/>
      <c r="G871" s="293"/>
      <c r="H871" s="293">
        <f t="shared" si="15"/>
        <v>1746191847.3399999</v>
      </c>
    </row>
    <row r="872" spans="1:8" x14ac:dyDescent="0.35">
      <c r="A872" s="291"/>
      <c r="B872" s="301"/>
      <c r="C872" s="296"/>
      <c r="D872" s="291"/>
      <c r="E872" s="291"/>
      <c r="F872" s="293"/>
      <c r="G872" s="293"/>
      <c r="H872" s="293">
        <f t="shared" si="15"/>
        <v>1746191847.3399999</v>
      </c>
    </row>
    <row r="873" spans="1:8" x14ac:dyDescent="0.35">
      <c r="A873" s="291"/>
      <c r="B873" s="301"/>
      <c r="C873" s="296"/>
      <c r="D873" s="291"/>
      <c r="E873" s="291"/>
      <c r="F873" s="293"/>
      <c r="G873" s="293"/>
      <c r="H873" s="293">
        <f t="shared" si="15"/>
        <v>1746191847.3399999</v>
      </c>
    </row>
    <row r="874" spans="1:8" x14ac:dyDescent="0.35">
      <c r="A874" s="291"/>
      <c r="B874" s="301"/>
      <c r="C874" s="296"/>
      <c r="D874" s="291"/>
      <c r="E874" s="291"/>
      <c r="F874" s="293"/>
      <c r="G874" s="293"/>
      <c r="H874" s="293">
        <f t="shared" si="15"/>
        <v>1746191847.3399999</v>
      </c>
    </row>
    <row r="875" spans="1:8" x14ac:dyDescent="0.35">
      <c r="A875" s="291"/>
      <c r="B875" s="301"/>
      <c r="C875" s="296"/>
      <c r="D875" s="291"/>
      <c r="E875" s="291"/>
      <c r="F875" s="293"/>
      <c r="G875" s="293"/>
      <c r="H875" s="293">
        <f t="shared" si="15"/>
        <v>1746191847.3399999</v>
      </c>
    </row>
    <row r="876" spans="1:8" x14ac:dyDescent="0.35">
      <c r="A876" s="291"/>
      <c r="B876" s="301"/>
      <c r="C876" s="296"/>
      <c r="D876" s="291"/>
      <c r="E876" s="291"/>
      <c r="F876" s="293"/>
      <c r="G876" s="293"/>
      <c r="H876" s="293">
        <f t="shared" si="15"/>
        <v>1746191847.3399999</v>
      </c>
    </row>
    <row r="877" spans="1:8" x14ac:dyDescent="0.35">
      <c r="A877" s="291"/>
      <c r="B877" s="301"/>
      <c r="C877" s="296"/>
      <c r="D877" s="291"/>
      <c r="E877" s="291"/>
      <c r="F877" s="293"/>
      <c r="G877" s="293"/>
      <c r="H877" s="293">
        <f t="shared" si="15"/>
        <v>1746191847.3399999</v>
      </c>
    </row>
    <row r="878" spans="1:8" x14ac:dyDescent="0.35">
      <c r="A878" s="291"/>
      <c r="B878" s="301"/>
      <c r="C878" s="296"/>
      <c r="D878" s="291"/>
      <c r="E878" s="291"/>
      <c r="F878" s="293"/>
      <c r="G878" s="293"/>
      <c r="H878" s="293">
        <f t="shared" si="15"/>
        <v>1746191847.3399999</v>
      </c>
    </row>
    <row r="879" spans="1:8" x14ac:dyDescent="0.35">
      <c r="A879" s="291"/>
      <c r="B879" s="301"/>
      <c r="C879" s="296"/>
      <c r="D879" s="291"/>
      <c r="E879" s="291"/>
      <c r="F879" s="293"/>
      <c r="G879" s="293"/>
      <c r="H879" s="293">
        <f t="shared" si="15"/>
        <v>1746191847.3399999</v>
      </c>
    </row>
    <row r="880" spans="1:8" x14ac:dyDescent="0.35">
      <c r="A880" s="291"/>
      <c r="B880" s="301"/>
      <c r="C880" s="296"/>
      <c r="D880" s="291"/>
      <c r="E880" s="291"/>
      <c r="F880" s="293"/>
      <c r="G880" s="293"/>
      <c r="H880" s="293">
        <f t="shared" si="15"/>
        <v>1746191847.3399999</v>
      </c>
    </row>
    <row r="881" spans="1:8" x14ac:dyDescent="0.35">
      <c r="A881" s="291"/>
      <c r="B881" s="301"/>
      <c r="C881" s="296"/>
      <c r="D881" s="291"/>
      <c r="E881" s="291"/>
      <c r="F881" s="293"/>
      <c r="G881" s="293"/>
      <c r="H881" s="293">
        <f t="shared" si="15"/>
        <v>1746191847.3399999</v>
      </c>
    </row>
    <row r="882" spans="1:8" x14ac:dyDescent="0.35">
      <c r="A882" s="291"/>
      <c r="B882" s="301"/>
      <c r="C882" s="296"/>
      <c r="D882" s="291"/>
      <c r="E882" s="291"/>
      <c r="F882" s="293"/>
      <c r="G882" s="293"/>
      <c r="H882" s="293">
        <f t="shared" si="15"/>
        <v>1746191847.3399999</v>
      </c>
    </row>
    <row r="883" spans="1:8" x14ac:dyDescent="0.35">
      <c r="A883" s="291"/>
      <c r="B883" s="301"/>
      <c r="C883" s="296"/>
      <c r="D883" s="291"/>
      <c r="E883" s="291"/>
      <c r="F883" s="293"/>
      <c r="G883" s="293"/>
      <c r="H883" s="293">
        <f t="shared" si="15"/>
        <v>1746191847.3399999</v>
      </c>
    </row>
    <row r="884" spans="1:8" x14ac:dyDescent="0.35">
      <c r="A884" s="291"/>
      <c r="B884" s="301"/>
      <c r="C884" s="296"/>
      <c r="D884" s="291"/>
      <c r="E884" s="291"/>
      <c r="F884" s="293"/>
      <c r="G884" s="293"/>
      <c r="H884" s="293">
        <f t="shared" si="15"/>
        <v>1746191847.3399999</v>
      </c>
    </row>
    <row r="885" spans="1:8" x14ac:dyDescent="0.35">
      <c r="A885" s="291"/>
      <c r="B885" s="301"/>
      <c r="C885" s="296"/>
      <c r="D885" s="291"/>
      <c r="E885" s="291"/>
      <c r="F885" s="293"/>
      <c r="G885" s="293"/>
      <c r="H885" s="293">
        <f t="shared" si="15"/>
        <v>1746191847.3399999</v>
      </c>
    </row>
    <row r="886" spans="1:8" x14ac:dyDescent="0.35">
      <c r="A886" s="291"/>
      <c r="B886" s="301"/>
      <c r="C886" s="296"/>
      <c r="D886" s="291"/>
      <c r="E886" s="291"/>
      <c r="F886" s="293"/>
      <c r="G886" s="293"/>
      <c r="H886" s="293">
        <f t="shared" si="15"/>
        <v>1746191847.3399999</v>
      </c>
    </row>
    <row r="887" spans="1:8" x14ac:dyDescent="0.35">
      <c r="A887" s="291"/>
      <c r="B887" s="301"/>
      <c r="C887" s="296"/>
      <c r="D887" s="291"/>
      <c r="E887" s="291"/>
      <c r="F887" s="293"/>
      <c r="G887" s="293"/>
      <c r="H887" s="293">
        <f t="shared" si="15"/>
        <v>1746191847.3399999</v>
      </c>
    </row>
    <row r="888" spans="1:8" x14ac:dyDescent="0.35">
      <c r="A888" s="291"/>
      <c r="B888" s="301"/>
      <c r="C888" s="296"/>
      <c r="D888" s="291"/>
      <c r="E888" s="291"/>
      <c r="F888" s="293"/>
      <c r="G888" s="293"/>
      <c r="H888" s="293">
        <f t="shared" si="15"/>
        <v>1746191847.3399999</v>
      </c>
    </row>
    <row r="889" spans="1:8" x14ac:dyDescent="0.35">
      <c r="A889" s="291"/>
      <c r="B889" s="301"/>
      <c r="C889" s="296"/>
      <c r="D889" s="291"/>
      <c r="E889" s="291"/>
      <c r="F889" s="293"/>
      <c r="G889" s="293"/>
      <c r="H889" s="293">
        <f t="shared" si="15"/>
        <v>1746191847.3399999</v>
      </c>
    </row>
    <row r="890" spans="1:8" x14ac:dyDescent="0.35">
      <c r="A890" s="291"/>
      <c r="B890" s="301"/>
      <c r="C890" s="296"/>
      <c r="D890" s="291"/>
      <c r="E890" s="291"/>
      <c r="F890" s="293"/>
      <c r="G890" s="293"/>
      <c r="H890" s="293">
        <f t="shared" si="15"/>
        <v>1746191847.3399999</v>
      </c>
    </row>
    <row r="891" spans="1:8" x14ac:dyDescent="0.35">
      <c r="A891" s="291"/>
      <c r="B891" s="301"/>
      <c r="C891" s="296"/>
      <c r="D891" s="291"/>
      <c r="E891" s="291"/>
      <c r="F891" s="293"/>
      <c r="G891" s="293"/>
      <c r="H891" s="293">
        <f t="shared" si="15"/>
        <v>1746191847.3399999</v>
      </c>
    </row>
    <row r="892" spans="1:8" x14ac:dyDescent="0.35">
      <c r="A892" s="291"/>
      <c r="B892" s="301"/>
      <c r="C892" s="296"/>
      <c r="D892" s="291"/>
      <c r="E892" s="291"/>
      <c r="F892" s="293"/>
      <c r="G892" s="293"/>
      <c r="H892" s="293">
        <f t="shared" si="15"/>
        <v>1746191847.3399999</v>
      </c>
    </row>
    <row r="893" spans="1:8" x14ac:dyDescent="0.35">
      <c r="A893" s="291"/>
      <c r="B893" s="301"/>
      <c r="C893" s="296"/>
      <c r="D893" s="291"/>
      <c r="E893" s="291"/>
      <c r="F893" s="293"/>
      <c r="G893" s="293"/>
      <c r="H893" s="293">
        <f t="shared" si="15"/>
        <v>1746191847.3399999</v>
      </c>
    </row>
    <row r="894" spans="1:8" x14ac:dyDescent="0.35">
      <c r="A894" s="291"/>
      <c r="B894" s="301"/>
      <c r="C894" s="296"/>
      <c r="D894" s="291"/>
      <c r="E894" s="291"/>
      <c r="F894" s="293"/>
      <c r="G894" s="293"/>
      <c r="H894" s="293">
        <f t="shared" si="15"/>
        <v>1746191847.3399999</v>
      </c>
    </row>
    <row r="895" spans="1:8" x14ac:dyDescent="0.35">
      <c r="A895" s="291"/>
      <c r="B895" s="301"/>
      <c r="C895" s="296"/>
      <c r="D895" s="291"/>
      <c r="E895" s="291"/>
      <c r="F895" s="293"/>
      <c r="G895" s="293"/>
      <c r="H895" s="293">
        <f t="shared" si="15"/>
        <v>1746191847.3399999</v>
      </c>
    </row>
    <row r="896" spans="1:8" x14ac:dyDescent="0.35">
      <c r="A896" s="291"/>
      <c r="B896" s="301"/>
      <c r="C896" s="296"/>
      <c r="D896" s="291"/>
      <c r="E896" s="291"/>
      <c r="F896" s="293"/>
      <c r="G896" s="293"/>
      <c r="H896" s="293">
        <f t="shared" si="15"/>
        <v>1746191847.3399999</v>
      </c>
    </row>
    <row r="897" spans="1:8" x14ac:dyDescent="0.35">
      <c r="A897" s="291"/>
      <c r="B897" s="301"/>
      <c r="C897" s="296"/>
      <c r="D897" s="291"/>
      <c r="E897" s="291"/>
      <c r="F897" s="293"/>
      <c r="G897" s="293"/>
      <c r="H897" s="293">
        <f t="shared" si="15"/>
        <v>1746191847.3399999</v>
      </c>
    </row>
    <row r="898" spans="1:8" x14ac:dyDescent="0.35">
      <c r="A898" s="291"/>
      <c r="B898" s="301"/>
      <c r="C898" s="296"/>
      <c r="D898" s="291"/>
      <c r="E898" s="291"/>
      <c r="F898" s="293"/>
      <c r="G898" s="293"/>
      <c r="H898" s="293">
        <f t="shared" si="15"/>
        <v>1746191847.3399999</v>
      </c>
    </row>
    <row r="899" spans="1:8" x14ac:dyDescent="0.35">
      <c r="A899" s="291"/>
      <c r="B899" s="301"/>
      <c r="C899" s="296"/>
      <c r="D899" s="291"/>
      <c r="E899" s="291"/>
      <c r="F899" s="293"/>
      <c r="G899" s="293"/>
      <c r="H899" s="293">
        <f t="shared" si="15"/>
        <v>1746191847.3399999</v>
      </c>
    </row>
    <row r="900" spans="1:8" x14ac:dyDescent="0.35">
      <c r="A900" s="291"/>
      <c r="B900" s="301"/>
      <c r="C900" s="296"/>
      <c r="D900" s="291"/>
      <c r="E900" s="291"/>
      <c r="F900" s="293"/>
      <c r="G900" s="293"/>
      <c r="H900" s="293">
        <f t="shared" si="15"/>
        <v>1746191847.3399999</v>
      </c>
    </row>
    <row r="901" spans="1:8" x14ac:dyDescent="0.35">
      <c r="A901" s="291"/>
      <c r="B901" s="301"/>
      <c r="C901" s="296"/>
      <c r="D901" s="291"/>
      <c r="E901" s="291"/>
      <c r="F901" s="293"/>
      <c r="G901" s="293"/>
      <c r="H901" s="293">
        <f t="shared" si="15"/>
        <v>1746191847.3399999</v>
      </c>
    </row>
    <row r="902" spans="1:8" x14ac:dyDescent="0.35">
      <c r="A902" s="291"/>
      <c r="B902" s="301"/>
      <c r="C902" s="296"/>
      <c r="D902" s="291"/>
      <c r="E902" s="291"/>
      <c r="F902" s="293"/>
      <c r="G902" s="293"/>
      <c r="H902" s="293">
        <f t="shared" si="15"/>
        <v>1746191847.3399999</v>
      </c>
    </row>
    <row r="903" spans="1:8" x14ac:dyDescent="0.35">
      <c r="A903" s="291"/>
      <c r="B903" s="301"/>
      <c r="C903" s="296"/>
      <c r="D903" s="291"/>
      <c r="E903" s="291"/>
      <c r="F903" s="293"/>
      <c r="G903" s="293"/>
      <c r="H903" s="293">
        <f t="shared" si="15"/>
        <v>1746191847.3399999</v>
      </c>
    </row>
    <row r="904" spans="1:8" x14ac:dyDescent="0.35">
      <c r="A904" s="291"/>
      <c r="B904" s="301"/>
      <c r="C904" s="296"/>
      <c r="D904" s="291"/>
      <c r="E904" s="291"/>
      <c r="F904" s="293"/>
      <c r="G904" s="293"/>
      <c r="H904" s="293">
        <f t="shared" si="15"/>
        <v>1746191847.3399999</v>
      </c>
    </row>
    <row r="905" spans="1:8" x14ac:dyDescent="0.35">
      <c r="A905" s="291"/>
      <c r="B905" s="301"/>
      <c r="C905" s="296"/>
      <c r="D905" s="291"/>
      <c r="E905" s="291"/>
      <c r="F905" s="293"/>
      <c r="G905" s="293"/>
      <c r="H905" s="293">
        <f t="shared" si="15"/>
        <v>1746191847.3399999</v>
      </c>
    </row>
    <row r="906" spans="1:8" x14ac:dyDescent="0.35">
      <c r="A906" s="291"/>
      <c r="B906" s="301"/>
      <c r="C906" s="296"/>
      <c r="D906" s="291"/>
      <c r="E906" s="291"/>
      <c r="F906" s="293"/>
      <c r="G906" s="293"/>
      <c r="H906" s="293">
        <f t="shared" si="15"/>
        <v>1746191847.3399999</v>
      </c>
    </row>
    <row r="907" spans="1:8" x14ac:dyDescent="0.35">
      <c r="A907" s="291"/>
      <c r="B907" s="301"/>
      <c r="C907" s="296"/>
      <c r="D907" s="291"/>
      <c r="E907" s="291"/>
      <c r="F907" s="293"/>
      <c r="G907" s="293"/>
      <c r="H907" s="293">
        <f t="shared" si="15"/>
        <v>1746191847.3399999</v>
      </c>
    </row>
    <row r="908" spans="1:8" x14ac:dyDescent="0.35">
      <c r="A908" s="291"/>
      <c r="B908" s="301"/>
      <c r="C908" s="296"/>
      <c r="D908" s="291"/>
      <c r="E908" s="291"/>
      <c r="F908" s="293"/>
      <c r="G908" s="293"/>
      <c r="H908" s="293">
        <f t="shared" si="15"/>
        <v>1746191847.3399999</v>
      </c>
    </row>
    <row r="909" spans="1:8" x14ac:dyDescent="0.35">
      <c r="A909" s="291"/>
      <c r="B909" s="301"/>
      <c r="C909" s="296"/>
      <c r="D909" s="291"/>
      <c r="E909" s="291"/>
      <c r="F909" s="293"/>
      <c r="G909" s="293"/>
      <c r="H909" s="293">
        <f t="shared" si="15"/>
        <v>1746191847.3399999</v>
      </c>
    </row>
    <row r="910" spans="1:8" x14ac:dyDescent="0.35">
      <c r="A910" s="291"/>
      <c r="B910" s="301"/>
      <c r="C910" s="296"/>
      <c r="D910" s="291"/>
      <c r="E910" s="291"/>
      <c r="F910" s="293"/>
      <c r="G910" s="293"/>
      <c r="H910" s="293">
        <f t="shared" si="15"/>
        <v>1746191847.3399999</v>
      </c>
    </row>
    <row r="911" spans="1:8" x14ac:dyDescent="0.35">
      <c r="A911" s="291"/>
      <c r="B911" s="301"/>
      <c r="C911" s="296"/>
      <c r="D911" s="291"/>
      <c r="E911" s="291"/>
      <c r="F911" s="293"/>
      <c r="G911" s="293"/>
      <c r="H911" s="293">
        <f t="shared" si="15"/>
        <v>1746191847.3399999</v>
      </c>
    </row>
    <row r="912" spans="1:8" x14ac:dyDescent="0.35">
      <c r="A912" s="291"/>
      <c r="B912" s="301"/>
      <c r="C912" s="296"/>
      <c r="D912" s="291"/>
      <c r="E912" s="291"/>
      <c r="F912" s="293"/>
      <c r="G912" s="293"/>
      <c r="H912" s="293">
        <f t="shared" si="15"/>
        <v>1746191847.3399999</v>
      </c>
    </row>
    <row r="913" spans="1:8" x14ac:dyDescent="0.35">
      <c r="A913" s="291"/>
      <c r="B913" s="301"/>
      <c r="C913" s="296"/>
      <c r="D913" s="291"/>
      <c r="E913" s="291"/>
      <c r="F913" s="293"/>
      <c r="G913" s="293"/>
      <c r="H913" s="293">
        <f t="shared" si="15"/>
        <v>1746191847.3399999</v>
      </c>
    </row>
    <row r="914" spans="1:8" x14ac:dyDescent="0.35">
      <c r="A914" s="291"/>
      <c r="B914" s="301"/>
      <c r="C914" s="296"/>
      <c r="D914" s="291"/>
      <c r="E914" s="291"/>
      <c r="F914" s="293"/>
      <c r="G914" s="293"/>
      <c r="H914" s="293">
        <f t="shared" si="15"/>
        <v>1746191847.3399999</v>
      </c>
    </row>
    <row r="915" spans="1:8" x14ac:dyDescent="0.35">
      <c r="A915" s="291"/>
      <c r="B915" s="301"/>
      <c r="C915" s="296"/>
      <c r="D915" s="291"/>
      <c r="E915" s="291"/>
      <c r="F915" s="293"/>
      <c r="G915" s="293"/>
      <c r="H915" s="293">
        <f t="shared" si="15"/>
        <v>1746191847.3399999</v>
      </c>
    </row>
    <row r="916" spans="1:8" x14ac:dyDescent="0.35">
      <c r="A916" s="291"/>
      <c r="B916" s="301"/>
      <c r="C916" s="296"/>
      <c r="D916" s="291"/>
      <c r="E916" s="291"/>
      <c r="F916" s="293"/>
      <c r="G916" s="293"/>
      <c r="H916" s="293">
        <f t="shared" si="15"/>
        <v>1746191847.3399999</v>
      </c>
    </row>
    <row r="917" spans="1:8" x14ac:dyDescent="0.35">
      <c r="A917" s="291"/>
      <c r="B917" s="301"/>
      <c r="C917" s="296"/>
      <c r="D917" s="291"/>
      <c r="E917" s="291"/>
      <c r="F917" s="293"/>
      <c r="G917" s="293"/>
      <c r="H917" s="293">
        <f t="shared" si="15"/>
        <v>1746191847.3399999</v>
      </c>
    </row>
    <row r="918" spans="1:8" x14ac:dyDescent="0.35">
      <c r="A918" s="291"/>
      <c r="B918" s="301"/>
      <c r="C918" s="296"/>
      <c r="D918" s="291"/>
      <c r="E918" s="291"/>
      <c r="F918" s="293"/>
      <c r="G918" s="293"/>
      <c r="H918" s="293">
        <f t="shared" si="15"/>
        <v>1746191847.3399999</v>
      </c>
    </row>
    <row r="919" spans="1:8" x14ac:dyDescent="0.35">
      <c r="A919" s="291"/>
      <c r="B919" s="301"/>
      <c r="C919" s="296"/>
      <c r="D919" s="291"/>
      <c r="E919" s="291"/>
      <c r="F919" s="293"/>
      <c r="G919" s="293"/>
      <c r="H919" s="293">
        <f t="shared" si="15"/>
        <v>1746191847.3399999</v>
      </c>
    </row>
    <row r="920" spans="1:8" x14ac:dyDescent="0.35">
      <c r="A920" s="291"/>
      <c r="B920" s="301"/>
      <c r="C920" s="296"/>
      <c r="D920" s="291"/>
      <c r="E920" s="291"/>
      <c r="F920" s="293"/>
      <c r="G920" s="293"/>
      <c r="H920" s="293">
        <f t="shared" si="15"/>
        <v>1746191847.3399999</v>
      </c>
    </row>
    <row r="921" spans="1:8" x14ac:dyDescent="0.35">
      <c r="A921" s="291"/>
      <c r="B921" s="301"/>
      <c r="C921" s="296"/>
      <c r="D921" s="291"/>
      <c r="E921" s="291"/>
      <c r="F921" s="293"/>
      <c r="G921" s="293"/>
      <c r="H921" s="293">
        <f t="shared" si="15"/>
        <v>1746191847.3399999</v>
      </c>
    </row>
    <row r="922" spans="1:8" x14ac:dyDescent="0.35">
      <c r="A922" s="291"/>
      <c r="B922" s="301"/>
      <c r="C922" s="296"/>
      <c r="D922" s="291"/>
      <c r="E922" s="291"/>
      <c r="F922" s="293"/>
      <c r="G922" s="293"/>
      <c r="H922" s="293">
        <f t="shared" si="15"/>
        <v>1746191847.3399999</v>
      </c>
    </row>
    <row r="923" spans="1:8" x14ac:dyDescent="0.35">
      <c r="A923" s="291"/>
      <c r="B923" s="301"/>
      <c r="C923" s="296"/>
      <c r="D923" s="291"/>
      <c r="E923" s="291"/>
      <c r="F923" s="293"/>
      <c r="G923" s="293"/>
      <c r="H923" s="293">
        <f t="shared" si="15"/>
        <v>1746191847.3399999</v>
      </c>
    </row>
    <row r="924" spans="1:8" x14ac:dyDescent="0.35">
      <c r="A924" s="291"/>
      <c r="B924" s="301"/>
      <c r="C924" s="296"/>
      <c r="D924" s="291"/>
      <c r="E924" s="291"/>
      <c r="F924" s="293"/>
      <c r="G924" s="293"/>
      <c r="H924" s="293">
        <f t="shared" si="15"/>
        <v>1746191847.3399999</v>
      </c>
    </row>
    <row r="925" spans="1:8" x14ac:dyDescent="0.35">
      <c r="A925" s="291"/>
      <c r="B925" s="301"/>
      <c r="C925" s="296"/>
      <c r="D925" s="291"/>
      <c r="E925" s="291"/>
      <c r="F925" s="293"/>
      <c r="G925" s="293"/>
      <c r="H925" s="293">
        <f t="shared" si="15"/>
        <v>1746191847.3399999</v>
      </c>
    </row>
    <row r="926" spans="1:8" x14ac:dyDescent="0.35">
      <c r="A926" s="291"/>
      <c r="B926" s="301"/>
      <c r="C926" s="296"/>
      <c r="D926" s="291"/>
      <c r="E926" s="291"/>
      <c r="F926" s="293"/>
      <c r="G926" s="293"/>
      <c r="H926" s="293">
        <f t="shared" si="15"/>
        <v>1746191847.3399999</v>
      </c>
    </row>
    <row r="927" spans="1:8" x14ac:dyDescent="0.35">
      <c r="A927" s="291"/>
      <c r="B927" s="301"/>
      <c r="C927" s="296"/>
      <c r="D927" s="291"/>
      <c r="E927" s="291"/>
      <c r="F927" s="293"/>
      <c r="G927" s="293"/>
      <c r="H927" s="293">
        <f t="shared" si="15"/>
        <v>1746191847.3399999</v>
      </c>
    </row>
    <row r="928" spans="1:8" x14ac:dyDescent="0.35">
      <c r="A928" s="291"/>
      <c r="B928" s="301"/>
      <c r="C928" s="296"/>
      <c r="D928" s="291"/>
      <c r="E928" s="291"/>
      <c r="F928" s="293"/>
      <c r="G928" s="293"/>
      <c r="H928" s="293">
        <f t="shared" ref="H928:H991" si="16">H927+F928-G928</f>
        <v>1746191847.3399999</v>
      </c>
    </row>
    <row r="929" spans="1:8" x14ac:dyDescent="0.35">
      <c r="A929" s="291"/>
      <c r="B929" s="301"/>
      <c r="C929" s="296"/>
      <c r="D929" s="291"/>
      <c r="E929" s="291"/>
      <c r="F929" s="293"/>
      <c r="G929" s="293"/>
      <c r="H929" s="293">
        <f t="shared" si="16"/>
        <v>1746191847.3399999</v>
      </c>
    </row>
    <row r="930" spans="1:8" x14ac:dyDescent="0.35">
      <c r="A930" s="291"/>
      <c r="B930" s="301"/>
      <c r="C930" s="296"/>
      <c r="D930" s="291"/>
      <c r="E930" s="291"/>
      <c r="F930" s="293"/>
      <c r="G930" s="293"/>
      <c r="H930" s="293">
        <f t="shared" si="16"/>
        <v>1746191847.3399999</v>
      </c>
    </row>
    <row r="931" spans="1:8" x14ac:dyDescent="0.35">
      <c r="A931" s="291"/>
      <c r="B931" s="301"/>
      <c r="C931" s="296"/>
      <c r="D931" s="291"/>
      <c r="E931" s="291"/>
      <c r="F931" s="293"/>
      <c r="G931" s="293"/>
      <c r="H931" s="293">
        <f t="shared" si="16"/>
        <v>1746191847.3399999</v>
      </c>
    </row>
    <row r="932" spans="1:8" x14ac:dyDescent="0.35">
      <c r="A932" s="291"/>
      <c r="B932" s="301"/>
      <c r="C932" s="296"/>
      <c r="D932" s="291"/>
      <c r="E932" s="291"/>
      <c r="F932" s="293"/>
      <c r="G932" s="293"/>
      <c r="H932" s="293">
        <f t="shared" si="16"/>
        <v>1746191847.3399999</v>
      </c>
    </row>
    <row r="933" spans="1:8" x14ac:dyDescent="0.35">
      <c r="A933" s="291"/>
      <c r="B933" s="301"/>
      <c r="C933" s="296"/>
      <c r="D933" s="291"/>
      <c r="E933" s="291"/>
      <c r="F933" s="293"/>
      <c r="G933" s="293"/>
      <c r="H933" s="293">
        <f t="shared" si="16"/>
        <v>1746191847.3399999</v>
      </c>
    </row>
    <row r="934" spans="1:8" x14ac:dyDescent="0.35">
      <c r="A934" s="291"/>
      <c r="B934" s="301"/>
      <c r="C934" s="296"/>
      <c r="D934" s="291"/>
      <c r="E934" s="291"/>
      <c r="F934" s="293"/>
      <c r="G934" s="293"/>
      <c r="H934" s="293">
        <f t="shared" si="16"/>
        <v>1746191847.3399999</v>
      </c>
    </row>
    <row r="935" spans="1:8" x14ac:dyDescent="0.35">
      <c r="A935" s="291"/>
      <c r="B935" s="301"/>
      <c r="C935" s="296"/>
      <c r="D935" s="291"/>
      <c r="E935" s="291"/>
      <c r="F935" s="293"/>
      <c r="G935" s="293"/>
      <c r="H935" s="293">
        <f t="shared" si="16"/>
        <v>1746191847.3399999</v>
      </c>
    </row>
    <row r="936" spans="1:8" x14ac:dyDescent="0.35">
      <c r="A936" s="291"/>
      <c r="B936" s="301"/>
      <c r="C936" s="296"/>
      <c r="D936" s="291"/>
      <c r="E936" s="291"/>
      <c r="F936" s="293"/>
      <c r="G936" s="293"/>
      <c r="H936" s="293">
        <f t="shared" si="16"/>
        <v>1746191847.3399999</v>
      </c>
    </row>
    <row r="937" spans="1:8" x14ac:dyDescent="0.35">
      <c r="A937" s="291"/>
      <c r="B937" s="301"/>
      <c r="C937" s="296"/>
      <c r="D937" s="291"/>
      <c r="E937" s="291"/>
      <c r="F937" s="293"/>
      <c r="G937" s="293"/>
      <c r="H937" s="293">
        <f t="shared" si="16"/>
        <v>1746191847.3399999</v>
      </c>
    </row>
    <row r="938" spans="1:8" x14ac:dyDescent="0.35">
      <c r="A938" s="291"/>
      <c r="B938" s="301"/>
      <c r="C938" s="296"/>
      <c r="D938" s="291"/>
      <c r="E938" s="291"/>
      <c r="F938" s="293"/>
      <c r="G938" s="293"/>
      <c r="H938" s="293">
        <f t="shared" si="16"/>
        <v>1746191847.3399999</v>
      </c>
    </row>
    <row r="939" spans="1:8" x14ac:dyDescent="0.35">
      <c r="A939" s="291"/>
      <c r="B939" s="301"/>
      <c r="C939" s="296"/>
      <c r="D939" s="291"/>
      <c r="E939" s="291"/>
      <c r="F939" s="293"/>
      <c r="G939" s="293"/>
      <c r="H939" s="293">
        <f t="shared" si="16"/>
        <v>1746191847.3399999</v>
      </c>
    </row>
    <row r="940" spans="1:8" x14ac:dyDescent="0.35">
      <c r="A940" s="291"/>
      <c r="B940" s="301"/>
      <c r="C940" s="296"/>
      <c r="D940" s="291"/>
      <c r="E940" s="291"/>
      <c r="F940" s="293"/>
      <c r="G940" s="293"/>
      <c r="H940" s="293">
        <f t="shared" si="16"/>
        <v>1746191847.3399999</v>
      </c>
    </row>
    <row r="941" spans="1:8" x14ac:dyDescent="0.35">
      <c r="A941" s="291"/>
      <c r="B941" s="301"/>
      <c r="C941" s="296"/>
      <c r="D941" s="291"/>
      <c r="E941" s="291"/>
      <c r="F941" s="293"/>
      <c r="G941" s="293"/>
      <c r="H941" s="293">
        <f t="shared" si="16"/>
        <v>1746191847.3399999</v>
      </c>
    </row>
    <row r="942" spans="1:8" x14ac:dyDescent="0.35">
      <c r="A942" s="291"/>
      <c r="B942" s="301"/>
      <c r="C942" s="296"/>
      <c r="D942" s="291"/>
      <c r="E942" s="291"/>
      <c r="F942" s="293"/>
      <c r="G942" s="293"/>
      <c r="H942" s="293">
        <f t="shared" si="16"/>
        <v>1746191847.3399999</v>
      </c>
    </row>
    <row r="943" spans="1:8" x14ac:dyDescent="0.35">
      <c r="A943" s="291"/>
      <c r="B943" s="301"/>
      <c r="C943" s="296"/>
      <c r="D943" s="291"/>
      <c r="E943" s="291"/>
      <c r="F943" s="293"/>
      <c r="G943" s="293"/>
      <c r="H943" s="293">
        <f t="shared" si="16"/>
        <v>1746191847.3399999</v>
      </c>
    </row>
    <row r="944" spans="1:8" x14ac:dyDescent="0.35">
      <c r="A944" s="291"/>
      <c r="B944" s="301"/>
      <c r="C944" s="296"/>
      <c r="D944" s="291"/>
      <c r="E944" s="291"/>
      <c r="F944" s="293"/>
      <c r="G944" s="293"/>
      <c r="H944" s="293">
        <f t="shared" si="16"/>
        <v>1746191847.3399999</v>
      </c>
    </row>
    <row r="945" spans="1:8" x14ac:dyDescent="0.35">
      <c r="A945" s="291"/>
      <c r="B945" s="301"/>
      <c r="C945" s="296"/>
      <c r="D945" s="291"/>
      <c r="E945" s="291"/>
      <c r="F945" s="293"/>
      <c r="G945" s="293"/>
      <c r="H945" s="293">
        <f t="shared" si="16"/>
        <v>1746191847.3399999</v>
      </c>
    </row>
    <row r="946" spans="1:8" x14ac:dyDescent="0.35">
      <c r="A946" s="291"/>
      <c r="B946" s="301"/>
      <c r="C946" s="296"/>
      <c r="D946" s="291"/>
      <c r="E946" s="291"/>
      <c r="F946" s="293"/>
      <c r="G946" s="293"/>
      <c r="H946" s="293">
        <f t="shared" si="16"/>
        <v>1746191847.3399999</v>
      </c>
    </row>
    <row r="947" spans="1:8" x14ac:dyDescent="0.35">
      <c r="A947" s="291"/>
      <c r="B947" s="301"/>
      <c r="C947" s="296"/>
      <c r="D947" s="291"/>
      <c r="E947" s="291"/>
      <c r="F947" s="293"/>
      <c r="G947" s="293"/>
      <c r="H947" s="293">
        <f t="shared" si="16"/>
        <v>1746191847.3399999</v>
      </c>
    </row>
    <row r="948" spans="1:8" x14ac:dyDescent="0.35">
      <c r="A948" s="291"/>
      <c r="B948" s="301"/>
      <c r="C948" s="296"/>
      <c r="D948" s="291"/>
      <c r="E948" s="291"/>
      <c r="F948" s="293"/>
      <c r="G948" s="293"/>
      <c r="H948" s="293">
        <f t="shared" si="16"/>
        <v>1746191847.3399999</v>
      </c>
    </row>
    <row r="949" spans="1:8" x14ac:dyDescent="0.35">
      <c r="A949" s="291"/>
      <c r="B949" s="301"/>
      <c r="C949" s="296"/>
      <c r="D949" s="291"/>
      <c r="E949" s="291"/>
      <c r="F949" s="293"/>
      <c r="G949" s="293"/>
      <c r="H949" s="293">
        <f t="shared" si="16"/>
        <v>1746191847.3399999</v>
      </c>
    </row>
    <row r="950" spans="1:8" x14ac:dyDescent="0.35">
      <c r="A950" s="291"/>
      <c r="B950" s="301"/>
      <c r="C950" s="296"/>
      <c r="D950" s="291"/>
      <c r="E950" s="291"/>
      <c r="F950" s="293"/>
      <c r="G950" s="293"/>
      <c r="H950" s="293">
        <f t="shared" si="16"/>
        <v>1746191847.3399999</v>
      </c>
    </row>
    <row r="951" spans="1:8" x14ac:dyDescent="0.35">
      <c r="A951" s="291"/>
      <c r="B951" s="301"/>
      <c r="C951" s="296"/>
      <c r="D951" s="291"/>
      <c r="E951" s="291"/>
      <c r="F951" s="293"/>
      <c r="G951" s="293"/>
      <c r="H951" s="293">
        <f t="shared" si="16"/>
        <v>1746191847.3399999</v>
      </c>
    </row>
    <row r="952" spans="1:8" x14ac:dyDescent="0.35">
      <c r="A952" s="291"/>
      <c r="B952" s="301"/>
      <c r="C952" s="296"/>
      <c r="D952" s="291"/>
      <c r="E952" s="291"/>
      <c r="F952" s="293"/>
      <c r="G952" s="293"/>
      <c r="H952" s="293">
        <f t="shared" si="16"/>
        <v>1746191847.3399999</v>
      </c>
    </row>
    <row r="953" spans="1:8" x14ac:dyDescent="0.35">
      <c r="A953" s="291"/>
      <c r="B953" s="301"/>
      <c r="C953" s="296"/>
      <c r="D953" s="291"/>
      <c r="E953" s="291"/>
      <c r="F953" s="293"/>
      <c r="G953" s="293"/>
      <c r="H953" s="293">
        <f t="shared" si="16"/>
        <v>1746191847.3399999</v>
      </c>
    </row>
    <row r="954" spans="1:8" x14ac:dyDescent="0.35">
      <c r="A954" s="291"/>
      <c r="B954" s="301"/>
      <c r="C954" s="296"/>
      <c r="D954" s="291"/>
      <c r="E954" s="291"/>
      <c r="F954" s="293"/>
      <c r="G954" s="293"/>
      <c r="H954" s="293">
        <f t="shared" si="16"/>
        <v>1746191847.3399999</v>
      </c>
    </row>
    <row r="955" spans="1:8" x14ac:dyDescent="0.35">
      <c r="A955" s="291"/>
      <c r="B955" s="301"/>
      <c r="C955" s="296"/>
      <c r="D955" s="291"/>
      <c r="E955" s="291"/>
      <c r="F955" s="293"/>
      <c r="G955" s="293"/>
      <c r="H955" s="293">
        <f t="shared" si="16"/>
        <v>1746191847.3399999</v>
      </c>
    </row>
    <row r="956" spans="1:8" x14ac:dyDescent="0.35">
      <c r="A956" s="291"/>
      <c r="B956" s="301"/>
      <c r="C956" s="296"/>
      <c r="D956" s="291"/>
      <c r="E956" s="291"/>
      <c r="F956" s="293"/>
      <c r="G956" s="293"/>
      <c r="H956" s="293">
        <f t="shared" si="16"/>
        <v>1746191847.3399999</v>
      </c>
    </row>
    <row r="957" spans="1:8" x14ac:dyDescent="0.35">
      <c r="A957" s="291"/>
      <c r="B957" s="301"/>
      <c r="C957" s="296"/>
      <c r="D957" s="291"/>
      <c r="E957" s="291"/>
      <c r="F957" s="293"/>
      <c r="G957" s="293"/>
      <c r="H957" s="293">
        <f t="shared" si="16"/>
        <v>1746191847.3399999</v>
      </c>
    </row>
    <row r="958" spans="1:8" x14ac:dyDescent="0.35">
      <c r="A958" s="291"/>
      <c r="B958" s="301"/>
      <c r="C958" s="296"/>
      <c r="D958" s="291"/>
      <c r="E958" s="291"/>
      <c r="F958" s="293"/>
      <c r="G958" s="293"/>
      <c r="H958" s="293">
        <f t="shared" si="16"/>
        <v>1746191847.3399999</v>
      </c>
    </row>
    <row r="959" spans="1:8" x14ac:dyDescent="0.35">
      <c r="A959" s="291"/>
      <c r="B959" s="301"/>
      <c r="C959" s="296"/>
      <c r="D959" s="291"/>
      <c r="E959" s="291"/>
      <c r="F959" s="293"/>
      <c r="G959" s="293"/>
      <c r="H959" s="293">
        <f t="shared" si="16"/>
        <v>1746191847.3399999</v>
      </c>
    </row>
    <row r="960" spans="1:8" x14ac:dyDescent="0.35">
      <c r="A960" s="291"/>
      <c r="B960" s="301"/>
      <c r="C960" s="296"/>
      <c r="D960" s="291"/>
      <c r="E960" s="291"/>
      <c r="F960" s="293"/>
      <c r="G960" s="293"/>
      <c r="H960" s="293">
        <f t="shared" si="16"/>
        <v>1746191847.3399999</v>
      </c>
    </row>
    <row r="961" spans="1:8" x14ac:dyDescent="0.35">
      <c r="A961" s="291"/>
      <c r="B961" s="301"/>
      <c r="C961" s="296"/>
      <c r="D961" s="291"/>
      <c r="E961" s="291"/>
      <c r="F961" s="293"/>
      <c r="G961" s="293"/>
      <c r="H961" s="293">
        <f t="shared" si="16"/>
        <v>1746191847.3399999</v>
      </c>
    </row>
    <row r="962" spans="1:8" x14ac:dyDescent="0.35">
      <c r="A962" s="291"/>
      <c r="B962" s="301"/>
      <c r="C962" s="296"/>
      <c r="D962" s="291"/>
      <c r="E962" s="291"/>
      <c r="F962" s="293"/>
      <c r="G962" s="293"/>
      <c r="H962" s="293">
        <f t="shared" si="16"/>
        <v>1746191847.3399999</v>
      </c>
    </row>
    <row r="963" spans="1:8" x14ac:dyDescent="0.35">
      <c r="A963" s="291"/>
      <c r="B963" s="301"/>
      <c r="C963" s="296"/>
      <c r="D963" s="291"/>
      <c r="E963" s="291"/>
      <c r="F963" s="293"/>
      <c r="G963" s="293"/>
      <c r="H963" s="293">
        <f t="shared" si="16"/>
        <v>1746191847.3399999</v>
      </c>
    </row>
    <row r="964" spans="1:8" x14ac:dyDescent="0.35">
      <c r="A964" s="291"/>
      <c r="B964" s="301"/>
      <c r="C964" s="296"/>
      <c r="D964" s="291"/>
      <c r="E964" s="291"/>
      <c r="F964" s="293"/>
      <c r="G964" s="293"/>
      <c r="H964" s="293">
        <f t="shared" si="16"/>
        <v>1746191847.3399999</v>
      </c>
    </row>
    <row r="965" spans="1:8" x14ac:dyDescent="0.35">
      <c r="A965" s="291"/>
      <c r="B965" s="301"/>
      <c r="C965" s="296"/>
      <c r="D965" s="291"/>
      <c r="E965" s="291"/>
      <c r="F965" s="293"/>
      <c r="G965" s="293"/>
      <c r="H965" s="293">
        <f t="shared" si="16"/>
        <v>1746191847.3399999</v>
      </c>
    </row>
    <row r="966" spans="1:8" x14ac:dyDescent="0.35">
      <c r="A966" s="291"/>
      <c r="B966" s="301"/>
      <c r="C966" s="296"/>
      <c r="D966" s="291"/>
      <c r="E966" s="291"/>
      <c r="F966" s="293"/>
      <c r="G966" s="293"/>
      <c r="H966" s="293">
        <f t="shared" si="16"/>
        <v>1746191847.3399999</v>
      </c>
    </row>
    <row r="967" spans="1:8" x14ac:dyDescent="0.35">
      <c r="A967" s="291"/>
      <c r="B967" s="301"/>
      <c r="C967" s="296"/>
      <c r="D967" s="291"/>
      <c r="E967" s="291"/>
      <c r="F967" s="293"/>
      <c r="G967" s="293"/>
      <c r="H967" s="293">
        <f t="shared" si="16"/>
        <v>1746191847.3399999</v>
      </c>
    </row>
    <row r="968" spans="1:8" x14ac:dyDescent="0.35">
      <c r="A968" s="291"/>
      <c r="B968" s="301"/>
      <c r="C968" s="296"/>
      <c r="D968" s="291"/>
      <c r="E968" s="291"/>
      <c r="F968" s="293"/>
      <c r="G968" s="293"/>
      <c r="H968" s="293">
        <f t="shared" si="16"/>
        <v>1746191847.3399999</v>
      </c>
    </row>
    <row r="969" spans="1:8" x14ac:dyDescent="0.35">
      <c r="A969" s="291"/>
      <c r="B969" s="301"/>
      <c r="C969" s="296"/>
      <c r="D969" s="291"/>
      <c r="E969" s="291"/>
      <c r="F969" s="293"/>
      <c r="G969" s="293"/>
      <c r="H969" s="293">
        <f t="shared" si="16"/>
        <v>1746191847.3399999</v>
      </c>
    </row>
    <row r="970" spans="1:8" x14ac:dyDescent="0.35">
      <c r="A970" s="291"/>
      <c r="B970" s="301"/>
      <c r="C970" s="296"/>
      <c r="D970" s="291"/>
      <c r="E970" s="291"/>
      <c r="F970" s="293"/>
      <c r="G970" s="293"/>
      <c r="H970" s="293">
        <f t="shared" si="16"/>
        <v>1746191847.3399999</v>
      </c>
    </row>
    <row r="971" spans="1:8" x14ac:dyDescent="0.35">
      <c r="A971" s="291"/>
      <c r="B971" s="301"/>
      <c r="C971" s="296"/>
      <c r="D971" s="291"/>
      <c r="E971" s="291"/>
      <c r="F971" s="293"/>
      <c r="G971" s="293"/>
      <c r="H971" s="293">
        <f t="shared" si="16"/>
        <v>1746191847.3399999</v>
      </c>
    </row>
    <row r="972" spans="1:8" x14ac:dyDescent="0.35">
      <c r="A972" s="291"/>
      <c r="B972" s="301"/>
      <c r="C972" s="296"/>
      <c r="D972" s="291"/>
      <c r="E972" s="291"/>
      <c r="F972" s="293"/>
      <c r="G972" s="293"/>
      <c r="H972" s="293">
        <f t="shared" si="16"/>
        <v>1746191847.3399999</v>
      </c>
    </row>
    <row r="973" spans="1:8" x14ac:dyDescent="0.35">
      <c r="A973" s="291"/>
      <c r="B973" s="301"/>
      <c r="C973" s="296"/>
      <c r="D973" s="291"/>
      <c r="E973" s="291"/>
      <c r="F973" s="293"/>
      <c r="G973" s="293"/>
      <c r="H973" s="293">
        <f t="shared" si="16"/>
        <v>1746191847.3399999</v>
      </c>
    </row>
    <row r="974" spans="1:8" x14ac:dyDescent="0.35">
      <c r="A974" s="291"/>
      <c r="B974" s="301"/>
      <c r="C974" s="296"/>
      <c r="D974" s="291"/>
      <c r="E974" s="291"/>
      <c r="F974" s="293"/>
      <c r="G974" s="293"/>
      <c r="H974" s="293">
        <f t="shared" si="16"/>
        <v>1746191847.3399999</v>
      </c>
    </row>
    <row r="975" spans="1:8" x14ac:dyDescent="0.35">
      <c r="A975" s="291"/>
      <c r="B975" s="301"/>
      <c r="C975" s="296"/>
      <c r="D975" s="291"/>
      <c r="E975" s="291"/>
      <c r="F975" s="293"/>
      <c r="G975" s="293"/>
      <c r="H975" s="293">
        <f t="shared" si="16"/>
        <v>1746191847.3399999</v>
      </c>
    </row>
    <row r="976" spans="1:8" x14ac:dyDescent="0.35">
      <c r="A976" s="291"/>
      <c r="B976" s="301"/>
      <c r="C976" s="296"/>
      <c r="D976" s="291"/>
      <c r="E976" s="291"/>
      <c r="F976" s="293"/>
      <c r="G976" s="293"/>
      <c r="H976" s="293">
        <f t="shared" si="16"/>
        <v>1746191847.3399999</v>
      </c>
    </row>
    <row r="977" spans="1:8" x14ac:dyDescent="0.35">
      <c r="A977" s="291"/>
      <c r="B977" s="301"/>
      <c r="C977" s="296"/>
      <c r="D977" s="291"/>
      <c r="E977" s="291"/>
      <c r="F977" s="293"/>
      <c r="G977" s="293"/>
      <c r="H977" s="293">
        <f t="shared" si="16"/>
        <v>1746191847.3399999</v>
      </c>
    </row>
    <row r="978" spans="1:8" x14ac:dyDescent="0.35">
      <c r="A978" s="291"/>
      <c r="B978" s="301"/>
      <c r="C978" s="296"/>
      <c r="D978" s="291"/>
      <c r="E978" s="291"/>
      <c r="F978" s="293"/>
      <c r="G978" s="293"/>
      <c r="H978" s="293">
        <f t="shared" si="16"/>
        <v>1746191847.3399999</v>
      </c>
    </row>
    <row r="979" spans="1:8" x14ac:dyDescent="0.35">
      <c r="A979" s="291"/>
      <c r="B979" s="301"/>
      <c r="C979" s="296"/>
      <c r="D979" s="291"/>
      <c r="E979" s="291"/>
      <c r="F979" s="293"/>
      <c r="G979" s="293"/>
      <c r="H979" s="293">
        <f t="shared" si="16"/>
        <v>1746191847.3399999</v>
      </c>
    </row>
    <row r="980" spans="1:8" x14ac:dyDescent="0.35">
      <c r="A980" s="291"/>
      <c r="B980" s="301"/>
      <c r="C980" s="296"/>
      <c r="D980" s="291"/>
      <c r="E980" s="291"/>
      <c r="F980" s="293"/>
      <c r="G980" s="293"/>
      <c r="H980" s="293">
        <f t="shared" si="16"/>
        <v>1746191847.3399999</v>
      </c>
    </row>
    <row r="981" spans="1:8" x14ac:dyDescent="0.35">
      <c r="A981" s="291"/>
      <c r="B981" s="301"/>
      <c r="C981" s="296"/>
      <c r="D981" s="291"/>
      <c r="E981" s="291"/>
      <c r="F981" s="293"/>
      <c r="G981" s="293"/>
      <c r="H981" s="293">
        <f t="shared" si="16"/>
        <v>1746191847.3399999</v>
      </c>
    </row>
    <row r="982" spans="1:8" x14ac:dyDescent="0.35">
      <c r="A982" s="291"/>
      <c r="B982" s="301"/>
      <c r="C982" s="296"/>
      <c r="D982" s="291"/>
      <c r="E982" s="291"/>
      <c r="F982" s="293"/>
      <c r="G982" s="293"/>
      <c r="H982" s="293">
        <f t="shared" si="16"/>
        <v>1746191847.3399999</v>
      </c>
    </row>
    <row r="983" spans="1:8" x14ac:dyDescent="0.35">
      <c r="A983" s="291"/>
      <c r="B983" s="301"/>
      <c r="C983" s="296"/>
      <c r="D983" s="291"/>
      <c r="E983" s="291"/>
      <c r="F983" s="293"/>
      <c r="G983" s="293"/>
      <c r="H983" s="293">
        <f t="shared" si="16"/>
        <v>1746191847.3399999</v>
      </c>
    </row>
    <row r="984" spans="1:8" x14ac:dyDescent="0.35">
      <c r="A984" s="291"/>
      <c r="B984" s="301"/>
      <c r="C984" s="296"/>
      <c r="D984" s="291"/>
      <c r="E984" s="291"/>
      <c r="F984" s="293"/>
      <c r="G984" s="293"/>
      <c r="H984" s="293">
        <f t="shared" si="16"/>
        <v>1746191847.3399999</v>
      </c>
    </row>
    <row r="985" spans="1:8" x14ac:dyDescent="0.35">
      <c r="A985" s="291"/>
      <c r="B985" s="301"/>
      <c r="C985" s="296"/>
      <c r="D985" s="291"/>
      <c r="E985" s="291"/>
      <c r="F985" s="293"/>
      <c r="G985" s="293"/>
      <c r="H985" s="293">
        <f t="shared" si="16"/>
        <v>1746191847.3399999</v>
      </c>
    </row>
    <row r="986" spans="1:8" x14ac:dyDescent="0.35">
      <c r="A986" s="291"/>
      <c r="B986" s="301"/>
      <c r="C986" s="296"/>
      <c r="D986" s="291"/>
      <c r="E986" s="291"/>
      <c r="F986" s="293"/>
      <c r="G986" s="293"/>
      <c r="H986" s="293">
        <f t="shared" si="16"/>
        <v>1746191847.3399999</v>
      </c>
    </row>
    <row r="987" spans="1:8" x14ac:dyDescent="0.35">
      <c r="A987" s="291"/>
      <c r="B987" s="301"/>
      <c r="C987" s="296"/>
      <c r="D987" s="291"/>
      <c r="E987" s="291"/>
      <c r="F987" s="293"/>
      <c r="G987" s="293"/>
      <c r="H987" s="293">
        <f t="shared" si="16"/>
        <v>1746191847.3399999</v>
      </c>
    </row>
    <row r="988" spans="1:8" x14ac:dyDescent="0.35">
      <c r="A988" s="291"/>
      <c r="B988" s="301"/>
      <c r="C988" s="296"/>
      <c r="D988" s="291"/>
      <c r="E988" s="291"/>
      <c r="F988" s="293"/>
      <c r="G988" s="293"/>
      <c r="H988" s="293">
        <f t="shared" si="16"/>
        <v>1746191847.3399999</v>
      </c>
    </row>
    <row r="989" spans="1:8" x14ac:dyDescent="0.35">
      <c r="A989" s="291"/>
      <c r="B989" s="301"/>
      <c r="C989" s="296"/>
      <c r="D989" s="291"/>
      <c r="E989" s="291"/>
      <c r="F989" s="293"/>
      <c r="G989" s="293"/>
      <c r="H989" s="293">
        <f t="shared" si="16"/>
        <v>1746191847.3399999</v>
      </c>
    </row>
    <row r="990" spans="1:8" x14ac:dyDescent="0.35">
      <c r="A990" s="291"/>
      <c r="B990" s="301"/>
      <c r="C990" s="296"/>
      <c r="D990" s="291"/>
      <c r="E990" s="291"/>
      <c r="F990" s="293"/>
      <c r="G990" s="293"/>
      <c r="H990" s="293">
        <f t="shared" si="16"/>
        <v>1746191847.3399999</v>
      </c>
    </row>
    <row r="991" spans="1:8" x14ac:dyDescent="0.35">
      <c r="A991" s="291"/>
      <c r="B991" s="301"/>
      <c r="C991" s="296"/>
      <c r="D991" s="291"/>
      <c r="E991" s="291"/>
      <c r="F991" s="293"/>
      <c r="G991" s="293"/>
      <c r="H991" s="293">
        <f t="shared" si="16"/>
        <v>1746191847.3399999</v>
      </c>
    </row>
    <row r="992" spans="1:8" x14ac:dyDescent="0.35">
      <c r="A992" s="291"/>
      <c r="B992" s="301"/>
      <c r="C992" s="296"/>
      <c r="D992" s="291"/>
      <c r="E992" s="291"/>
      <c r="F992" s="293"/>
      <c r="G992" s="293"/>
      <c r="H992" s="293">
        <f t="shared" ref="H992:H1055" si="17">H991+F992-G992</f>
        <v>1746191847.3399999</v>
      </c>
    </row>
    <row r="993" spans="1:8" x14ac:dyDescent="0.35">
      <c r="A993" s="291"/>
      <c r="B993" s="301"/>
      <c r="C993" s="296"/>
      <c r="D993" s="291"/>
      <c r="E993" s="291"/>
      <c r="F993" s="293"/>
      <c r="G993" s="293"/>
      <c r="H993" s="293">
        <f t="shared" si="17"/>
        <v>1746191847.3399999</v>
      </c>
    </row>
    <row r="994" spans="1:8" x14ac:dyDescent="0.35">
      <c r="A994" s="291"/>
      <c r="B994" s="301"/>
      <c r="C994" s="296"/>
      <c r="D994" s="291"/>
      <c r="E994" s="291"/>
      <c r="F994" s="293"/>
      <c r="G994" s="293"/>
      <c r="H994" s="293">
        <f t="shared" si="17"/>
        <v>1746191847.3399999</v>
      </c>
    </row>
    <row r="995" spans="1:8" x14ac:dyDescent="0.35">
      <c r="A995" s="291"/>
      <c r="B995" s="301"/>
      <c r="C995" s="296"/>
      <c r="D995" s="291"/>
      <c r="E995" s="291"/>
      <c r="F995" s="293"/>
      <c r="G995" s="293"/>
      <c r="H995" s="293">
        <f t="shared" si="17"/>
        <v>1746191847.3399999</v>
      </c>
    </row>
    <row r="996" spans="1:8" x14ac:dyDescent="0.35">
      <c r="A996" s="291"/>
      <c r="B996" s="301"/>
      <c r="C996" s="296"/>
      <c r="D996" s="291"/>
      <c r="E996" s="291"/>
      <c r="F996" s="293"/>
      <c r="G996" s="293"/>
      <c r="H996" s="293">
        <f t="shared" si="17"/>
        <v>1746191847.3399999</v>
      </c>
    </row>
    <row r="997" spans="1:8" x14ac:dyDescent="0.35">
      <c r="A997" s="291"/>
      <c r="B997" s="301"/>
      <c r="C997" s="296"/>
      <c r="D997" s="291"/>
      <c r="E997" s="291"/>
      <c r="F997" s="293"/>
      <c r="G997" s="293"/>
      <c r="H997" s="293">
        <f t="shared" si="17"/>
        <v>1746191847.3399999</v>
      </c>
    </row>
    <row r="998" spans="1:8" x14ac:dyDescent="0.35">
      <c r="A998" s="291"/>
      <c r="B998" s="301"/>
      <c r="C998" s="296"/>
      <c r="D998" s="291"/>
      <c r="E998" s="291"/>
      <c r="F998" s="293"/>
      <c r="G998" s="293"/>
      <c r="H998" s="293">
        <f t="shared" si="17"/>
        <v>1746191847.3399999</v>
      </c>
    </row>
    <row r="999" spans="1:8" x14ac:dyDescent="0.35">
      <c r="A999" s="291"/>
      <c r="B999" s="301"/>
      <c r="C999" s="296"/>
      <c r="D999" s="291"/>
      <c r="E999" s="291"/>
      <c r="F999" s="293"/>
      <c r="G999" s="293"/>
      <c r="H999" s="293">
        <f t="shared" si="17"/>
        <v>1746191847.3399999</v>
      </c>
    </row>
    <row r="1000" spans="1:8" x14ac:dyDescent="0.35">
      <c r="A1000" s="291"/>
      <c r="B1000" s="301"/>
      <c r="C1000" s="296"/>
      <c r="D1000" s="291"/>
      <c r="E1000" s="291"/>
      <c r="F1000" s="293"/>
      <c r="G1000" s="293"/>
      <c r="H1000" s="293">
        <f t="shared" si="17"/>
        <v>1746191847.3399999</v>
      </c>
    </row>
    <row r="1001" spans="1:8" x14ac:dyDescent="0.35">
      <c r="A1001" s="291"/>
      <c r="B1001" s="301"/>
      <c r="C1001" s="296"/>
      <c r="D1001" s="291"/>
      <c r="E1001" s="291"/>
      <c r="F1001" s="293"/>
      <c r="G1001" s="293"/>
      <c r="H1001" s="293">
        <f t="shared" si="17"/>
        <v>1746191847.3399999</v>
      </c>
    </row>
    <row r="1002" spans="1:8" x14ac:dyDescent="0.35">
      <c r="A1002" s="291"/>
      <c r="B1002" s="301"/>
      <c r="C1002" s="296"/>
      <c r="D1002" s="291"/>
      <c r="E1002" s="291"/>
      <c r="F1002" s="293"/>
      <c r="G1002" s="293"/>
      <c r="H1002" s="293">
        <f t="shared" si="17"/>
        <v>1746191847.3399999</v>
      </c>
    </row>
    <row r="1003" spans="1:8" x14ac:dyDescent="0.35">
      <c r="A1003" s="291"/>
      <c r="B1003" s="301"/>
      <c r="C1003" s="296"/>
      <c r="D1003" s="291"/>
      <c r="E1003" s="291"/>
      <c r="F1003" s="293"/>
      <c r="G1003" s="293"/>
      <c r="H1003" s="293">
        <f t="shared" si="17"/>
        <v>1746191847.3399999</v>
      </c>
    </row>
    <row r="1004" spans="1:8" x14ac:dyDescent="0.35">
      <c r="A1004" s="291"/>
      <c r="B1004" s="301"/>
      <c r="C1004" s="296"/>
      <c r="D1004" s="291"/>
      <c r="E1004" s="291"/>
      <c r="F1004" s="293"/>
      <c r="G1004" s="293"/>
      <c r="H1004" s="293">
        <f t="shared" si="17"/>
        <v>1746191847.3399999</v>
      </c>
    </row>
    <row r="1005" spans="1:8" x14ac:dyDescent="0.35">
      <c r="A1005" s="291"/>
      <c r="B1005" s="301"/>
      <c r="C1005" s="296"/>
      <c r="D1005" s="291"/>
      <c r="E1005" s="291"/>
      <c r="F1005" s="293"/>
      <c r="G1005" s="293"/>
      <c r="H1005" s="293">
        <f t="shared" si="17"/>
        <v>1746191847.3399999</v>
      </c>
    </row>
    <row r="1006" spans="1:8" x14ac:dyDescent="0.35">
      <c r="A1006" s="291"/>
      <c r="B1006" s="301"/>
      <c r="C1006" s="296"/>
      <c r="D1006" s="291"/>
      <c r="E1006" s="291"/>
      <c r="F1006" s="293"/>
      <c r="G1006" s="293"/>
      <c r="H1006" s="293">
        <f t="shared" si="17"/>
        <v>1746191847.3399999</v>
      </c>
    </row>
    <row r="1007" spans="1:8" x14ac:dyDescent="0.35">
      <c r="A1007" s="291"/>
      <c r="B1007" s="301"/>
      <c r="C1007" s="296"/>
      <c r="D1007" s="291"/>
      <c r="E1007" s="291"/>
      <c r="F1007" s="293"/>
      <c r="G1007" s="293"/>
      <c r="H1007" s="293">
        <f t="shared" si="17"/>
        <v>1746191847.3399999</v>
      </c>
    </row>
    <row r="1008" spans="1:8" x14ac:dyDescent="0.35">
      <c r="A1008" s="291"/>
      <c r="B1008" s="301"/>
      <c r="C1008" s="296"/>
      <c r="D1008" s="291"/>
      <c r="E1008" s="291"/>
      <c r="F1008" s="293"/>
      <c r="G1008" s="293"/>
      <c r="H1008" s="293">
        <f t="shared" si="17"/>
        <v>1746191847.3399999</v>
      </c>
    </row>
    <row r="1009" spans="1:8" x14ac:dyDescent="0.35">
      <c r="A1009" s="291"/>
      <c r="B1009" s="301"/>
      <c r="C1009" s="296"/>
      <c r="D1009" s="291"/>
      <c r="E1009" s="291"/>
      <c r="F1009" s="293"/>
      <c r="G1009" s="293"/>
      <c r="H1009" s="293">
        <f t="shared" si="17"/>
        <v>1746191847.3399999</v>
      </c>
    </row>
    <row r="1010" spans="1:8" x14ac:dyDescent="0.35">
      <c r="A1010" s="291"/>
      <c r="B1010" s="301"/>
      <c r="C1010" s="296"/>
      <c r="D1010" s="291"/>
      <c r="E1010" s="291"/>
      <c r="F1010" s="293"/>
      <c r="G1010" s="293"/>
      <c r="H1010" s="293">
        <f t="shared" si="17"/>
        <v>1746191847.3399999</v>
      </c>
    </row>
    <row r="1011" spans="1:8" x14ac:dyDescent="0.35">
      <c r="A1011" s="291"/>
      <c r="B1011" s="301"/>
      <c r="C1011" s="296"/>
      <c r="D1011" s="291"/>
      <c r="E1011" s="291"/>
      <c r="F1011" s="293"/>
      <c r="G1011" s="293"/>
      <c r="H1011" s="293">
        <f t="shared" si="17"/>
        <v>1746191847.3399999</v>
      </c>
    </row>
    <row r="1012" spans="1:8" x14ac:dyDescent="0.35">
      <c r="A1012" s="291"/>
      <c r="B1012" s="301"/>
      <c r="C1012" s="296"/>
      <c r="D1012" s="291"/>
      <c r="E1012" s="291"/>
      <c r="F1012" s="293"/>
      <c r="G1012" s="293"/>
      <c r="H1012" s="293">
        <f t="shared" si="17"/>
        <v>1746191847.3399999</v>
      </c>
    </row>
    <row r="1013" spans="1:8" x14ac:dyDescent="0.35">
      <c r="A1013" s="291"/>
      <c r="B1013" s="301"/>
      <c r="C1013" s="296"/>
      <c r="D1013" s="291"/>
      <c r="E1013" s="291"/>
      <c r="F1013" s="293"/>
      <c r="G1013" s="293"/>
      <c r="H1013" s="293">
        <f t="shared" si="17"/>
        <v>1746191847.3399999</v>
      </c>
    </row>
    <row r="1014" spans="1:8" x14ac:dyDescent="0.35">
      <c r="A1014" s="291"/>
      <c r="B1014" s="301"/>
      <c r="C1014" s="296"/>
      <c r="D1014" s="291"/>
      <c r="E1014" s="291"/>
      <c r="F1014" s="293"/>
      <c r="G1014" s="293"/>
      <c r="H1014" s="293">
        <f t="shared" si="17"/>
        <v>1746191847.3399999</v>
      </c>
    </row>
    <row r="1015" spans="1:8" x14ac:dyDescent="0.35">
      <c r="A1015" s="291"/>
      <c r="B1015" s="301"/>
      <c r="C1015" s="296"/>
      <c r="D1015" s="291"/>
      <c r="E1015" s="291"/>
      <c r="F1015" s="293"/>
      <c r="G1015" s="293"/>
      <c r="H1015" s="293">
        <f t="shared" si="17"/>
        <v>1746191847.3399999</v>
      </c>
    </row>
    <row r="1016" spans="1:8" x14ac:dyDescent="0.35">
      <c r="A1016" s="291"/>
      <c r="B1016" s="301"/>
      <c r="C1016" s="296"/>
      <c r="D1016" s="291"/>
      <c r="E1016" s="291"/>
      <c r="F1016" s="293"/>
      <c r="G1016" s="293"/>
      <c r="H1016" s="293">
        <f t="shared" si="17"/>
        <v>1746191847.3399999</v>
      </c>
    </row>
    <row r="1017" spans="1:8" x14ac:dyDescent="0.35">
      <c r="A1017" s="291"/>
      <c r="B1017" s="301"/>
      <c r="C1017" s="296"/>
      <c r="D1017" s="291"/>
      <c r="E1017" s="291"/>
      <c r="F1017" s="293"/>
      <c r="G1017" s="293"/>
      <c r="H1017" s="293">
        <f t="shared" si="17"/>
        <v>1746191847.3399999</v>
      </c>
    </row>
    <row r="1018" spans="1:8" x14ac:dyDescent="0.35">
      <c r="A1018" s="291"/>
      <c r="B1018" s="301"/>
      <c r="C1018" s="296"/>
      <c r="D1018" s="291"/>
      <c r="E1018" s="291"/>
      <c r="F1018" s="293"/>
      <c r="G1018" s="293"/>
      <c r="H1018" s="293">
        <f t="shared" si="17"/>
        <v>1746191847.3399999</v>
      </c>
    </row>
    <row r="1019" spans="1:8" x14ac:dyDescent="0.35">
      <c r="A1019" s="291"/>
      <c r="B1019" s="301"/>
      <c r="C1019" s="296"/>
      <c r="D1019" s="291"/>
      <c r="E1019" s="291"/>
      <c r="F1019" s="293"/>
      <c r="G1019" s="293"/>
      <c r="H1019" s="293">
        <f t="shared" si="17"/>
        <v>1746191847.3399999</v>
      </c>
    </row>
    <row r="1020" spans="1:8" x14ac:dyDescent="0.35">
      <c r="A1020" s="291"/>
      <c r="B1020" s="301"/>
      <c r="C1020" s="296"/>
      <c r="D1020" s="291"/>
      <c r="E1020" s="291"/>
      <c r="F1020" s="293"/>
      <c r="G1020" s="293"/>
      <c r="H1020" s="293">
        <f t="shared" si="17"/>
        <v>1746191847.3399999</v>
      </c>
    </row>
    <row r="1021" spans="1:8" x14ac:dyDescent="0.35">
      <c r="A1021" s="291"/>
      <c r="B1021" s="301"/>
      <c r="C1021" s="296"/>
      <c r="D1021" s="291"/>
      <c r="E1021" s="291"/>
      <c r="F1021" s="293"/>
      <c r="G1021" s="293"/>
      <c r="H1021" s="293">
        <f t="shared" si="17"/>
        <v>1746191847.3399999</v>
      </c>
    </row>
    <row r="1022" spans="1:8" x14ac:dyDescent="0.35">
      <c r="A1022" s="291"/>
      <c r="B1022" s="301"/>
      <c r="C1022" s="296"/>
      <c r="D1022" s="291"/>
      <c r="E1022" s="291"/>
      <c r="F1022" s="293"/>
      <c r="G1022" s="293"/>
      <c r="H1022" s="293">
        <f t="shared" si="17"/>
        <v>1746191847.3399999</v>
      </c>
    </row>
    <row r="1023" spans="1:8" x14ac:dyDescent="0.35">
      <c r="A1023" s="291"/>
      <c r="B1023" s="301"/>
      <c r="C1023" s="296"/>
      <c r="D1023" s="291"/>
      <c r="E1023" s="291"/>
      <c r="F1023" s="293"/>
      <c r="G1023" s="293"/>
      <c r="H1023" s="293">
        <f t="shared" si="17"/>
        <v>1746191847.3399999</v>
      </c>
    </row>
    <row r="1024" spans="1:8" x14ac:dyDescent="0.35">
      <c r="A1024" s="291"/>
      <c r="B1024" s="301"/>
      <c r="C1024" s="296"/>
      <c r="D1024" s="291"/>
      <c r="E1024" s="291"/>
      <c r="F1024" s="293"/>
      <c r="G1024" s="293"/>
      <c r="H1024" s="293">
        <f t="shared" si="17"/>
        <v>1746191847.3399999</v>
      </c>
    </row>
    <row r="1025" spans="1:8" x14ac:dyDescent="0.35">
      <c r="A1025" s="291"/>
      <c r="B1025" s="301"/>
      <c r="C1025" s="296"/>
      <c r="D1025" s="291"/>
      <c r="E1025" s="291"/>
      <c r="F1025" s="293"/>
      <c r="G1025" s="293"/>
      <c r="H1025" s="293">
        <f t="shared" si="17"/>
        <v>1746191847.3399999</v>
      </c>
    </row>
    <row r="1026" spans="1:8" x14ac:dyDescent="0.35">
      <c r="A1026" s="291"/>
      <c r="B1026" s="301"/>
      <c r="C1026" s="296"/>
      <c r="D1026" s="291"/>
      <c r="E1026" s="291"/>
      <c r="F1026" s="293"/>
      <c r="G1026" s="293"/>
      <c r="H1026" s="293">
        <f t="shared" si="17"/>
        <v>1746191847.3399999</v>
      </c>
    </row>
    <row r="1027" spans="1:8" x14ac:dyDescent="0.35">
      <c r="A1027" s="291"/>
      <c r="B1027" s="301"/>
      <c r="C1027" s="296"/>
      <c r="D1027" s="291"/>
      <c r="E1027" s="291"/>
      <c r="F1027" s="293"/>
      <c r="G1027" s="293"/>
      <c r="H1027" s="293">
        <f t="shared" si="17"/>
        <v>1746191847.3399999</v>
      </c>
    </row>
    <row r="1028" spans="1:8" x14ac:dyDescent="0.35">
      <c r="A1028" s="291"/>
      <c r="B1028" s="301"/>
      <c r="C1028" s="296"/>
      <c r="D1028" s="291"/>
      <c r="E1028" s="291"/>
      <c r="F1028" s="293"/>
      <c r="G1028" s="293"/>
      <c r="H1028" s="293">
        <f t="shared" si="17"/>
        <v>1746191847.3399999</v>
      </c>
    </row>
    <row r="1029" spans="1:8" x14ac:dyDescent="0.35">
      <c r="A1029" s="291"/>
      <c r="B1029" s="301"/>
      <c r="C1029" s="296"/>
      <c r="D1029" s="291"/>
      <c r="E1029" s="291"/>
      <c r="F1029" s="293"/>
      <c r="G1029" s="293"/>
      <c r="H1029" s="293">
        <f t="shared" si="17"/>
        <v>1746191847.3399999</v>
      </c>
    </row>
    <row r="1030" spans="1:8" x14ac:dyDescent="0.35">
      <c r="A1030" s="291"/>
      <c r="B1030" s="301"/>
      <c r="C1030" s="296"/>
      <c r="D1030" s="291"/>
      <c r="E1030" s="291"/>
      <c r="F1030" s="293"/>
      <c r="G1030" s="293"/>
      <c r="H1030" s="293">
        <f t="shared" si="17"/>
        <v>1746191847.3399999</v>
      </c>
    </row>
    <row r="1031" spans="1:8" x14ac:dyDescent="0.35">
      <c r="A1031" s="291"/>
      <c r="B1031" s="301"/>
      <c r="C1031" s="296"/>
      <c r="D1031" s="291"/>
      <c r="E1031" s="291"/>
      <c r="F1031" s="293"/>
      <c r="G1031" s="293"/>
      <c r="H1031" s="293">
        <f t="shared" si="17"/>
        <v>1746191847.3399999</v>
      </c>
    </row>
    <row r="1032" spans="1:8" x14ac:dyDescent="0.35">
      <c r="A1032" s="291"/>
      <c r="B1032" s="301"/>
      <c r="C1032" s="296"/>
      <c r="D1032" s="291"/>
      <c r="E1032" s="291"/>
      <c r="F1032" s="293"/>
      <c r="G1032" s="293"/>
      <c r="H1032" s="293">
        <f t="shared" si="17"/>
        <v>1746191847.3399999</v>
      </c>
    </row>
    <row r="1033" spans="1:8" x14ac:dyDescent="0.35">
      <c r="A1033" s="291"/>
      <c r="B1033" s="301"/>
      <c r="C1033" s="296"/>
      <c r="D1033" s="291"/>
      <c r="E1033" s="291"/>
      <c r="F1033" s="293"/>
      <c r="G1033" s="293"/>
      <c r="H1033" s="293">
        <f t="shared" si="17"/>
        <v>1746191847.3399999</v>
      </c>
    </row>
    <row r="1034" spans="1:8" x14ac:dyDescent="0.35">
      <c r="A1034" s="291"/>
      <c r="B1034" s="301"/>
      <c r="C1034" s="296"/>
      <c r="D1034" s="291"/>
      <c r="E1034" s="291"/>
      <c r="F1034" s="293"/>
      <c r="G1034" s="293"/>
      <c r="H1034" s="293">
        <f t="shared" si="17"/>
        <v>1746191847.3399999</v>
      </c>
    </row>
    <row r="1035" spans="1:8" x14ac:dyDescent="0.35">
      <c r="A1035" s="291"/>
      <c r="B1035" s="301"/>
      <c r="C1035" s="296"/>
      <c r="D1035" s="291"/>
      <c r="E1035" s="291"/>
      <c r="F1035" s="293"/>
      <c r="G1035" s="293"/>
      <c r="H1035" s="293">
        <f t="shared" si="17"/>
        <v>1746191847.3399999</v>
      </c>
    </row>
    <row r="1036" spans="1:8" x14ac:dyDescent="0.35">
      <c r="A1036" s="291"/>
      <c r="B1036" s="301"/>
      <c r="C1036" s="296"/>
      <c r="D1036" s="291"/>
      <c r="E1036" s="291"/>
      <c r="F1036" s="293"/>
      <c r="G1036" s="293"/>
      <c r="H1036" s="293">
        <f t="shared" si="17"/>
        <v>1746191847.3399999</v>
      </c>
    </row>
    <row r="1037" spans="1:8" x14ac:dyDescent="0.35">
      <c r="A1037" s="291"/>
      <c r="B1037" s="301"/>
      <c r="C1037" s="296"/>
      <c r="D1037" s="291"/>
      <c r="E1037" s="291"/>
      <c r="F1037" s="293"/>
      <c r="G1037" s="293"/>
      <c r="H1037" s="293">
        <f t="shared" si="17"/>
        <v>1746191847.3399999</v>
      </c>
    </row>
    <row r="1038" spans="1:8" x14ac:dyDescent="0.35">
      <c r="A1038" s="291"/>
      <c r="B1038" s="301"/>
      <c r="C1038" s="296"/>
      <c r="D1038" s="291"/>
      <c r="E1038" s="291"/>
      <c r="F1038" s="293"/>
      <c r="G1038" s="293"/>
      <c r="H1038" s="293">
        <f t="shared" si="17"/>
        <v>1746191847.3399999</v>
      </c>
    </row>
    <row r="1039" spans="1:8" x14ac:dyDescent="0.35">
      <c r="A1039" s="291"/>
      <c r="B1039" s="301"/>
      <c r="C1039" s="296"/>
      <c r="D1039" s="291"/>
      <c r="E1039" s="291"/>
      <c r="F1039" s="293"/>
      <c r="G1039" s="293"/>
      <c r="H1039" s="293">
        <f t="shared" si="17"/>
        <v>1746191847.3399999</v>
      </c>
    </row>
    <row r="1040" spans="1:8" x14ac:dyDescent="0.35">
      <c r="A1040" s="291"/>
      <c r="B1040" s="301"/>
      <c r="C1040" s="296"/>
      <c r="D1040" s="291"/>
      <c r="E1040" s="291"/>
      <c r="F1040" s="293"/>
      <c r="G1040" s="293"/>
      <c r="H1040" s="293">
        <f t="shared" si="17"/>
        <v>1746191847.3399999</v>
      </c>
    </row>
    <row r="1041" spans="1:8" x14ac:dyDescent="0.35">
      <c r="A1041" s="291"/>
      <c r="B1041" s="301"/>
      <c r="C1041" s="296"/>
      <c r="D1041" s="291"/>
      <c r="E1041" s="291"/>
      <c r="F1041" s="293"/>
      <c r="G1041" s="293"/>
      <c r="H1041" s="293">
        <f t="shared" si="17"/>
        <v>1746191847.3399999</v>
      </c>
    </row>
    <row r="1042" spans="1:8" x14ac:dyDescent="0.35">
      <c r="A1042" s="291"/>
      <c r="B1042" s="301"/>
      <c r="C1042" s="296"/>
      <c r="D1042" s="291"/>
      <c r="E1042" s="291"/>
      <c r="F1042" s="293"/>
      <c r="G1042" s="293"/>
      <c r="H1042" s="293">
        <f t="shared" si="17"/>
        <v>1746191847.3399999</v>
      </c>
    </row>
    <row r="1043" spans="1:8" x14ac:dyDescent="0.35">
      <c r="A1043" s="291"/>
      <c r="B1043" s="301"/>
      <c r="C1043" s="296"/>
      <c r="D1043" s="291"/>
      <c r="E1043" s="291"/>
      <c r="F1043" s="293"/>
      <c r="G1043" s="293"/>
      <c r="H1043" s="293">
        <f t="shared" si="17"/>
        <v>1746191847.3399999</v>
      </c>
    </row>
    <row r="1044" spans="1:8" x14ac:dyDescent="0.35">
      <c r="A1044" s="291"/>
      <c r="B1044" s="301"/>
      <c r="C1044" s="296"/>
      <c r="D1044" s="291"/>
      <c r="E1044" s="291"/>
      <c r="F1044" s="293"/>
      <c r="G1044" s="293"/>
      <c r="H1044" s="293">
        <f t="shared" si="17"/>
        <v>1746191847.3399999</v>
      </c>
    </row>
    <row r="1045" spans="1:8" x14ac:dyDescent="0.35">
      <c r="A1045" s="291"/>
      <c r="B1045" s="301"/>
      <c r="C1045" s="296"/>
      <c r="D1045" s="291"/>
      <c r="E1045" s="291"/>
      <c r="F1045" s="293"/>
      <c r="G1045" s="293"/>
      <c r="H1045" s="293">
        <f t="shared" si="17"/>
        <v>1746191847.3399999</v>
      </c>
    </row>
    <row r="1046" spans="1:8" x14ac:dyDescent="0.35">
      <c r="A1046" s="291"/>
      <c r="B1046" s="301"/>
      <c r="C1046" s="296"/>
      <c r="D1046" s="291"/>
      <c r="E1046" s="291"/>
      <c r="F1046" s="293"/>
      <c r="G1046" s="293"/>
      <c r="H1046" s="293">
        <f t="shared" si="17"/>
        <v>1746191847.3399999</v>
      </c>
    </row>
    <row r="1047" spans="1:8" x14ac:dyDescent="0.35">
      <c r="A1047" s="291"/>
      <c r="B1047" s="301"/>
      <c r="C1047" s="296"/>
      <c r="D1047" s="291"/>
      <c r="E1047" s="291"/>
      <c r="F1047" s="293"/>
      <c r="G1047" s="293"/>
      <c r="H1047" s="293">
        <f t="shared" si="17"/>
        <v>1746191847.3399999</v>
      </c>
    </row>
    <row r="1048" spans="1:8" x14ac:dyDescent="0.35">
      <c r="A1048" s="291"/>
      <c r="B1048" s="301"/>
      <c r="C1048" s="296"/>
      <c r="D1048" s="291"/>
      <c r="E1048" s="291"/>
      <c r="F1048" s="293"/>
      <c r="G1048" s="293"/>
      <c r="H1048" s="293">
        <f t="shared" si="17"/>
        <v>1746191847.3399999</v>
      </c>
    </row>
    <row r="1049" spans="1:8" x14ac:dyDescent="0.35">
      <c r="A1049" s="291"/>
      <c r="B1049" s="301"/>
      <c r="C1049" s="296"/>
      <c r="D1049" s="291"/>
      <c r="E1049" s="291"/>
      <c r="F1049" s="293"/>
      <c r="G1049" s="293"/>
      <c r="H1049" s="293">
        <f t="shared" si="17"/>
        <v>1746191847.3399999</v>
      </c>
    </row>
    <row r="1050" spans="1:8" x14ac:dyDescent="0.35">
      <c r="A1050" s="291"/>
      <c r="B1050" s="301"/>
      <c r="C1050" s="296"/>
      <c r="D1050" s="291"/>
      <c r="E1050" s="291"/>
      <c r="F1050" s="293"/>
      <c r="G1050" s="293"/>
      <c r="H1050" s="293">
        <f t="shared" si="17"/>
        <v>1746191847.3399999</v>
      </c>
    </row>
    <row r="1051" spans="1:8" x14ac:dyDescent="0.35">
      <c r="A1051" s="291"/>
      <c r="B1051" s="301"/>
      <c r="C1051" s="296"/>
      <c r="D1051" s="291"/>
      <c r="E1051" s="291"/>
      <c r="F1051" s="293"/>
      <c r="G1051" s="293"/>
      <c r="H1051" s="293">
        <f t="shared" si="17"/>
        <v>1746191847.3399999</v>
      </c>
    </row>
    <row r="1052" spans="1:8" x14ac:dyDescent="0.35">
      <c r="A1052" s="291"/>
      <c r="B1052" s="301"/>
      <c r="C1052" s="296"/>
      <c r="D1052" s="291"/>
      <c r="E1052" s="291"/>
      <c r="F1052" s="293"/>
      <c r="G1052" s="293"/>
      <c r="H1052" s="293">
        <f t="shared" si="17"/>
        <v>1746191847.3399999</v>
      </c>
    </row>
    <row r="1053" spans="1:8" x14ac:dyDescent="0.35">
      <c r="A1053" s="291"/>
      <c r="B1053" s="301"/>
      <c r="C1053" s="296"/>
      <c r="D1053" s="291"/>
      <c r="E1053" s="291"/>
      <c r="F1053" s="293"/>
      <c r="G1053" s="293"/>
      <c r="H1053" s="293">
        <f t="shared" si="17"/>
        <v>1746191847.3399999</v>
      </c>
    </row>
    <row r="1054" spans="1:8" x14ac:dyDescent="0.35">
      <c r="A1054" s="291"/>
      <c r="B1054" s="301"/>
      <c r="C1054" s="296"/>
      <c r="D1054" s="291"/>
      <c r="E1054" s="291"/>
      <c r="F1054" s="293"/>
      <c r="G1054" s="293"/>
      <c r="H1054" s="293">
        <f t="shared" si="17"/>
        <v>1746191847.3399999</v>
      </c>
    </row>
    <row r="1055" spans="1:8" x14ac:dyDescent="0.35">
      <c r="A1055" s="291"/>
      <c r="B1055" s="301"/>
      <c r="C1055" s="296"/>
      <c r="D1055" s="291"/>
      <c r="E1055" s="291"/>
      <c r="F1055" s="293"/>
      <c r="G1055" s="293"/>
      <c r="H1055" s="293">
        <f t="shared" si="17"/>
        <v>1746191847.3399999</v>
      </c>
    </row>
    <row r="1056" spans="1:8" x14ac:dyDescent="0.35">
      <c r="A1056" s="291"/>
      <c r="B1056" s="301"/>
      <c r="C1056" s="296"/>
      <c r="D1056" s="291"/>
      <c r="E1056" s="291"/>
      <c r="F1056" s="293"/>
      <c r="G1056" s="293"/>
      <c r="H1056" s="293">
        <f t="shared" ref="H1056:H1119" si="18">H1055+F1056-G1056</f>
        <v>1746191847.3399999</v>
      </c>
    </row>
    <row r="1057" spans="1:8" x14ac:dyDescent="0.35">
      <c r="A1057" s="291"/>
      <c r="B1057" s="301"/>
      <c r="C1057" s="296"/>
      <c r="D1057" s="291"/>
      <c r="E1057" s="291"/>
      <c r="F1057" s="293"/>
      <c r="G1057" s="293"/>
      <c r="H1057" s="293">
        <f t="shared" si="18"/>
        <v>1746191847.3399999</v>
      </c>
    </row>
    <row r="1058" spans="1:8" x14ac:dyDescent="0.35">
      <c r="A1058" s="291"/>
      <c r="B1058" s="301"/>
      <c r="C1058" s="296"/>
      <c r="D1058" s="291"/>
      <c r="E1058" s="291"/>
      <c r="F1058" s="293"/>
      <c r="G1058" s="293"/>
      <c r="H1058" s="293">
        <f t="shared" si="18"/>
        <v>1746191847.3399999</v>
      </c>
    </row>
    <row r="1059" spans="1:8" x14ac:dyDescent="0.35">
      <c r="A1059" s="291"/>
      <c r="B1059" s="301"/>
      <c r="C1059" s="296"/>
      <c r="D1059" s="291"/>
      <c r="E1059" s="291"/>
      <c r="F1059" s="293"/>
      <c r="G1059" s="293"/>
      <c r="H1059" s="293">
        <f t="shared" si="18"/>
        <v>1746191847.3399999</v>
      </c>
    </row>
    <row r="1060" spans="1:8" x14ac:dyDescent="0.35">
      <c r="A1060" s="291"/>
      <c r="B1060" s="301"/>
      <c r="C1060" s="296"/>
      <c r="D1060" s="291"/>
      <c r="E1060" s="291"/>
      <c r="F1060" s="293"/>
      <c r="G1060" s="293"/>
      <c r="H1060" s="293">
        <f t="shared" si="18"/>
        <v>1746191847.3399999</v>
      </c>
    </row>
    <row r="1061" spans="1:8" x14ac:dyDescent="0.35">
      <c r="A1061" s="291"/>
      <c r="B1061" s="301"/>
      <c r="C1061" s="296"/>
      <c r="D1061" s="291"/>
      <c r="E1061" s="291"/>
      <c r="F1061" s="293"/>
      <c r="G1061" s="293"/>
      <c r="H1061" s="293">
        <f t="shared" si="18"/>
        <v>1746191847.3399999</v>
      </c>
    </row>
    <row r="1062" spans="1:8" x14ac:dyDescent="0.35">
      <c r="A1062" s="291"/>
      <c r="B1062" s="301"/>
      <c r="C1062" s="296"/>
      <c r="D1062" s="291"/>
      <c r="E1062" s="291"/>
      <c r="F1062" s="293"/>
      <c r="G1062" s="293"/>
      <c r="H1062" s="293">
        <f t="shared" si="18"/>
        <v>1746191847.3399999</v>
      </c>
    </row>
    <row r="1063" spans="1:8" x14ac:dyDescent="0.35">
      <c r="A1063" s="291"/>
      <c r="B1063" s="301"/>
      <c r="C1063" s="296"/>
      <c r="D1063" s="291"/>
      <c r="E1063" s="291"/>
      <c r="F1063" s="293"/>
      <c r="G1063" s="293"/>
      <c r="H1063" s="293">
        <f t="shared" si="18"/>
        <v>1746191847.3399999</v>
      </c>
    </row>
    <row r="1064" spans="1:8" x14ac:dyDescent="0.35">
      <c r="A1064" s="291"/>
      <c r="B1064" s="301"/>
      <c r="C1064" s="296"/>
      <c r="D1064" s="291"/>
      <c r="E1064" s="291"/>
      <c r="F1064" s="293"/>
      <c r="G1064" s="293"/>
      <c r="H1064" s="293">
        <f t="shared" si="18"/>
        <v>1746191847.3399999</v>
      </c>
    </row>
    <row r="1065" spans="1:8" x14ac:dyDescent="0.35">
      <c r="A1065" s="291"/>
      <c r="B1065" s="301"/>
      <c r="C1065" s="296"/>
      <c r="D1065" s="291"/>
      <c r="E1065" s="291"/>
      <c r="F1065" s="293"/>
      <c r="G1065" s="293"/>
      <c r="H1065" s="293">
        <f t="shared" si="18"/>
        <v>1746191847.3399999</v>
      </c>
    </row>
    <row r="1066" spans="1:8" x14ac:dyDescent="0.35">
      <c r="A1066" s="291"/>
      <c r="B1066" s="301"/>
      <c r="C1066" s="296"/>
      <c r="D1066" s="291"/>
      <c r="E1066" s="291"/>
      <c r="F1066" s="293"/>
      <c r="G1066" s="293"/>
      <c r="H1066" s="293">
        <f t="shared" si="18"/>
        <v>1746191847.3399999</v>
      </c>
    </row>
    <row r="1067" spans="1:8" x14ac:dyDescent="0.35">
      <c r="A1067" s="291"/>
      <c r="B1067" s="301"/>
      <c r="C1067" s="296"/>
      <c r="D1067" s="291"/>
      <c r="E1067" s="291"/>
      <c r="F1067" s="293"/>
      <c r="G1067" s="293"/>
      <c r="H1067" s="293">
        <f t="shared" si="18"/>
        <v>1746191847.3399999</v>
      </c>
    </row>
    <row r="1068" spans="1:8" x14ac:dyDescent="0.35">
      <c r="A1068" s="291"/>
      <c r="B1068" s="301"/>
      <c r="C1068" s="296"/>
      <c r="D1068" s="291"/>
      <c r="E1068" s="291"/>
      <c r="F1068" s="293"/>
      <c r="G1068" s="293"/>
      <c r="H1068" s="293">
        <f t="shared" si="18"/>
        <v>1746191847.3399999</v>
      </c>
    </row>
    <row r="1069" spans="1:8" x14ac:dyDescent="0.35">
      <c r="A1069" s="291"/>
      <c r="B1069" s="301"/>
      <c r="C1069" s="296"/>
      <c r="D1069" s="291"/>
      <c r="E1069" s="291"/>
      <c r="F1069" s="293"/>
      <c r="G1069" s="293"/>
      <c r="H1069" s="293">
        <f t="shared" si="18"/>
        <v>1746191847.3399999</v>
      </c>
    </row>
    <row r="1070" spans="1:8" x14ac:dyDescent="0.35">
      <c r="A1070" s="291"/>
      <c r="B1070" s="301"/>
      <c r="C1070" s="296"/>
      <c r="D1070" s="291"/>
      <c r="E1070" s="291"/>
      <c r="F1070" s="293"/>
      <c r="G1070" s="293"/>
      <c r="H1070" s="293">
        <f t="shared" si="18"/>
        <v>1746191847.3399999</v>
      </c>
    </row>
    <row r="1071" spans="1:8" x14ac:dyDescent="0.35">
      <c r="A1071" s="291"/>
      <c r="B1071" s="301"/>
      <c r="C1071" s="296"/>
      <c r="D1071" s="291"/>
      <c r="E1071" s="291"/>
      <c r="F1071" s="293"/>
      <c r="G1071" s="293"/>
      <c r="H1071" s="293">
        <f t="shared" si="18"/>
        <v>1746191847.3399999</v>
      </c>
    </row>
    <row r="1072" spans="1:8" x14ac:dyDescent="0.35">
      <c r="A1072" s="291"/>
      <c r="B1072" s="301"/>
      <c r="C1072" s="296"/>
      <c r="D1072" s="291"/>
      <c r="E1072" s="291"/>
      <c r="F1072" s="293"/>
      <c r="G1072" s="293"/>
      <c r="H1072" s="293">
        <f t="shared" si="18"/>
        <v>1746191847.3399999</v>
      </c>
    </row>
    <row r="1073" spans="1:8" x14ac:dyDescent="0.35">
      <c r="A1073" s="291"/>
      <c r="B1073" s="301"/>
      <c r="C1073" s="296"/>
      <c r="D1073" s="291"/>
      <c r="E1073" s="291"/>
      <c r="F1073" s="293"/>
      <c r="G1073" s="293"/>
      <c r="H1073" s="293">
        <f t="shared" si="18"/>
        <v>1746191847.3399999</v>
      </c>
    </row>
    <row r="1074" spans="1:8" x14ac:dyDescent="0.35">
      <c r="A1074" s="291"/>
      <c r="B1074" s="301"/>
      <c r="C1074" s="296"/>
      <c r="D1074" s="291"/>
      <c r="E1074" s="291"/>
      <c r="F1074" s="293"/>
      <c r="G1074" s="293"/>
      <c r="H1074" s="293">
        <f t="shared" si="18"/>
        <v>1746191847.3399999</v>
      </c>
    </row>
    <row r="1075" spans="1:8" x14ac:dyDescent="0.35">
      <c r="A1075" s="291"/>
      <c r="B1075" s="301"/>
      <c r="C1075" s="296"/>
      <c r="D1075" s="291"/>
      <c r="E1075" s="291"/>
      <c r="F1075" s="293"/>
      <c r="G1075" s="293"/>
      <c r="H1075" s="293">
        <f t="shared" si="18"/>
        <v>1746191847.3399999</v>
      </c>
    </row>
    <row r="1076" spans="1:8" x14ac:dyDescent="0.35">
      <c r="A1076" s="291"/>
      <c r="B1076" s="301"/>
      <c r="C1076" s="296"/>
      <c r="D1076" s="291"/>
      <c r="E1076" s="291"/>
      <c r="F1076" s="293"/>
      <c r="G1076" s="293"/>
      <c r="H1076" s="293">
        <f t="shared" si="18"/>
        <v>1746191847.3399999</v>
      </c>
    </row>
    <row r="1077" spans="1:8" x14ac:dyDescent="0.35">
      <c r="A1077" s="291"/>
      <c r="B1077" s="301"/>
      <c r="C1077" s="296"/>
      <c r="D1077" s="291"/>
      <c r="E1077" s="291"/>
      <c r="F1077" s="293"/>
      <c r="G1077" s="293"/>
      <c r="H1077" s="293">
        <f t="shared" si="18"/>
        <v>1746191847.3399999</v>
      </c>
    </row>
    <row r="1078" spans="1:8" x14ac:dyDescent="0.35">
      <c r="A1078" s="291"/>
      <c r="B1078" s="301"/>
      <c r="C1078" s="296"/>
      <c r="D1078" s="291"/>
      <c r="E1078" s="291"/>
      <c r="F1078" s="293"/>
      <c r="G1078" s="293"/>
      <c r="H1078" s="293">
        <f t="shared" si="18"/>
        <v>1746191847.3399999</v>
      </c>
    </row>
    <row r="1079" spans="1:8" x14ac:dyDescent="0.35">
      <c r="A1079" s="291"/>
      <c r="B1079" s="301"/>
      <c r="C1079" s="296"/>
      <c r="D1079" s="291"/>
      <c r="E1079" s="291"/>
      <c r="F1079" s="293"/>
      <c r="G1079" s="293"/>
      <c r="H1079" s="293">
        <f t="shared" si="18"/>
        <v>1746191847.3399999</v>
      </c>
    </row>
    <row r="1080" spans="1:8" x14ac:dyDescent="0.35">
      <c r="A1080" s="291"/>
      <c r="B1080" s="301"/>
      <c r="C1080" s="296"/>
      <c r="D1080" s="291"/>
      <c r="E1080" s="291"/>
      <c r="F1080" s="293"/>
      <c r="G1080" s="293"/>
      <c r="H1080" s="293">
        <f t="shared" si="18"/>
        <v>1746191847.3399999</v>
      </c>
    </row>
    <row r="1081" spans="1:8" x14ac:dyDescent="0.35">
      <c r="A1081" s="291"/>
      <c r="B1081" s="301"/>
      <c r="C1081" s="296"/>
      <c r="D1081" s="291"/>
      <c r="E1081" s="291"/>
      <c r="F1081" s="293"/>
      <c r="G1081" s="293"/>
      <c r="H1081" s="293">
        <f t="shared" si="18"/>
        <v>1746191847.3399999</v>
      </c>
    </row>
    <row r="1082" spans="1:8" x14ac:dyDescent="0.35">
      <c r="A1082" s="291"/>
      <c r="B1082" s="301"/>
      <c r="C1082" s="296"/>
      <c r="D1082" s="291"/>
      <c r="E1082" s="291"/>
      <c r="F1082" s="293"/>
      <c r="G1082" s="293"/>
      <c r="H1082" s="293">
        <f t="shared" si="18"/>
        <v>1746191847.3399999</v>
      </c>
    </row>
    <row r="1083" spans="1:8" x14ac:dyDescent="0.35">
      <c r="A1083" s="291"/>
      <c r="B1083" s="301"/>
      <c r="C1083" s="296"/>
      <c r="D1083" s="291"/>
      <c r="E1083" s="291"/>
      <c r="F1083" s="293"/>
      <c r="G1083" s="293"/>
      <c r="H1083" s="293">
        <f t="shared" si="18"/>
        <v>1746191847.3399999</v>
      </c>
    </row>
    <row r="1084" spans="1:8" x14ac:dyDescent="0.35">
      <c r="A1084" s="291"/>
      <c r="B1084" s="301"/>
      <c r="C1084" s="296"/>
      <c r="D1084" s="291"/>
      <c r="E1084" s="291"/>
      <c r="F1084" s="293"/>
      <c r="G1084" s="293"/>
      <c r="H1084" s="293">
        <f t="shared" si="18"/>
        <v>1746191847.3399999</v>
      </c>
    </row>
    <row r="1085" spans="1:8" x14ac:dyDescent="0.35">
      <c r="A1085" s="291"/>
      <c r="B1085" s="301"/>
      <c r="C1085" s="296"/>
      <c r="D1085" s="291"/>
      <c r="E1085" s="291"/>
      <c r="F1085" s="293"/>
      <c r="G1085" s="293"/>
      <c r="H1085" s="293">
        <f t="shared" si="18"/>
        <v>1746191847.3399999</v>
      </c>
    </row>
    <row r="1086" spans="1:8" x14ac:dyDescent="0.35">
      <c r="A1086" s="291"/>
      <c r="B1086" s="301"/>
      <c r="C1086" s="296"/>
      <c r="D1086" s="291"/>
      <c r="E1086" s="291"/>
      <c r="F1086" s="293"/>
      <c r="G1086" s="293"/>
      <c r="H1086" s="293">
        <f t="shared" si="18"/>
        <v>1746191847.3399999</v>
      </c>
    </row>
    <row r="1087" spans="1:8" x14ac:dyDescent="0.35">
      <c r="A1087" s="291"/>
      <c r="B1087" s="301"/>
      <c r="C1087" s="296"/>
      <c r="D1087" s="291"/>
      <c r="E1087" s="291"/>
      <c r="F1087" s="293"/>
      <c r="G1087" s="293"/>
      <c r="H1087" s="293">
        <f t="shared" si="18"/>
        <v>1746191847.3399999</v>
      </c>
    </row>
    <row r="1088" spans="1:8" x14ac:dyDescent="0.35">
      <c r="A1088" s="291"/>
      <c r="B1088" s="301"/>
      <c r="C1088" s="296"/>
      <c r="D1088" s="291"/>
      <c r="E1088" s="291"/>
      <c r="F1088" s="293"/>
      <c r="G1088" s="293"/>
      <c r="H1088" s="293">
        <f t="shared" si="18"/>
        <v>1746191847.3399999</v>
      </c>
    </row>
    <row r="1089" spans="1:8" x14ac:dyDescent="0.35">
      <c r="A1089" s="291"/>
      <c r="B1089" s="301"/>
      <c r="C1089" s="296"/>
      <c r="D1089" s="291"/>
      <c r="E1089" s="291"/>
      <c r="F1089" s="293"/>
      <c r="G1089" s="293"/>
      <c r="H1089" s="293">
        <f t="shared" si="18"/>
        <v>1746191847.3399999</v>
      </c>
    </row>
    <row r="1090" spans="1:8" x14ac:dyDescent="0.35">
      <c r="A1090" s="291"/>
      <c r="B1090" s="301"/>
      <c r="C1090" s="296"/>
      <c r="D1090" s="291"/>
      <c r="E1090" s="291"/>
      <c r="F1090" s="293"/>
      <c r="G1090" s="293"/>
      <c r="H1090" s="293">
        <f t="shared" si="18"/>
        <v>1746191847.3399999</v>
      </c>
    </row>
    <row r="1091" spans="1:8" x14ac:dyDescent="0.35">
      <c r="A1091" s="291"/>
      <c r="B1091" s="301"/>
      <c r="C1091" s="296"/>
      <c r="D1091" s="291"/>
      <c r="E1091" s="291"/>
      <c r="F1091" s="293"/>
      <c r="G1091" s="293"/>
      <c r="H1091" s="293">
        <f t="shared" si="18"/>
        <v>1746191847.3399999</v>
      </c>
    </row>
    <row r="1092" spans="1:8" x14ac:dyDescent="0.35">
      <c r="A1092" s="291"/>
      <c r="B1092" s="301"/>
      <c r="C1092" s="296"/>
      <c r="D1092" s="291"/>
      <c r="E1092" s="291"/>
      <c r="F1092" s="293"/>
      <c r="G1092" s="293"/>
      <c r="H1092" s="293">
        <f t="shared" si="18"/>
        <v>1746191847.3399999</v>
      </c>
    </row>
    <row r="1093" spans="1:8" x14ac:dyDescent="0.35">
      <c r="A1093" s="291"/>
      <c r="B1093" s="301"/>
      <c r="C1093" s="296"/>
      <c r="D1093" s="291"/>
      <c r="E1093" s="291"/>
      <c r="F1093" s="293"/>
      <c r="G1093" s="293"/>
      <c r="H1093" s="293">
        <f t="shared" si="18"/>
        <v>1746191847.3399999</v>
      </c>
    </row>
    <row r="1094" spans="1:8" x14ac:dyDescent="0.35">
      <c r="A1094" s="291"/>
      <c r="B1094" s="301"/>
      <c r="C1094" s="296"/>
      <c r="D1094" s="291"/>
      <c r="E1094" s="291"/>
      <c r="F1094" s="293"/>
      <c r="G1094" s="293"/>
      <c r="H1094" s="293">
        <f t="shared" si="18"/>
        <v>1746191847.3399999</v>
      </c>
    </row>
    <row r="1095" spans="1:8" x14ac:dyDescent="0.35">
      <c r="A1095" s="291"/>
      <c r="B1095" s="301"/>
      <c r="C1095" s="296"/>
      <c r="D1095" s="291"/>
      <c r="E1095" s="291"/>
      <c r="F1095" s="293"/>
      <c r="G1095" s="293"/>
      <c r="H1095" s="293">
        <f t="shared" si="18"/>
        <v>1746191847.3399999</v>
      </c>
    </row>
    <row r="1096" spans="1:8" x14ac:dyDescent="0.35">
      <c r="A1096" s="291"/>
      <c r="B1096" s="301"/>
      <c r="C1096" s="296"/>
      <c r="D1096" s="291"/>
      <c r="E1096" s="291"/>
      <c r="F1096" s="293"/>
      <c r="G1096" s="293"/>
      <c r="H1096" s="293">
        <f t="shared" si="18"/>
        <v>1746191847.3399999</v>
      </c>
    </row>
    <row r="1097" spans="1:8" x14ac:dyDescent="0.35">
      <c r="A1097" s="291"/>
      <c r="B1097" s="301"/>
      <c r="C1097" s="296"/>
      <c r="D1097" s="291"/>
      <c r="E1097" s="291"/>
      <c r="F1097" s="293"/>
      <c r="G1097" s="293"/>
      <c r="H1097" s="293">
        <f t="shared" si="18"/>
        <v>1746191847.3399999</v>
      </c>
    </row>
    <row r="1098" spans="1:8" x14ac:dyDescent="0.35">
      <c r="A1098" s="291"/>
      <c r="B1098" s="301"/>
      <c r="C1098" s="296"/>
      <c r="D1098" s="291"/>
      <c r="E1098" s="291"/>
      <c r="F1098" s="293"/>
      <c r="G1098" s="293"/>
      <c r="H1098" s="293">
        <f t="shared" si="18"/>
        <v>1746191847.3399999</v>
      </c>
    </row>
    <row r="1099" spans="1:8" x14ac:dyDescent="0.35">
      <c r="A1099" s="291"/>
      <c r="B1099" s="301"/>
      <c r="C1099" s="296"/>
      <c r="D1099" s="291"/>
      <c r="E1099" s="291"/>
      <c r="F1099" s="293"/>
      <c r="G1099" s="293"/>
      <c r="H1099" s="293">
        <f t="shared" si="18"/>
        <v>1746191847.3399999</v>
      </c>
    </row>
    <row r="1100" spans="1:8" x14ac:dyDescent="0.35">
      <c r="A1100" s="291"/>
      <c r="B1100" s="301"/>
      <c r="C1100" s="296"/>
      <c r="D1100" s="291"/>
      <c r="E1100" s="291"/>
      <c r="F1100" s="293"/>
      <c r="G1100" s="293"/>
      <c r="H1100" s="293">
        <f t="shared" si="18"/>
        <v>1746191847.3399999</v>
      </c>
    </row>
    <row r="1101" spans="1:8" x14ac:dyDescent="0.35">
      <c r="A1101" s="291"/>
      <c r="B1101" s="301"/>
      <c r="C1101" s="296"/>
      <c r="D1101" s="291"/>
      <c r="E1101" s="291"/>
      <c r="F1101" s="293"/>
      <c r="G1101" s="293"/>
      <c r="H1101" s="293">
        <f t="shared" si="18"/>
        <v>1746191847.3399999</v>
      </c>
    </row>
    <row r="1102" spans="1:8" x14ac:dyDescent="0.35">
      <c r="A1102" s="291"/>
      <c r="B1102" s="301"/>
      <c r="C1102" s="296"/>
      <c r="D1102" s="291"/>
      <c r="E1102" s="291"/>
      <c r="F1102" s="293"/>
      <c r="G1102" s="293"/>
      <c r="H1102" s="293">
        <f t="shared" si="18"/>
        <v>1746191847.3399999</v>
      </c>
    </row>
    <row r="1103" spans="1:8" x14ac:dyDescent="0.35">
      <c r="A1103" s="291"/>
      <c r="B1103" s="301"/>
      <c r="C1103" s="296"/>
      <c r="D1103" s="291"/>
      <c r="E1103" s="291"/>
      <c r="F1103" s="293"/>
      <c r="G1103" s="293"/>
      <c r="H1103" s="293">
        <f t="shared" si="18"/>
        <v>1746191847.3399999</v>
      </c>
    </row>
    <row r="1104" spans="1:8" x14ac:dyDescent="0.35">
      <c r="A1104" s="291"/>
      <c r="B1104" s="301"/>
      <c r="C1104" s="296"/>
      <c r="D1104" s="291"/>
      <c r="E1104" s="291"/>
      <c r="F1104" s="293"/>
      <c r="G1104" s="293"/>
      <c r="H1104" s="293">
        <f t="shared" si="18"/>
        <v>1746191847.3399999</v>
      </c>
    </row>
    <row r="1105" spans="1:8" x14ac:dyDescent="0.35">
      <c r="A1105" s="291"/>
      <c r="B1105" s="301"/>
      <c r="C1105" s="296"/>
      <c r="D1105" s="291"/>
      <c r="E1105" s="291"/>
      <c r="F1105" s="293"/>
      <c r="G1105" s="293"/>
      <c r="H1105" s="293">
        <f t="shared" si="18"/>
        <v>1746191847.3399999</v>
      </c>
    </row>
    <row r="1106" spans="1:8" x14ac:dyDescent="0.35">
      <c r="A1106" s="291"/>
      <c r="B1106" s="301"/>
      <c r="C1106" s="296"/>
      <c r="D1106" s="291"/>
      <c r="E1106" s="291"/>
      <c r="F1106" s="293"/>
      <c r="G1106" s="293"/>
      <c r="H1106" s="293">
        <f t="shared" si="18"/>
        <v>1746191847.3399999</v>
      </c>
    </row>
    <row r="1107" spans="1:8" x14ac:dyDescent="0.35">
      <c r="A1107" s="291"/>
      <c r="B1107" s="301"/>
      <c r="C1107" s="296"/>
      <c r="D1107" s="291"/>
      <c r="E1107" s="291"/>
      <c r="F1107" s="293"/>
      <c r="G1107" s="293"/>
      <c r="H1107" s="293">
        <f t="shared" si="18"/>
        <v>1746191847.3399999</v>
      </c>
    </row>
    <row r="1108" spans="1:8" x14ac:dyDescent="0.35">
      <c r="A1108" s="291"/>
      <c r="B1108" s="301"/>
      <c r="C1108" s="296"/>
      <c r="D1108" s="291"/>
      <c r="E1108" s="291"/>
      <c r="F1108" s="293"/>
      <c r="G1108" s="293"/>
      <c r="H1108" s="293">
        <f t="shared" si="18"/>
        <v>1746191847.3399999</v>
      </c>
    </row>
    <row r="1109" spans="1:8" x14ac:dyDescent="0.35">
      <c r="A1109" s="291"/>
      <c r="B1109" s="301"/>
      <c r="C1109" s="296"/>
      <c r="D1109" s="291"/>
      <c r="E1109" s="291"/>
      <c r="F1109" s="293"/>
      <c r="G1109" s="293"/>
      <c r="H1109" s="293">
        <f t="shared" si="18"/>
        <v>1746191847.3399999</v>
      </c>
    </row>
    <row r="1110" spans="1:8" x14ac:dyDescent="0.35">
      <c r="A1110" s="291"/>
      <c r="B1110" s="301"/>
      <c r="C1110" s="296"/>
      <c r="D1110" s="291"/>
      <c r="E1110" s="291"/>
      <c r="F1110" s="293"/>
      <c r="G1110" s="293"/>
      <c r="H1110" s="293">
        <f t="shared" si="18"/>
        <v>1746191847.3399999</v>
      </c>
    </row>
    <row r="1111" spans="1:8" x14ac:dyDescent="0.35">
      <c r="A1111" s="291"/>
      <c r="B1111" s="301"/>
      <c r="C1111" s="296"/>
      <c r="D1111" s="291"/>
      <c r="E1111" s="291"/>
      <c r="F1111" s="293"/>
      <c r="G1111" s="293"/>
      <c r="H1111" s="293">
        <f t="shared" si="18"/>
        <v>1746191847.3399999</v>
      </c>
    </row>
    <row r="1112" spans="1:8" x14ac:dyDescent="0.35">
      <c r="A1112" s="291"/>
      <c r="B1112" s="301"/>
      <c r="C1112" s="296"/>
      <c r="D1112" s="291"/>
      <c r="E1112" s="291"/>
      <c r="F1112" s="293"/>
      <c r="G1112" s="293"/>
      <c r="H1112" s="293">
        <f t="shared" si="18"/>
        <v>1746191847.3399999</v>
      </c>
    </row>
    <row r="1113" spans="1:8" x14ac:dyDescent="0.35">
      <c r="A1113" s="291"/>
      <c r="B1113" s="301"/>
      <c r="C1113" s="296"/>
      <c r="D1113" s="291"/>
      <c r="E1113" s="291"/>
      <c r="F1113" s="293"/>
      <c r="G1113" s="293"/>
      <c r="H1113" s="293">
        <f t="shared" si="18"/>
        <v>1746191847.3399999</v>
      </c>
    </row>
    <row r="1114" spans="1:8" x14ac:dyDescent="0.35">
      <c r="A1114" s="291"/>
      <c r="B1114" s="301"/>
      <c r="C1114" s="296"/>
      <c r="D1114" s="291"/>
      <c r="E1114" s="291"/>
      <c r="F1114" s="293"/>
      <c r="G1114" s="293"/>
      <c r="H1114" s="293">
        <f t="shared" si="18"/>
        <v>1746191847.3399999</v>
      </c>
    </row>
    <row r="1115" spans="1:8" x14ac:dyDescent="0.35">
      <c r="A1115" s="291"/>
      <c r="B1115" s="301"/>
      <c r="C1115" s="296"/>
      <c r="D1115" s="291"/>
      <c r="E1115" s="291"/>
      <c r="F1115" s="293"/>
      <c r="G1115" s="293"/>
      <c r="H1115" s="293">
        <f t="shared" si="18"/>
        <v>1746191847.3399999</v>
      </c>
    </row>
    <row r="1116" spans="1:8" x14ac:dyDescent="0.35">
      <c r="A1116" s="291"/>
      <c r="B1116" s="301"/>
      <c r="C1116" s="296"/>
      <c r="D1116" s="291"/>
      <c r="E1116" s="291"/>
      <c r="F1116" s="293"/>
      <c r="G1116" s="293"/>
      <c r="H1116" s="293">
        <f t="shared" si="18"/>
        <v>1746191847.3399999</v>
      </c>
    </row>
    <row r="1117" spans="1:8" x14ac:dyDescent="0.35">
      <c r="A1117" s="291"/>
      <c r="B1117" s="301"/>
      <c r="C1117" s="296"/>
      <c r="D1117" s="291"/>
      <c r="E1117" s="291"/>
      <c r="F1117" s="293"/>
      <c r="G1117" s="293"/>
      <c r="H1117" s="293">
        <f t="shared" si="18"/>
        <v>1746191847.3399999</v>
      </c>
    </row>
    <row r="1118" spans="1:8" x14ac:dyDescent="0.35">
      <c r="A1118" s="291"/>
      <c r="B1118" s="301"/>
      <c r="C1118" s="296"/>
      <c r="D1118" s="291"/>
      <c r="E1118" s="291"/>
      <c r="F1118" s="293"/>
      <c r="G1118" s="293"/>
      <c r="H1118" s="293">
        <f t="shared" si="18"/>
        <v>1746191847.3399999</v>
      </c>
    </row>
    <row r="1119" spans="1:8" x14ac:dyDescent="0.35">
      <c r="A1119" s="291"/>
      <c r="B1119" s="301"/>
      <c r="C1119" s="296"/>
      <c r="D1119" s="291"/>
      <c r="E1119" s="291"/>
      <c r="F1119" s="293"/>
      <c r="G1119" s="293"/>
      <c r="H1119" s="293">
        <f t="shared" si="18"/>
        <v>1746191847.3399999</v>
      </c>
    </row>
    <row r="1120" spans="1:8" x14ac:dyDescent="0.35">
      <c r="A1120" s="291"/>
      <c r="B1120" s="301"/>
      <c r="C1120" s="296"/>
      <c r="D1120" s="291"/>
      <c r="E1120" s="291"/>
      <c r="F1120" s="293"/>
      <c r="G1120" s="293"/>
      <c r="H1120" s="293">
        <f t="shared" ref="H1120:H1183" si="19">H1119+F1120-G1120</f>
        <v>1746191847.3399999</v>
      </c>
    </row>
    <row r="1121" spans="1:8" x14ac:dyDescent="0.35">
      <c r="A1121" s="291"/>
      <c r="B1121" s="301"/>
      <c r="C1121" s="296"/>
      <c r="D1121" s="291"/>
      <c r="E1121" s="291"/>
      <c r="F1121" s="293"/>
      <c r="G1121" s="293"/>
      <c r="H1121" s="293">
        <f t="shared" si="19"/>
        <v>1746191847.3399999</v>
      </c>
    </row>
    <row r="1122" spans="1:8" x14ac:dyDescent="0.35">
      <c r="A1122" s="291"/>
      <c r="B1122" s="301"/>
      <c r="C1122" s="296"/>
      <c r="D1122" s="291"/>
      <c r="E1122" s="291"/>
      <c r="F1122" s="293"/>
      <c r="G1122" s="293"/>
      <c r="H1122" s="293">
        <f t="shared" si="19"/>
        <v>1746191847.3399999</v>
      </c>
    </row>
    <row r="1123" spans="1:8" x14ac:dyDescent="0.35">
      <c r="A1123" s="291"/>
      <c r="B1123" s="301"/>
      <c r="C1123" s="296"/>
      <c r="D1123" s="291"/>
      <c r="E1123" s="291"/>
      <c r="F1123" s="293"/>
      <c r="G1123" s="293"/>
      <c r="H1123" s="293">
        <f t="shared" si="19"/>
        <v>1746191847.3399999</v>
      </c>
    </row>
    <row r="1124" spans="1:8" x14ac:dyDescent="0.35">
      <c r="A1124" s="291"/>
      <c r="B1124" s="301"/>
      <c r="C1124" s="296"/>
      <c r="D1124" s="291"/>
      <c r="E1124" s="291"/>
      <c r="F1124" s="293"/>
      <c r="G1124" s="293"/>
      <c r="H1124" s="293">
        <f t="shared" si="19"/>
        <v>1746191847.3399999</v>
      </c>
    </row>
    <row r="1125" spans="1:8" x14ac:dyDescent="0.35">
      <c r="A1125" s="291"/>
      <c r="B1125" s="301"/>
      <c r="C1125" s="296"/>
      <c r="D1125" s="291"/>
      <c r="E1125" s="291"/>
      <c r="F1125" s="293"/>
      <c r="G1125" s="293"/>
      <c r="H1125" s="293">
        <f t="shared" si="19"/>
        <v>1746191847.3399999</v>
      </c>
    </row>
    <row r="1126" spans="1:8" x14ac:dyDescent="0.35">
      <c r="A1126" s="291"/>
      <c r="B1126" s="301"/>
      <c r="C1126" s="296"/>
      <c r="D1126" s="291"/>
      <c r="E1126" s="291"/>
      <c r="F1126" s="293"/>
      <c r="G1126" s="293"/>
      <c r="H1126" s="293">
        <f t="shared" si="19"/>
        <v>1746191847.3399999</v>
      </c>
    </row>
    <row r="1127" spans="1:8" x14ac:dyDescent="0.35">
      <c r="A1127" s="291"/>
      <c r="B1127" s="301"/>
      <c r="C1127" s="296"/>
      <c r="D1127" s="291"/>
      <c r="E1127" s="291"/>
      <c r="F1127" s="293"/>
      <c r="G1127" s="293"/>
      <c r="H1127" s="293">
        <f t="shared" si="19"/>
        <v>1746191847.3399999</v>
      </c>
    </row>
    <row r="1128" spans="1:8" x14ac:dyDescent="0.35">
      <c r="A1128" s="291"/>
      <c r="B1128" s="301"/>
      <c r="C1128" s="296"/>
      <c r="D1128" s="291"/>
      <c r="E1128" s="291"/>
      <c r="F1128" s="293"/>
      <c r="G1128" s="293"/>
      <c r="H1128" s="293">
        <f t="shared" si="19"/>
        <v>1746191847.3399999</v>
      </c>
    </row>
    <row r="1129" spans="1:8" x14ac:dyDescent="0.35">
      <c r="A1129" s="291"/>
      <c r="B1129" s="301"/>
      <c r="C1129" s="296"/>
      <c r="D1129" s="291"/>
      <c r="E1129" s="291"/>
      <c r="F1129" s="293"/>
      <c r="G1129" s="293"/>
      <c r="H1129" s="293">
        <f t="shared" si="19"/>
        <v>1746191847.3399999</v>
      </c>
    </row>
    <row r="1130" spans="1:8" x14ac:dyDescent="0.35">
      <c r="A1130" s="291"/>
      <c r="B1130" s="301"/>
      <c r="C1130" s="296"/>
      <c r="D1130" s="291"/>
      <c r="E1130" s="291"/>
      <c r="F1130" s="293"/>
      <c r="G1130" s="293"/>
      <c r="H1130" s="293">
        <f t="shared" si="19"/>
        <v>1746191847.3399999</v>
      </c>
    </row>
    <row r="1131" spans="1:8" x14ac:dyDescent="0.35">
      <c r="A1131" s="291"/>
      <c r="B1131" s="301"/>
      <c r="C1131" s="296"/>
      <c r="D1131" s="291"/>
      <c r="E1131" s="291"/>
      <c r="F1131" s="293"/>
      <c r="G1131" s="293"/>
      <c r="H1131" s="293">
        <f t="shared" si="19"/>
        <v>1746191847.3399999</v>
      </c>
    </row>
    <row r="1132" spans="1:8" x14ac:dyDescent="0.35">
      <c r="A1132" s="291"/>
      <c r="B1132" s="301"/>
      <c r="C1132" s="296"/>
      <c r="D1132" s="291"/>
      <c r="E1132" s="291"/>
      <c r="F1132" s="293"/>
      <c r="G1132" s="293"/>
      <c r="H1132" s="293">
        <f t="shared" si="19"/>
        <v>1746191847.3399999</v>
      </c>
    </row>
    <row r="1133" spans="1:8" x14ac:dyDescent="0.35">
      <c r="A1133" s="291"/>
      <c r="B1133" s="301"/>
      <c r="C1133" s="296"/>
      <c r="D1133" s="291"/>
      <c r="E1133" s="291"/>
      <c r="F1133" s="293"/>
      <c r="G1133" s="293"/>
      <c r="H1133" s="293">
        <f t="shared" si="19"/>
        <v>1746191847.3399999</v>
      </c>
    </row>
    <row r="1134" spans="1:8" x14ac:dyDescent="0.35">
      <c r="A1134" s="291"/>
      <c r="B1134" s="301"/>
      <c r="C1134" s="296"/>
      <c r="D1134" s="291"/>
      <c r="E1134" s="291"/>
      <c r="F1134" s="293"/>
      <c r="G1134" s="293"/>
      <c r="H1134" s="293">
        <f t="shared" si="19"/>
        <v>1746191847.3399999</v>
      </c>
    </row>
    <row r="1135" spans="1:8" x14ac:dyDescent="0.35">
      <c r="A1135" s="291"/>
      <c r="B1135" s="301"/>
      <c r="C1135" s="296"/>
      <c r="D1135" s="291"/>
      <c r="E1135" s="291"/>
      <c r="F1135" s="293"/>
      <c r="G1135" s="293"/>
      <c r="H1135" s="293">
        <f t="shared" si="19"/>
        <v>1746191847.3399999</v>
      </c>
    </row>
    <row r="1136" spans="1:8" x14ac:dyDescent="0.35">
      <c r="A1136" s="291"/>
      <c r="B1136" s="301"/>
      <c r="C1136" s="296"/>
      <c r="D1136" s="291"/>
      <c r="E1136" s="291"/>
      <c r="F1136" s="293"/>
      <c r="G1136" s="293"/>
      <c r="H1136" s="293">
        <f t="shared" si="19"/>
        <v>1746191847.3399999</v>
      </c>
    </row>
    <row r="1137" spans="1:8" x14ac:dyDescent="0.35">
      <c r="A1137" s="291"/>
      <c r="B1137" s="301"/>
      <c r="C1137" s="296"/>
      <c r="D1137" s="291"/>
      <c r="E1137" s="291"/>
      <c r="F1137" s="293"/>
      <c r="G1137" s="293"/>
      <c r="H1137" s="293">
        <f t="shared" si="19"/>
        <v>1746191847.3399999</v>
      </c>
    </row>
    <row r="1138" spans="1:8" x14ac:dyDescent="0.35">
      <c r="A1138" s="291"/>
      <c r="B1138" s="301"/>
      <c r="C1138" s="296"/>
      <c r="D1138" s="291"/>
      <c r="E1138" s="291"/>
      <c r="F1138" s="293"/>
      <c r="G1138" s="293"/>
      <c r="H1138" s="293">
        <f t="shared" si="19"/>
        <v>1746191847.3399999</v>
      </c>
    </row>
    <row r="1139" spans="1:8" x14ac:dyDescent="0.35">
      <c r="A1139" s="291"/>
      <c r="B1139" s="301"/>
      <c r="C1139" s="296"/>
      <c r="D1139" s="291"/>
      <c r="E1139" s="291"/>
      <c r="F1139" s="293"/>
      <c r="G1139" s="293"/>
      <c r="H1139" s="293">
        <f t="shared" si="19"/>
        <v>1746191847.3399999</v>
      </c>
    </row>
    <row r="1140" spans="1:8" x14ac:dyDescent="0.35">
      <c r="A1140" s="291"/>
      <c r="B1140" s="301"/>
      <c r="C1140" s="296"/>
      <c r="D1140" s="291"/>
      <c r="E1140" s="291"/>
      <c r="F1140" s="293"/>
      <c r="G1140" s="293"/>
      <c r="H1140" s="293">
        <f t="shared" si="19"/>
        <v>1746191847.3399999</v>
      </c>
    </row>
    <row r="1141" spans="1:8" x14ac:dyDescent="0.35">
      <c r="A1141" s="291"/>
      <c r="B1141" s="301"/>
      <c r="C1141" s="296"/>
      <c r="D1141" s="291"/>
      <c r="E1141" s="291"/>
      <c r="F1141" s="293"/>
      <c r="G1141" s="293"/>
      <c r="H1141" s="293">
        <f t="shared" si="19"/>
        <v>1746191847.3399999</v>
      </c>
    </row>
    <row r="1142" spans="1:8" x14ac:dyDescent="0.35">
      <c r="A1142" s="291"/>
      <c r="B1142" s="301"/>
      <c r="C1142" s="296"/>
      <c r="D1142" s="291"/>
      <c r="E1142" s="291"/>
      <c r="F1142" s="293"/>
      <c r="G1142" s="293"/>
      <c r="H1142" s="293">
        <f t="shared" si="19"/>
        <v>1746191847.3399999</v>
      </c>
    </row>
    <row r="1143" spans="1:8" x14ac:dyDescent="0.35">
      <c r="A1143" s="291"/>
      <c r="B1143" s="301"/>
      <c r="C1143" s="296"/>
      <c r="D1143" s="291"/>
      <c r="E1143" s="291"/>
      <c r="F1143" s="293"/>
      <c r="G1143" s="293"/>
      <c r="H1143" s="293">
        <f t="shared" si="19"/>
        <v>1746191847.3399999</v>
      </c>
    </row>
    <row r="1144" spans="1:8" x14ac:dyDescent="0.35">
      <c r="A1144" s="291"/>
      <c r="B1144" s="301"/>
      <c r="C1144" s="296"/>
      <c r="D1144" s="291"/>
      <c r="E1144" s="291"/>
      <c r="F1144" s="293"/>
      <c r="G1144" s="293"/>
      <c r="H1144" s="293">
        <f t="shared" si="19"/>
        <v>1746191847.3399999</v>
      </c>
    </row>
    <row r="1145" spans="1:8" x14ac:dyDescent="0.35">
      <c r="A1145" s="291"/>
      <c r="B1145" s="301"/>
      <c r="C1145" s="296"/>
      <c r="D1145" s="291"/>
      <c r="E1145" s="291"/>
      <c r="F1145" s="293"/>
      <c r="G1145" s="293"/>
      <c r="H1145" s="293">
        <f t="shared" si="19"/>
        <v>1746191847.3399999</v>
      </c>
    </row>
    <row r="1146" spans="1:8" x14ac:dyDescent="0.35">
      <c r="A1146" s="291"/>
      <c r="B1146" s="301"/>
      <c r="C1146" s="296"/>
      <c r="D1146" s="291"/>
      <c r="E1146" s="291"/>
      <c r="F1146" s="293"/>
      <c r="G1146" s="293"/>
      <c r="H1146" s="293">
        <f t="shared" si="19"/>
        <v>1746191847.3399999</v>
      </c>
    </row>
    <row r="1147" spans="1:8" x14ac:dyDescent="0.35">
      <c r="A1147" s="291"/>
      <c r="B1147" s="301"/>
      <c r="C1147" s="296"/>
      <c r="D1147" s="291"/>
      <c r="E1147" s="291"/>
      <c r="F1147" s="293"/>
      <c r="G1147" s="293"/>
      <c r="H1147" s="293">
        <f t="shared" si="19"/>
        <v>1746191847.3399999</v>
      </c>
    </row>
    <row r="1148" spans="1:8" x14ac:dyDescent="0.35">
      <c r="A1148" s="291"/>
      <c r="B1148" s="301"/>
      <c r="C1148" s="296"/>
      <c r="D1148" s="291"/>
      <c r="E1148" s="291"/>
      <c r="F1148" s="293"/>
      <c r="G1148" s="293"/>
      <c r="H1148" s="293">
        <f t="shared" si="19"/>
        <v>1746191847.3399999</v>
      </c>
    </row>
    <row r="1149" spans="1:8" x14ac:dyDescent="0.35">
      <c r="A1149" s="291"/>
      <c r="B1149" s="301"/>
      <c r="C1149" s="296"/>
      <c r="D1149" s="291"/>
      <c r="E1149" s="291"/>
      <c r="F1149" s="293"/>
      <c r="G1149" s="293"/>
      <c r="H1149" s="293">
        <f t="shared" si="19"/>
        <v>1746191847.3399999</v>
      </c>
    </row>
    <row r="1150" spans="1:8" x14ac:dyDescent="0.35">
      <c r="A1150" s="291"/>
      <c r="B1150" s="301"/>
      <c r="C1150" s="296"/>
      <c r="D1150" s="291"/>
      <c r="E1150" s="291"/>
      <c r="F1150" s="293"/>
      <c r="G1150" s="293"/>
      <c r="H1150" s="293">
        <f t="shared" si="19"/>
        <v>1746191847.3399999</v>
      </c>
    </row>
    <row r="1151" spans="1:8" x14ac:dyDescent="0.35">
      <c r="A1151" s="291"/>
      <c r="B1151" s="301"/>
      <c r="C1151" s="296"/>
      <c r="D1151" s="291"/>
      <c r="E1151" s="291"/>
      <c r="F1151" s="293"/>
      <c r="G1151" s="293"/>
      <c r="H1151" s="293">
        <f t="shared" si="19"/>
        <v>1746191847.3399999</v>
      </c>
    </row>
    <row r="1152" spans="1:8" x14ac:dyDescent="0.35">
      <c r="A1152" s="291"/>
      <c r="B1152" s="301"/>
      <c r="C1152" s="296"/>
      <c r="D1152" s="291"/>
      <c r="E1152" s="291"/>
      <c r="F1152" s="293"/>
      <c r="G1152" s="293"/>
      <c r="H1152" s="293">
        <f t="shared" si="19"/>
        <v>1746191847.3399999</v>
      </c>
    </row>
    <row r="1153" spans="1:8" x14ac:dyDescent="0.35">
      <c r="A1153" s="291"/>
      <c r="B1153" s="301"/>
      <c r="C1153" s="296"/>
      <c r="D1153" s="291"/>
      <c r="E1153" s="291"/>
      <c r="F1153" s="293"/>
      <c r="G1153" s="293"/>
      <c r="H1153" s="293">
        <f t="shared" si="19"/>
        <v>1746191847.3399999</v>
      </c>
    </row>
    <row r="1154" spans="1:8" x14ac:dyDescent="0.35">
      <c r="A1154" s="291"/>
      <c r="B1154" s="301"/>
      <c r="C1154" s="296"/>
      <c r="D1154" s="291"/>
      <c r="E1154" s="291"/>
      <c r="F1154" s="293"/>
      <c r="G1154" s="293"/>
      <c r="H1154" s="293">
        <f t="shared" si="19"/>
        <v>1746191847.3399999</v>
      </c>
    </row>
    <row r="1155" spans="1:8" x14ac:dyDescent="0.35">
      <c r="A1155" s="291"/>
      <c r="B1155" s="301"/>
      <c r="C1155" s="296"/>
      <c r="D1155" s="291"/>
      <c r="E1155" s="291"/>
      <c r="F1155" s="293"/>
      <c r="G1155" s="293"/>
      <c r="H1155" s="293">
        <f t="shared" si="19"/>
        <v>1746191847.3399999</v>
      </c>
    </row>
    <row r="1156" spans="1:8" x14ac:dyDescent="0.35">
      <c r="A1156" s="291"/>
      <c r="B1156" s="301"/>
      <c r="C1156" s="296"/>
      <c r="D1156" s="291"/>
      <c r="E1156" s="291"/>
      <c r="F1156" s="293"/>
      <c r="G1156" s="293"/>
      <c r="H1156" s="293">
        <f t="shared" si="19"/>
        <v>1746191847.3399999</v>
      </c>
    </row>
    <row r="1157" spans="1:8" x14ac:dyDescent="0.35">
      <c r="A1157" s="291"/>
      <c r="B1157" s="301"/>
      <c r="C1157" s="296"/>
      <c r="D1157" s="291"/>
      <c r="E1157" s="291"/>
      <c r="F1157" s="293"/>
      <c r="G1157" s="293"/>
      <c r="H1157" s="293">
        <f t="shared" si="19"/>
        <v>1746191847.3399999</v>
      </c>
    </row>
    <row r="1158" spans="1:8" x14ac:dyDescent="0.35">
      <c r="A1158" s="291"/>
      <c r="B1158" s="301"/>
      <c r="C1158" s="296"/>
      <c r="D1158" s="291"/>
      <c r="E1158" s="291"/>
      <c r="F1158" s="293"/>
      <c r="G1158" s="293"/>
      <c r="H1158" s="293">
        <f t="shared" si="19"/>
        <v>1746191847.3399999</v>
      </c>
    </row>
    <row r="1159" spans="1:8" x14ac:dyDescent="0.35">
      <c r="A1159" s="291"/>
      <c r="B1159" s="301"/>
      <c r="C1159" s="296"/>
      <c r="D1159" s="291"/>
      <c r="E1159" s="291"/>
      <c r="F1159" s="293"/>
      <c r="G1159" s="293"/>
      <c r="H1159" s="293">
        <f t="shared" si="19"/>
        <v>1746191847.3399999</v>
      </c>
    </row>
    <row r="1160" spans="1:8" x14ac:dyDescent="0.35">
      <c r="A1160" s="291"/>
      <c r="B1160" s="301"/>
      <c r="C1160" s="296"/>
      <c r="D1160" s="291"/>
      <c r="E1160" s="291"/>
      <c r="F1160" s="293"/>
      <c r="G1160" s="293"/>
      <c r="H1160" s="293">
        <f t="shared" si="19"/>
        <v>1746191847.3399999</v>
      </c>
    </row>
    <row r="1161" spans="1:8" x14ac:dyDescent="0.35">
      <c r="A1161" s="291"/>
      <c r="B1161" s="301"/>
      <c r="C1161" s="296"/>
      <c r="D1161" s="291"/>
      <c r="E1161" s="291"/>
      <c r="F1161" s="293"/>
      <c r="G1161" s="293"/>
      <c r="H1161" s="293">
        <f t="shared" si="19"/>
        <v>1746191847.3399999</v>
      </c>
    </row>
    <row r="1162" spans="1:8" x14ac:dyDescent="0.35">
      <c r="A1162" s="291"/>
      <c r="B1162" s="301"/>
      <c r="C1162" s="296"/>
      <c r="D1162" s="291"/>
      <c r="E1162" s="291"/>
      <c r="F1162" s="293"/>
      <c r="G1162" s="293"/>
      <c r="H1162" s="293">
        <f t="shared" si="19"/>
        <v>1746191847.3399999</v>
      </c>
    </row>
    <row r="1163" spans="1:8" x14ac:dyDescent="0.35">
      <c r="A1163" s="291"/>
      <c r="B1163" s="301"/>
      <c r="C1163" s="296"/>
      <c r="D1163" s="291"/>
      <c r="E1163" s="291"/>
      <c r="F1163" s="293"/>
      <c r="G1163" s="293"/>
      <c r="H1163" s="293">
        <f t="shared" si="19"/>
        <v>1746191847.3399999</v>
      </c>
    </row>
    <row r="1164" spans="1:8" x14ac:dyDescent="0.35">
      <c r="A1164" s="291"/>
      <c r="B1164" s="301"/>
      <c r="C1164" s="296"/>
      <c r="D1164" s="291"/>
      <c r="E1164" s="291"/>
      <c r="F1164" s="293"/>
      <c r="G1164" s="293"/>
      <c r="H1164" s="293">
        <f t="shared" si="19"/>
        <v>1746191847.3399999</v>
      </c>
    </row>
    <row r="1165" spans="1:8" x14ac:dyDescent="0.35">
      <c r="A1165" s="291"/>
      <c r="B1165" s="301"/>
      <c r="C1165" s="296"/>
      <c r="D1165" s="291"/>
      <c r="E1165" s="291"/>
      <c r="F1165" s="293"/>
      <c r="G1165" s="293"/>
      <c r="H1165" s="293">
        <f t="shared" si="19"/>
        <v>1746191847.3399999</v>
      </c>
    </row>
    <row r="1166" spans="1:8" x14ac:dyDescent="0.35">
      <c r="A1166" s="291"/>
      <c r="B1166" s="301"/>
      <c r="C1166" s="296"/>
      <c r="D1166" s="291"/>
      <c r="E1166" s="291"/>
      <c r="F1166" s="293"/>
      <c r="G1166" s="293"/>
      <c r="H1166" s="293">
        <f t="shared" si="19"/>
        <v>1746191847.3399999</v>
      </c>
    </row>
    <row r="1167" spans="1:8" x14ac:dyDescent="0.35">
      <c r="A1167" s="291"/>
      <c r="B1167" s="301"/>
      <c r="C1167" s="296"/>
      <c r="D1167" s="291"/>
      <c r="E1167" s="291"/>
      <c r="F1167" s="293"/>
      <c r="G1167" s="293"/>
      <c r="H1167" s="293">
        <f t="shared" si="19"/>
        <v>1746191847.3399999</v>
      </c>
    </row>
    <row r="1168" spans="1:8" x14ac:dyDescent="0.35">
      <c r="A1168" s="291"/>
      <c r="B1168" s="301"/>
      <c r="C1168" s="296"/>
      <c r="D1168" s="291"/>
      <c r="E1168" s="291"/>
      <c r="F1168" s="293"/>
      <c r="G1168" s="293"/>
      <c r="H1168" s="293">
        <f t="shared" si="19"/>
        <v>1746191847.3399999</v>
      </c>
    </row>
    <row r="1169" spans="1:8" x14ac:dyDescent="0.35">
      <c r="A1169" s="291"/>
      <c r="B1169" s="301"/>
      <c r="C1169" s="296"/>
      <c r="D1169" s="291"/>
      <c r="E1169" s="291"/>
      <c r="F1169" s="293"/>
      <c r="G1169" s="293"/>
      <c r="H1169" s="293">
        <f t="shared" si="19"/>
        <v>1746191847.3399999</v>
      </c>
    </row>
    <row r="1170" spans="1:8" x14ac:dyDescent="0.35">
      <c r="A1170" s="291"/>
      <c r="B1170" s="301"/>
      <c r="C1170" s="296"/>
      <c r="D1170" s="291"/>
      <c r="E1170" s="291"/>
      <c r="F1170" s="293"/>
      <c r="G1170" s="293"/>
      <c r="H1170" s="293">
        <f t="shared" si="19"/>
        <v>1746191847.3399999</v>
      </c>
    </row>
    <row r="1171" spans="1:8" x14ac:dyDescent="0.35">
      <c r="A1171" s="291"/>
      <c r="B1171" s="301"/>
      <c r="C1171" s="296"/>
      <c r="D1171" s="291"/>
      <c r="E1171" s="291"/>
      <c r="F1171" s="293"/>
      <c r="G1171" s="293"/>
      <c r="H1171" s="293">
        <f t="shared" si="19"/>
        <v>1746191847.3399999</v>
      </c>
    </row>
    <row r="1172" spans="1:8" x14ac:dyDescent="0.35">
      <c r="A1172" s="291"/>
      <c r="B1172" s="301"/>
      <c r="C1172" s="296"/>
      <c r="D1172" s="291"/>
      <c r="E1172" s="291"/>
      <c r="F1172" s="293"/>
      <c r="G1172" s="293"/>
      <c r="H1172" s="293">
        <f t="shared" si="19"/>
        <v>1746191847.3399999</v>
      </c>
    </row>
    <row r="1173" spans="1:8" x14ac:dyDescent="0.35">
      <c r="A1173" s="291"/>
      <c r="B1173" s="301"/>
      <c r="C1173" s="296"/>
      <c r="D1173" s="291"/>
      <c r="E1173" s="291"/>
      <c r="F1173" s="293"/>
      <c r="G1173" s="293"/>
      <c r="H1173" s="293">
        <f t="shared" si="19"/>
        <v>1746191847.3399999</v>
      </c>
    </row>
    <row r="1174" spans="1:8" x14ac:dyDescent="0.35">
      <c r="A1174" s="291"/>
      <c r="B1174" s="301"/>
      <c r="C1174" s="296"/>
      <c r="D1174" s="291"/>
      <c r="E1174" s="291"/>
      <c r="F1174" s="293"/>
      <c r="G1174" s="293"/>
      <c r="H1174" s="293">
        <f t="shared" si="19"/>
        <v>1746191847.3399999</v>
      </c>
    </row>
    <row r="1175" spans="1:8" x14ac:dyDescent="0.35">
      <c r="A1175" s="291"/>
      <c r="B1175" s="301"/>
      <c r="C1175" s="296"/>
      <c r="D1175" s="291"/>
      <c r="E1175" s="291"/>
      <c r="F1175" s="293"/>
      <c r="G1175" s="293"/>
      <c r="H1175" s="293">
        <f t="shared" si="19"/>
        <v>1746191847.3399999</v>
      </c>
    </row>
    <row r="1176" spans="1:8" x14ac:dyDescent="0.35">
      <c r="A1176" s="291"/>
      <c r="B1176" s="301"/>
      <c r="C1176" s="296"/>
      <c r="D1176" s="291"/>
      <c r="E1176" s="291"/>
      <c r="F1176" s="293"/>
      <c r="G1176" s="293"/>
      <c r="H1176" s="293">
        <f t="shared" si="19"/>
        <v>1746191847.3399999</v>
      </c>
    </row>
    <row r="1177" spans="1:8" x14ac:dyDescent="0.35">
      <c r="A1177" s="291"/>
      <c r="B1177" s="301"/>
      <c r="C1177" s="296"/>
      <c r="D1177" s="291"/>
      <c r="E1177" s="291"/>
      <c r="F1177" s="293"/>
      <c r="G1177" s="293"/>
      <c r="H1177" s="293">
        <f t="shared" si="19"/>
        <v>1746191847.3399999</v>
      </c>
    </row>
    <row r="1178" spans="1:8" x14ac:dyDescent="0.35">
      <c r="A1178" s="291"/>
      <c r="B1178" s="301"/>
      <c r="C1178" s="296"/>
      <c r="D1178" s="291"/>
      <c r="E1178" s="291"/>
      <c r="F1178" s="293"/>
      <c r="G1178" s="293"/>
      <c r="H1178" s="293">
        <f t="shared" si="19"/>
        <v>1746191847.3399999</v>
      </c>
    </row>
    <row r="1179" spans="1:8" x14ac:dyDescent="0.35">
      <c r="A1179" s="291"/>
      <c r="B1179" s="301"/>
      <c r="C1179" s="296"/>
      <c r="D1179" s="291"/>
      <c r="E1179" s="291"/>
      <c r="F1179" s="293"/>
      <c r="G1179" s="293"/>
      <c r="H1179" s="293">
        <f t="shared" si="19"/>
        <v>1746191847.3399999</v>
      </c>
    </row>
    <row r="1180" spans="1:8" x14ac:dyDescent="0.35">
      <c r="A1180" s="291"/>
      <c r="B1180" s="301"/>
      <c r="C1180" s="296"/>
      <c r="D1180" s="291"/>
      <c r="E1180" s="291"/>
      <c r="F1180" s="293"/>
      <c r="G1180" s="293"/>
      <c r="H1180" s="293">
        <f t="shared" si="19"/>
        <v>1746191847.3399999</v>
      </c>
    </row>
    <row r="1181" spans="1:8" x14ac:dyDescent="0.35">
      <c r="A1181" s="291"/>
      <c r="B1181" s="301"/>
      <c r="C1181" s="296"/>
      <c r="D1181" s="291"/>
      <c r="E1181" s="291"/>
      <c r="F1181" s="293"/>
      <c r="G1181" s="293"/>
      <c r="H1181" s="293">
        <f t="shared" si="19"/>
        <v>1746191847.3399999</v>
      </c>
    </row>
    <row r="1182" spans="1:8" x14ac:dyDescent="0.35">
      <c r="A1182" s="291"/>
      <c r="B1182" s="301"/>
      <c r="C1182" s="296"/>
      <c r="D1182" s="291"/>
      <c r="E1182" s="291"/>
      <c r="F1182" s="293"/>
      <c r="G1182" s="293"/>
      <c r="H1182" s="293">
        <f t="shared" si="19"/>
        <v>1746191847.3399999</v>
      </c>
    </row>
    <row r="1183" spans="1:8" x14ac:dyDescent="0.35">
      <c r="A1183" s="291"/>
      <c r="B1183" s="301"/>
      <c r="C1183" s="296"/>
      <c r="D1183" s="291"/>
      <c r="E1183" s="291"/>
      <c r="F1183" s="293"/>
      <c r="G1183" s="293"/>
      <c r="H1183" s="293">
        <f t="shared" si="19"/>
        <v>1746191847.3399999</v>
      </c>
    </row>
    <row r="1184" spans="1:8" x14ac:dyDescent="0.35">
      <c r="A1184" s="291"/>
      <c r="B1184" s="301"/>
      <c r="C1184" s="296"/>
      <c r="D1184" s="291"/>
      <c r="E1184" s="291"/>
      <c r="F1184" s="293"/>
      <c r="G1184" s="293"/>
      <c r="H1184" s="293">
        <f t="shared" ref="H1184:H1247" si="20">H1183+F1184-G1184</f>
        <v>1746191847.3399999</v>
      </c>
    </row>
    <row r="1185" spans="1:8" x14ac:dyDescent="0.35">
      <c r="A1185" s="291"/>
      <c r="B1185" s="301"/>
      <c r="C1185" s="296"/>
      <c r="D1185" s="291"/>
      <c r="E1185" s="291"/>
      <c r="F1185" s="293"/>
      <c r="G1185" s="293"/>
      <c r="H1185" s="293">
        <f t="shared" si="20"/>
        <v>1746191847.3399999</v>
      </c>
    </row>
    <row r="1186" spans="1:8" x14ac:dyDescent="0.35">
      <c r="A1186" s="291"/>
      <c r="B1186" s="301"/>
      <c r="C1186" s="296"/>
      <c r="D1186" s="291"/>
      <c r="E1186" s="291"/>
      <c r="F1186" s="293"/>
      <c r="G1186" s="293"/>
      <c r="H1186" s="293">
        <f t="shared" si="20"/>
        <v>1746191847.3399999</v>
      </c>
    </row>
    <row r="1187" spans="1:8" x14ac:dyDescent="0.35">
      <c r="A1187" s="291"/>
      <c r="B1187" s="301"/>
      <c r="C1187" s="296"/>
      <c r="D1187" s="291"/>
      <c r="E1187" s="291"/>
      <c r="F1187" s="293"/>
      <c r="G1187" s="293"/>
      <c r="H1187" s="293">
        <f t="shared" si="20"/>
        <v>1746191847.3399999</v>
      </c>
    </row>
    <row r="1188" spans="1:8" x14ac:dyDescent="0.35">
      <c r="A1188" s="291"/>
      <c r="B1188" s="301"/>
      <c r="C1188" s="296"/>
      <c r="D1188" s="291"/>
      <c r="E1188" s="291"/>
      <c r="F1188" s="293"/>
      <c r="G1188" s="293"/>
      <c r="H1188" s="293">
        <f t="shared" si="20"/>
        <v>1746191847.3399999</v>
      </c>
    </row>
    <row r="1189" spans="1:8" x14ac:dyDescent="0.35">
      <c r="A1189" s="291"/>
      <c r="B1189" s="301"/>
      <c r="C1189" s="296"/>
      <c r="D1189" s="291"/>
      <c r="E1189" s="291"/>
      <c r="F1189" s="293"/>
      <c r="G1189" s="293"/>
      <c r="H1189" s="293">
        <f t="shared" si="20"/>
        <v>1746191847.3399999</v>
      </c>
    </row>
    <row r="1190" spans="1:8" x14ac:dyDescent="0.35">
      <c r="A1190" s="291"/>
      <c r="B1190" s="301"/>
      <c r="C1190" s="296"/>
      <c r="D1190" s="291"/>
      <c r="E1190" s="291"/>
      <c r="F1190" s="293"/>
      <c r="G1190" s="293"/>
      <c r="H1190" s="293">
        <f t="shared" si="20"/>
        <v>1746191847.3399999</v>
      </c>
    </row>
    <row r="1191" spans="1:8" x14ac:dyDescent="0.35">
      <c r="A1191" s="291"/>
      <c r="B1191" s="301"/>
      <c r="C1191" s="296"/>
      <c r="D1191" s="291"/>
      <c r="E1191" s="291"/>
      <c r="F1191" s="293"/>
      <c r="G1191" s="293"/>
      <c r="H1191" s="293">
        <f t="shared" si="20"/>
        <v>1746191847.3399999</v>
      </c>
    </row>
    <row r="1192" spans="1:8" x14ac:dyDescent="0.35">
      <c r="A1192" s="291"/>
      <c r="B1192" s="301"/>
      <c r="C1192" s="296"/>
      <c r="D1192" s="291"/>
      <c r="E1192" s="291"/>
      <c r="F1192" s="293"/>
      <c r="G1192" s="293"/>
      <c r="H1192" s="293">
        <f t="shared" si="20"/>
        <v>1746191847.3399999</v>
      </c>
    </row>
    <row r="1193" spans="1:8" x14ac:dyDescent="0.35">
      <c r="A1193" s="291"/>
      <c r="B1193" s="301"/>
      <c r="C1193" s="296"/>
      <c r="D1193" s="291"/>
      <c r="E1193" s="291"/>
      <c r="F1193" s="293"/>
      <c r="G1193" s="293"/>
      <c r="H1193" s="293">
        <f t="shared" si="20"/>
        <v>1746191847.3399999</v>
      </c>
    </row>
    <row r="1194" spans="1:8" x14ac:dyDescent="0.35">
      <c r="A1194" s="291"/>
      <c r="B1194" s="301"/>
      <c r="C1194" s="296"/>
      <c r="D1194" s="291"/>
      <c r="E1194" s="291"/>
      <c r="F1194" s="293"/>
      <c r="G1194" s="293"/>
      <c r="H1194" s="293">
        <f t="shared" si="20"/>
        <v>1746191847.3399999</v>
      </c>
    </row>
    <row r="1195" spans="1:8" x14ac:dyDescent="0.35">
      <c r="A1195" s="291"/>
      <c r="B1195" s="301"/>
      <c r="C1195" s="296"/>
      <c r="D1195" s="291"/>
      <c r="E1195" s="291"/>
      <c r="F1195" s="293"/>
      <c r="G1195" s="293"/>
      <c r="H1195" s="293">
        <f t="shared" si="20"/>
        <v>1746191847.3399999</v>
      </c>
    </row>
    <row r="1196" spans="1:8" x14ac:dyDescent="0.35">
      <c r="A1196" s="291"/>
      <c r="B1196" s="301"/>
      <c r="C1196" s="296"/>
      <c r="D1196" s="291"/>
      <c r="E1196" s="291"/>
      <c r="F1196" s="293"/>
      <c r="G1196" s="293"/>
      <c r="H1196" s="293">
        <f t="shared" si="20"/>
        <v>1746191847.3399999</v>
      </c>
    </row>
    <row r="1197" spans="1:8" x14ac:dyDescent="0.35">
      <c r="A1197" s="291"/>
      <c r="B1197" s="301"/>
      <c r="C1197" s="296"/>
      <c r="D1197" s="291"/>
      <c r="E1197" s="291"/>
      <c r="F1197" s="293"/>
      <c r="G1197" s="293"/>
      <c r="H1197" s="293">
        <f t="shared" si="20"/>
        <v>1746191847.3399999</v>
      </c>
    </row>
    <row r="1198" spans="1:8" x14ac:dyDescent="0.35">
      <c r="A1198" s="291"/>
      <c r="B1198" s="301"/>
      <c r="C1198" s="296"/>
      <c r="D1198" s="291"/>
      <c r="E1198" s="291"/>
      <c r="F1198" s="293"/>
      <c r="G1198" s="293"/>
      <c r="H1198" s="293">
        <f t="shared" si="20"/>
        <v>1746191847.3399999</v>
      </c>
    </row>
    <row r="1199" spans="1:8" x14ac:dyDescent="0.35">
      <c r="A1199" s="291"/>
      <c r="B1199" s="301"/>
      <c r="C1199" s="296"/>
      <c r="D1199" s="291"/>
      <c r="E1199" s="291"/>
      <c r="F1199" s="293"/>
      <c r="G1199" s="293"/>
      <c r="H1199" s="293">
        <f t="shared" si="20"/>
        <v>1746191847.3399999</v>
      </c>
    </row>
    <row r="1200" spans="1:8" x14ac:dyDescent="0.35">
      <c r="A1200" s="291"/>
      <c r="B1200" s="301"/>
      <c r="C1200" s="296"/>
      <c r="D1200" s="291"/>
      <c r="E1200" s="291"/>
      <c r="F1200" s="293"/>
      <c r="G1200" s="293"/>
      <c r="H1200" s="293">
        <f t="shared" si="20"/>
        <v>1746191847.3399999</v>
      </c>
    </row>
    <row r="1201" spans="1:8" x14ac:dyDescent="0.35">
      <c r="A1201" s="291"/>
      <c r="B1201" s="301"/>
      <c r="C1201" s="296"/>
      <c r="D1201" s="291"/>
      <c r="E1201" s="291"/>
      <c r="F1201" s="293"/>
      <c r="G1201" s="293"/>
      <c r="H1201" s="293">
        <f t="shared" si="20"/>
        <v>1746191847.3399999</v>
      </c>
    </row>
    <row r="1202" spans="1:8" x14ac:dyDescent="0.35">
      <c r="A1202" s="291"/>
      <c r="B1202" s="301"/>
      <c r="C1202" s="296"/>
      <c r="D1202" s="291"/>
      <c r="E1202" s="291"/>
      <c r="F1202" s="293"/>
      <c r="G1202" s="293"/>
      <c r="H1202" s="293">
        <f t="shared" si="20"/>
        <v>1746191847.3399999</v>
      </c>
    </row>
    <row r="1203" spans="1:8" x14ac:dyDescent="0.35">
      <c r="A1203" s="291"/>
      <c r="B1203" s="301"/>
      <c r="C1203" s="296"/>
      <c r="D1203" s="291"/>
      <c r="E1203" s="291"/>
      <c r="F1203" s="293"/>
      <c r="G1203" s="293"/>
      <c r="H1203" s="293">
        <f t="shared" si="20"/>
        <v>1746191847.3399999</v>
      </c>
    </row>
    <row r="1204" spans="1:8" x14ac:dyDescent="0.35">
      <c r="A1204" s="291"/>
      <c r="B1204" s="301"/>
      <c r="C1204" s="296"/>
      <c r="D1204" s="291"/>
      <c r="E1204" s="291"/>
      <c r="F1204" s="293"/>
      <c r="G1204" s="293"/>
      <c r="H1204" s="293">
        <f t="shared" si="20"/>
        <v>1746191847.3399999</v>
      </c>
    </row>
    <row r="1205" spans="1:8" x14ac:dyDescent="0.35">
      <c r="A1205" s="291"/>
      <c r="B1205" s="301"/>
      <c r="C1205" s="296"/>
      <c r="D1205" s="291"/>
      <c r="E1205" s="291"/>
      <c r="F1205" s="293"/>
      <c r="G1205" s="293"/>
      <c r="H1205" s="293">
        <f t="shared" si="20"/>
        <v>1746191847.3399999</v>
      </c>
    </row>
    <row r="1206" spans="1:8" x14ac:dyDescent="0.35">
      <c r="A1206" s="291"/>
      <c r="B1206" s="301"/>
      <c r="C1206" s="296"/>
      <c r="D1206" s="291"/>
      <c r="E1206" s="291"/>
      <c r="F1206" s="293"/>
      <c r="G1206" s="293"/>
      <c r="H1206" s="293">
        <f t="shared" si="20"/>
        <v>1746191847.3399999</v>
      </c>
    </row>
    <row r="1207" spans="1:8" x14ac:dyDescent="0.35">
      <c r="A1207" s="291"/>
      <c r="B1207" s="301"/>
      <c r="C1207" s="296"/>
      <c r="D1207" s="291"/>
      <c r="E1207" s="291"/>
      <c r="F1207" s="293"/>
      <c r="G1207" s="293"/>
      <c r="H1207" s="293">
        <f t="shared" si="20"/>
        <v>1746191847.3399999</v>
      </c>
    </row>
    <row r="1208" spans="1:8" x14ac:dyDescent="0.35">
      <c r="A1208" s="291"/>
      <c r="B1208" s="301"/>
      <c r="C1208" s="296"/>
      <c r="D1208" s="291"/>
      <c r="E1208" s="291"/>
      <c r="F1208" s="293"/>
      <c r="G1208" s="293"/>
      <c r="H1208" s="293">
        <f t="shared" si="20"/>
        <v>1746191847.3399999</v>
      </c>
    </row>
    <row r="1209" spans="1:8" x14ac:dyDescent="0.35">
      <c r="A1209" s="291"/>
      <c r="B1209" s="301"/>
      <c r="C1209" s="296"/>
      <c r="D1209" s="291"/>
      <c r="E1209" s="291"/>
      <c r="F1209" s="293"/>
      <c r="G1209" s="293"/>
      <c r="H1209" s="293">
        <f t="shared" si="20"/>
        <v>1746191847.3399999</v>
      </c>
    </row>
    <row r="1210" spans="1:8" x14ac:dyDescent="0.35">
      <c r="A1210" s="291"/>
      <c r="B1210" s="301"/>
      <c r="C1210" s="296"/>
      <c r="D1210" s="291"/>
      <c r="E1210" s="291"/>
      <c r="F1210" s="293"/>
      <c r="G1210" s="293"/>
      <c r="H1210" s="293">
        <f t="shared" si="20"/>
        <v>1746191847.3399999</v>
      </c>
    </row>
    <row r="1211" spans="1:8" x14ac:dyDescent="0.35">
      <c r="A1211" s="291"/>
      <c r="B1211" s="301"/>
      <c r="C1211" s="296"/>
      <c r="D1211" s="291"/>
      <c r="E1211" s="291"/>
      <c r="F1211" s="293"/>
      <c r="G1211" s="293"/>
      <c r="H1211" s="293">
        <f t="shared" si="20"/>
        <v>1746191847.3399999</v>
      </c>
    </row>
    <row r="1212" spans="1:8" x14ac:dyDescent="0.35">
      <c r="A1212" s="291"/>
      <c r="B1212" s="301"/>
      <c r="C1212" s="296"/>
      <c r="D1212" s="291"/>
      <c r="E1212" s="291"/>
      <c r="F1212" s="293"/>
      <c r="G1212" s="293"/>
      <c r="H1212" s="293">
        <f t="shared" si="20"/>
        <v>1746191847.3399999</v>
      </c>
    </row>
    <row r="1213" spans="1:8" x14ac:dyDescent="0.35">
      <c r="A1213" s="291"/>
      <c r="B1213" s="301"/>
      <c r="C1213" s="296"/>
      <c r="D1213" s="291"/>
      <c r="E1213" s="291"/>
      <c r="F1213" s="293"/>
      <c r="G1213" s="293"/>
      <c r="H1213" s="293">
        <f t="shared" si="20"/>
        <v>1746191847.3399999</v>
      </c>
    </row>
    <row r="1214" spans="1:8" x14ac:dyDescent="0.35">
      <c r="A1214" s="291"/>
      <c r="B1214" s="301"/>
      <c r="C1214" s="296"/>
      <c r="D1214" s="291"/>
      <c r="E1214" s="291"/>
      <c r="F1214" s="293"/>
      <c r="G1214" s="293"/>
      <c r="H1214" s="293">
        <f t="shared" si="20"/>
        <v>1746191847.3399999</v>
      </c>
    </row>
    <row r="1215" spans="1:8" x14ac:dyDescent="0.35">
      <c r="A1215" s="291"/>
      <c r="B1215" s="301"/>
      <c r="C1215" s="296"/>
      <c r="D1215" s="291"/>
      <c r="E1215" s="291"/>
      <c r="F1215" s="293"/>
      <c r="G1215" s="293"/>
      <c r="H1215" s="293">
        <f t="shared" si="20"/>
        <v>1746191847.3399999</v>
      </c>
    </row>
    <row r="1216" spans="1:8" x14ac:dyDescent="0.35">
      <c r="A1216" s="291"/>
      <c r="B1216" s="301"/>
      <c r="C1216" s="296"/>
      <c r="D1216" s="291"/>
      <c r="E1216" s="291"/>
      <c r="F1216" s="293"/>
      <c r="G1216" s="293"/>
      <c r="H1216" s="293">
        <f t="shared" si="20"/>
        <v>1746191847.3399999</v>
      </c>
    </row>
    <row r="1217" spans="1:8" x14ac:dyDescent="0.35">
      <c r="A1217" s="291"/>
      <c r="B1217" s="301"/>
      <c r="C1217" s="296"/>
      <c r="D1217" s="291"/>
      <c r="E1217" s="291"/>
      <c r="F1217" s="293"/>
      <c r="G1217" s="293"/>
      <c r="H1217" s="293">
        <f t="shared" si="20"/>
        <v>1746191847.3399999</v>
      </c>
    </row>
    <row r="1218" spans="1:8" x14ac:dyDescent="0.35">
      <c r="A1218" s="291"/>
      <c r="B1218" s="301"/>
      <c r="C1218" s="296"/>
      <c r="D1218" s="291"/>
      <c r="E1218" s="291"/>
      <c r="F1218" s="293"/>
      <c r="G1218" s="293"/>
      <c r="H1218" s="293">
        <f t="shared" si="20"/>
        <v>1746191847.3399999</v>
      </c>
    </row>
    <row r="1219" spans="1:8" x14ac:dyDescent="0.35">
      <c r="A1219" s="291"/>
      <c r="B1219" s="301"/>
      <c r="C1219" s="296"/>
      <c r="D1219" s="291"/>
      <c r="E1219" s="291"/>
      <c r="F1219" s="293"/>
      <c r="G1219" s="293"/>
      <c r="H1219" s="293">
        <f t="shared" si="20"/>
        <v>1746191847.3399999</v>
      </c>
    </row>
    <row r="1220" spans="1:8" x14ac:dyDescent="0.35">
      <c r="A1220" s="291"/>
      <c r="B1220" s="301"/>
      <c r="C1220" s="296"/>
      <c r="D1220" s="291"/>
      <c r="E1220" s="291"/>
      <c r="F1220" s="293"/>
      <c r="G1220" s="293"/>
      <c r="H1220" s="293">
        <f t="shared" si="20"/>
        <v>1746191847.3399999</v>
      </c>
    </row>
    <row r="1221" spans="1:8" x14ac:dyDescent="0.35">
      <c r="A1221" s="291"/>
      <c r="B1221" s="301"/>
      <c r="C1221" s="296"/>
      <c r="D1221" s="291"/>
      <c r="E1221" s="291"/>
      <c r="F1221" s="293"/>
      <c r="G1221" s="293"/>
      <c r="H1221" s="293">
        <f t="shared" si="20"/>
        <v>1746191847.3399999</v>
      </c>
    </row>
    <row r="1222" spans="1:8" x14ac:dyDescent="0.35">
      <c r="A1222" s="291"/>
      <c r="B1222" s="301"/>
      <c r="C1222" s="296"/>
      <c r="D1222" s="291"/>
      <c r="E1222" s="291"/>
      <c r="F1222" s="293"/>
      <c r="G1222" s="293"/>
      <c r="H1222" s="293">
        <f t="shared" si="20"/>
        <v>1746191847.3399999</v>
      </c>
    </row>
    <row r="1223" spans="1:8" x14ac:dyDescent="0.35">
      <c r="A1223" s="291"/>
      <c r="B1223" s="301"/>
      <c r="C1223" s="296"/>
      <c r="D1223" s="291"/>
      <c r="E1223" s="291"/>
      <c r="F1223" s="293"/>
      <c r="G1223" s="293"/>
      <c r="H1223" s="293">
        <f t="shared" si="20"/>
        <v>1746191847.3399999</v>
      </c>
    </row>
    <row r="1224" spans="1:8" x14ac:dyDescent="0.35">
      <c r="A1224" s="291"/>
      <c r="B1224" s="301"/>
      <c r="C1224" s="296"/>
      <c r="D1224" s="291"/>
      <c r="E1224" s="291"/>
      <c r="F1224" s="293"/>
      <c r="G1224" s="293"/>
      <c r="H1224" s="293">
        <f t="shared" si="20"/>
        <v>1746191847.3399999</v>
      </c>
    </row>
    <row r="1225" spans="1:8" x14ac:dyDescent="0.35">
      <c r="A1225" s="291"/>
      <c r="B1225" s="301"/>
      <c r="C1225" s="296"/>
      <c r="D1225" s="291"/>
      <c r="E1225" s="291"/>
      <c r="F1225" s="293"/>
      <c r="G1225" s="293"/>
      <c r="H1225" s="293">
        <f t="shared" si="20"/>
        <v>1746191847.3399999</v>
      </c>
    </row>
    <row r="1226" spans="1:8" x14ac:dyDescent="0.35">
      <c r="A1226" s="291"/>
      <c r="B1226" s="301"/>
      <c r="C1226" s="296"/>
      <c r="D1226" s="291"/>
      <c r="E1226" s="291"/>
      <c r="F1226" s="293"/>
      <c r="G1226" s="293"/>
      <c r="H1226" s="293">
        <f t="shared" si="20"/>
        <v>1746191847.3399999</v>
      </c>
    </row>
    <row r="1227" spans="1:8" x14ac:dyDescent="0.35">
      <c r="A1227" s="291"/>
      <c r="B1227" s="301"/>
      <c r="C1227" s="296"/>
      <c r="D1227" s="291"/>
      <c r="E1227" s="291"/>
      <c r="F1227" s="293"/>
      <c r="G1227" s="293"/>
      <c r="H1227" s="293">
        <f t="shared" si="20"/>
        <v>1746191847.3399999</v>
      </c>
    </row>
    <row r="1228" spans="1:8" x14ac:dyDescent="0.35">
      <c r="A1228" s="291"/>
      <c r="B1228" s="301"/>
      <c r="C1228" s="296"/>
      <c r="D1228" s="291"/>
      <c r="E1228" s="291"/>
      <c r="F1228" s="293"/>
      <c r="G1228" s="293"/>
      <c r="H1228" s="293">
        <f t="shared" si="20"/>
        <v>1746191847.3399999</v>
      </c>
    </row>
    <row r="1229" spans="1:8" x14ac:dyDescent="0.35">
      <c r="A1229" s="291"/>
      <c r="B1229" s="301"/>
      <c r="C1229" s="296"/>
      <c r="D1229" s="291"/>
      <c r="E1229" s="291"/>
      <c r="F1229" s="293"/>
      <c r="G1229" s="293"/>
      <c r="H1229" s="293">
        <f t="shared" si="20"/>
        <v>1746191847.3399999</v>
      </c>
    </row>
    <row r="1230" spans="1:8" x14ac:dyDescent="0.35">
      <c r="A1230" s="291"/>
      <c r="B1230" s="301"/>
      <c r="C1230" s="296"/>
      <c r="D1230" s="291"/>
      <c r="E1230" s="291"/>
      <c r="F1230" s="293"/>
      <c r="G1230" s="293"/>
      <c r="H1230" s="293">
        <f t="shared" si="20"/>
        <v>1746191847.3399999</v>
      </c>
    </row>
    <row r="1231" spans="1:8" x14ac:dyDescent="0.35">
      <c r="A1231" s="291"/>
      <c r="B1231" s="301"/>
      <c r="C1231" s="296"/>
      <c r="D1231" s="291"/>
      <c r="E1231" s="291"/>
      <c r="F1231" s="293"/>
      <c r="G1231" s="293"/>
      <c r="H1231" s="293">
        <f t="shared" si="20"/>
        <v>1746191847.3399999</v>
      </c>
    </row>
    <row r="1232" spans="1:8" x14ac:dyDescent="0.35">
      <c r="A1232" s="291"/>
      <c r="B1232" s="301"/>
      <c r="C1232" s="296"/>
      <c r="D1232" s="291"/>
      <c r="E1232" s="291"/>
      <c r="F1232" s="293"/>
      <c r="G1232" s="293"/>
      <c r="H1232" s="293">
        <f t="shared" si="20"/>
        <v>1746191847.3399999</v>
      </c>
    </row>
    <row r="1233" spans="1:8" x14ac:dyDescent="0.35">
      <c r="A1233" s="291"/>
      <c r="B1233" s="301"/>
      <c r="C1233" s="296"/>
      <c r="D1233" s="291"/>
      <c r="E1233" s="291"/>
      <c r="F1233" s="293"/>
      <c r="G1233" s="293"/>
      <c r="H1233" s="293">
        <f t="shared" si="20"/>
        <v>1746191847.3399999</v>
      </c>
    </row>
    <row r="1234" spans="1:8" x14ac:dyDescent="0.35">
      <c r="A1234" s="291"/>
      <c r="B1234" s="301"/>
      <c r="C1234" s="296"/>
      <c r="D1234" s="291"/>
      <c r="E1234" s="291"/>
      <c r="F1234" s="293"/>
      <c r="G1234" s="293"/>
      <c r="H1234" s="293">
        <f t="shared" si="20"/>
        <v>1746191847.3399999</v>
      </c>
    </row>
    <row r="1235" spans="1:8" x14ac:dyDescent="0.35">
      <c r="A1235" s="291"/>
      <c r="B1235" s="301"/>
      <c r="C1235" s="296"/>
      <c r="D1235" s="291"/>
      <c r="E1235" s="291"/>
      <c r="F1235" s="293"/>
      <c r="G1235" s="293"/>
      <c r="H1235" s="293">
        <f t="shared" si="20"/>
        <v>1746191847.3399999</v>
      </c>
    </row>
    <row r="1236" spans="1:8" x14ac:dyDescent="0.35">
      <c r="A1236" s="291"/>
      <c r="B1236" s="301"/>
      <c r="C1236" s="296"/>
      <c r="D1236" s="291"/>
      <c r="E1236" s="291"/>
      <c r="F1236" s="293"/>
      <c r="G1236" s="293"/>
      <c r="H1236" s="293">
        <f t="shared" si="20"/>
        <v>1746191847.3399999</v>
      </c>
    </row>
    <row r="1237" spans="1:8" x14ac:dyDescent="0.35">
      <c r="A1237" s="291"/>
      <c r="B1237" s="301"/>
      <c r="C1237" s="296"/>
      <c r="D1237" s="291"/>
      <c r="E1237" s="291"/>
      <c r="F1237" s="293"/>
      <c r="G1237" s="293"/>
      <c r="H1237" s="293">
        <f t="shared" si="20"/>
        <v>1746191847.3399999</v>
      </c>
    </row>
    <row r="1238" spans="1:8" x14ac:dyDescent="0.35">
      <c r="A1238" s="291"/>
      <c r="B1238" s="301"/>
      <c r="C1238" s="296"/>
      <c r="D1238" s="291"/>
      <c r="E1238" s="291"/>
      <c r="F1238" s="293"/>
      <c r="G1238" s="293"/>
      <c r="H1238" s="293">
        <f t="shared" si="20"/>
        <v>1746191847.3399999</v>
      </c>
    </row>
    <row r="1239" spans="1:8" x14ac:dyDescent="0.35">
      <c r="A1239" s="291"/>
      <c r="B1239" s="301"/>
      <c r="C1239" s="296"/>
      <c r="D1239" s="291"/>
      <c r="E1239" s="291"/>
      <c r="F1239" s="293"/>
      <c r="G1239" s="293"/>
      <c r="H1239" s="293">
        <f t="shared" si="20"/>
        <v>1746191847.3399999</v>
      </c>
    </row>
    <row r="1240" spans="1:8" x14ac:dyDescent="0.35">
      <c r="A1240" s="291"/>
      <c r="B1240" s="301"/>
      <c r="C1240" s="296"/>
      <c r="D1240" s="291"/>
      <c r="E1240" s="291"/>
      <c r="F1240" s="293"/>
      <c r="G1240" s="293"/>
      <c r="H1240" s="293">
        <f t="shared" si="20"/>
        <v>1746191847.3399999</v>
      </c>
    </row>
    <row r="1241" spans="1:8" x14ac:dyDescent="0.35">
      <c r="A1241" s="291"/>
      <c r="B1241" s="301"/>
      <c r="C1241" s="296"/>
      <c r="D1241" s="291"/>
      <c r="E1241" s="291"/>
      <c r="F1241" s="293"/>
      <c r="G1241" s="293"/>
      <c r="H1241" s="293">
        <f t="shared" si="20"/>
        <v>1746191847.3399999</v>
      </c>
    </row>
    <row r="1242" spans="1:8" x14ac:dyDescent="0.35">
      <c r="A1242" s="291"/>
      <c r="B1242" s="301"/>
      <c r="C1242" s="296"/>
      <c r="D1242" s="291"/>
      <c r="E1242" s="291"/>
      <c r="F1242" s="293"/>
      <c r="G1242" s="293"/>
      <c r="H1242" s="293">
        <f t="shared" si="20"/>
        <v>1746191847.3399999</v>
      </c>
    </row>
    <row r="1243" spans="1:8" x14ac:dyDescent="0.35">
      <c r="A1243" s="291"/>
      <c r="B1243" s="301"/>
      <c r="C1243" s="296"/>
      <c r="D1243" s="291"/>
      <c r="E1243" s="291"/>
      <c r="F1243" s="293"/>
      <c r="G1243" s="293"/>
      <c r="H1243" s="293">
        <f t="shared" si="20"/>
        <v>1746191847.3399999</v>
      </c>
    </row>
    <row r="1244" spans="1:8" x14ac:dyDescent="0.35">
      <c r="A1244" s="291"/>
      <c r="B1244" s="301"/>
      <c r="C1244" s="296"/>
      <c r="D1244" s="291"/>
      <c r="E1244" s="291"/>
      <c r="F1244" s="293"/>
      <c r="G1244" s="293"/>
      <c r="H1244" s="293">
        <f t="shared" si="20"/>
        <v>1746191847.3399999</v>
      </c>
    </row>
    <row r="1245" spans="1:8" x14ac:dyDescent="0.35">
      <c r="A1245" s="291"/>
      <c r="B1245" s="301"/>
      <c r="C1245" s="296"/>
      <c r="D1245" s="291"/>
      <c r="E1245" s="291"/>
      <c r="F1245" s="293"/>
      <c r="G1245" s="293"/>
      <c r="H1245" s="293">
        <f t="shared" si="20"/>
        <v>1746191847.3399999</v>
      </c>
    </row>
    <row r="1246" spans="1:8" x14ac:dyDescent="0.35">
      <c r="A1246" s="291"/>
      <c r="B1246" s="301"/>
      <c r="C1246" s="296"/>
      <c r="D1246" s="291"/>
      <c r="E1246" s="291"/>
      <c r="F1246" s="293"/>
      <c r="G1246" s="293"/>
      <c r="H1246" s="293">
        <f t="shared" si="20"/>
        <v>1746191847.3399999</v>
      </c>
    </row>
    <row r="1247" spans="1:8" x14ac:dyDescent="0.35">
      <c r="A1247" s="291"/>
      <c r="B1247" s="301"/>
      <c r="C1247" s="296"/>
      <c r="D1247" s="291"/>
      <c r="E1247" s="291"/>
      <c r="F1247" s="293"/>
      <c r="G1247" s="293"/>
      <c r="H1247" s="293">
        <f t="shared" si="20"/>
        <v>1746191847.3399999</v>
      </c>
    </row>
    <row r="1248" spans="1:8" x14ac:dyDescent="0.35">
      <c r="A1248" s="291"/>
      <c r="B1248" s="301"/>
      <c r="C1248" s="296"/>
      <c r="D1248" s="291"/>
      <c r="E1248" s="291"/>
      <c r="F1248" s="293"/>
      <c r="G1248" s="293"/>
      <c r="H1248" s="293">
        <f t="shared" ref="H1248:H1311" si="21">H1247+F1248-G1248</f>
        <v>1746191847.3399999</v>
      </c>
    </row>
    <row r="1249" spans="1:8" x14ac:dyDescent="0.35">
      <c r="A1249" s="291"/>
      <c r="B1249" s="301"/>
      <c r="C1249" s="296"/>
      <c r="D1249" s="291"/>
      <c r="E1249" s="291"/>
      <c r="F1249" s="293"/>
      <c r="G1249" s="293"/>
      <c r="H1249" s="293">
        <f t="shared" si="21"/>
        <v>1746191847.3399999</v>
      </c>
    </row>
    <row r="1250" spans="1:8" x14ac:dyDescent="0.35">
      <c r="A1250" s="291"/>
      <c r="B1250" s="301"/>
      <c r="C1250" s="296"/>
      <c r="D1250" s="291"/>
      <c r="E1250" s="291"/>
      <c r="F1250" s="293"/>
      <c r="G1250" s="293"/>
      <c r="H1250" s="293">
        <f t="shared" si="21"/>
        <v>1746191847.3399999</v>
      </c>
    </row>
    <row r="1251" spans="1:8" x14ac:dyDescent="0.35">
      <c r="A1251" s="291"/>
      <c r="B1251" s="301"/>
      <c r="C1251" s="296"/>
      <c r="D1251" s="291"/>
      <c r="E1251" s="291"/>
      <c r="F1251" s="293"/>
      <c r="G1251" s="293"/>
      <c r="H1251" s="293">
        <f t="shared" si="21"/>
        <v>1746191847.3399999</v>
      </c>
    </row>
    <row r="1252" spans="1:8" x14ac:dyDescent="0.35">
      <c r="A1252" s="291"/>
      <c r="B1252" s="301"/>
      <c r="C1252" s="296"/>
      <c r="D1252" s="291"/>
      <c r="E1252" s="291"/>
      <c r="F1252" s="293"/>
      <c r="G1252" s="293"/>
      <c r="H1252" s="293">
        <f t="shared" si="21"/>
        <v>1746191847.3399999</v>
      </c>
    </row>
    <row r="1253" spans="1:8" x14ac:dyDescent="0.35">
      <c r="A1253" s="291"/>
      <c r="B1253" s="301"/>
      <c r="C1253" s="296"/>
      <c r="D1253" s="291"/>
      <c r="E1253" s="291"/>
      <c r="F1253" s="293"/>
      <c r="G1253" s="293"/>
      <c r="H1253" s="293">
        <f t="shared" si="21"/>
        <v>1746191847.3399999</v>
      </c>
    </row>
    <row r="1254" spans="1:8" x14ac:dyDescent="0.35">
      <c r="A1254" s="291"/>
      <c r="B1254" s="301"/>
      <c r="C1254" s="296"/>
      <c r="D1254" s="291"/>
      <c r="E1254" s="291"/>
      <c r="F1254" s="293"/>
      <c r="G1254" s="293"/>
      <c r="H1254" s="293">
        <f t="shared" si="21"/>
        <v>1746191847.3399999</v>
      </c>
    </row>
    <row r="1255" spans="1:8" x14ac:dyDescent="0.35">
      <c r="A1255" s="291"/>
      <c r="B1255" s="301"/>
      <c r="C1255" s="296"/>
      <c r="D1255" s="291"/>
      <c r="E1255" s="291"/>
      <c r="F1255" s="293"/>
      <c r="G1255" s="293"/>
      <c r="H1255" s="293">
        <f t="shared" si="21"/>
        <v>1746191847.3399999</v>
      </c>
    </row>
    <row r="1256" spans="1:8" x14ac:dyDescent="0.35">
      <c r="A1256" s="291"/>
      <c r="B1256" s="301"/>
      <c r="C1256" s="296"/>
      <c r="D1256" s="291"/>
      <c r="E1256" s="291"/>
      <c r="F1256" s="293"/>
      <c r="G1256" s="293"/>
      <c r="H1256" s="293">
        <f t="shared" si="21"/>
        <v>1746191847.3399999</v>
      </c>
    </row>
    <row r="1257" spans="1:8" x14ac:dyDescent="0.35">
      <c r="A1257" s="291"/>
      <c r="B1257" s="301"/>
      <c r="C1257" s="296"/>
      <c r="D1257" s="291"/>
      <c r="E1257" s="291"/>
      <c r="F1257" s="293"/>
      <c r="G1257" s="293"/>
      <c r="H1257" s="293">
        <f t="shared" si="21"/>
        <v>1746191847.3399999</v>
      </c>
    </row>
    <row r="1258" spans="1:8" x14ac:dyDescent="0.35">
      <c r="A1258" s="291"/>
      <c r="B1258" s="301"/>
      <c r="C1258" s="296"/>
      <c r="D1258" s="291"/>
      <c r="E1258" s="291"/>
      <c r="F1258" s="293"/>
      <c r="G1258" s="293"/>
      <c r="H1258" s="293">
        <f t="shared" si="21"/>
        <v>1746191847.3399999</v>
      </c>
    </row>
    <row r="1259" spans="1:8" x14ac:dyDescent="0.35">
      <c r="A1259" s="291"/>
      <c r="B1259" s="301"/>
      <c r="C1259" s="296"/>
      <c r="D1259" s="291"/>
      <c r="E1259" s="291"/>
      <c r="F1259" s="293"/>
      <c r="G1259" s="293"/>
      <c r="H1259" s="293">
        <f t="shared" si="21"/>
        <v>1746191847.3399999</v>
      </c>
    </row>
    <row r="1260" spans="1:8" x14ac:dyDescent="0.35">
      <c r="A1260" s="291"/>
      <c r="B1260" s="301"/>
      <c r="C1260" s="296"/>
      <c r="D1260" s="291"/>
      <c r="E1260" s="291"/>
      <c r="F1260" s="293"/>
      <c r="G1260" s="293"/>
      <c r="H1260" s="293">
        <f t="shared" si="21"/>
        <v>1746191847.3399999</v>
      </c>
    </row>
    <row r="1261" spans="1:8" x14ac:dyDescent="0.35">
      <c r="A1261" s="291"/>
      <c r="B1261" s="301"/>
      <c r="C1261" s="296"/>
      <c r="D1261" s="291"/>
      <c r="E1261" s="291"/>
      <c r="F1261" s="293"/>
      <c r="G1261" s="293"/>
      <c r="H1261" s="293">
        <f t="shared" si="21"/>
        <v>1746191847.3399999</v>
      </c>
    </row>
    <row r="1262" spans="1:8" x14ac:dyDescent="0.35">
      <c r="A1262" s="291"/>
      <c r="B1262" s="301"/>
      <c r="C1262" s="296"/>
      <c r="D1262" s="291"/>
      <c r="E1262" s="291"/>
      <c r="F1262" s="293"/>
      <c r="G1262" s="293"/>
      <c r="H1262" s="293">
        <f t="shared" si="21"/>
        <v>1746191847.3399999</v>
      </c>
    </row>
    <row r="1263" spans="1:8" x14ac:dyDescent="0.35">
      <c r="A1263" s="291"/>
      <c r="B1263" s="301"/>
      <c r="C1263" s="296"/>
      <c r="D1263" s="291"/>
      <c r="E1263" s="291"/>
      <c r="F1263" s="293"/>
      <c r="G1263" s="293"/>
      <c r="H1263" s="293">
        <f t="shared" si="21"/>
        <v>1746191847.3399999</v>
      </c>
    </row>
    <row r="1264" spans="1:8" x14ac:dyDescent="0.35">
      <c r="A1264" s="291"/>
      <c r="B1264" s="301"/>
      <c r="C1264" s="296"/>
      <c r="D1264" s="291"/>
      <c r="E1264" s="291"/>
      <c r="F1264" s="293"/>
      <c r="G1264" s="293"/>
      <c r="H1264" s="293">
        <f t="shared" si="21"/>
        <v>1746191847.3399999</v>
      </c>
    </row>
    <row r="1265" spans="1:8" x14ac:dyDescent="0.35">
      <c r="A1265" s="291"/>
      <c r="B1265" s="301"/>
      <c r="C1265" s="296"/>
      <c r="D1265" s="291"/>
      <c r="E1265" s="291"/>
      <c r="F1265" s="293"/>
      <c r="G1265" s="293"/>
      <c r="H1265" s="293">
        <f t="shared" si="21"/>
        <v>1746191847.3399999</v>
      </c>
    </row>
    <row r="1266" spans="1:8" x14ac:dyDescent="0.35">
      <c r="A1266" s="291"/>
      <c r="B1266" s="301"/>
      <c r="C1266" s="296"/>
      <c r="D1266" s="291"/>
      <c r="E1266" s="291"/>
      <c r="F1266" s="293"/>
      <c r="G1266" s="293"/>
      <c r="H1266" s="293">
        <f t="shared" si="21"/>
        <v>1746191847.3399999</v>
      </c>
    </row>
    <row r="1267" spans="1:8" x14ac:dyDescent="0.35">
      <c r="A1267" s="291"/>
      <c r="B1267" s="301"/>
      <c r="C1267" s="296"/>
      <c r="D1267" s="291"/>
      <c r="E1267" s="291"/>
      <c r="F1267" s="293"/>
      <c r="G1267" s="293"/>
      <c r="H1267" s="293">
        <f t="shared" si="21"/>
        <v>1746191847.3399999</v>
      </c>
    </row>
    <row r="1268" spans="1:8" x14ac:dyDescent="0.35">
      <c r="A1268" s="291"/>
      <c r="B1268" s="301"/>
      <c r="C1268" s="296"/>
      <c r="D1268" s="291"/>
      <c r="E1268" s="291"/>
      <c r="F1268" s="293"/>
      <c r="G1268" s="293"/>
      <c r="H1268" s="293">
        <f t="shared" si="21"/>
        <v>1746191847.3399999</v>
      </c>
    </row>
    <row r="1269" spans="1:8" x14ac:dyDescent="0.35">
      <c r="A1269" s="291"/>
      <c r="B1269" s="301"/>
      <c r="C1269" s="296"/>
      <c r="D1269" s="291"/>
      <c r="E1269" s="291"/>
      <c r="F1269" s="293"/>
      <c r="G1269" s="293"/>
      <c r="H1269" s="293">
        <f t="shared" si="21"/>
        <v>1746191847.3399999</v>
      </c>
    </row>
    <row r="1270" spans="1:8" x14ac:dyDescent="0.35">
      <c r="A1270" s="291"/>
      <c r="B1270" s="301"/>
      <c r="C1270" s="296"/>
      <c r="D1270" s="291"/>
      <c r="E1270" s="291"/>
      <c r="F1270" s="293"/>
      <c r="G1270" s="293"/>
      <c r="H1270" s="293">
        <f t="shared" si="21"/>
        <v>1746191847.3399999</v>
      </c>
    </row>
    <row r="1271" spans="1:8" x14ac:dyDescent="0.35">
      <c r="A1271" s="291"/>
      <c r="B1271" s="301"/>
      <c r="C1271" s="296"/>
      <c r="D1271" s="291"/>
      <c r="E1271" s="291"/>
      <c r="F1271" s="293"/>
      <c r="G1271" s="293"/>
      <c r="H1271" s="293">
        <f t="shared" si="21"/>
        <v>1746191847.3399999</v>
      </c>
    </row>
    <row r="1272" spans="1:8" x14ac:dyDescent="0.35">
      <c r="A1272" s="291"/>
      <c r="B1272" s="301"/>
      <c r="C1272" s="296"/>
      <c r="D1272" s="291"/>
      <c r="E1272" s="291"/>
      <c r="F1272" s="293"/>
      <c r="G1272" s="293"/>
      <c r="H1272" s="293">
        <f t="shared" si="21"/>
        <v>1746191847.3399999</v>
      </c>
    </row>
    <row r="1273" spans="1:8" x14ac:dyDescent="0.35">
      <c r="A1273" s="291"/>
      <c r="B1273" s="301"/>
      <c r="C1273" s="296"/>
      <c r="D1273" s="291"/>
      <c r="E1273" s="291"/>
      <c r="F1273" s="293"/>
      <c r="G1273" s="293"/>
      <c r="H1273" s="293">
        <f t="shared" si="21"/>
        <v>1746191847.3399999</v>
      </c>
    </row>
    <row r="1274" spans="1:8" x14ac:dyDescent="0.35">
      <c r="A1274" s="291"/>
      <c r="B1274" s="301"/>
      <c r="C1274" s="296"/>
      <c r="D1274" s="291"/>
      <c r="E1274" s="291"/>
      <c r="F1274" s="293"/>
      <c r="G1274" s="293"/>
      <c r="H1274" s="293">
        <f t="shared" si="21"/>
        <v>1746191847.3399999</v>
      </c>
    </row>
    <row r="1275" spans="1:8" x14ac:dyDescent="0.35">
      <c r="A1275" s="291"/>
      <c r="B1275" s="301"/>
      <c r="C1275" s="296"/>
      <c r="D1275" s="291"/>
      <c r="E1275" s="291"/>
      <c r="F1275" s="293"/>
      <c r="G1275" s="293"/>
      <c r="H1275" s="293">
        <f t="shared" si="21"/>
        <v>1746191847.3399999</v>
      </c>
    </row>
    <row r="1276" spans="1:8" x14ac:dyDescent="0.35">
      <c r="A1276" s="291"/>
      <c r="B1276" s="301"/>
      <c r="C1276" s="296"/>
      <c r="D1276" s="291"/>
      <c r="E1276" s="291"/>
      <c r="F1276" s="293"/>
      <c r="G1276" s="293"/>
      <c r="H1276" s="293">
        <f t="shared" si="21"/>
        <v>1746191847.3399999</v>
      </c>
    </row>
    <row r="1277" spans="1:8" x14ac:dyDescent="0.35">
      <c r="A1277" s="291"/>
      <c r="B1277" s="301"/>
      <c r="C1277" s="296"/>
      <c r="D1277" s="291"/>
      <c r="E1277" s="291"/>
      <c r="F1277" s="293"/>
      <c r="G1277" s="293"/>
      <c r="H1277" s="293">
        <f t="shared" si="21"/>
        <v>1746191847.3399999</v>
      </c>
    </row>
    <row r="1278" spans="1:8" x14ac:dyDescent="0.35">
      <c r="A1278" s="291"/>
      <c r="B1278" s="301"/>
      <c r="C1278" s="296"/>
      <c r="D1278" s="291"/>
      <c r="E1278" s="291"/>
      <c r="F1278" s="293"/>
      <c r="G1278" s="293"/>
      <c r="H1278" s="293">
        <f t="shared" si="21"/>
        <v>1746191847.3399999</v>
      </c>
    </row>
    <row r="1279" spans="1:8" x14ac:dyDescent="0.35">
      <c r="A1279" s="291"/>
      <c r="B1279" s="301"/>
      <c r="C1279" s="296"/>
      <c r="D1279" s="291"/>
      <c r="E1279" s="291"/>
      <c r="F1279" s="293"/>
      <c r="G1279" s="293"/>
      <c r="H1279" s="293">
        <f t="shared" si="21"/>
        <v>1746191847.3399999</v>
      </c>
    </row>
    <row r="1280" spans="1:8" x14ac:dyDescent="0.35">
      <c r="A1280" s="291"/>
      <c r="B1280" s="301"/>
      <c r="C1280" s="296"/>
      <c r="D1280" s="291"/>
      <c r="E1280" s="291"/>
      <c r="F1280" s="293"/>
      <c r="G1280" s="293"/>
      <c r="H1280" s="293">
        <f t="shared" si="21"/>
        <v>1746191847.3399999</v>
      </c>
    </row>
    <row r="1281" spans="1:8" x14ac:dyDescent="0.35">
      <c r="A1281" s="291"/>
      <c r="B1281" s="301"/>
      <c r="C1281" s="296"/>
      <c r="D1281" s="291"/>
      <c r="E1281" s="291"/>
      <c r="F1281" s="293"/>
      <c r="G1281" s="293"/>
      <c r="H1281" s="293">
        <f t="shared" si="21"/>
        <v>1746191847.3399999</v>
      </c>
    </row>
    <row r="1282" spans="1:8" x14ac:dyDescent="0.35">
      <c r="A1282" s="291"/>
      <c r="B1282" s="301"/>
      <c r="C1282" s="296"/>
      <c r="D1282" s="291"/>
      <c r="E1282" s="291"/>
      <c r="F1282" s="293"/>
      <c r="G1282" s="293"/>
      <c r="H1282" s="293">
        <f t="shared" si="21"/>
        <v>1746191847.3399999</v>
      </c>
    </row>
    <row r="1283" spans="1:8" x14ac:dyDescent="0.35">
      <c r="A1283" s="291"/>
      <c r="B1283" s="301"/>
      <c r="C1283" s="296"/>
      <c r="D1283" s="291"/>
      <c r="E1283" s="291"/>
      <c r="F1283" s="293"/>
      <c r="G1283" s="293"/>
      <c r="H1283" s="293">
        <f t="shared" si="21"/>
        <v>1746191847.3399999</v>
      </c>
    </row>
    <row r="1284" spans="1:8" x14ac:dyDescent="0.35">
      <c r="A1284" s="291"/>
      <c r="B1284" s="301"/>
      <c r="C1284" s="296"/>
      <c r="D1284" s="291"/>
      <c r="E1284" s="291"/>
      <c r="F1284" s="293"/>
      <c r="G1284" s="293"/>
      <c r="H1284" s="293">
        <f t="shared" si="21"/>
        <v>1746191847.3399999</v>
      </c>
    </row>
    <row r="1285" spans="1:8" x14ac:dyDescent="0.35">
      <c r="A1285" s="291"/>
      <c r="B1285" s="301"/>
      <c r="C1285" s="296"/>
      <c r="D1285" s="291"/>
      <c r="E1285" s="291"/>
      <c r="F1285" s="293"/>
      <c r="G1285" s="293"/>
      <c r="H1285" s="293">
        <f t="shared" si="21"/>
        <v>1746191847.3399999</v>
      </c>
    </row>
    <row r="1286" spans="1:8" x14ac:dyDescent="0.35">
      <c r="A1286" s="291"/>
      <c r="B1286" s="301"/>
      <c r="C1286" s="296"/>
      <c r="D1286" s="291"/>
      <c r="E1286" s="291"/>
      <c r="F1286" s="293"/>
      <c r="G1286" s="293"/>
      <c r="H1286" s="293">
        <f t="shared" si="21"/>
        <v>1746191847.3399999</v>
      </c>
    </row>
    <row r="1287" spans="1:8" x14ac:dyDescent="0.35">
      <c r="A1287" s="291"/>
      <c r="B1287" s="301"/>
      <c r="C1287" s="296"/>
      <c r="D1287" s="291"/>
      <c r="E1287" s="291"/>
      <c r="F1287" s="293"/>
      <c r="G1287" s="293"/>
      <c r="H1287" s="293">
        <f t="shared" si="21"/>
        <v>1746191847.3399999</v>
      </c>
    </row>
    <row r="1288" spans="1:8" x14ac:dyDescent="0.35">
      <c r="A1288" s="291"/>
      <c r="B1288" s="301"/>
      <c r="C1288" s="296"/>
      <c r="D1288" s="291"/>
      <c r="E1288" s="291"/>
      <c r="F1288" s="293"/>
      <c r="G1288" s="293"/>
      <c r="H1288" s="293">
        <f t="shared" si="21"/>
        <v>1746191847.3399999</v>
      </c>
    </row>
    <row r="1289" spans="1:8" x14ac:dyDescent="0.35">
      <c r="A1289" s="291"/>
      <c r="B1289" s="301"/>
      <c r="C1289" s="296"/>
      <c r="D1289" s="291"/>
      <c r="E1289" s="291"/>
      <c r="F1289" s="293"/>
      <c r="G1289" s="293"/>
      <c r="H1289" s="293">
        <f t="shared" si="21"/>
        <v>1746191847.3399999</v>
      </c>
    </row>
    <row r="1290" spans="1:8" x14ac:dyDescent="0.35">
      <c r="A1290" s="291"/>
      <c r="B1290" s="301"/>
      <c r="C1290" s="296"/>
      <c r="D1290" s="291"/>
      <c r="E1290" s="291"/>
      <c r="F1290" s="293"/>
      <c r="G1290" s="293"/>
      <c r="H1290" s="293">
        <f t="shared" si="21"/>
        <v>1746191847.3399999</v>
      </c>
    </row>
    <row r="1291" spans="1:8" x14ac:dyDescent="0.35">
      <c r="A1291" s="291"/>
      <c r="B1291" s="301"/>
      <c r="C1291" s="296"/>
      <c r="D1291" s="291"/>
      <c r="E1291" s="291"/>
      <c r="F1291" s="293"/>
      <c r="G1291" s="293"/>
      <c r="H1291" s="293">
        <f t="shared" si="21"/>
        <v>1746191847.3399999</v>
      </c>
    </row>
    <row r="1292" spans="1:8" x14ac:dyDescent="0.35">
      <c r="A1292" s="291"/>
      <c r="B1292" s="301"/>
      <c r="C1292" s="296"/>
      <c r="D1292" s="291"/>
      <c r="E1292" s="291"/>
      <c r="F1292" s="293"/>
      <c r="G1292" s="293"/>
      <c r="H1292" s="293">
        <f t="shared" si="21"/>
        <v>1746191847.3399999</v>
      </c>
    </row>
    <row r="1293" spans="1:8" x14ac:dyDescent="0.35">
      <c r="A1293" s="291"/>
      <c r="B1293" s="301"/>
      <c r="C1293" s="296"/>
      <c r="D1293" s="303"/>
      <c r="E1293" s="303"/>
      <c r="F1293" s="293"/>
      <c r="G1293" s="293"/>
      <c r="H1293" s="293">
        <f t="shared" si="21"/>
        <v>1746191847.3399999</v>
      </c>
    </row>
    <row r="1294" spans="1:8" x14ac:dyDescent="0.35">
      <c r="A1294" s="291"/>
      <c r="B1294" s="301"/>
      <c r="C1294" s="296"/>
      <c r="D1294" s="303"/>
      <c r="E1294" s="303"/>
      <c r="F1294" s="293"/>
      <c r="G1294" s="293"/>
      <c r="H1294" s="293">
        <f t="shared" si="21"/>
        <v>1746191847.3399999</v>
      </c>
    </row>
    <row r="1295" spans="1:8" x14ac:dyDescent="0.35">
      <c r="A1295" s="291"/>
      <c r="B1295" s="301"/>
      <c r="C1295" s="296"/>
      <c r="D1295" s="303"/>
      <c r="E1295" s="303"/>
      <c r="F1295" s="293"/>
      <c r="G1295" s="293"/>
      <c r="H1295" s="293">
        <f t="shared" si="21"/>
        <v>1746191847.3399999</v>
      </c>
    </row>
    <row r="1296" spans="1:8" x14ac:dyDescent="0.35">
      <c r="A1296" s="291"/>
      <c r="B1296" s="301"/>
      <c r="C1296" s="296"/>
      <c r="D1296" s="303"/>
      <c r="E1296" s="303"/>
      <c r="F1296" s="293"/>
      <c r="G1296" s="293"/>
      <c r="H1296" s="293">
        <f t="shared" si="21"/>
        <v>1746191847.3399999</v>
      </c>
    </row>
    <row r="1297" spans="1:8" x14ac:dyDescent="0.35">
      <c r="A1297" s="291"/>
      <c r="B1297" s="301"/>
      <c r="C1297" s="296"/>
      <c r="D1297" s="303"/>
      <c r="E1297" s="303"/>
      <c r="F1297" s="293"/>
      <c r="G1297" s="293"/>
      <c r="H1297" s="293">
        <f t="shared" si="21"/>
        <v>1746191847.3399999</v>
      </c>
    </row>
    <row r="1298" spans="1:8" x14ac:dyDescent="0.35">
      <c r="A1298" s="291"/>
      <c r="B1298" s="301"/>
      <c r="C1298" s="296"/>
      <c r="D1298" s="291"/>
      <c r="E1298" s="291"/>
      <c r="F1298" s="293"/>
      <c r="G1298" s="293"/>
      <c r="H1298" s="293">
        <f t="shared" si="21"/>
        <v>1746191847.3399999</v>
      </c>
    </row>
    <row r="1299" spans="1:8" x14ac:dyDescent="0.35">
      <c r="A1299" s="291"/>
      <c r="B1299" s="301"/>
      <c r="C1299" s="296"/>
      <c r="D1299" s="291"/>
      <c r="E1299" s="291"/>
      <c r="F1299" s="293"/>
      <c r="G1299" s="293"/>
      <c r="H1299" s="293">
        <f t="shared" si="21"/>
        <v>1746191847.3399999</v>
      </c>
    </row>
    <row r="1300" spans="1:8" x14ac:dyDescent="0.35">
      <c r="A1300" s="291"/>
      <c r="B1300" s="301"/>
      <c r="C1300" s="296"/>
      <c r="D1300" s="291"/>
      <c r="E1300" s="291"/>
      <c r="F1300" s="293"/>
      <c r="G1300" s="293"/>
      <c r="H1300" s="293">
        <f t="shared" si="21"/>
        <v>1746191847.3399999</v>
      </c>
    </row>
    <row r="1301" spans="1:8" x14ac:dyDescent="0.35">
      <c r="A1301" s="291"/>
      <c r="B1301" s="301"/>
      <c r="C1301" s="296"/>
      <c r="D1301" s="291"/>
      <c r="E1301" s="291"/>
      <c r="F1301" s="293"/>
      <c r="G1301" s="293"/>
      <c r="H1301" s="293">
        <f t="shared" si="21"/>
        <v>1746191847.3399999</v>
      </c>
    </row>
    <row r="1302" spans="1:8" x14ac:dyDescent="0.35">
      <c r="A1302" s="291"/>
      <c r="B1302" s="301"/>
      <c r="C1302" s="296"/>
      <c r="D1302" s="291"/>
      <c r="E1302" s="291"/>
      <c r="F1302" s="293"/>
      <c r="G1302" s="293"/>
      <c r="H1302" s="293">
        <f t="shared" si="21"/>
        <v>1746191847.3399999</v>
      </c>
    </row>
    <row r="1303" spans="1:8" x14ac:dyDescent="0.35">
      <c r="A1303" s="291"/>
      <c r="B1303" s="301"/>
      <c r="C1303" s="296"/>
      <c r="D1303" s="291"/>
      <c r="E1303" s="291"/>
      <c r="F1303" s="293"/>
      <c r="G1303" s="293"/>
      <c r="H1303" s="293">
        <f t="shared" si="21"/>
        <v>1746191847.3399999</v>
      </c>
    </row>
    <row r="1304" spans="1:8" x14ac:dyDescent="0.35">
      <c r="A1304" s="291"/>
      <c r="B1304" s="301"/>
      <c r="C1304" s="296"/>
      <c r="D1304" s="291"/>
      <c r="E1304" s="291"/>
      <c r="F1304" s="293"/>
      <c r="G1304" s="293"/>
      <c r="H1304" s="293">
        <f t="shared" si="21"/>
        <v>1746191847.3399999</v>
      </c>
    </row>
    <row r="1305" spans="1:8" x14ac:dyDescent="0.35">
      <c r="A1305" s="291"/>
      <c r="B1305" s="301"/>
      <c r="C1305" s="296"/>
      <c r="D1305" s="291"/>
      <c r="E1305" s="291"/>
      <c r="F1305" s="293"/>
      <c r="G1305" s="293"/>
      <c r="H1305" s="293">
        <f t="shared" si="21"/>
        <v>1746191847.3399999</v>
      </c>
    </row>
    <row r="1306" spans="1:8" x14ac:dyDescent="0.35">
      <c r="A1306" s="291"/>
      <c r="B1306" s="301"/>
      <c r="C1306" s="296"/>
      <c r="D1306" s="291"/>
      <c r="E1306" s="291"/>
      <c r="F1306" s="293"/>
      <c r="G1306" s="293"/>
      <c r="H1306" s="293">
        <f t="shared" si="21"/>
        <v>1746191847.3399999</v>
      </c>
    </row>
    <row r="1307" spans="1:8" x14ac:dyDescent="0.35">
      <c r="A1307" s="291"/>
      <c r="B1307" s="301"/>
      <c r="C1307" s="296"/>
      <c r="D1307" s="291"/>
      <c r="E1307" s="291"/>
      <c r="F1307" s="293"/>
      <c r="G1307" s="293"/>
      <c r="H1307" s="293">
        <f t="shared" si="21"/>
        <v>1746191847.3399999</v>
      </c>
    </row>
    <row r="1308" spans="1:8" x14ac:dyDescent="0.35">
      <c r="A1308" s="291"/>
      <c r="B1308" s="301"/>
      <c r="C1308" s="296"/>
      <c r="D1308" s="291"/>
      <c r="E1308" s="291"/>
      <c r="F1308" s="293"/>
      <c r="G1308" s="293"/>
      <c r="H1308" s="293">
        <f t="shared" si="21"/>
        <v>1746191847.3399999</v>
      </c>
    </row>
    <row r="1309" spans="1:8" x14ac:dyDescent="0.35">
      <c r="A1309" s="291"/>
      <c r="B1309" s="301"/>
      <c r="C1309" s="296"/>
      <c r="D1309" s="291"/>
      <c r="E1309" s="291"/>
      <c r="F1309" s="293"/>
      <c r="G1309" s="293"/>
      <c r="H1309" s="293">
        <f t="shared" si="21"/>
        <v>1746191847.3399999</v>
      </c>
    </row>
    <row r="1310" spans="1:8" x14ac:dyDescent="0.35">
      <c r="A1310" s="291"/>
      <c r="B1310" s="301"/>
      <c r="C1310" s="296"/>
      <c r="D1310" s="291"/>
      <c r="E1310" s="291"/>
      <c r="F1310" s="293"/>
      <c r="G1310" s="293"/>
      <c r="H1310" s="293">
        <f t="shared" si="21"/>
        <v>1746191847.3399999</v>
      </c>
    </row>
    <row r="1311" spans="1:8" x14ac:dyDescent="0.35">
      <c r="A1311" s="291"/>
      <c r="B1311" s="301"/>
      <c r="C1311" s="296"/>
      <c r="D1311" s="291"/>
      <c r="E1311" s="291"/>
      <c r="F1311" s="293"/>
      <c r="G1311" s="293"/>
      <c r="H1311" s="293">
        <f t="shared" si="21"/>
        <v>1746191847.3399999</v>
      </c>
    </row>
    <row r="1312" spans="1:8" x14ac:dyDescent="0.35">
      <c r="A1312" s="291"/>
      <c r="B1312" s="301"/>
      <c r="C1312" s="296"/>
      <c r="D1312" s="291"/>
      <c r="E1312" s="291"/>
      <c r="F1312" s="293"/>
      <c r="G1312" s="293"/>
      <c r="H1312" s="293">
        <f t="shared" ref="H1312:H1335" si="22">H1311+F1312-G1312</f>
        <v>1746191847.3399999</v>
      </c>
    </row>
    <row r="1313" spans="1:8" x14ac:dyDescent="0.35">
      <c r="A1313" s="291"/>
      <c r="B1313" s="301"/>
      <c r="C1313" s="296"/>
      <c r="D1313" s="291"/>
      <c r="E1313" s="291"/>
      <c r="F1313" s="293"/>
      <c r="G1313" s="293"/>
      <c r="H1313" s="293">
        <f t="shared" si="22"/>
        <v>1746191847.3399999</v>
      </c>
    </row>
    <row r="1314" spans="1:8" x14ac:dyDescent="0.35">
      <c r="A1314" s="291"/>
      <c r="B1314" s="301"/>
      <c r="C1314" s="296"/>
      <c r="D1314" s="291"/>
      <c r="E1314" s="291"/>
      <c r="F1314" s="293"/>
      <c r="G1314" s="293"/>
      <c r="H1314" s="293">
        <f t="shared" si="22"/>
        <v>1746191847.3399999</v>
      </c>
    </row>
    <row r="1315" spans="1:8" x14ac:dyDescent="0.35">
      <c r="A1315" s="291"/>
      <c r="B1315" s="301"/>
      <c r="C1315" s="296"/>
      <c r="D1315" s="291"/>
      <c r="E1315" s="291"/>
      <c r="F1315" s="293"/>
      <c r="G1315" s="293"/>
      <c r="H1315" s="293">
        <f t="shared" si="22"/>
        <v>1746191847.3399999</v>
      </c>
    </row>
    <row r="1316" spans="1:8" x14ac:dyDescent="0.35">
      <c r="A1316" s="291"/>
      <c r="B1316" s="301"/>
      <c r="C1316" s="296"/>
      <c r="D1316" s="291"/>
      <c r="E1316" s="291"/>
      <c r="F1316" s="293"/>
      <c r="G1316" s="293"/>
      <c r="H1316" s="293">
        <f t="shared" si="22"/>
        <v>1746191847.3399999</v>
      </c>
    </row>
    <row r="1317" spans="1:8" x14ac:dyDescent="0.35">
      <c r="A1317" s="291"/>
      <c r="B1317" s="301"/>
      <c r="C1317" s="296"/>
      <c r="D1317" s="291"/>
      <c r="E1317" s="291"/>
      <c r="F1317" s="293"/>
      <c r="G1317" s="293"/>
      <c r="H1317" s="293">
        <f t="shared" si="22"/>
        <v>1746191847.3399999</v>
      </c>
    </row>
    <row r="1318" spans="1:8" x14ac:dyDescent="0.35">
      <c r="A1318" s="291"/>
      <c r="B1318" s="301"/>
      <c r="C1318" s="296"/>
      <c r="D1318" s="291"/>
      <c r="E1318" s="291"/>
      <c r="F1318" s="293"/>
      <c r="G1318" s="293"/>
      <c r="H1318" s="293">
        <f t="shared" si="22"/>
        <v>1746191847.3399999</v>
      </c>
    </row>
    <row r="1319" spans="1:8" x14ac:dyDescent="0.35">
      <c r="A1319" s="291"/>
      <c r="B1319" s="301"/>
      <c r="C1319" s="296"/>
      <c r="D1319" s="291"/>
      <c r="E1319" s="291"/>
      <c r="F1319" s="293"/>
      <c r="G1319" s="293"/>
      <c r="H1319" s="293">
        <f t="shared" si="22"/>
        <v>1746191847.3399999</v>
      </c>
    </row>
    <row r="1320" spans="1:8" x14ac:dyDescent="0.35">
      <c r="A1320" s="291"/>
      <c r="B1320" s="301"/>
      <c r="C1320" s="296"/>
      <c r="D1320" s="291"/>
      <c r="E1320" s="291"/>
      <c r="F1320" s="293"/>
      <c r="G1320" s="293"/>
      <c r="H1320" s="293">
        <f t="shared" si="22"/>
        <v>1746191847.3399999</v>
      </c>
    </row>
    <row r="1321" spans="1:8" x14ac:dyDescent="0.35">
      <c r="A1321" s="291"/>
      <c r="B1321" s="301"/>
      <c r="C1321" s="296"/>
      <c r="D1321" s="291"/>
      <c r="E1321" s="291"/>
      <c r="F1321" s="293"/>
      <c r="G1321" s="293"/>
      <c r="H1321" s="293">
        <f t="shared" si="22"/>
        <v>1746191847.3399999</v>
      </c>
    </row>
    <row r="1322" spans="1:8" x14ac:dyDescent="0.35">
      <c r="A1322" s="291"/>
      <c r="B1322" s="301"/>
      <c r="C1322" s="296"/>
      <c r="D1322" s="291"/>
      <c r="E1322" s="291"/>
      <c r="F1322" s="293"/>
      <c r="G1322" s="293"/>
      <c r="H1322" s="293">
        <f t="shared" si="22"/>
        <v>1746191847.3399999</v>
      </c>
    </row>
    <row r="1323" spans="1:8" x14ac:dyDescent="0.35">
      <c r="A1323" s="291"/>
      <c r="B1323" s="301"/>
      <c r="C1323" s="296"/>
      <c r="D1323" s="291"/>
      <c r="E1323" s="291"/>
      <c r="F1323" s="293"/>
      <c r="G1323" s="293"/>
      <c r="H1323" s="293">
        <f t="shared" si="22"/>
        <v>1746191847.3399999</v>
      </c>
    </row>
    <row r="1324" spans="1:8" x14ac:dyDescent="0.35">
      <c r="A1324" s="291"/>
      <c r="B1324" s="301"/>
      <c r="C1324" s="296"/>
      <c r="D1324" s="291"/>
      <c r="E1324" s="291"/>
      <c r="F1324" s="293"/>
      <c r="G1324" s="293"/>
      <c r="H1324" s="293">
        <f t="shared" si="22"/>
        <v>1746191847.3399999</v>
      </c>
    </row>
    <row r="1325" spans="1:8" x14ac:dyDescent="0.35">
      <c r="A1325" s="291"/>
      <c r="B1325" s="301"/>
      <c r="C1325" s="296"/>
      <c r="D1325" s="291"/>
      <c r="E1325" s="291"/>
      <c r="F1325" s="293"/>
      <c r="G1325" s="293"/>
      <c r="H1325" s="293">
        <f t="shared" si="22"/>
        <v>1746191847.3399999</v>
      </c>
    </row>
    <row r="1326" spans="1:8" x14ac:dyDescent="0.35">
      <c r="A1326" s="291"/>
      <c r="B1326" s="301"/>
      <c r="C1326" s="296"/>
      <c r="D1326" s="291"/>
      <c r="E1326" s="291"/>
      <c r="F1326" s="293"/>
      <c r="G1326" s="293"/>
      <c r="H1326" s="293">
        <f t="shared" si="22"/>
        <v>1746191847.3399999</v>
      </c>
    </row>
    <row r="1327" spans="1:8" x14ac:dyDescent="0.35">
      <c r="A1327" s="291"/>
      <c r="B1327" s="301"/>
      <c r="C1327" s="296"/>
      <c r="D1327" s="291"/>
      <c r="E1327" s="291"/>
      <c r="F1327" s="293"/>
      <c r="G1327" s="293"/>
      <c r="H1327" s="293">
        <f t="shared" si="22"/>
        <v>1746191847.3399999</v>
      </c>
    </row>
    <row r="1328" spans="1:8" x14ac:dyDescent="0.35">
      <c r="A1328" s="291"/>
      <c r="B1328" s="301"/>
      <c r="C1328" s="296"/>
      <c r="D1328" s="291"/>
      <c r="E1328" s="291"/>
      <c r="F1328" s="293"/>
      <c r="G1328" s="293"/>
      <c r="H1328" s="293">
        <f t="shared" si="22"/>
        <v>1746191847.3399999</v>
      </c>
    </row>
    <row r="1329" spans="1:8" x14ac:dyDescent="0.35">
      <c r="A1329" s="291"/>
      <c r="B1329" s="301"/>
      <c r="C1329" s="296"/>
      <c r="D1329" s="291"/>
      <c r="E1329" s="291"/>
      <c r="F1329" s="293"/>
      <c r="G1329" s="293"/>
      <c r="H1329" s="293">
        <f t="shared" si="22"/>
        <v>1746191847.3399999</v>
      </c>
    </row>
    <row r="1330" spans="1:8" x14ac:dyDescent="0.35">
      <c r="A1330" s="291"/>
      <c r="B1330" s="301"/>
      <c r="C1330" s="296"/>
      <c r="D1330" s="291"/>
      <c r="E1330" s="291"/>
      <c r="F1330" s="293"/>
      <c r="G1330" s="293"/>
      <c r="H1330" s="293">
        <f t="shared" si="22"/>
        <v>1746191847.3399999</v>
      </c>
    </row>
    <row r="1331" spans="1:8" x14ac:dyDescent="0.35">
      <c r="A1331" s="291"/>
      <c r="B1331" s="301"/>
      <c r="C1331" s="296"/>
      <c r="D1331" s="291"/>
      <c r="E1331" s="291"/>
      <c r="F1331" s="293"/>
      <c r="G1331" s="293"/>
      <c r="H1331" s="293">
        <f t="shared" si="22"/>
        <v>1746191847.3399999</v>
      </c>
    </row>
    <row r="1332" spans="1:8" x14ac:dyDescent="0.35">
      <c r="A1332" s="291"/>
      <c r="B1332" s="301"/>
      <c r="C1332" s="296"/>
      <c r="D1332" s="291"/>
      <c r="E1332" s="291"/>
      <c r="F1332" s="293"/>
      <c r="G1332" s="293"/>
      <c r="H1332" s="293">
        <f t="shared" si="22"/>
        <v>1746191847.3399999</v>
      </c>
    </row>
    <row r="1333" spans="1:8" x14ac:dyDescent="0.35">
      <c r="A1333" s="291"/>
      <c r="B1333" s="301"/>
      <c r="C1333" s="296"/>
      <c r="D1333" s="291"/>
      <c r="E1333" s="291"/>
      <c r="F1333" s="293"/>
      <c r="G1333" s="293"/>
      <c r="H1333" s="293">
        <f t="shared" si="22"/>
        <v>1746191847.3399999</v>
      </c>
    </row>
    <row r="1334" spans="1:8" x14ac:dyDescent="0.35">
      <c r="A1334" s="291"/>
      <c r="B1334" s="301"/>
      <c r="C1334" s="296"/>
      <c r="D1334" s="291"/>
      <c r="E1334" s="291"/>
      <c r="F1334" s="293"/>
      <c r="G1334" s="293"/>
      <c r="H1334" s="293">
        <f t="shared" si="22"/>
        <v>1746191847.3399999</v>
      </c>
    </row>
    <row r="1335" spans="1:8" x14ac:dyDescent="0.35">
      <c r="A1335" s="291"/>
      <c r="B1335" s="301"/>
      <c r="C1335" s="296"/>
      <c r="D1335" s="291"/>
      <c r="E1335" s="291"/>
      <c r="F1335" s="293"/>
      <c r="G1335" s="293"/>
      <c r="H1335" s="293">
        <f t="shared" si="22"/>
        <v>1746191847.3399999</v>
      </c>
    </row>
    <row r="1336" spans="1:8" x14ac:dyDescent="0.35">
      <c r="A1336" s="291"/>
      <c r="B1336" s="301"/>
      <c r="C1336" s="296"/>
      <c r="D1336" s="291"/>
      <c r="E1336" s="291"/>
      <c r="F1336" s="293"/>
      <c r="G1336" s="293"/>
      <c r="H1336" s="293">
        <f t="shared" ref="H1336:H1337" si="23">H1335+F1336-G1336</f>
        <v>1746191847.3399999</v>
      </c>
    </row>
    <row r="1337" spans="1:8" x14ac:dyDescent="0.35">
      <c r="A1337" s="291"/>
      <c r="B1337" s="301"/>
      <c r="C1337" s="296"/>
      <c r="D1337" s="291"/>
      <c r="E1337" s="291"/>
      <c r="F1337" s="293"/>
      <c r="G1337" s="293"/>
      <c r="H1337" s="293">
        <f t="shared" si="23"/>
        <v>1746191847.3399999</v>
      </c>
    </row>
    <row r="1338" spans="1:8" x14ac:dyDescent="0.35">
      <c r="A1338" s="291"/>
      <c r="B1338" s="301"/>
      <c r="C1338" s="296"/>
      <c r="D1338" s="291"/>
      <c r="E1338" s="291"/>
      <c r="F1338" s="293"/>
      <c r="G1338" s="293"/>
      <c r="H1338" s="293">
        <f t="shared" ref="H1338:H1401" si="24">H1337+F1338-G1338</f>
        <v>1746191847.3399999</v>
      </c>
    </row>
    <row r="1339" spans="1:8" x14ac:dyDescent="0.35">
      <c r="A1339" s="291"/>
      <c r="B1339" s="301"/>
      <c r="C1339" s="296"/>
      <c r="D1339" s="291"/>
      <c r="E1339" s="291"/>
      <c r="F1339" s="293"/>
      <c r="G1339" s="293"/>
      <c r="H1339" s="293">
        <f t="shared" si="24"/>
        <v>1746191847.3399999</v>
      </c>
    </row>
    <row r="1340" spans="1:8" x14ac:dyDescent="0.35">
      <c r="A1340" s="291"/>
      <c r="B1340" s="301"/>
      <c r="C1340" s="296"/>
      <c r="D1340" s="291"/>
      <c r="E1340" s="291"/>
      <c r="F1340" s="293"/>
      <c r="G1340" s="293"/>
      <c r="H1340" s="293">
        <f t="shared" si="24"/>
        <v>1746191847.3399999</v>
      </c>
    </row>
    <row r="1341" spans="1:8" x14ac:dyDescent="0.35">
      <c r="A1341" s="291"/>
      <c r="B1341" s="301"/>
      <c r="C1341" s="296"/>
      <c r="D1341" s="291"/>
      <c r="E1341" s="291"/>
      <c r="F1341" s="293"/>
      <c r="G1341" s="293"/>
      <c r="H1341" s="293">
        <f t="shared" si="24"/>
        <v>1746191847.3399999</v>
      </c>
    </row>
    <row r="1342" spans="1:8" x14ac:dyDescent="0.35">
      <c r="A1342" s="291"/>
      <c r="B1342" s="301"/>
      <c r="C1342" s="296"/>
      <c r="D1342" s="291"/>
      <c r="E1342" s="291"/>
      <c r="F1342" s="293"/>
      <c r="G1342" s="293"/>
      <c r="H1342" s="293">
        <f t="shared" si="24"/>
        <v>1746191847.3399999</v>
      </c>
    </row>
    <row r="1343" spans="1:8" x14ac:dyDescent="0.35">
      <c r="A1343" s="291"/>
      <c r="B1343" s="301"/>
      <c r="C1343" s="296"/>
      <c r="D1343" s="291"/>
      <c r="E1343" s="291"/>
      <c r="F1343" s="293"/>
      <c r="G1343" s="293"/>
      <c r="H1343" s="293">
        <f t="shared" si="24"/>
        <v>1746191847.3399999</v>
      </c>
    </row>
    <row r="1344" spans="1:8" x14ac:dyDescent="0.35">
      <c r="A1344" s="291"/>
      <c r="B1344" s="301"/>
      <c r="C1344" s="296"/>
      <c r="D1344" s="291"/>
      <c r="E1344" s="291"/>
      <c r="F1344" s="293"/>
      <c r="G1344" s="293"/>
      <c r="H1344" s="293">
        <f t="shared" si="24"/>
        <v>1746191847.3399999</v>
      </c>
    </row>
    <row r="1345" spans="1:8" x14ac:dyDescent="0.35">
      <c r="A1345" s="291"/>
      <c r="B1345" s="301"/>
      <c r="C1345" s="296"/>
      <c r="D1345" s="291"/>
      <c r="E1345" s="291"/>
      <c r="F1345" s="293"/>
      <c r="G1345" s="293"/>
      <c r="H1345" s="293">
        <f t="shared" si="24"/>
        <v>1746191847.3399999</v>
      </c>
    </row>
    <row r="1346" spans="1:8" x14ac:dyDescent="0.35">
      <c r="A1346" s="291"/>
      <c r="B1346" s="301"/>
      <c r="C1346" s="296"/>
      <c r="D1346" s="291"/>
      <c r="E1346" s="291"/>
      <c r="F1346" s="293"/>
      <c r="G1346" s="293"/>
      <c r="H1346" s="293">
        <f t="shared" si="24"/>
        <v>1746191847.3399999</v>
      </c>
    </row>
    <row r="1347" spans="1:8" x14ac:dyDescent="0.35">
      <c r="A1347" s="291"/>
      <c r="B1347" s="301"/>
      <c r="C1347" s="296"/>
      <c r="D1347" s="291"/>
      <c r="E1347" s="291"/>
      <c r="F1347" s="293"/>
      <c r="G1347" s="293"/>
      <c r="H1347" s="293">
        <f t="shared" si="24"/>
        <v>1746191847.3399999</v>
      </c>
    </row>
    <row r="1348" spans="1:8" x14ac:dyDescent="0.35">
      <c r="A1348" s="291"/>
      <c r="B1348" s="301"/>
      <c r="C1348" s="296"/>
      <c r="D1348" s="291"/>
      <c r="E1348" s="291"/>
      <c r="F1348" s="293"/>
      <c r="G1348" s="293"/>
      <c r="H1348" s="293">
        <f t="shared" si="24"/>
        <v>1746191847.3399999</v>
      </c>
    </row>
    <row r="1349" spans="1:8" x14ac:dyDescent="0.35">
      <c r="A1349" s="291"/>
      <c r="B1349" s="301"/>
      <c r="C1349" s="296"/>
      <c r="D1349" s="291"/>
      <c r="E1349" s="291"/>
      <c r="F1349" s="293"/>
      <c r="G1349" s="293"/>
      <c r="H1349" s="293">
        <f t="shared" si="24"/>
        <v>1746191847.3399999</v>
      </c>
    </row>
    <row r="1350" spans="1:8" x14ac:dyDescent="0.35">
      <c r="A1350" s="291"/>
      <c r="B1350" s="301"/>
      <c r="C1350" s="296"/>
      <c r="D1350" s="291"/>
      <c r="E1350" s="291"/>
      <c r="F1350" s="293"/>
      <c r="G1350" s="293"/>
      <c r="H1350" s="293">
        <f t="shared" si="24"/>
        <v>1746191847.3399999</v>
      </c>
    </row>
    <row r="1351" spans="1:8" x14ac:dyDescent="0.35">
      <c r="A1351" s="291"/>
      <c r="B1351" s="301"/>
      <c r="C1351" s="296"/>
      <c r="D1351" s="291"/>
      <c r="E1351" s="291"/>
      <c r="F1351" s="293"/>
      <c r="G1351" s="293"/>
      <c r="H1351" s="293">
        <f t="shared" si="24"/>
        <v>1746191847.3399999</v>
      </c>
    </row>
    <row r="1352" spans="1:8" x14ac:dyDescent="0.35">
      <c r="A1352" s="291"/>
      <c r="B1352" s="301"/>
      <c r="C1352" s="296"/>
      <c r="D1352" s="291"/>
      <c r="E1352" s="291"/>
      <c r="F1352" s="293"/>
      <c r="G1352" s="293"/>
      <c r="H1352" s="293">
        <f t="shared" si="24"/>
        <v>1746191847.3399999</v>
      </c>
    </row>
    <row r="1353" spans="1:8" x14ac:dyDescent="0.35">
      <c r="A1353" s="291"/>
      <c r="B1353" s="301"/>
      <c r="C1353" s="296"/>
      <c r="D1353" s="291"/>
      <c r="E1353" s="291"/>
      <c r="F1353" s="293"/>
      <c r="G1353" s="293"/>
      <c r="H1353" s="293">
        <f t="shared" si="24"/>
        <v>1746191847.3399999</v>
      </c>
    </row>
    <row r="1354" spans="1:8" x14ac:dyDescent="0.35">
      <c r="A1354" s="291"/>
      <c r="B1354" s="301"/>
      <c r="C1354" s="296"/>
      <c r="D1354" s="291"/>
      <c r="E1354" s="291"/>
      <c r="F1354" s="293"/>
      <c r="G1354" s="293"/>
      <c r="H1354" s="293">
        <f t="shared" si="24"/>
        <v>1746191847.3399999</v>
      </c>
    </row>
    <row r="1355" spans="1:8" x14ac:dyDescent="0.35">
      <c r="A1355" s="291"/>
      <c r="B1355" s="301"/>
      <c r="C1355" s="296"/>
      <c r="D1355" s="291"/>
      <c r="E1355" s="291"/>
      <c r="F1355" s="293"/>
      <c r="G1355" s="293"/>
      <c r="H1355" s="293">
        <f t="shared" si="24"/>
        <v>1746191847.3399999</v>
      </c>
    </row>
    <row r="1356" spans="1:8" x14ac:dyDescent="0.35">
      <c r="A1356" s="291"/>
      <c r="B1356" s="301"/>
      <c r="C1356" s="296"/>
      <c r="D1356" s="291"/>
      <c r="E1356" s="291"/>
      <c r="F1356" s="293"/>
      <c r="G1356" s="293"/>
      <c r="H1356" s="293">
        <f t="shared" si="24"/>
        <v>1746191847.3399999</v>
      </c>
    </row>
    <row r="1357" spans="1:8" x14ac:dyDescent="0.35">
      <c r="A1357" s="291"/>
      <c r="B1357" s="301"/>
      <c r="C1357" s="296"/>
      <c r="D1357" s="291"/>
      <c r="E1357" s="291"/>
      <c r="F1357" s="293"/>
      <c r="G1357" s="293"/>
      <c r="H1357" s="293">
        <f t="shared" si="24"/>
        <v>1746191847.3399999</v>
      </c>
    </row>
    <row r="1358" spans="1:8" x14ac:dyDescent="0.35">
      <c r="A1358" s="291"/>
      <c r="B1358" s="301"/>
      <c r="C1358" s="296"/>
      <c r="D1358" s="291"/>
      <c r="E1358" s="291"/>
      <c r="F1358" s="293"/>
      <c r="G1358" s="293"/>
      <c r="H1358" s="293">
        <f t="shared" si="24"/>
        <v>1746191847.3399999</v>
      </c>
    </row>
    <row r="1359" spans="1:8" x14ac:dyDescent="0.35">
      <c r="A1359" s="291"/>
      <c r="B1359" s="301"/>
      <c r="C1359" s="296"/>
      <c r="D1359" s="291"/>
      <c r="E1359" s="291"/>
      <c r="F1359" s="293"/>
      <c r="G1359" s="293"/>
      <c r="H1359" s="293">
        <f t="shared" si="24"/>
        <v>1746191847.3399999</v>
      </c>
    </row>
    <row r="1360" spans="1:8" x14ac:dyDescent="0.35">
      <c r="A1360" s="291"/>
      <c r="B1360" s="301"/>
      <c r="C1360" s="296"/>
      <c r="D1360" s="291"/>
      <c r="E1360" s="291"/>
      <c r="F1360" s="293"/>
      <c r="G1360" s="293"/>
      <c r="H1360" s="293">
        <f t="shared" si="24"/>
        <v>1746191847.3399999</v>
      </c>
    </row>
    <row r="1361" spans="1:8" x14ac:dyDescent="0.35">
      <c r="A1361" s="291"/>
      <c r="B1361" s="301"/>
      <c r="C1361" s="296"/>
      <c r="D1361" s="291"/>
      <c r="E1361" s="291"/>
      <c r="F1361" s="293"/>
      <c r="G1361" s="293"/>
      <c r="H1361" s="293">
        <f t="shared" si="24"/>
        <v>1746191847.3399999</v>
      </c>
    </row>
    <row r="1362" spans="1:8" x14ac:dyDescent="0.35">
      <c r="A1362" s="291"/>
      <c r="B1362" s="301"/>
      <c r="C1362" s="296"/>
      <c r="D1362" s="291"/>
      <c r="E1362" s="291"/>
      <c r="F1362" s="293"/>
      <c r="G1362" s="293"/>
      <c r="H1362" s="293">
        <f t="shared" si="24"/>
        <v>1746191847.3399999</v>
      </c>
    </row>
    <row r="1363" spans="1:8" x14ac:dyDescent="0.35">
      <c r="A1363" s="291"/>
      <c r="B1363" s="301"/>
      <c r="C1363" s="296"/>
      <c r="D1363" s="291"/>
      <c r="E1363" s="291"/>
      <c r="F1363" s="293"/>
      <c r="G1363" s="293"/>
      <c r="H1363" s="293">
        <f t="shared" si="24"/>
        <v>1746191847.3399999</v>
      </c>
    </row>
    <row r="1364" spans="1:8" x14ac:dyDescent="0.35">
      <c r="A1364" s="291"/>
      <c r="B1364" s="301"/>
      <c r="C1364" s="296"/>
      <c r="D1364" s="291"/>
      <c r="E1364" s="291"/>
      <c r="F1364" s="293"/>
      <c r="G1364" s="293"/>
      <c r="H1364" s="293">
        <f t="shared" si="24"/>
        <v>1746191847.3399999</v>
      </c>
    </row>
    <row r="1365" spans="1:8" x14ac:dyDescent="0.35">
      <c r="A1365" s="291"/>
      <c r="B1365" s="301"/>
      <c r="C1365" s="296"/>
      <c r="D1365" s="291"/>
      <c r="E1365" s="291"/>
      <c r="F1365" s="293"/>
      <c r="G1365" s="293"/>
      <c r="H1365" s="293">
        <f t="shared" si="24"/>
        <v>1746191847.3399999</v>
      </c>
    </row>
    <row r="1366" spans="1:8" x14ac:dyDescent="0.35">
      <c r="A1366" s="291"/>
      <c r="B1366" s="301"/>
      <c r="C1366" s="296"/>
      <c r="D1366" s="291"/>
      <c r="E1366" s="291"/>
      <c r="F1366" s="293"/>
      <c r="G1366" s="293"/>
      <c r="H1366" s="293">
        <f t="shared" si="24"/>
        <v>1746191847.3399999</v>
      </c>
    </row>
    <row r="1367" spans="1:8" x14ac:dyDescent="0.35">
      <c r="A1367" s="291"/>
      <c r="B1367" s="301"/>
      <c r="C1367" s="296"/>
      <c r="D1367" s="291"/>
      <c r="E1367" s="291"/>
      <c r="F1367" s="293"/>
      <c r="G1367" s="293"/>
      <c r="H1367" s="293">
        <f t="shared" si="24"/>
        <v>1746191847.3399999</v>
      </c>
    </row>
    <row r="1368" spans="1:8" x14ac:dyDescent="0.35">
      <c r="A1368" s="291"/>
      <c r="B1368" s="301"/>
      <c r="C1368" s="296"/>
      <c r="D1368" s="291"/>
      <c r="E1368" s="291"/>
      <c r="F1368" s="293"/>
      <c r="G1368" s="293"/>
      <c r="H1368" s="293">
        <f t="shared" si="24"/>
        <v>1746191847.3399999</v>
      </c>
    </row>
    <row r="1369" spans="1:8" x14ac:dyDescent="0.35">
      <c r="A1369" s="291"/>
      <c r="B1369" s="301"/>
      <c r="C1369" s="296"/>
      <c r="D1369" s="291"/>
      <c r="E1369" s="291"/>
      <c r="F1369" s="293"/>
      <c r="G1369" s="293"/>
      <c r="H1369" s="293">
        <f t="shared" si="24"/>
        <v>1746191847.3399999</v>
      </c>
    </row>
    <row r="1370" spans="1:8" x14ac:dyDescent="0.35">
      <c r="A1370" s="291"/>
      <c r="B1370" s="301"/>
      <c r="C1370" s="296"/>
      <c r="D1370" s="291"/>
      <c r="E1370" s="291"/>
      <c r="F1370" s="293"/>
      <c r="G1370" s="293"/>
      <c r="H1370" s="293">
        <f t="shared" si="24"/>
        <v>1746191847.3399999</v>
      </c>
    </row>
    <row r="1371" spans="1:8" x14ac:dyDescent="0.35">
      <c r="A1371" s="291"/>
      <c r="B1371" s="301"/>
      <c r="C1371" s="296"/>
      <c r="D1371" s="291"/>
      <c r="E1371" s="291"/>
      <c r="F1371" s="293"/>
      <c r="G1371" s="293"/>
      <c r="H1371" s="293">
        <f t="shared" si="24"/>
        <v>1746191847.3399999</v>
      </c>
    </row>
    <row r="1372" spans="1:8" x14ac:dyDescent="0.35">
      <c r="A1372" s="291"/>
      <c r="B1372" s="301"/>
      <c r="C1372" s="296"/>
      <c r="D1372" s="291"/>
      <c r="E1372" s="291"/>
      <c r="F1372" s="293"/>
      <c r="G1372" s="293"/>
      <c r="H1372" s="293">
        <f t="shared" si="24"/>
        <v>1746191847.3399999</v>
      </c>
    </row>
    <row r="1373" spans="1:8" x14ac:dyDescent="0.35">
      <c r="A1373" s="291"/>
      <c r="B1373" s="301"/>
      <c r="C1373" s="296"/>
      <c r="D1373" s="291"/>
      <c r="E1373" s="291"/>
      <c r="F1373" s="293"/>
      <c r="G1373" s="293"/>
      <c r="H1373" s="293">
        <f t="shared" si="24"/>
        <v>1746191847.3399999</v>
      </c>
    </row>
    <row r="1374" spans="1:8" x14ac:dyDescent="0.35">
      <c r="A1374" s="291"/>
      <c r="B1374" s="301"/>
      <c r="C1374" s="296"/>
      <c r="D1374" s="291"/>
      <c r="E1374" s="291"/>
      <c r="F1374" s="293"/>
      <c r="G1374" s="293"/>
      <c r="H1374" s="293">
        <f t="shared" si="24"/>
        <v>1746191847.3399999</v>
      </c>
    </row>
    <row r="1375" spans="1:8" x14ac:dyDescent="0.35">
      <c r="A1375" s="291"/>
      <c r="B1375" s="301"/>
      <c r="C1375" s="296"/>
      <c r="D1375" s="291"/>
      <c r="E1375" s="291"/>
      <c r="F1375" s="293"/>
      <c r="G1375" s="293"/>
      <c r="H1375" s="293">
        <f t="shared" si="24"/>
        <v>1746191847.3399999</v>
      </c>
    </row>
    <row r="1376" spans="1:8" x14ac:dyDescent="0.35">
      <c r="A1376" s="291"/>
      <c r="B1376" s="301"/>
      <c r="C1376" s="296"/>
      <c r="D1376" s="291"/>
      <c r="E1376" s="291"/>
      <c r="F1376" s="293"/>
      <c r="G1376" s="293"/>
      <c r="H1376" s="293">
        <f t="shared" si="24"/>
        <v>1746191847.3399999</v>
      </c>
    </row>
    <row r="1377" spans="1:8" x14ac:dyDescent="0.35">
      <c r="A1377" s="291"/>
      <c r="B1377" s="301"/>
      <c r="C1377" s="296"/>
      <c r="D1377" s="291"/>
      <c r="E1377" s="291"/>
      <c r="F1377" s="293"/>
      <c r="G1377" s="293"/>
      <c r="H1377" s="293">
        <f t="shared" si="24"/>
        <v>1746191847.3399999</v>
      </c>
    </row>
    <row r="1378" spans="1:8" x14ac:dyDescent="0.35">
      <c r="A1378" s="291"/>
      <c r="B1378" s="301"/>
      <c r="C1378" s="296"/>
      <c r="D1378" s="291"/>
      <c r="E1378" s="291"/>
      <c r="F1378" s="293"/>
      <c r="G1378" s="293"/>
      <c r="H1378" s="293">
        <f t="shared" si="24"/>
        <v>1746191847.3399999</v>
      </c>
    </row>
    <row r="1379" spans="1:8" x14ac:dyDescent="0.35">
      <c r="A1379" s="291"/>
      <c r="B1379" s="301"/>
      <c r="C1379" s="296"/>
      <c r="D1379" s="291"/>
      <c r="E1379" s="291"/>
      <c r="F1379" s="293"/>
      <c r="G1379" s="293"/>
      <c r="H1379" s="293">
        <f t="shared" si="24"/>
        <v>1746191847.3399999</v>
      </c>
    </row>
    <row r="1380" spans="1:8" x14ac:dyDescent="0.35">
      <c r="A1380" s="291"/>
      <c r="B1380" s="301"/>
      <c r="C1380" s="296"/>
      <c r="D1380" s="291"/>
      <c r="E1380" s="291"/>
      <c r="F1380" s="293"/>
      <c r="G1380" s="293"/>
      <c r="H1380" s="293">
        <f t="shared" si="24"/>
        <v>1746191847.3399999</v>
      </c>
    </row>
    <row r="1381" spans="1:8" x14ac:dyDescent="0.35">
      <c r="A1381" s="291"/>
      <c r="B1381" s="301"/>
      <c r="C1381" s="296"/>
      <c r="D1381" s="291"/>
      <c r="E1381" s="291"/>
      <c r="F1381" s="293"/>
      <c r="G1381" s="293"/>
      <c r="H1381" s="293">
        <f t="shared" si="24"/>
        <v>1746191847.3399999</v>
      </c>
    </row>
    <row r="1382" spans="1:8" x14ac:dyDescent="0.35">
      <c r="A1382" s="291"/>
      <c r="B1382" s="301"/>
      <c r="C1382" s="296"/>
      <c r="D1382" s="291"/>
      <c r="E1382" s="291"/>
      <c r="F1382" s="293"/>
      <c r="G1382" s="293"/>
      <c r="H1382" s="293">
        <f t="shared" si="24"/>
        <v>1746191847.3399999</v>
      </c>
    </row>
    <row r="1383" spans="1:8" x14ac:dyDescent="0.35">
      <c r="A1383" s="291"/>
      <c r="B1383" s="301"/>
      <c r="C1383" s="296"/>
      <c r="D1383" s="291"/>
      <c r="E1383" s="291"/>
      <c r="F1383" s="293"/>
      <c r="G1383" s="293"/>
      <c r="H1383" s="293">
        <f t="shared" si="24"/>
        <v>1746191847.3399999</v>
      </c>
    </row>
    <row r="1384" spans="1:8" x14ac:dyDescent="0.35">
      <c r="A1384" s="291"/>
      <c r="B1384" s="301"/>
      <c r="C1384" s="296"/>
      <c r="D1384" s="291"/>
      <c r="E1384" s="291"/>
      <c r="F1384" s="293"/>
      <c r="G1384" s="293"/>
      <c r="H1384" s="293">
        <f t="shared" si="24"/>
        <v>1746191847.3399999</v>
      </c>
    </row>
    <row r="1385" spans="1:8" x14ac:dyDescent="0.35">
      <c r="A1385" s="291"/>
      <c r="B1385" s="301"/>
      <c r="C1385" s="296"/>
      <c r="D1385" s="291"/>
      <c r="E1385" s="291"/>
      <c r="F1385" s="293"/>
      <c r="G1385" s="293"/>
      <c r="H1385" s="293">
        <f t="shared" si="24"/>
        <v>1746191847.3399999</v>
      </c>
    </row>
    <row r="1386" spans="1:8" x14ac:dyDescent="0.35">
      <c r="A1386" s="291"/>
      <c r="B1386" s="301"/>
      <c r="C1386" s="296"/>
      <c r="D1386" s="291"/>
      <c r="E1386" s="291"/>
      <c r="F1386" s="293"/>
      <c r="G1386" s="293"/>
      <c r="H1386" s="293">
        <f t="shared" si="24"/>
        <v>1746191847.3399999</v>
      </c>
    </row>
    <row r="1387" spans="1:8" x14ac:dyDescent="0.35">
      <c r="A1387" s="291"/>
      <c r="B1387" s="301"/>
      <c r="C1387" s="296"/>
      <c r="D1387" s="291"/>
      <c r="E1387" s="291"/>
      <c r="F1387" s="293"/>
      <c r="G1387" s="293"/>
      <c r="H1387" s="293">
        <f t="shared" si="24"/>
        <v>1746191847.3399999</v>
      </c>
    </row>
    <row r="1388" spans="1:8" x14ac:dyDescent="0.35">
      <c r="A1388" s="291"/>
      <c r="B1388" s="301"/>
      <c r="C1388" s="296"/>
      <c r="D1388" s="291"/>
      <c r="E1388" s="291"/>
      <c r="F1388" s="293"/>
      <c r="G1388" s="293"/>
      <c r="H1388" s="293">
        <f t="shared" si="24"/>
        <v>1746191847.3399999</v>
      </c>
    </row>
    <row r="1389" spans="1:8" x14ac:dyDescent="0.35">
      <c r="A1389" s="291"/>
      <c r="B1389" s="301"/>
      <c r="C1389" s="296"/>
      <c r="D1389" s="291"/>
      <c r="E1389" s="291"/>
      <c r="F1389" s="293"/>
      <c r="G1389" s="293"/>
      <c r="H1389" s="293">
        <f t="shared" si="24"/>
        <v>1746191847.3399999</v>
      </c>
    </row>
    <row r="1390" spans="1:8" x14ac:dyDescent="0.35">
      <c r="A1390" s="291"/>
      <c r="B1390" s="301"/>
      <c r="C1390" s="296"/>
      <c r="D1390" s="291"/>
      <c r="E1390" s="291"/>
      <c r="F1390" s="293"/>
      <c r="G1390" s="293"/>
      <c r="H1390" s="293">
        <f t="shared" si="24"/>
        <v>1746191847.3399999</v>
      </c>
    </row>
    <row r="1391" spans="1:8" x14ac:dyDescent="0.35">
      <c r="A1391" s="291"/>
      <c r="B1391" s="301"/>
      <c r="C1391" s="296"/>
      <c r="D1391" s="291"/>
      <c r="E1391" s="291"/>
      <c r="F1391" s="293"/>
      <c r="G1391" s="293"/>
      <c r="H1391" s="293">
        <f t="shared" si="24"/>
        <v>1746191847.3399999</v>
      </c>
    </row>
    <row r="1392" spans="1:8" x14ac:dyDescent="0.35">
      <c r="A1392" s="291"/>
      <c r="B1392" s="301"/>
      <c r="C1392" s="296"/>
      <c r="D1392" s="291"/>
      <c r="E1392" s="291"/>
      <c r="F1392" s="293"/>
      <c r="G1392" s="293"/>
      <c r="H1392" s="293">
        <f t="shared" si="24"/>
        <v>1746191847.3399999</v>
      </c>
    </row>
    <row r="1393" spans="1:8" x14ac:dyDescent="0.35">
      <c r="A1393" s="291"/>
      <c r="B1393" s="301"/>
      <c r="C1393" s="296"/>
      <c r="D1393" s="291"/>
      <c r="E1393" s="291"/>
      <c r="F1393" s="293"/>
      <c r="G1393" s="293"/>
      <c r="H1393" s="293">
        <f t="shared" si="24"/>
        <v>1746191847.3399999</v>
      </c>
    </row>
    <row r="1394" spans="1:8" x14ac:dyDescent="0.35">
      <c r="A1394" s="291"/>
      <c r="B1394" s="301"/>
      <c r="C1394" s="296"/>
      <c r="D1394" s="291"/>
      <c r="E1394" s="291"/>
      <c r="F1394" s="293"/>
      <c r="G1394" s="293"/>
      <c r="H1394" s="293">
        <f t="shared" si="24"/>
        <v>1746191847.3399999</v>
      </c>
    </row>
    <row r="1395" spans="1:8" x14ac:dyDescent="0.35">
      <c r="A1395" s="291"/>
      <c r="B1395" s="301"/>
      <c r="C1395" s="296"/>
      <c r="D1395" s="291"/>
      <c r="E1395" s="291"/>
      <c r="F1395" s="293"/>
      <c r="G1395" s="293"/>
      <c r="H1395" s="293">
        <f t="shared" si="24"/>
        <v>1746191847.3399999</v>
      </c>
    </row>
    <row r="1396" spans="1:8" x14ac:dyDescent="0.35">
      <c r="A1396" s="291"/>
      <c r="B1396" s="301"/>
      <c r="C1396" s="296"/>
      <c r="D1396" s="291"/>
      <c r="E1396" s="291"/>
      <c r="F1396" s="293"/>
      <c r="G1396" s="293"/>
      <c r="H1396" s="293">
        <f t="shared" si="24"/>
        <v>1746191847.3399999</v>
      </c>
    </row>
    <row r="1397" spans="1:8" x14ac:dyDescent="0.35">
      <c r="A1397" s="291"/>
      <c r="B1397" s="301"/>
      <c r="C1397" s="296"/>
      <c r="D1397" s="291"/>
      <c r="E1397" s="291"/>
      <c r="F1397" s="293"/>
      <c r="G1397" s="293"/>
      <c r="H1397" s="293">
        <f t="shared" si="24"/>
        <v>1746191847.3399999</v>
      </c>
    </row>
    <row r="1398" spans="1:8" x14ac:dyDescent="0.35">
      <c r="A1398" s="291"/>
      <c r="B1398" s="301"/>
      <c r="C1398" s="296"/>
      <c r="D1398" s="291"/>
      <c r="E1398" s="291"/>
      <c r="F1398" s="293"/>
      <c r="G1398" s="293"/>
      <c r="H1398" s="293">
        <f t="shared" si="24"/>
        <v>1746191847.3399999</v>
      </c>
    </row>
    <row r="1399" spans="1:8" x14ac:dyDescent="0.35">
      <c r="A1399" s="291"/>
      <c r="B1399" s="301"/>
      <c r="C1399" s="296"/>
      <c r="D1399" s="291"/>
      <c r="E1399" s="291"/>
      <c r="F1399" s="293"/>
      <c r="G1399" s="293"/>
      <c r="H1399" s="293">
        <f t="shared" si="24"/>
        <v>1746191847.3399999</v>
      </c>
    </row>
    <row r="1400" spans="1:8" x14ac:dyDescent="0.35">
      <c r="A1400" s="291"/>
      <c r="B1400" s="301"/>
      <c r="C1400" s="296"/>
      <c r="D1400" s="291"/>
      <c r="E1400" s="291"/>
      <c r="F1400" s="293"/>
      <c r="G1400" s="293"/>
      <c r="H1400" s="293">
        <f t="shared" si="24"/>
        <v>1746191847.3399999</v>
      </c>
    </row>
    <row r="1401" spans="1:8" x14ac:dyDescent="0.35">
      <c r="A1401" s="291"/>
      <c r="B1401" s="301"/>
      <c r="C1401" s="296"/>
      <c r="D1401" s="291"/>
      <c r="E1401" s="291"/>
      <c r="F1401" s="293"/>
      <c r="G1401" s="293"/>
      <c r="H1401" s="293">
        <f t="shared" si="24"/>
        <v>1746191847.3399999</v>
      </c>
    </row>
    <row r="1402" spans="1:8" x14ac:dyDescent="0.35">
      <c r="A1402" s="291"/>
      <c r="B1402" s="301"/>
      <c r="C1402" s="296"/>
      <c r="D1402" s="291"/>
      <c r="E1402" s="291"/>
      <c r="F1402" s="293"/>
      <c r="G1402" s="293"/>
      <c r="H1402" s="293">
        <f t="shared" ref="H1402:H1436" si="25">H1401+F1402-G1402</f>
        <v>1746191847.3399999</v>
      </c>
    </row>
    <row r="1403" spans="1:8" x14ac:dyDescent="0.35">
      <c r="A1403" s="291"/>
      <c r="B1403" s="301"/>
      <c r="C1403" s="296"/>
      <c r="D1403" s="291"/>
      <c r="E1403" s="291"/>
      <c r="F1403" s="293"/>
      <c r="G1403" s="293"/>
      <c r="H1403" s="293">
        <f t="shared" si="25"/>
        <v>1746191847.3399999</v>
      </c>
    </row>
    <row r="1404" spans="1:8" x14ac:dyDescent="0.35">
      <c r="A1404" s="291"/>
      <c r="B1404" s="301"/>
      <c r="C1404" s="296"/>
      <c r="D1404" s="291"/>
      <c r="E1404" s="291"/>
      <c r="F1404" s="293"/>
      <c r="G1404" s="293"/>
      <c r="H1404" s="293">
        <f t="shared" si="25"/>
        <v>1746191847.3399999</v>
      </c>
    </row>
    <row r="1405" spans="1:8" x14ac:dyDescent="0.35">
      <c r="A1405" s="291"/>
      <c r="B1405" s="301"/>
      <c r="C1405" s="296"/>
      <c r="D1405" s="291"/>
      <c r="E1405" s="291"/>
      <c r="F1405" s="293"/>
      <c r="G1405" s="293"/>
      <c r="H1405" s="293">
        <f t="shared" si="25"/>
        <v>1746191847.3399999</v>
      </c>
    </row>
    <row r="1406" spans="1:8" x14ac:dyDescent="0.35">
      <c r="A1406" s="291"/>
      <c r="B1406" s="301"/>
      <c r="C1406" s="296"/>
      <c r="D1406" s="291"/>
      <c r="E1406" s="291"/>
      <c r="F1406" s="293"/>
      <c r="G1406" s="293"/>
      <c r="H1406" s="293">
        <f t="shared" si="25"/>
        <v>1746191847.3399999</v>
      </c>
    </row>
    <row r="1407" spans="1:8" x14ac:dyDescent="0.35">
      <c r="A1407" s="291"/>
      <c r="B1407" s="301"/>
      <c r="C1407" s="296"/>
      <c r="D1407" s="291"/>
      <c r="E1407" s="291"/>
      <c r="F1407" s="293"/>
      <c r="G1407" s="293"/>
      <c r="H1407" s="293">
        <f t="shared" si="25"/>
        <v>1746191847.3399999</v>
      </c>
    </row>
    <row r="1408" spans="1:8" x14ac:dyDescent="0.35">
      <c r="A1408" s="291"/>
      <c r="B1408" s="301"/>
      <c r="C1408" s="296"/>
      <c r="D1408" s="291"/>
      <c r="E1408" s="291"/>
      <c r="F1408" s="293"/>
      <c r="G1408" s="293"/>
      <c r="H1408" s="293">
        <f t="shared" si="25"/>
        <v>1746191847.3399999</v>
      </c>
    </row>
    <row r="1409" spans="1:8" x14ac:dyDescent="0.35">
      <c r="A1409" s="291"/>
      <c r="B1409" s="301"/>
      <c r="C1409" s="296"/>
      <c r="D1409" s="291"/>
      <c r="E1409" s="291"/>
      <c r="F1409" s="293"/>
      <c r="G1409" s="293"/>
      <c r="H1409" s="293">
        <f t="shared" si="25"/>
        <v>1746191847.3399999</v>
      </c>
    </row>
    <row r="1410" spans="1:8" x14ac:dyDescent="0.35">
      <c r="A1410" s="291"/>
      <c r="B1410" s="301"/>
      <c r="C1410" s="296"/>
      <c r="D1410" s="291"/>
      <c r="E1410" s="291"/>
      <c r="F1410" s="293"/>
      <c r="G1410" s="293"/>
      <c r="H1410" s="293">
        <f t="shared" si="25"/>
        <v>1746191847.3399999</v>
      </c>
    </row>
    <row r="1411" spans="1:8" x14ac:dyDescent="0.35">
      <c r="A1411" s="291"/>
      <c r="B1411" s="301"/>
      <c r="C1411" s="296"/>
      <c r="D1411" s="291"/>
      <c r="E1411" s="291"/>
      <c r="F1411" s="293"/>
      <c r="G1411" s="293"/>
      <c r="H1411" s="293">
        <f t="shared" si="25"/>
        <v>1746191847.3399999</v>
      </c>
    </row>
    <row r="1412" spans="1:8" x14ac:dyDescent="0.35">
      <c r="A1412" s="291"/>
      <c r="B1412" s="301"/>
      <c r="C1412" s="296"/>
      <c r="D1412" s="291"/>
      <c r="E1412" s="291"/>
      <c r="F1412" s="293"/>
      <c r="G1412" s="293"/>
      <c r="H1412" s="293">
        <f t="shared" si="25"/>
        <v>1746191847.3399999</v>
      </c>
    </row>
    <row r="1413" spans="1:8" x14ac:dyDescent="0.35">
      <c r="A1413" s="291"/>
      <c r="B1413" s="301"/>
      <c r="C1413" s="296"/>
      <c r="D1413" s="291"/>
      <c r="E1413" s="291"/>
      <c r="F1413" s="293"/>
      <c r="G1413" s="293"/>
      <c r="H1413" s="293">
        <f t="shared" si="25"/>
        <v>1746191847.3399999</v>
      </c>
    </row>
    <row r="1414" spans="1:8" x14ac:dyDescent="0.35">
      <c r="A1414" s="291"/>
      <c r="B1414" s="301"/>
      <c r="C1414" s="296"/>
      <c r="D1414" s="291"/>
      <c r="E1414" s="291"/>
      <c r="F1414" s="293"/>
      <c r="G1414" s="293"/>
      <c r="H1414" s="293">
        <f t="shared" si="25"/>
        <v>1746191847.3399999</v>
      </c>
    </row>
    <row r="1415" spans="1:8" x14ac:dyDescent="0.35">
      <c r="A1415" s="291"/>
      <c r="B1415" s="301"/>
      <c r="C1415" s="296"/>
      <c r="D1415" s="291"/>
      <c r="E1415" s="291"/>
      <c r="F1415" s="293"/>
      <c r="G1415" s="293"/>
      <c r="H1415" s="293">
        <f t="shared" si="25"/>
        <v>1746191847.3399999</v>
      </c>
    </row>
    <row r="1416" spans="1:8" x14ac:dyDescent="0.35">
      <c r="A1416" s="291"/>
      <c r="B1416" s="301"/>
      <c r="C1416" s="296"/>
      <c r="D1416" s="291"/>
      <c r="E1416" s="291"/>
      <c r="F1416" s="293"/>
      <c r="G1416" s="293"/>
      <c r="H1416" s="293">
        <f t="shared" si="25"/>
        <v>1746191847.3399999</v>
      </c>
    </row>
    <row r="1417" spans="1:8" x14ac:dyDescent="0.35">
      <c r="A1417" s="291"/>
      <c r="B1417" s="301"/>
      <c r="C1417" s="296"/>
      <c r="D1417" s="291"/>
      <c r="E1417" s="291"/>
      <c r="F1417" s="293"/>
      <c r="G1417" s="293"/>
      <c r="H1417" s="293">
        <f t="shared" si="25"/>
        <v>1746191847.3399999</v>
      </c>
    </row>
    <row r="1418" spans="1:8" x14ac:dyDescent="0.35">
      <c r="A1418" s="291"/>
      <c r="B1418" s="301"/>
      <c r="C1418" s="296"/>
      <c r="D1418" s="291"/>
      <c r="E1418" s="291"/>
      <c r="F1418" s="304"/>
      <c r="G1418" s="304"/>
      <c r="H1418" s="304">
        <f t="shared" si="25"/>
        <v>1746191847.3399999</v>
      </c>
    </row>
    <row r="1419" spans="1:8" x14ac:dyDescent="0.35">
      <c r="A1419" s="291"/>
      <c r="B1419" s="301"/>
      <c r="C1419" s="296"/>
      <c r="D1419" s="291"/>
      <c r="E1419" s="291"/>
      <c r="F1419" s="304"/>
      <c r="G1419" s="304"/>
      <c r="H1419" s="304">
        <f t="shared" si="25"/>
        <v>1746191847.3399999</v>
      </c>
    </row>
    <row r="1420" spans="1:8" x14ac:dyDescent="0.35">
      <c r="A1420" s="291"/>
      <c r="B1420" s="301"/>
      <c r="C1420" s="296"/>
      <c r="D1420" s="291"/>
      <c r="E1420" s="291"/>
      <c r="F1420" s="304"/>
      <c r="G1420" s="304"/>
      <c r="H1420" s="304">
        <f t="shared" si="25"/>
        <v>1746191847.3399999</v>
      </c>
    </row>
    <row r="1421" spans="1:8" x14ac:dyDescent="0.35">
      <c r="A1421" s="291"/>
      <c r="B1421" s="301"/>
      <c r="C1421" s="296"/>
      <c r="D1421" s="291"/>
      <c r="E1421" s="291"/>
      <c r="F1421" s="304"/>
      <c r="G1421" s="304"/>
      <c r="H1421" s="304">
        <f t="shared" si="25"/>
        <v>1746191847.3399999</v>
      </c>
    </row>
    <row r="1422" spans="1:8" x14ac:dyDescent="0.35">
      <c r="A1422" s="291"/>
      <c r="B1422" s="301"/>
      <c r="C1422" s="296"/>
      <c r="D1422" s="291"/>
      <c r="E1422" s="291"/>
      <c r="F1422" s="304"/>
      <c r="G1422" s="304"/>
      <c r="H1422" s="304">
        <f t="shared" si="25"/>
        <v>1746191847.3399999</v>
      </c>
    </row>
    <row r="1423" spans="1:8" x14ac:dyDescent="0.35">
      <c r="A1423" s="291"/>
      <c r="B1423" s="301"/>
      <c r="C1423" s="296"/>
      <c r="D1423" s="291"/>
      <c r="E1423" s="291"/>
      <c r="F1423" s="304"/>
      <c r="G1423" s="304"/>
      <c r="H1423" s="304">
        <f t="shared" si="25"/>
        <v>1746191847.3399999</v>
      </c>
    </row>
    <row r="1424" spans="1:8" x14ac:dyDescent="0.35">
      <c r="A1424" s="291"/>
      <c r="B1424" s="301"/>
      <c r="C1424" s="296"/>
      <c r="D1424" s="291"/>
      <c r="E1424" s="291"/>
      <c r="F1424" s="304"/>
      <c r="G1424" s="304"/>
      <c r="H1424" s="304">
        <f t="shared" si="25"/>
        <v>1746191847.3399999</v>
      </c>
    </row>
    <row r="1425" spans="1:8" x14ac:dyDescent="0.35">
      <c r="A1425" s="291"/>
      <c r="B1425" s="301"/>
      <c r="C1425" s="296"/>
      <c r="D1425" s="291"/>
      <c r="E1425" s="291"/>
      <c r="F1425" s="304"/>
      <c r="G1425" s="304"/>
      <c r="H1425" s="304">
        <f t="shared" si="25"/>
        <v>1746191847.3399999</v>
      </c>
    </row>
    <row r="1426" spans="1:8" x14ac:dyDescent="0.35">
      <c r="A1426" s="291"/>
      <c r="B1426" s="301"/>
      <c r="C1426" s="296"/>
      <c r="D1426" s="291"/>
      <c r="E1426" s="291"/>
      <c r="F1426" s="304"/>
      <c r="G1426" s="304"/>
      <c r="H1426" s="304">
        <f t="shared" si="25"/>
        <v>1746191847.3399999</v>
      </c>
    </row>
    <row r="1427" spans="1:8" x14ac:dyDescent="0.35">
      <c r="A1427" s="291"/>
      <c r="B1427" s="301"/>
      <c r="C1427" s="296"/>
      <c r="D1427" s="291"/>
      <c r="E1427" s="291"/>
      <c r="F1427" s="304"/>
      <c r="G1427" s="304"/>
      <c r="H1427" s="304">
        <f t="shared" si="25"/>
        <v>1746191847.3399999</v>
      </c>
    </row>
    <row r="1428" spans="1:8" x14ac:dyDescent="0.35">
      <c r="A1428" s="291"/>
      <c r="B1428" s="301"/>
      <c r="C1428" s="296"/>
      <c r="D1428" s="291"/>
      <c r="E1428" s="291"/>
      <c r="F1428" s="304"/>
      <c r="G1428" s="304"/>
      <c r="H1428" s="304">
        <f t="shared" si="25"/>
        <v>1746191847.3399999</v>
      </c>
    </row>
    <row r="1429" spans="1:8" x14ac:dyDescent="0.35">
      <c r="A1429" s="291"/>
      <c r="B1429" s="301"/>
      <c r="C1429" s="296"/>
      <c r="D1429" s="291"/>
      <c r="E1429" s="291"/>
      <c r="F1429" s="304"/>
      <c r="G1429" s="304"/>
      <c r="H1429" s="304">
        <f t="shared" si="25"/>
        <v>1746191847.3399999</v>
      </c>
    </row>
    <row r="1430" spans="1:8" x14ac:dyDescent="0.35">
      <c r="A1430" s="291"/>
      <c r="B1430" s="301"/>
      <c r="C1430" s="296"/>
      <c r="D1430" s="291"/>
      <c r="E1430" s="291"/>
      <c r="F1430" s="304"/>
      <c r="G1430" s="304"/>
      <c r="H1430" s="304">
        <f t="shared" si="25"/>
        <v>1746191847.3399999</v>
      </c>
    </row>
    <row r="1431" spans="1:8" x14ac:dyDescent="0.35">
      <c r="A1431" s="291"/>
      <c r="B1431" s="301"/>
      <c r="C1431" s="296"/>
      <c r="D1431" s="291"/>
      <c r="E1431" s="291"/>
      <c r="F1431" s="304"/>
      <c r="G1431" s="304"/>
      <c r="H1431" s="304">
        <f t="shared" si="25"/>
        <v>1746191847.3399999</v>
      </c>
    </row>
    <row r="1432" spans="1:8" x14ac:dyDescent="0.35">
      <c r="A1432" s="291"/>
      <c r="B1432" s="301"/>
      <c r="C1432" s="296"/>
      <c r="D1432" s="291"/>
      <c r="E1432" s="291"/>
      <c r="F1432" s="304"/>
      <c r="G1432" s="304"/>
      <c r="H1432" s="304">
        <f t="shared" si="25"/>
        <v>1746191847.3399999</v>
      </c>
    </row>
    <row r="1433" spans="1:8" x14ac:dyDescent="0.35">
      <c r="A1433" s="291"/>
      <c r="B1433" s="301"/>
      <c r="C1433" s="296"/>
      <c r="D1433" s="291"/>
      <c r="E1433" s="291"/>
      <c r="F1433" s="304"/>
      <c r="G1433" s="304"/>
      <c r="H1433" s="304">
        <f t="shared" si="25"/>
        <v>1746191847.3399999</v>
      </c>
    </row>
    <row r="1434" spans="1:8" x14ac:dyDescent="0.35">
      <c r="A1434" s="291"/>
      <c r="B1434" s="301"/>
      <c r="C1434" s="296"/>
      <c r="D1434" s="291"/>
      <c r="E1434" s="291"/>
      <c r="F1434" s="304"/>
      <c r="G1434" s="304"/>
      <c r="H1434" s="304">
        <f t="shared" si="25"/>
        <v>1746191847.3399999</v>
      </c>
    </row>
    <row r="1435" spans="1:8" x14ac:dyDescent="0.35">
      <c r="A1435" s="291"/>
      <c r="B1435" s="301"/>
      <c r="C1435" s="296"/>
      <c r="D1435" s="291"/>
      <c r="E1435" s="291"/>
      <c r="F1435" s="304"/>
      <c r="G1435" s="304"/>
      <c r="H1435" s="304">
        <f t="shared" si="25"/>
        <v>1746191847.3399999</v>
      </c>
    </row>
    <row r="1436" spans="1:8" x14ac:dyDescent="0.35">
      <c r="A1436" s="291"/>
      <c r="B1436" s="301"/>
      <c r="C1436" s="296"/>
      <c r="D1436" s="291"/>
      <c r="E1436" s="291"/>
      <c r="F1436" s="304"/>
      <c r="G1436" s="304"/>
      <c r="H1436" s="304">
        <f t="shared" si="25"/>
        <v>1746191847.3399999</v>
      </c>
    </row>
    <row r="1437" spans="1:8" x14ac:dyDescent="0.35">
      <c r="A1437" s="290"/>
      <c r="B1437" s="26"/>
      <c r="C1437" s="17">
        <v>1</v>
      </c>
      <c r="D1437" s="5" t="s">
        <v>5</v>
      </c>
      <c r="E1437" s="5"/>
      <c r="F1437" s="8">
        <f>SUM(F7:F1436)</f>
        <v>150208916.28</v>
      </c>
      <c r="G1437" s="8">
        <f>SUM(G7:G1436)</f>
        <v>89253305.260000005</v>
      </c>
      <c r="H1437" s="8"/>
    </row>
  </sheetData>
  <autoFilter ref="A5:H1436" xr:uid="{00000000-0009-0000-0000-000004000000}"/>
  <mergeCells count="3">
    <mergeCell ref="B1:H1"/>
    <mergeCell ref="B2:H2"/>
    <mergeCell ref="B3:H3"/>
  </mergeCells>
  <dataValidations count="1">
    <dataValidation type="list" allowBlank="1" showInputMessage="1" showErrorMessage="1" sqref="C7:C1436" xr:uid="{00000000-0002-0000-0400-000000000000}">
      <formula1>"Pendapatan,Biaya Jasa,Gaji,Listrik Internet PDAM,BPJS,Operasional,Pemasaran,Transport,Pemeliharaan,Sewa,Administrasi &amp; Umum,Pajak,PLU,BLU,Kas,Aset Tetap,PPN Masukan,PPN Keluaran,PPh 23,PPh 22,PPh 25,Piutang,Hutang,Modal,Prive/Dividen"</formula1>
    </dataValidation>
  </dataValidations>
  <pageMargins left="0.7" right="0.7" top="0.75" bottom="0.75" header="0.3" footer="0.3"/>
  <pageSetup paperSize="9"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N796"/>
  <sheetViews>
    <sheetView zoomScaleNormal="100" workbookViewId="0">
      <pane ySplit="6" topLeftCell="A746" activePane="bottomLeft" state="frozen"/>
      <selection activeCell="C12" sqref="C12"/>
      <selection pane="bottomLeft" activeCell="B3" sqref="B3:H3"/>
    </sheetView>
  </sheetViews>
  <sheetFormatPr defaultRowHeight="14.5" x14ac:dyDescent="0.35"/>
  <cols>
    <col min="1" max="1" width="5" style="9" customWidth="1"/>
    <col min="2" max="2" width="11.36328125" style="28" customWidth="1"/>
    <col min="3" max="3" width="21.90625" style="14" customWidth="1"/>
    <col min="4" max="4" width="40.6328125" customWidth="1"/>
    <col min="5" max="5" width="14.08984375" customWidth="1"/>
    <col min="6" max="6" width="13.6328125" style="3" customWidth="1"/>
    <col min="7" max="8" width="15.36328125" style="3" customWidth="1"/>
    <col min="9" max="9" width="4.90625" customWidth="1"/>
    <col min="10" max="10" width="14.36328125" style="14" customWidth="1"/>
    <col min="12" max="12" width="8.6328125" style="3" bestFit="1" customWidth="1"/>
    <col min="13" max="14" width="12.6328125" style="3" bestFit="1" customWidth="1"/>
  </cols>
  <sheetData>
    <row r="1" spans="1:14" x14ac:dyDescent="0.35">
      <c r="B1" s="322" t="s">
        <v>91</v>
      </c>
      <c r="C1" s="322"/>
      <c r="D1" s="322"/>
      <c r="E1" s="322"/>
      <c r="F1" s="322"/>
      <c r="G1" s="322"/>
      <c r="H1" s="322"/>
    </row>
    <row r="2" spans="1:14" x14ac:dyDescent="0.35">
      <c r="B2" s="323" t="s">
        <v>408</v>
      </c>
      <c r="C2" s="322"/>
      <c r="D2" s="322"/>
      <c r="E2" s="322"/>
      <c r="F2" s="322"/>
      <c r="G2" s="322"/>
      <c r="H2" s="322"/>
    </row>
    <row r="3" spans="1:14" x14ac:dyDescent="0.35">
      <c r="B3" s="324" t="s">
        <v>325</v>
      </c>
      <c r="C3" s="324"/>
      <c r="D3" s="324"/>
      <c r="E3" s="324"/>
      <c r="F3" s="324"/>
      <c r="G3" s="324"/>
      <c r="H3" s="324"/>
    </row>
    <row r="4" spans="1:14" x14ac:dyDescent="0.35">
      <c r="F4" s="3">
        <f>SUBTOTAL(9,F7:F795)</f>
        <v>0</v>
      </c>
      <c r="G4" s="3">
        <f>SUBTOTAL(9,G7:G795)</f>
        <v>0</v>
      </c>
    </row>
    <row r="5" spans="1:14" x14ac:dyDescent="0.35">
      <c r="A5" s="27" t="s">
        <v>24</v>
      </c>
      <c r="B5" s="29" t="s">
        <v>0</v>
      </c>
      <c r="C5" s="6" t="s">
        <v>6</v>
      </c>
      <c r="D5" s="5" t="s">
        <v>9</v>
      </c>
      <c r="E5" s="5" t="s">
        <v>88</v>
      </c>
      <c r="F5" s="6" t="s">
        <v>1</v>
      </c>
      <c r="G5" s="6" t="s">
        <v>2</v>
      </c>
      <c r="H5" s="6" t="s">
        <v>3</v>
      </c>
    </row>
    <row r="6" spans="1:14" ht="14.75" customHeight="1" x14ac:dyDescent="0.35">
      <c r="A6" s="11">
        <v>1</v>
      </c>
      <c r="B6" s="30"/>
      <c r="C6" s="15" t="s">
        <v>4</v>
      </c>
      <c r="D6" s="10"/>
      <c r="E6" s="10"/>
      <c r="F6" s="7"/>
      <c r="G6" s="7"/>
      <c r="H6" s="7">
        <f>NS!F9</f>
        <v>0</v>
      </c>
    </row>
    <row r="7" spans="1:14" ht="14.75" customHeight="1" x14ac:dyDescent="0.35">
      <c r="A7" s="11">
        <v>2</v>
      </c>
      <c r="B7" s="31"/>
      <c r="C7" s="16"/>
      <c r="D7" s="21"/>
      <c r="E7" s="21"/>
      <c r="F7" s="22"/>
      <c r="G7" s="22"/>
      <c r="H7" s="4">
        <f>H6+F7-G7</f>
        <v>0</v>
      </c>
      <c r="L7" s="35"/>
      <c r="M7" s="35"/>
      <c r="N7" s="35"/>
    </row>
    <row r="8" spans="1:14" ht="14.75" customHeight="1" x14ac:dyDescent="0.35">
      <c r="A8" s="11">
        <v>3</v>
      </c>
      <c r="B8" s="31"/>
      <c r="C8" s="16"/>
      <c r="D8" s="21"/>
      <c r="E8" s="21"/>
      <c r="F8" s="22"/>
      <c r="G8" s="22"/>
      <c r="H8" s="4">
        <f>H7+F8-G8</f>
        <v>0</v>
      </c>
      <c r="L8" s="35"/>
      <c r="M8" s="35"/>
      <c r="N8" s="35"/>
    </row>
    <row r="9" spans="1:14" ht="14.75" customHeight="1" x14ac:dyDescent="0.35">
      <c r="A9" s="11">
        <v>4</v>
      </c>
      <c r="B9" s="31"/>
      <c r="C9" s="16"/>
      <c r="D9" s="21"/>
      <c r="E9" s="21"/>
      <c r="F9" s="22"/>
      <c r="G9" s="22"/>
      <c r="H9" s="4">
        <f t="shared" ref="H9:H32" si="0">H8+F9-G9</f>
        <v>0</v>
      </c>
      <c r="L9" s="35"/>
      <c r="M9" s="35"/>
      <c r="N9" s="35"/>
    </row>
    <row r="10" spans="1:14" ht="14.75" customHeight="1" x14ac:dyDescent="0.35">
      <c r="A10" s="11">
        <v>5</v>
      </c>
      <c r="B10" s="31"/>
      <c r="C10" s="16"/>
      <c r="D10" s="21"/>
      <c r="E10" s="21"/>
      <c r="F10" s="22"/>
      <c r="G10" s="22"/>
      <c r="H10" s="4">
        <f t="shared" si="0"/>
        <v>0</v>
      </c>
      <c r="L10" s="35"/>
      <c r="M10" s="35"/>
      <c r="N10" s="35"/>
    </row>
    <row r="11" spans="1:14" ht="14.75" customHeight="1" x14ac:dyDescent="0.35">
      <c r="A11" s="11">
        <v>6</v>
      </c>
      <c r="B11" s="31"/>
      <c r="C11" s="16"/>
      <c r="D11" s="21"/>
      <c r="E11" s="21"/>
      <c r="F11" s="22"/>
      <c r="G11" s="22"/>
      <c r="H11" s="4">
        <f t="shared" si="0"/>
        <v>0</v>
      </c>
      <c r="L11" s="35"/>
      <c r="M11" s="35"/>
      <c r="N11" s="35"/>
    </row>
    <row r="12" spans="1:14" ht="14.75" customHeight="1" x14ac:dyDescent="0.35">
      <c r="A12" s="11">
        <v>7</v>
      </c>
      <c r="B12" s="31"/>
      <c r="C12" s="16"/>
      <c r="D12" s="21"/>
      <c r="E12" s="21"/>
      <c r="F12" s="22"/>
      <c r="G12" s="22"/>
      <c r="H12" s="4">
        <f t="shared" si="0"/>
        <v>0</v>
      </c>
      <c r="L12" s="35"/>
      <c r="M12" s="35"/>
      <c r="N12" s="35"/>
    </row>
    <row r="13" spans="1:14" ht="14.75" customHeight="1" x14ac:dyDescent="0.35">
      <c r="A13" s="11">
        <v>8</v>
      </c>
      <c r="B13" s="31"/>
      <c r="C13" s="16"/>
      <c r="D13" s="21"/>
      <c r="E13" s="21"/>
      <c r="F13" s="22"/>
      <c r="G13" s="22"/>
      <c r="H13" s="4">
        <f t="shared" si="0"/>
        <v>0</v>
      </c>
      <c r="J13" s="36"/>
      <c r="L13" s="35"/>
      <c r="M13" s="35"/>
      <c r="N13" s="35"/>
    </row>
    <row r="14" spans="1:14" ht="14.75" customHeight="1" x14ac:dyDescent="0.35">
      <c r="A14" s="11">
        <v>9</v>
      </c>
      <c r="B14" s="31"/>
      <c r="C14" s="16"/>
      <c r="D14" s="21"/>
      <c r="E14" s="21"/>
      <c r="F14" s="22"/>
      <c r="G14" s="22"/>
      <c r="H14" s="4">
        <f t="shared" si="0"/>
        <v>0</v>
      </c>
      <c r="J14" s="36"/>
      <c r="L14" s="35"/>
      <c r="M14" s="35"/>
      <c r="N14" s="35"/>
    </row>
    <row r="15" spans="1:14" ht="14.75" customHeight="1" x14ac:dyDescent="0.35">
      <c r="A15" s="11">
        <v>10</v>
      </c>
      <c r="B15" s="31"/>
      <c r="C15" s="16"/>
      <c r="D15" s="21"/>
      <c r="E15" s="21"/>
      <c r="F15" s="22"/>
      <c r="G15" s="22"/>
      <c r="H15" s="4">
        <f t="shared" si="0"/>
        <v>0</v>
      </c>
      <c r="J15" s="36"/>
      <c r="L15" s="35"/>
      <c r="M15" s="35"/>
      <c r="N15" s="35"/>
    </row>
    <row r="16" spans="1:14" ht="14.75" customHeight="1" x14ac:dyDescent="0.35">
      <c r="A16" s="11">
        <v>11</v>
      </c>
      <c r="B16" s="31"/>
      <c r="C16" s="16"/>
      <c r="D16" s="21"/>
      <c r="E16" s="21"/>
      <c r="F16" s="22"/>
      <c r="G16" s="22"/>
      <c r="H16" s="4">
        <f t="shared" si="0"/>
        <v>0</v>
      </c>
      <c r="J16" s="36"/>
      <c r="L16" s="35"/>
      <c r="M16" s="35"/>
      <c r="N16" s="35"/>
    </row>
    <row r="17" spans="1:14" ht="14.75" customHeight="1" x14ac:dyDescent="0.35">
      <c r="A17" s="11">
        <v>12</v>
      </c>
      <c r="B17" s="31"/>
      <c r="C17" s="16"/>
      <c r="D17" s="21"/>
      <c r="E17" s="21"/>
      <c r="F17" s="22"/>
      <c r="G17" s="22"/>
      <c r="H17" s="4">
        <f t="shared" si="0"/>
        <v>0</v>
      </c>
      <c r="J17" s="36"/>
      <c r="L17" s="35"/>
      <c r="M17" s="35"/>
      <c r="N17" s="35"/>
    </row>
    <row r="18" spans="1:14" ht="14.75" customHeight="1" x14ac:dyDescent="0.35">
      <c r="A18" s="11">
        <v>13</v>
      </c>
      <c r="B18" s="31"/>
      <c r="C18" s="16"/>
      <c r="D18" s="21"/>
      <c r="E18" s="21"/>
      <c r="F18" s="22"/>
      <c r="G18" s="22"/>
      <c r="H18" s="4">
        <f t="shared" si="0"/>
        <v>0</v>
      </c>
      <c r="J18" s="36"/>
      <c r="L18" s="35"/>
      <c r="M18" s="35"/>
      <c r="N18" s="35"/>
    </row>
    <row r="19" spans="1:14" ht="14.75" customHeight="1" x14ac:dyDescent="0.35">
      <c r="A19" s="11">
        <v>14</v>
      </c>
      <c r="B19" s="31"/>
      <c r="C19" s="16"/>
      <c r="D19" s="21"/>
      <c r="E19" s="21"/>
      <c r="F19" s="22"/>
      <c r="G19" s="22"/>
      <c r="H19" s="4">
        <f t="shared" si="0"/>
        <v>0</v>
      </c>
      <c r="J19" s="36"/>
      <c r="L19" s="35"/>
      <c r="M19" s="35"/>
      <c r="N19" s="35"/>
    </row>
    <row r="20" spans="1:14" ht="14.75" customHeight="1" x14ac:dyDescent="0.35">
      <c r="A20" s="11">
        <v>15</v>
      </c>
      <c r="B20" s="31"/>
      <c r="C20" s="16"/>
      <c r="D20" s="21"/>
      <c r="E20" s="21"/>
      <c r="F20" s="22"/>
      <c r="G20" s="22"/>
      <c r="H20" s="4">
        <f t="shared" si="0"/>
        <v>0</v>
      </c>
      <c r="J20" s="36"/>
      <c r="L20" s="35"/>
      <c r="M20" s="35"/>
      <c r="N20" s="35"/>
    </row>
    <row r="21" spans="1:14" ht="14.75" customHeight="1" x14ac:dyDescent="0.35">
      <c r="A21" s="11">
        <v>16</v>
      </c>
      <c r="B21" s="31"/>
      <c r="C21" s="16"/>
      <c r="D21" s="21"/>
      <c r="E21" s="21"/>
      <c r="F21" s="22"/>
      <c r="G21" s="22"/>
      <c r="H21" s="4">
        <f t="shared" si="0"/>
        <v>0</v>
      </c>
      <c r="J21" s="36"/>
      <c r="L21" s="35"/>
      <c r="M21" s="35"/>
      <c r="N21" s="35"/>
    </row>
    <row r="22" spans="1:14" ht="14.75" customHeight="1" x14ac:dyDescent="0.35">
      <c r="A22" s="11">
        <v>17</v>
      </c>
      <c r="B22" s="31"/>
      <c r="C22" s="16"/>
      <c r="D22" s="21"/>
      <c r="E22" s="21"/>
      <c r="F22" s="22"/>
      <c r="G22" s="22"/>
      <c r="H22" s="4">
        <f t="shared" si="0"/>
        <v>0</v>
      </c>
      <c r="J22" s="36"/>
      <c r="L22" s="35"/>
      <c r="M22" s="35"/>
      <c r="N22" s="35"/>
    </row>
    <row r="23" spans="1:14" ht="14.75" customHeight="1" x14ac:dyDescent="0.35">
      <c r="A23" s="11">
        <v>18</v>
      </c>
      <c r="B23" s="31"/>
      <c r="C23" s="16"/>
      <c r="D23" s="21"/>
      <c r="E23" s="21"/>
      <c r="F23" s="22"/>
      <c r="G23" s="22"/>
      <c r="H23" s="4">
        <f t="shared" si="0"/>
        <v>0</v>
      </c>
      <c r="J23" s="36"/>
      <c r="L23" s="35"/>
      <c r="M23" s="35"/>
      <c r="N23" s="35"/>
    </row>
    <row r="24" spans="1:14" ht="14.75" customHeight="1" x14ac:dyDescent="0.35">
      <c r="A24" s="11">
        <v>19</v>
      </c>
      <c r="B24" s="31"/>
      <c r="C24" s="16"/>
      <c r="D24" s="34"/>
      <c r="E24" s="21"/>
      <c r="F24" s="22"/>
      <c r="G24" s="22"/>
      <c r="H24" s="4">
        <f t="shared" si="0"/>
        <v>0</v>
      </c>
      <c r="J24" s="36"/>
      <c r="L24" s="35"/>
      <c r="M24" s="35"/>
      <c r="N24" s="35"/>
    </row>
    <row r="25" spans="1:14" ht="14.75" customHeight="1" x14ac:dyDescent="0.35">
      <c r="A25" s="11">
        <v>20</v>
      </c>
      <c r="B25" s="31"/>
      <c r="C25" s="16"/>
      <c r="D25" s="34"/>
      <c r="E25" s="21"/>
      <c r="F25" s="22"/>
      <c r="G25" s="22"/>
      <c r="H25" s="4">
        <f t="shared" si="0"/>
        <v>0</v>
      </c>
      <c r="L25" s="35"/>
      <c r="M25" s="35"/>
      <c r="N25" s="35"/>
    </row>
    <row r="26" spans="1:14" ht="14.75" customHeight="1" x14ac:dyDescent="0.35">
      <c r="A26" s="11">
        <v>21</v>
      </c>
      <c r="B26" s="31"/>
      <c r="C26" s="16"/>
      <c r="D26" s="34"/>
      <c r="E26" s="21"/>
      <c r="F26" s="22"/>
      <c r="G26" s="22"/>
      <c r="H26" s="4">
        <f t="shared" si="0"/>
        <v>0</v>
      </c>
      <c r="L26" s="35"/>
      <c r="M26" s="35"/>
      <c r="N26" s="35"/>
    </row>
    <row r="27" spans="1:14" ht="14.75" customHeight="1" x14ac:dyDescent="0.35">
      <c r="A27" s="11">
        <v>22</v>
      </c>
      <c r="B27" s="31"/>
      <c r="C27" s="16"/>
      <c r="D27" s="34"/>
      <c r="E27" s="21"/>
      <c r="F27" s="22"/>
      <c r="G27" s="22"/>
      <c r="H27" s="4">
        <f t="shared" si="0"/>
        <v>0</v>
      </c>
      <c r="L27" s="35"/>
      <c r="M27" s="35"/>
      <c r="N27" s="35"/>
    </row>
    <row r="28" spans="1:14" ht="14.75" customHeight="1" x14ac:dyDescent="0.35">
      <c r="A28" s="11">
        <v>23</v>
      </c>
      <c r="B28" s="31"/>
      <c r="C28" s="16"/>
      <c r="D28" s="34"/>
      <c r="E28" s="21"/>
      <c r="F28" s="22"/>
      <c r="G28" s="22"/>
      <c r="H28" s="4">
        <f t="shared" si="0"/>
        <v>0</v>
      </c>
      <c r="L28" s="35"/>
      <c r="M28" s="35"/>
      <c r="N28" s="35"/>
    </row>
    <row r="29" spans="1:14" ht="14.75" customHeight="1" x14ac:dyDescent="0.35">
      <c r="A29" s="11">
        <v>24</v>
      </c>
      <c r="B29" s="31"/>
      <c r="C29" s="16"/>
      <c r="D29" s="34"/>
      <c r="E29" s="21"/>
      <c r="F29" s="22"/>
      <c r="G29" s="22"/>
      <c r="H29" s="4">
        <f t="shared" si="0"/>
        <v>0</v>
      </c>
      <c r="L29" s="35"/>
      <c r="M29" s="35"/>
      <c r="N29" s="35"/>
    </row>
    <row r="30" spans="1:14" ht="14.75" customHeight="1" x14ac:dyDescent="0.35">
      <c r="A30" s="11">
        <v>25</v>
      </c>
      <c r="B30" s="31"/>
      <c r="C30" s="16"/>
      <c r="D30" s="34"/>
      <c r="E30" s="21"/>
      <c r="F30" s="22"/>
      <c r="G30" s="22"/>
      <c r="H30" s="4">
        <f t="shared" si="0"/>
        <v>0</v>
      </c>
      <c r="L30" s="35"/>
      <c r="M30" s="35"/>
      <c r="N30" s="35"/>
    </row>
    <row r="31" spans="1:14" ht="14.75" customHeight="1" x14ac:dyDescent="0.35">
      <c r="A31" s="11">
        <v>26</v>
      </c>
      <c r="B31" s="31"/>
      <c r="C31" s="16"/>
      <c r="D31" s="34"/>
      <c r="E31" s="21"/>
      <c r="F31" s="22"/>
      <c r="G31" s="22"/>
      <c r="H31" s="4">
        <f t="shared" si="0"/>
        <v>0</v>
      </c>
      <c r="L31" s="35"/>
      <c r="M31" s="35"/>
      <c r="N31" s="35"/>
    </row>
    <row r="32" spans="1:14" ht="14.75" customHeight="1" x14ac:dyDescent="0.35">
      <c r="A32" s="11">
        <v>27</v>
      </c>
      <c r="B32" s="31"/>
      <c r="C32" s="16"/>
      <c r="D32" s="34"/>
      <c r="E32" s="21"/>
      <c r="F32" s="22"/>
      <c r="G32" s="22"/>
      <c r="H32" s="4">
        <f t="shared" si="0"/>
        <v>0</v>
      </c>
      <c r="L32" s="35"/>
      <c r="M32" s="35"/>
      <c r="N32" s="35"/>
    </row>
    <row r="33" spans="1:14" ht="14.75" customHeight="1" x14ac:dyDescent="0.35">
      <c r="A33" s="11">
        <v>28</v>
      </c>
      <c r="B33" s="31"/>
      <c r="C33" s="16"/>
      <c r="D33" s="34"/>
      <c r="E33" s="21"/>
      <c r="F33" s="22"/>
      <c r="G33" s="22"/>
      <c r="H33" s="4">
        <f>H32+F33-G33</f>
        <v>0</v>
      </c>
      <c r="J33" s="37"/>
      <c r="L33" s="35"/>
      <c r="M33" s="35"/>
      <c r="N33" s="35"/>
    </row>
    <row r="34" spans="1:14" ht="14.75" customHeight="1" x14ac:dyDescent="0.35">
      <c r="A34" s="11">
        <v>29</v>
      </c>
      <c r="B34" s="31"/>
      <c r="C34" s="16"/>
      <c r="D34" s="34"/>
      <c r="E34" s="21"/>
      <c r="F34" s="22"/>
      <c r="G34" s="22"/>
      <c r="H34" s="4">
        <f t="shared" ref="H34:H97" si="1">H33+F34-G34</f>
        <v>0</v>
      </c>
      <c r="L34" s="35"/>
      <c r="M34" s="35"/>
      <c r="N34" s="35"/>
    </row>
    <row r="35" spans="1:14" ht="14.75" customHeight="1" x14ac:dyDescent="0.35">
      <c r="A35" s="11">
        <v>30</v>
      </c>
      <c r="B35" s="31"/>
      <c r="C35" s="16"/>
      <c r="D35" s="34"/>
      <c r="E35" s="21"/>
      <c r="F35" s="22"/>
      <c r="G35" s="22"/>
      <c r="H35" s="4">
        <f t="shared" si="1"/>
        <v>0</v>
      </c>
      <c r="L35" s="35"/>
      <c r="M35" s="35"/>
      <c r="N35" s="35"/>
    </row>
    <row r="36" spans="1:14" ht="14.75" customHeight="1" x14ac:dyDescent="0.35">
      <c r="A36" s="11">
        <v>31</v>
      </c>
      <c r="B36" s="31"/>
      <c r="C36" s="16"/>
      <c r="D36" s="34"/>
      <c r="E36" s="21"/>
      <c r="F36" s="22"/>
      <c r="G36" s="22"/>
      <c r="H36" s="4">
        <f t="shared" si="1"/>
        <v>0</v>
      </c>
      <c r="L36" s="35"/>
      <c r="M36" s="35"/>
      <c r="N36" s="35"/>
    </row>
    <row r="37" spans="1:14" ht="14.75" customHeight="1" x14ac:dyDescent="0.35">
      <c r="A37" s="11">
        <v>32</v>
      </c>
      <c r="B37" s="31"/>
      <c r="C37" s="16"/>
      <c r="D37" s="21"/>
      <c r="E37" s="21"/>
      <c r="F37" s="22"/>
      <c r="G37" s="22"/>
      <c r="H37" s="4">
        <f t="shared" si="1"/>
        <v>0</v>
      </c>
      <c r="L37" s="35"/>
      <c r="M37" s="35"/>
      <c r="N37" s="35"/>
    </row>
    <row r="38" spans="1:14" ht="14.75" customHeight="1" x14ac:dyDescent="0.35">
      <c r="A38" s="11">
        <v>33</v>
      </c>
      <c r="B38" s="31"/>
      <c r="C38" s="16"/>
      <c r="D38" s="21"/>
      <c r="E38" s="21"/>
      <c r="F38" s="22"/>
      <c r="G38" s="22"/>
      <c r="H38" s="4">
        <f t="shared" si="1"/>
        <v>0</v>
      </c>
      <c r="L38" s="35"/>
      <c r="M38" s="35"/>
      <c r="N38" s="35"/>
    </row>
    <row r="39" spans="1:14" ht="14.75" customHeight="1" x14ac:dyDescent="0.35">
      <c r="A39" s="11">
        <v>34</v>
      </c>
      <c r="B39" s="31"/>
      <c r="C39" s="16"/>
      <c r="D39" s="34"/>
      <c r="E39" s="21"/>
      <c r="F39" s="22"/>
      <c r="G39" s="22"/>
      <c r="H39" s="4">
        <f t="shared" si="1"/>
        <v>0</v>
      </c>
      <c r="L39" s="35"/>
      <c r="M39" s="35"/>
      <c r="N39" s="35"/>
    </row>
    <row r="40" spans="1:14" ht="14.75" customHeight="1" x14ac:dyDescent="0.35">
      <c r="A40" s="11">
        <v>35</v>
      </c>
      <c r="B40" s="31"/>
      <c r="C40" s="16"/>
      <c r="D40" s="21"/>
      <c r="E40" s="21"/>
      <c r="F40" s="22"/>
      <c r="G40" s="22"/>
      <c r="H40" s="4">
        <f t="shared" si="1"/>
        <v>0</v>
      </c>
      <c r="L40" s="35"/>
      <c r="M40" s="35"/>
      <c r="N40" s="35"/>
    </row>
    <row r="41" spans="1:14" ht="14.75" customHeight="1" x14ac:dyDescent="0.35">
      <c r="A41" s="11">
        <v>36</v>
      </c>
      <c r="B41" s="31"/>
      <c r="C41" s="16"/>
      <c r="D41" s="21"/>
      <c r="E41" s="21"/>
      <c r="F41" s="22"/>
      <c r="G41" s="22"/>
      <c r="H41" s="4">
        <f t="shared" si="1"/>
        <v>0</v>
      </c>
      <c r="L41" s="35"/>
      <c r="M41" s="35"/>
      <c r="N41" s="35"/>
    </row>
    <row r="42" spans="1:14" ht="14.75" customHeight="1" x14ac:dyDescent="0.35">
      <c r="A42" s="11">
        <v>37</v>
      </c>
      <c r="B42" s="31"/>
      <c r="C42" s="16"/>
      <c r="D42" s="21"/>
      <c r="E42" s="21"/>
      <c r="F42" s="22"/>
      <c r="G42" s="22"/>
      <c r="H42" s="4">
        <f t="shared" si="1"/>
        <v>0</v>
      </c>
      <c r="L42" s="35"/>
      <c r="M42" s="35"/>
      <c r="N42" s="35"/>
    </row>
    <row r="43" spans="1:14" ht="14.75" customHeight="1" x14ac:dyDescent="0.35">
      <c r="A43" s="11">
        <v>38</v>
      </c>
      <c r="B43" s="31"/>
      <c r="C43" s="16"/>
      <c r="D43" s="21"/>
      <c r="E43" s="21"/>
      <c r="F43" s="22"/>
      <c r="G43" s="22"/>
      <c r="H43" s="4">
        <f t="shared" si="1"/>
        <v>0</v>
      </c>
      <c r="L43" s="35"/>
      <c r="M43" s="35"/>
      <c r="N43" s="35"/>
    </row>
    <row r="44" spans="1:14" ht="14.75" customHeight="1" x14ac:dyDescent="0.35">
      <c r="A44" s="11">
        <v>39</v>
      </c>
      <c r="B44" s="31"/>
      <c r="C44" s="16"/>
      <c r="D44" s="21"/>
      <c r="E44" s="21"/>
      <c r="F44" s="22"/>
      <c r="G44" s="22"/>
      <c r="H44" s="4">
        <f t="shared" si="1"/>
        <v>0</v>
      </c>
      <c r="L44" s="35"/>
      <c r="M44" s="35"/>
      <c r="N44" s="35"/>
    </row>
    <row r="45" spans="1:14" ht="14.75" customHeight="1" x14ac:dyDescent="0.35">
      <c r="A45" s="11">
        <v>40</v>
      </c>
      <c r="B45" s="31"/>
      <c r="C45" s="16"/>
      <c r="D45" s="21"/>
      <c r="E45" s="21"/>
      <c r="F45" s="22"/>
      <c r="G45" s="22"/>
      <c r="H45" s="4">
        <f t="shared" si="1"/>
        <v>0</v>
      </c>
      <c r="L45" s="35"/>
      <c r="M45" s="35"/>
      <c r="N45" s="35"/>
    </row>
    <row r="46" spans="1:14" ht="14.75" customHeight="1" x14ac:dyDescent="0.35">
      <c r="A46" s="11">
        <v>41</v>
      </c>
      <c r="B46" s="31"/>
      <c r="C46" s="16"/>
      <c r="D46" s="21"/>
      <c r="E46" s="21"/>
      <c r="F46" s="22"/>
      <c r="G46" s="22"/>
      <c r="H46" s="4">
        <f t="shared" si="1"/>
        <v>0</v>
      </c>
      <c r="L46" s="35"/>
      <c r="M46" s="35"/>
      <c r="N46" s="35"/>
    </row>
    <row r="47" spans="1:14" ht="14.75" customHeight="1" x14ac:dyDescent="0.35">
      <c r="A47" s="11">
        <v>42</v>
      </c>
      <c r="B47" s="31"/>
      <c r="C47" s="16"/>
      <c r="D47" s="21"/>
      <c r="E47" s="21"/>
      <c r="F47" s="22"/>
      <c r="G47" s="22"/>
      <c r="H47" s="4">
        <f t="shared" si="1"/>
        <v>0</v>
      </c>
      <c r="L47" s="35"/>
      <c r="M47" s="35"/>
      <c r="N47" s="35"/>
    </row>
    <row r="48" spans="1:14" ht="14.75" customHeight="1" x14ac:dyDescent="0.35">
      <c r="A48" s="11">
        <v>43</v>
      </c>
      <c r="B48" s="31"/>
      <c r="C48" s="16"/>
      <c r="D48" s="21"/>
      <c r="E48" s="21"/>
      <c r="F48" s="22"/>
      <c r="G48" s="22"/>
      <c r="H48" s="4">
        <f t="shared" si="1"/>
        <v>0</v>
      </c>
      <c r="L48" s="35"/>
      <c r="M48" s="35"/>
      <c r="N48" s="35"/>
    </row>
    <row r="49" spans="1:14" ht="14.75" customHeight="1" x14ac:dyDescent="0.35">
      <c r="A49" s="11">
        <v>44</v>
      </c>
      <c r="B49" s="31"/>
      <c r="C49" s="16"/>
      <c r="D49" s="21"/>
      <c r="E49" s="21"/>
      <c r="F49" s="22"/>
      <c r="G49" s="24"/>
      <c r="H49" s="4">
        <f t="shared" si="1"/>
        <v>0</v>
      </c>
      <c r="L49" s="35"/>
      <c r="M49" s="35"/>
      <c r="N49" s="35"/>
    </row>
    <row r="50" spans="1:14" ht="14.75" customHeight="1" x14ac:dyDescent="0.35">
      <c r="A50" s="11">
        <v>45</v>
      </c>
      <c r="B50" s="31"/>
      <c r="C50" s="16"/>
      <c r="D50" s="21"/>
      <c r="E50" s="21"/>
      <c r="F50" s="22"/>
      <c r="G50" s="22"/>
      <c r="H50" s="4">
        <f t="shared" si="1"/>
        <v>0</v>
      </c>
      <c r="L50" s="35"/>
      <c r="M50" s="35"/>
      <c r="N50" s="35"/>
    </row>
    <row r="51" spans="1:14" ht="14.75" customHeight="1" x14ac:dyDescent="0.35">
      <c r="A51" s="11">
        <v>46</v>
      </c>
      <c r="B51" s="31"/>
      <c r="C51" s="16"/>
      <c r="D51" s="21"/>
      <c r="E51" s="21"/>
      <c r="F51" s="22"/>
      <c r="G51" s="22"/>
      <c r="H51" s="4">
        <f t="shared" si="1"/>
        <v>0</v>
      </c>
      <c r="L51" s="35"/>
      <c r="M51" s="35"/>
      <c r="N51" s="35"/>
    </row>
    <row r="52" spans="1:14" ht="14.75" customHeight="1" x14ac:dyDescent="0.35">
      <c r="A52" s="11">
        <v>47</v>
      </c>
      <c r="B52" s="31"/>
      <c r="C52" s="16"/>
      <c r="D52" s="21"/>
      <c r="E52" s="21"/>
      <c r="F52" s="22"/>
      <c r="G52" s="22"/>
      <c r="H52" s="4">
        <f t="shared" si="1"/>
        <v>0</v>
      </c>
      <c r="L52" s="35"/>
      <c r="M52" s="35"/>
      <c r="N52" s="35"/>
    </row>
    <row r="53" spans="1:14" ht="14.75" customHeight="1" x14ac:dyDescent="0.35">
      <c r="A53" s="11">
        <v>48</v>
      </c>
      <c r="B53" s="31"/>
      <c r="C53" s="16"/>
      <c r="D53" s="21"/>
      <c r="E53" s="21"/>
      <c r="F53" s="22"/>
      <c r="G53" s="22"/>
      <c r="H53" s="4">
        <f t="shared" si="1"/>
        <v>0</v>
      </c>
      <c r="L53" s="35"/>
      <c r="M53" s="35"/>
      <c r="N53" s="35"/>
    </row>
    <row r="54" spans="1:14" ht="14.75" customHeight="1" x14ac:dyDescent="0.35">
      <c r="A54" s="11">
        <v>49</v>
      </c>
      <c r="B54" s="31"/>
      <c r="C54" s="16"/>
      <c r="D54" s="21"/>
      <c r="E54" s="21"/>
      <c r="F54" s="22"/>
      <c r="G54" s="24"/>
      <c r="H54" s="4">
        <f t="shared" si="1"/>
        <v>0</v>
      </c>
      <c r="L54" s="35"/>
      <c r="M54" s="35"/>
      <c r="N54" s="35"/>
    </row>
    <row r="55" spans="1:14" ht="14.75" customHeight="1" x14ac:dyDescent="0.35">
      <c r="A55" s="11">
        <v>50</v>
      </c>
      <c r="B55" s="31"/>
      <c r="C55" s="16"/>
      <c r="D55" s="21"/>
      <c r="E55" s="21"/>
      <c r="F55" s="22"/>
      <c r="G55" s="22"/>
      <c r="H55" s="4">
        <f t="shared" si="1"/>
        <v>0</v>
      </c>
      <c r="L55" s="35"/>
      <c r="M55" s="35"/>
      <c r="N55" s="35"/>
    </row>
    <row r="56" spans="1:14" ht="14.75" customHeight="1" x14ac:dyDescent="0.35">
      <c r="A56" s="11">
        <v>51</v>
      </c>
      <c r="B56" s="31"/>
      <c r="C56" s="16"/>
      <c r="D56" s="21"/>
      <c r="E56" s="21"/>
      <c r="F56" s="22"/>
      <c r="G56" s="22"/>
      <c r="H56" s="4">
        <f t="shared" si="1"/>
        <v>0</v>
      </c>
      <c r="L56" s="35"/>
      <c r="M56" s="35"/>
      <c r="N56" s="35"/>
    </row>
    <row r="57" spans="1:14" ht="14.75" customHeight="1" x14ac:dyDescent="0.35">
      <c r="A57" s="11">
        <v>52</v>
      </c>
      <c r="B57" s="31"/>
      <c r="C57" s="16"/>
      <c r="D57" s="21"/>
      <c r="E57" s="21"/>
      <c r="F57" s="22"/>
      <c r="G57" s="22"/>
      <c r="H57" s="4">
        <f t="shared" si="1"/>
        <v>0</v>
      </c>
      <c r="L57" s="35"/>
      <c r="M57" s="35"/>
      <c r="N57" s="35"/>
    </row>
    <row r="58" spans="1:14" ht="14.75" customHeight="1" x14ac:dyDescent="0.35">
      <c r="A58" s="11">
        <v>53</v>
      </c>
      <c r="B58" s="31"/>
      <c r="C58" s="16"/>
      <c r="D58" s="21"/>
      <c r="E58" s="21"/>
      <c r="F58" s="22"/>
      <c r="G58" s="22"/>
      <c r="H58" s="4">
        <f t="shared" si="1"/>
        <v>0</v>
      </c>
      <c r="L58" s="35"/>
      <c r="M58" s="35"/>
      <c r="N58" s="35"/>
    </row>
    <row r="59" spans="1:14" ht="14.75" customHeight="1" x14ac:dyDescent="0.35">
      <c r="A59" s="11">
        <v>54</v>
      </c>
      <c r="B59" s="31"/>
      <c r="C59" s="16"/>
      <c r="D59" s="21"/>
      <c r="E59" s="21"/>
      <c r="F59" s="22"/>
      <c r="G59" s="24"/>
      <c r="H59" s="4">
        <f t="shared" si="1"/>
        <v>0</v>
      </c>
      <c r="L59" s="35"/>
      <c r="M59" s="35"/>
      <c r="N59" s="35"/>
    </row>
    <row r="60" spans="1:14" ht="14.75" customHeight="1" x14ac:dyDescent="0.35">
      <c r="A60" s="11">
        <v>55</v>
      </c>
      <c r="B60" s="31"/>
      <c r="C60" s="16"/>
      <c r="D60" s="21"/>
      <c r="E60" s="21"/>
      <c r="F60" s="22"/>
      <c r="G60" s="22"/>
      <c r="H60" s="4">
        <f t="shared" si="1"/>
        <v>0</v>
      </c>
      <c r="L60" s="35"/>
      <c r="M60" s="35"/>
      <c r="N60" s="35"/>
    </row>
    <row r="61" spans="1:14" ht="14.75" customHeight="1" x14ac:dyDescent="0.35">
      <c r="A61" s="11">
        <v>56</v>
      </c>
      <c r="B61" s="31"/>
      <c r="C61" s="16"/>
      <c r="D61" s="21"/>
      <c r="E61" s="21"/>
      <c r="F61" s="22"/>
      <c r="G61" s="22"/>
      <c r="H61" s="4">
        <f t="shared" si="1"/>
        <v>0</v>
      </c>
      <c r="L61" s="35"/>
      <c r="M61" s="35"/>
      <c r="N61" s="35"/>
    </row>
    <row r="62" spans="1:14" ht="14.75" customHeight="1" x14ac:dyDescent="0.35">
      <c r="A62" s="11">
        <v>57</v>
      </c>
      <c r="B62" s="31"/>
      <c r="C62" s="16"/>
      <c r="D62" s="21"/>
      <c r="E62" s="21"/>
      <c r="F62" s="22"/>
      <c r="G62" s="22"/>
      <c r="H62" s="4">
        <f t="shared" si="1"/>
        <v>0</v>
      </c>
      <c r="L62" s="35"/>
      <c r="M62" s="35"/>
      <c r="N62" s="35"/>
    </row>
    <row r="63" spans="1:14" ht="14.75" customHeight="1" x14ac:dyDescent="0.35">
      <c r="A63" s="11">
        <v>58</v>
      </c>
      <c r="B63" s="31"/>
      <c r="C63" s="16"/>
      <c r="D63" s="21"/>
      <c r="E63" s="21"/>
      <c r="F63" s="22"/>
      <c r="G63" s="22"/>
      <c r="H63" s="4">
        <f t="shared" si="1"/>
        <v>0</v>
      </c>
      <c r="L63" s="35"/>
      <c r="M63" s="35"/>
      <c r="N63" s="35"/>
    </row>
    <row r="64" spans="1:14" ht="14.75" customHeight="1" x14ac:dyDescent="0.35">
      <c r="A64" s="11">
        <v>59</v>
      </c>
      <c r="B64" s="31"/>
      <c r="C64" s="16"/>
      <c r="D64" s="21"/>
      <c r="E64" s="21"/>
      <c r="F64" s="22"/>
      <c r="G64" s="24"/>
      <c r="H64" s="4">
        <f t="shared" si="1"/>
        <v>0</v>
      </c>
      <c r="L64" s="35"/>
      <c r="M64" s="35"/>
      <c r="N64" s="35"/>
    </row>
    <row r="65" spans="1:14" ht="14.75" customHeight="1" x14ac:dyDescent="0.35">
      <c r="A65" s="11">
        <v>60</v>
      </c>
      <c r="B65" s="31"/>
      <c r="C65" s="16"/>
      <c r="D65" s="21"/>
      <c r="E65" s="21"/>
      <c r="F65" s="22"/>
      <c r="G65" s="22"/>
      <c r="H65" s="4">
        <f t="shared" si="1"/>
        <v>0</v>
      </c>
      <c r="L65" s="35"/>
      <c r="M65" s="35"/>
      <c r="N65" s="35"/>
    </row>
    <row r="66" spans="1:14" ht="14.75" customHeight="1" x14ac:dyDescent="0.35">
      <c r="A66" s="11">
        <v>61</v>
      </c>
      <c r="B66" s="31"/>
      <c r="C66" s="16"/>
      <c r="D66" s="21"/>
      <c r="E66" s="21"/>
      <c r="F66" s="22"/>
      <c r="G66" s="22"/>
      <c r="H66" s="4">
        <f t="shared" si="1"/>
        <v>0</v>
      </c>
      <c r="L66" s="35"/>
      <c r="M66" s="35"/>
      <c r="N66" s="35"/>
    </row>
    <row r="67" spans="1:14" ht="14.75" customHeight="1" x14ac:dyDescent="0.35">
      <c r="A67" s="11">
        <v>62</v>
      </c>
      <c r="B67" s="31"/>
      <c r="C67" s="16"/>
      <c r="D67" s="21"/>
      <c r="E67" s="21"/>
      <c r="F67" s="22"/>
      <c r="G67" s="22"/>
      <c r="H67" s="4">
        <f t="shared" si="1"/>
        <v>0</v>
      </c>
      <c r="L67" s="35"/>
      <c r="M67" s="35"/>
      <c r="N67" s="35"/>
    </row>
    <row r="68" spans="1:14" ht="14.75" customHeight="1" x14ac:dyDescent="0.35">
      <c r="A68" s="11">
        <v>63</v>
      </c>
      <c r="B68" s="31"/>
      <c r="C68" s="16"/>
      <c r="D68" s="21"/>
      <c r="E68" s="21"/>
      <c r="F68" s="22"/>
      <c r="G68" s="22"/>
      <c r="H68" s="4">
        <f t="shared" si="1"/>
        <v>0</v>
      </c>
      <c r="L68" s="35"/>
      <c r="M68" s="35"/>
      <c r="N68" s="35"/>
    </row>
    <row r="69" spans="1:14" ht="14.75" customHeight="1" x14ac:dyDescent="0.35">
      <c r="A69" s="11">
        <v>64</v>
      </c>
      <c r="B69" s="31"/>
      <c r="C69" s="16"/>
      <c r="D69" s="21"/>
      <c r="E69" s="21"/>
      <c r="F69" s="22"/>
      <c r="G69" s="24"/>
      <c r="H69" s="4">
        <f t="shared" si="1"/>
        <v>0</v>
      </c>
      <c r="L69" s="35"/>
      <c r="M69" s="35"/>
      <c r="N69" s="35"/>
    </row>
    <row r="70" spans="1:14" ht="14.75" customHeight="1" x14ac:dyDescent="0.35">
      <c r="A70" s="11">
        <v>65</v>
      </c>
      <c r="B70" s="31"/>
      <c r="C70" s="16"/>
      <c r="D70" s="21"/>
      <c r="E70" s="21"/>
      <c r="F70" s="22"/>
      <c r="G70" s="22"/>
      <c r="H70" s="4">
        <f t="shared" si="1"/>
        <v>0</v>
      </c>
      <c r="L70" s="35"/>
      <c r="M70" s="35"/>
      <c r="N70" s="35"/>
    </row>
    <row r="71" spans="1:14" ht="14.75" customHeight="1" x14ac:dyDescent="0.35">
      <c r="A71" s="11">
        <v>66</v>
      </c>
      <c r="B71" s="31"/>
      <c r="C71" s="16"/>
      <c r="D71" s="21"/>
      <c r="E71" s="21"/>
      <c r="F71" s="22"/>
      <c r="G71" s="22"/>
      <c r="H71" s="4">
        <f t="shared" si="1"/>
        <v>0</v>
      </c>
      <c r="L71" s="35"/>
      <c r="M71" s="35"/>
      <c r="N71" s="35"/>
    </row>
    <row r="72" spans="1:14" ht="14.75" customHeight="1" x14ac:dyDescent="0.35">
      <c r="A72" s="11">
        <v>67</v>
      </c>
      <c r="B72" s="31"/>
      <c r="C72" s="16"/>
      <c r="D72" s="21"/>
      <c r="E72" s="21"/>
      <c r="F72" s="22"/>
      <c r="G72" s="22"/>
      <c r="H72" s="4">
        <f t="shared" si="1"/>
        <v>0</v>
      </c>
      <c r="L72" s="35"/>
      <c r="M72" s="35"/>
      <c r="N72" s="35"/>
    </row>
    <row r="73" spans="1:14" ht="14.75" customHeight="1" x14ac:dyDescent="0.35">
      <c r="A73" s="11">
        <v>68</v>
      </c>
      <c r="B73" s="31"/>
      <c r="C73" s="16"/>
      <c r="D73" s="21"/>
      <c r="E73" s="21"/>
      <c r="F73" s="22"/>
      <c r="G73" s="22"/>
      <c r="H73" s="4">
        <f t="shared" si="1"/>
        <v>0</v>
      </c>
      <c r="L73" s="35"/>
      <c r="M73" s="35"/>
      <c r="N73" s="35"/>
    </row>
    <row r="74" spans="1:14" ht="14.75" customHeight="1" x14ac:dyDescent="0.35">
      <c r="A74" s="11">
        <v>69</v>
      </c>
      <c r="B74" s="31"/>
      <c r="C74" s="16"/>
      <c r="D74" s="21"/>
      <c r="E74" s="21"/>
      <c r="F74" s="22"/>
      <c r="G74" s="24"/>
      <c r="H74" s="4">
        <f t="shared" si="1"/>
        <v>0</v>
      </c>
      <c r="L74" s="35"/>
      <c r="M74" s="35"/>
      <c r="N74" s="35"/>
    </row>
    <row r="75" spans="1:14" ht="14.75" customHeight="1" x14ac:dyDescent="0.35">
      <c r="A75" s="11">
        <v>70</v>
      </c>
      <c r="B75" s="31"/>
      <c r="C75" s="16"/>
      <c r="D75" s="21"/>
      <c r="E75" s="21"/>
      <c r="F75" s="22"/>
      <c r="G75" s="22"/>
      <c r="H75" s="4">
        <f t="shared" si="1"/>
        <v>0</v>
      </c>
      <c r="L75" s="35"/>
      <c r="M75" s="35"/>
      <c r="N75" s="35"/>
    </row>
    <row r="76" spans="1:14" ht="14.75" customHeight="1" x14ac:dyDescent="0.35">
      <c r="A76" s="11">
        <v>71</v>
      </c>
      <c r="B76" s="31"/>
      <c r="C76" s="16"/>
      <c r="D76" s="21"/>
      <c r="E76" s="21"/>
      <c r="F76" s="22"/>
      <c r="G76" s="22"/>
      <c r="H76" s="4">
        <f t="shared" si="1"/>
        <v>0</v>
      </c>
      <c r="L76" s="35"/>
      <c r="M76" s="35"/>
      <c r="N76" s="35"/>
    </row>
    <row r="77" spans="1:14" ht="14.75" customHeight="1" x14ac:dyDescent="0.35">
      <c r="A77" s="11">
        <v>72</v>
      </c>
      <c r="B77" s="31"/>
      <c r="C77" s="16"/>
      <c r="D77" s="21"/>
      <c r="E77" s="21"/>
      <c r="F77" s="22"/>
      <c r="G77" s="22"/>
      <c r="H77" s="4">
        <f t="shared" si="1"/>
        <v>0</v>
      </c>
      <c r="L77" s="35"/>
      <c r="M77" s="35"/>
      <c r="N77" s="35"/>
    </row>
    <row r="78" spans="1:14" ht="14.75" customHeight="1" x14ac:dyDescent="0.35">
      <c r="A78" s="11">
        <v>73</v>
      </c>
      <c r="B78" s="31"/>
      <c r="C78" s="16"/>
      <c r="D78" s="21"/>
      <c r="E78" s="21"/>
      <c r="F78" s="22"/>
      <c r="G78" s="22"/>
      <c r="H78" s="4">
        <f t="shared" si="1"/>
        <v>0</v>
      </c>
      <c r="L78" s="35"/>
      <c r="M78" s="35"/>
      <c r="N78" s="35"/>
    </row>
    <row r="79" spans="1:14" ht="14.75" customHeight="1" x14ac:dyDescent="0.35">
      <c r="A79" s="11">
        <v>74</v>
      </c>
      <c r="B79" s="31"/>
      <c r="C79" s="16"/>
      <c r="D79" s="21"/>
      <c r="E79" s="21"/>
      <c r="F79" s="22"/>
      <c r="G79" s="24"/>
      <c r="H79" s="4">
        <f t="shared" si="1"/>
        <v>0</v>
      </c>
      <c r="L79" s="35"/>
      <c r="M79" s="35"/>
      <c r="N79" s="35"/>
    </row>
    <row r="80" spans="1:14" ht="14.75" customHeight="1" x14ac:dyDescent="0.35">
      <c r="A80" s="11">
        <v>75</v>
      </c>
      <c r="B80" s="31"/>
      <c r="C80" s="16"/>
      <c r="D80" s="21"/>
      <c r="E80" s="21"/>
      <c r="F80" s="22"/>
      <c r="G80" s="22"/>
      <c r="H80" s="4">
        <f t="shared" si="1"/>
        <v>0</v>
      </c>
      <c r="L80" s="35"/>
      <c r="M80" s="35"/>
      <c r="N80" s="35"/>
    </row>
    <row r="81" spans="1:14" ht="14.75" customHeight="1" x14ac:dyDescent="0.35">
      <c r="A81" s="11">
        <v>76</v>
      </c>
      <c r="B81" s="31"/>
      <c r="C81" s="16"/>
      <c r="D81" s="21"/>
      <c r="E81" s="21"/>
      <c r="F81" s="22"/>
      <c r="G81" s="22"/>
      <c r="H81" s="4">
        <f t="shared" si="1"/>
        <v>0</v>
      </c>
      <c r="L81" s="35"/>
      <c r="M81" s="35"/>
      <c r="N81" s="35"/>
    </row>
    <row r="82" spans="1:14" ht="14.75" customHeight="1" x14ac:dyDescent="0.35">
      <c r="A82" s="11">
        <v>77</v>
      </c>
      <c r="B82" s="31"/>
      <c r="C82" s="16"/>
      <c r="D82" s="21"/>
      <c r="E82" s="21"/>
      <c r="F82" s="22"/>
      <c r="G82" s="22"/>
      <c r="H82" s="4">
        <f t="shared" si="1"/>
        <v>0</v>
      </c>
      <c r="L82" s="35"/>
      <c r="M82" s="35"/>
      <c r="N82" s="35"/>
    </row>
    <row r="83" spans="1:14" ht="14.75" customHeight="1" x14ac:dyDescent="0.35">
      <c r="A83" s="11">
        <v>78</v>
      </c>
      <c r="B83" s="31"/>
      <c r="C83" s="16"/>
      <c r="D83" s="21"/>
      <c r="E83" s="21"/>
      <c r="F83" s="22"/>
      <c r="G83" s="22"/>
      <c r="H83" s="4">
        <f t="shared" si="1"/>
        <v>0</v>
      </c>
      <c r="L83" s="35"/>
      <c r="M83" s="35"/>
      <c r="N83" s="35"/>
    </row>
    <row r="84" spans="1:14" ht="14.75" customHeight="1" x14ac:dyDescent="0.35">
      <c r="A84" s="11">
        <v>79</v>
      </c>
      <c r="B84" s="31"/>
      <c r="C84" s="16"/>
      <c r="D84" s="21"/>
      <c r="E84" s="21"/>
      <c r="F84" s="22"/>
      <c r="G84" s="22"/>
      <c r="H84" s="4">
        <f t="shared" si="1"/>
        <v>0</v>
      </c>
      <c r="L84" s="35"/>
      <c r="M84" s="35"/>
      <c r="N84" s="35"/>
    </row>
    <row r="85" spans="1:14" ht="14.75" customHeight="1" x14ac:dyDescent="0.35">
      <c r="A85" s="11">
        <v>80</v>
      </c>
      <c r="B85" s="31"/>
      <c r="C85" s="16"/>
      <c r="D85" s="21"/>
      <c r="E85" s="21"/>
      <c r="F85" s="22"/>
      <c r="G85" s="22"/>
      <c r="H85" s="4">
        <f t="shared" si="1"/>
        <v>0</v>
      </c>
      <c r="L85" s="35"/>
      <c r="M85" s="35"/>
      <c r="N85" s="35"/>
    </row>
    <row r="86" spans="1:14" ht="14.75" customHeight="1" x14ac:dyDescent="0.35">
      <c r="A86" s="11">
        <v>81</v>
      </c>
      <c r="B86" s="31"/>
      <c r="C86" s="16"/>
      <c r="D86" s="21"/>
      <c r="E86" s="21"/>
      <c r="F86" s="22"/>
      <c r="G86" s="22"/>
      <c r="H86" s="4">
        <f t="shared" si="1"/>
        <v>0</v>
      </c>
      <c r="L86" s="35"/>
      <c r="M86" s="35"/>
      <c r="N86" s="35"/>
    </row>
    <row r="87" spans="1:14" ht="14.75" customHeight="1" x14ac:dyDescent="0.35">
      <c r="A87" s="11">
        <v>82</v>
      </c>
      <c r="B87" s="31"/>
      <c r="C87" s="16"/>
      <c r="D87" s="21"/>
      <c r="E87" s="21"/>
      <c r="F87" s="22"/>
      <c r="G87" s="22"/>
      <c r="H87" s="4">
        <f t="shared" si="1"/>
        <v>0</v>
      </c>
      <c r="L87" s="35"/>
      <c r="M87" s="35"/>
      <c r="N87" s="35"/>
    </row>
    <row r="88" spans="1:14" ht="14.75" customHeight="1" x14ac:dyDescent="0.35">
      <c r="A88" s="11">
        <v>83</v>
      </c>
      <c r="B88" s="31"/>
      <c r="C88" s="16"/>
      <c r="D88" s="21"/>
      <c r="E88" s="21"/>
      <c r="F88" s="22"/>
      <c r="G88" s="22"/>
      <c r="H88" s="4">
        <f t="shared" si="1"/>
        <v>0</v>
      </c>
      <c r="L88" s="35"/>
      <c r="M88" s="35"/>
      <c r="N88" s="35"/>
    </row>
    <row r="89" spans="1:14" ht="14.75" customHeight="1" x14ac:dyDescent="0.35">
      <c r="A89" s="11">
        <v>84</v>
      </c>
      <c r="B89" s="31"/>
      <c r="C89" s="16"/>
      <c r="D89" s="21"/>
      <c r="E89" s="21"/>
      <c r="F89" s="22"/>
      <c r="G89" s="22"/>
      <c r="H89" s="4">
        <f t="shared" si="1"/>
        <v>0</v>
      </c>
      <c r="L89" s="35"/>
      <c r="M89" s="35"/>
      <c r="N89" s="35"/>
    </row>
    <row r="90" spans="1:14" ht="14.75" customHeight="1" x14ac:dyDescent="0.35">
      <c r="A90" s="11">
        <v>85</v>
      </c>
      <c r="B90" s="31"/>
      <c r="C90" s="16"/>
      <c r="D90" s="21"/>
      <c r="E90" s="21"/>
      <c r="F90" s="22"/>
      <c r="G90" s="22"/>
      <c r="H90" s="4">
        <f t="shared" si="1"/>
        <v>0</v>
      </c>
      <c r="L90" s="35"/>
      <c r="M90" s="35"/>
      <c r="N90" s="35"/>
    </row>
    <row r="91" spans="1:14" ht="14.75" customHeight="1" x14ac:dyDescent="0.35">
      <c r="A91" s="11">
        <v>86</v>
      </c>
      <c r="B91" s="31"/>
      <c r="C91" s="16"/>
      <c r="D91" s="21"/>
      <c r="E91" s="21"/>
      <c r="F91" s="22"/>
      <c r="G91" s="22"/>
      <c r="H91" s="4">
        <f t="shared" si="1"/>
        <v>0</v>
      </c>
      <c r="L91" s="35"/>
      <c r="M91" s="35"/>
      <c r="N91" s="35"/>
    </row>
    <row r="92" spans="1:14" ht="14.75" customHeight="1" x14ac:dyDescent="0.35">
      <c r="A92" s="11">
        <v>87</v>
      </c>
      <c r="B92" s="31"/>
      <c r="C92" s="16"/>
      <c r="D92" s="21"/>
      <c r="E92" s="21"/>
      <c r="F92" s="22"/>
      <c r="G92" s="22"/>
      <c r="H92" s="4">
        <f t="shared" si="1"/>
        <v>0</v>
      </c>
      <c r="L92" s="35"/>
      <c r="M92" s="35"/>
      <c r="N92" s="35"/>
    </row>
    <row r="93" spans="1:14" ht="14.75" customHeight="1" x14ac:dyDescent="0.35">
      <c r="A93" s="11">
        <v>88</v>
      </c>
      <c r="B93" s="31"/>
      <c r="C93" s="16"/>
      <c r="D93" s="21"/>
      <c r="E93" s="21"/>
      <c r="F93" s="22"/>
      <c r="G93" s="22"/>
      <c r="H93" s="4">
        <f t="shared" si="1"/>
        <v>0</v>
      </c>
      <c r="L93" s="35"/>
      <c r="M93" s="35"/>
      <c r="N93" s="35"/>
    </row>
    <row r="94" spans="1:14" ht="14.75" customHeight="1" x14ac:dyDescent="0.35">
      <c r="A94" s="11">
        <v>89</v>
      </c>
      <c r="B94" s="31"/>
      <c r="C94" s="16"/>
      <c r="D94" s="21"/>
      <c r="E94" s="21"/>
      <c r="F94" s="22"/>
      <c r="G94" s="22"/>
      <c r="H94" s="4">
        <f t="shared" si="1"/>
        <v>0</v>
      </c>
      <c r="L94" s="35"/>
      <c r="M94" s="35"/>
      <c r="N94" s="35"/>
    </row>
    <row r="95" spans="1:14" ht="14.75" customHeight="1" x14ac:dyDescent="0.35">
      <c r="A95" s="11">
        <v>90</v>
      </c>
      <c r="B95" s="31"/>
      <c r="C95" s="16"/>
      <c r="D95" s="21"/>
      <c r="E95" s="21"/>
      <c r="F95" s="22"/>
      <c r="G95" s="22"/>
      <c r="H95" s="4">
        <f t="shared" si="1"/>
        <v>0</v>
      </c>
      <c r="L95" s="35"/>
      <c r="M95" s="35"/>
      <c r="N95" s="35"/>
    </row>
    <row r="96" spans="1:14" ht="14.75" customHeight="1" x14ac:dyDescent="0.35">
      <c r="A96" s="11">
        <v>91</v>
      </c>
      <c r="B96" s="31"/>
      <c r="C96" s="16"/>
      <c r="D96" s="21"/>
      <c r="E96" s="21"/>
      <c r="F96" s="22"/>
      <c r="G96" s="22"/>
      <c r="H96" s="4">
        <f t="shared" si="1"/>
        <v>0</v>
      </c>
      <c r="L96" s="35"/>
      <c r="M96" s="35"/>
      <c r="N96" s="35"/>
    </row>
    <row r="97" spans="1:14" ht="14.75" customHeight="1" x14ac:dyDescent="0.35">
      <c r="A97" s="11">
        <v>92</v>
      </c>
      <c r="B97" s="31"/>
      <c r="C97" s="16"/>
      <c r="D97" s="21"/>
      <c r="E97" s="21"/>
      <c r="F97" s="22"/>
      <c r="G97" s="22"/>
      <c r="H97" s="4">
        <f t="shared" si="1"/>
        <v>0</v>
      </c>
      <c r="L97" s="35"/>
      <c r="M97" s="35"/>
      <c r="N97" s="35"/>
    </row>
    <row r="98" spans="1:14" ht="14.75" customHeight="1" x14ac:dyDescent="0.35">
      <c r="A98" s="11">
        <v>93</v>
      </c>
      <c r="B98" s="31"/>
      <c r="C98" s="16"/>
      <c r="D98" s="21"/>
      <c r="E98" s="21"/>
      <c r="F98" s="22"/>
      <c r="G98" s="22"/>
      <c r="H98" s="4">
        <f t="shared" ref="H98:H161" si="2">H97+F98-G98</f>
        <v>0</v>
      </c>
      <c r="L98" s="35"/>
      <c r="M98" s="35"/>
      <c r="N98" s="35"/>
    </row>
    <row r="99" spans="1:14" ht="14.75" customHeight="1" x14ac:dyDescent="0.35">
      <c r="A99" s="11">
        <v>94</v>
      </c>
      <c r="B99" s="31"/>
      <c r="C99" s="16"/>
      <c r="D99" s="21"/>
      <c r="E99" s="21"/>
      <c r="F99" s="22"/>
      <c r="G99" s="22"/>
      <c r="H99" s="4">
        <f t="shared" si="2"/>
        <v>0</v>
      </c>
      <c r="L99" s="35"/>
      <c r="M99" s="35"/>
      <c r="N99" s="35"/>
    </row>
    <row r="100" spans="1:14" ht="14.75" customHeight="1" x14ac:dyDescent="0.35">
      <c r="A100" s="11">
        <v>95</v>
      </c>
      <c r="B100" s="31"/>
      <c r="C100" s="16"/>
      <c r="D100" s="21"/>
      <c r="E100" s="21"/>
      <c r="F100" s="22"/>
      <c r="G100" s="22"/>
      <c r="H100" s="4">
        <f t="shared" si="2"/>
        <v>0</v>
      </c>
      <c r="L100" s="35"/>
      <c r="M100" s="35"/>
      <c r="N100" s="35"/>
    </row>
    <row r="101" spans="1:14" ht="14.75" customHeight="1" x14ac:dyDescent="0.35">
      <c r="A101" s="11">
        <v>96</v>
      </c>
      <c r="B101" s="31"/>
      <c r="C101" s="16"/>
      <c r="D101" s="21"/>
      <c r="E101" s="21"/>
      <c r="F101" s="22"/>
      <c r="G101" s="22"/>
      <c r="H101" s="4">
        <f t="shared" si="2"/>
        <v>0</v>
      </c>
      <c r="L101" s="35"/>
      <c r="M101" s="35"/>
      <c r="N101" s="35"/>
    </row>
    <row r="102" spans="1:14" ht="14.75" customHeight="1" x14ac:dyDescent="0.35">
      <c r="A102" s="11">
        <v>97</v>
      </c>
      <c r="B102" s="31"/>
      <c r="C102" s="16"/>
      <c r="D102" s="21"/>
      <c r="E102" s="21"/>
      <c r="F102" s="22"/>
      <c r="G102" s="22"/>
      <c r="H102" s="4">
        <f t="shared" si="2"/>
        <v>0</v>
      </c>
      <c r="L102" s="35"/>
      <c r="M102" s="35"/>
      <c r="N102" s="35"/>
    </row>
    <row r="103" spans="1:14" ht="14.75" customHeight="1" x14ac:dyDescent="0.35">
      <c r="A103" s="11">
        <v>98</v>
      </c>
      <c r="B103" s="31"/>
      <c r="C103" s="16"/>
      <c r="D103" s="21"/>
      <c r="E103" s="21"/>
      <c r="F103" s="22"/>
      <c r="G103" s="22"/>
      <c r="H103" s="4">
        <f t="shared" si="2"/>
        <v>0</v>
      </c>
      <c r="L103" s="35"/>
      <c r="M103" s="35"/>
      <c r="N103" s="35"/>
    </row>
    <row r="104" spans="1:14" ht="14.75" customHeight="1" x14ac:dyDescent="0.35">
      <c r="A104" s="11">
        <v>99</v>
      </c>
      <c r="B104" s="31"/>
      <c r="C104" s="16"/>
      <c r="D104" s="21"/>
      <c r="E104" s="21"/>
      <c r="F104" s="22"/>
      <c r="G104" s="22"/>
      <c r="H104" s="4">
        <f t="shared" si="2"/>
        <v>0</v>
      </c>
      <c r="L104" s="35"/>
      <c r="M104" s="35"/>
      <c r="N104" s="35"/>
    </row>
    <row r="105" spans="1:14" ht="14.75" customHeight="1" x14ac:dyDescent="0.35">
      <c r="A105" s="11">
        <v>100</v>
      </c>
      <c r="B105" s="31"/>
      <c r="C105" s="16"/>
      <c r="D105" s="21"/>
      <c r="E105" s="21"/>
      <c r="F105" s="22"/>
      <c r="G105" s="22"/>
      <c r="H105" s="4">
        <f t="shared" si="2"/>
        <v>0</v>
      </c>
      <c r="L105" s="35"/>
      <c r="M105" s="35"/>
      <c r="N105" s="35"/>
    </row>
    <row r="106" spans="1:14" ht="14.75" customHeight="1" x14ac:dyDescent="0.35">
      <c r="A106" s="11">
        <v>101</v>
      </c>
      <c r="B106" s="31"/>
      <c r="C106" s="16"/>
      <c r="D106" s="21"/>
      <c r="E106" s="21"/>
      <c r="F106" s="22"/>
      <c r="G106" s="22"/>
      <c r="H106" s="4">
        <f t="shared" si="2"/>
        <v>0</v>
      </c>
      <c r="L106" s="35"/>
      <c r="M106" s="35"/>
      <c r="N106" s="35"/>
    </row>
    <row r="107" spans="1:14" ht="14.75" customHeight="1" x14ac:dyDescent="0.35">
      <c r="A107" s="11">
        <v>102</v>
      </c>
      <c r="B107" s="31"/>
      <c r="C107" s="16"/>
      <c r="D107" s="21"/>
      <c r="E107" s="21"/>
      <c r="F107" s="22"/>
      <c r="G107" s="22"/>
      <c r="H107" s="4">
        <f t="shared" si="2"/>
        <v>0</v>
      </c>
      <c r="L107" s="35"/>
      <c r="M107" s="35"/>
      <c r="N107" s="35"/>
    </row>
    <row r="108" spans="1:14" ht="14.75" customHeight="1" x14ac:dyDescent="0.35">
      <c r="A108" s="11">
        <v>103</v>
      </c>
      <c r="B108" s="31"/>
      <c r="C108" s="16"/>
      <c r="D108" s="21"/>
      <c r="E108" s="21"/>
      <c r="F108" s="22"/>
      <c r="G108" s="22"/>
      <c r="H108" s="4">
        <f t="shared" si="2"/>
        <v>0</v>
      </c>
      <c r="L108" s="35"/>
      <c r="M108" s="35"/>
      <c r="N108" s="35"/>
    </row>
    <row r="109" spans="1:14" ht="14.75" customHeight="1" x14ac:dyDescent="0.35">
      <c r="A109" s="11">
        <v>104</v>
      </c>
      <c r="B109" s="31"/>
      <c r="C109" s="16"/>
      <c r="D109" s="21"/>
      <c r="E109" s="21"/>
      <c r="F109" s="22"/>
      <c r="G109" s="22"/>
      <c r="H109" s="4">
        <f t="shared" si="2"/>
        <v>0</v>
      </c>
      <c r="L109" s="35"/>
      <c r="M109" s="35"/>
      <c r="N109" s="35"/>
    </row>
    <row r="110" spans="1:14" ht="14.75" customHeight="1" x14ac:dyDescent="0.35">
      <c r="A110" s="11">
        <v>105</v>
      </c>
      <c r="B110" s="31"/>
      <c r="C110" s="16"/>
      <c r="D110" s="21"/>
      <c r="E110" s="21"/>
      <c r="F110" s="22"/>
      <c r="G110" s="22"/>
      <c r="H110" s="4">
        <f t="shared" si="2"/>
        <v>0</v>
      </c>
      <c r="L110" s="35"/>
      <c r="M110" s="35"/>
      <c r="N110" s="35"/>
    </row>
    <row r="111" spans="1:14" ht="14.75" customHeight="1" x14ac:dyDescent="0.35">
      <c r="A111" s="11">
        <v>106</v>
      </c>
      <c r="B111" s="31"/>
      <c r="C111" s="16"/>
      <c r="D111" s="21"/>
      <c r="E111" s="21"/>
      <c r="F111" s="22"/>
      <c r="G111" s="22"/>
      <c r="H111" s="4">
        <f t="shared" si="2"/>
        <v>0</v>
      </c>
      <c r="L111" s="35"/>
      <c r="M111" s="35"/>
      <c r="N111" s="35"/>
    </row>
    <row r="112" spans="1:14" ht="14.75" customHeight="1" x14ac:dyDescent="0.35">
      <c r="A112" s="11">
        <v>107</v>
      </c>
      <c r="B112" s="31"/>
      <c r="C112" s="16"/>
      <c r="D112" s="21"/>
      <c r="E112" s="21"/>
      <c r="F112" s="22"/>
      <c r="G112" s="22"/>
      <c r="H112" s="4">
        <f t="shared" si="2"/>
        <v>0</v>
      </c>
      <c r="L112" s="35"/>
      <c r="M112" s="35"/>
      <c r="N112" s="35"/>
    </row>
    <row r="113" spans="1:14" ht="14.75" customHeight="1" x14ac:dyDescent="0.35">
      <c r="A113" s="11">
        <v>108</v>
      </c>
      <c r="B113" s="31"/>
      <c r="C113" s="16"/>
      <c r="D113" s="21"/>
      <c r="E113" s="21"/>
      <c r="F113" s="22"/>
      <c r="G113" s="22"/>
      <c r="H113" s="4">
        <f t="shared" si="2"/>
        <v>0</v>
      </c>
      <c r="L113" s="35"/>
      <c r="M113" s="35"/>
      <c r="N113" s="35"/>
    </row>
    <row r="114" spans="1:14" ht="14.75" customHeight="1" x14ac:dyDescent="0.35">
      <c r="A114" s="11">
        <v>109</v>
      </c>
      <c r="B114" s="31"/>
      <c r="C114" s="16"/>
      <c r="D114" s="21"/>
      <c r="E114" s="21"/>
      <c r="F114" s="22"/>
      <c r="G114" s="22"/>
      <c r="H114" s="4">
        <f t="shared" si="2"/>
        <v>0</v>
      </c>
      <c r="L114" s="35"/>
      <c r="M114" s="35"/>
      <c r="N114" s="35"/>
    </row>
    <row r="115" spans="1:14" ht="14.75" customHeight="1" x14ac:dyDescent="0.35">
      <c r="A115" s="11">
        <v>110</v>
      </c>
      <c r="B115" s="31"/>
      <c r="C115" s="16"/>
      <c r="D115" s="21"/>
      <c r="E115" s="21"/>
      <c r="F115" s="22"/>
      <c r="G115" s="22"/>
      <c r="H115" s="4">
        <f t="shared" si="2"/>
        <v>0</v>
      </c>
      <c r="L115" s="35"/>
      <c r="M115" s="35"/>
      <c r="N115" s="35"/>
    </row>
    <row r="116" spans="1:14" ht="14.75" customHeight="1" x14ac:dyDescent="0.35">
      <c r="A116" s="11">
        <v>111</v>
      </c>
      <c r="B116" s="31"/>
      <c r="C116" s="16"/>
      <c r="D116" s="21"/>
      <c r="E116" s="21"/>
      <c r="F116" s="22"/>
      <c r="G116" s="22"/>
      <c r="H116" s="4">
        <f t="shared" si="2"/>
        <v>0</v>
      </c>
      <c r="L116" s="35"/>
      <c r="M116" s="35"/>
      <c r="N116" s="35"/>
    </row>
    <row r="117" spans="1:14" ht="14.75" customHeight="1" x14ac:dyDescent="0.35">
      <c r="A117" s="11">
        <v>112</v>
      </c>
      <c r="B117" s="31"/>
      <c r="C117" s="16"/>
      <c r="D117" s="21"/>
      <c r="E117" s="21"/>
      <c r="F117" s="22"/>
      <c r="G117" s="22"/>
      <c r="H117" s="4">
        <f t="shared" si="2"/>
        <v>0</v>
      </c>
      <c r="L117" s="35"/>
      <c r="M117" s="35"/>
      <c r="N117" s="35"/>
    </row>
    <row r="118" spans="1:14" ht="14.75" customHeight="1" x14ac:dyDescent="0.35">
      <c r="A118" s="11">
        <v>113</v>
      </c>
      <c r="B118" s="31"/>
      <c r="C118" s="16"/>
      <c r="D118" s="21"/>
      <c r="E118" s="21"/>
      <c r="F118" s="22"/>
      <c r="G118" s="22"/>
      <c r="H118" s="4">
        <f t="shared" si="2"/>
        <v>0</v>
      </c>
      <c r="L118" s="35"/>
      <c r="M118" s="35"/>
      <c r="N118" s="35"/>
    </row>
    <row r="119" spans="1:14" ht="14.75" customHeight="1" x14ac:dyDescent="0.35">
      <c r="A119" s="11">
        <v>114</v>
      </c>
      <c r="B119" s="31"/>
      <c r="C119" s="16"/>
      <c r="D119" s="21"/>
      <c r="E119" s="21"/>
      <c r="F119" s="22"/>
      <c r="G119" s="22"/>
      <c r="H119" s="4">
        <f t="shared" si="2"/>
        <v>0</v>
      </c>
      <c r="L119" s="35"/>
      <c r="M119" s="35"/>
      <c r="N119" s="35"/>
    </row>
    <row r="120" spans="1:14" ht="14.75" customHeight="1" x14ac:dyDescent="0.35">
      <c r="A120" s="11">
        <v>115</v>
      </c>
      <c r="B120" s="31"/>
      <c r="C120" s="16"/>
      <c r="D120" s="21"/>
      <c r="E120" s="21"/>
      <c r="F120" s="22"/>
      <c r="G120" s="22"/>
      <c r="H120" s="4">
        <f t="shared" si="2"/>
        <v>0</v>
      </c>
      <c r="L120" s="35"/>
      <c r="M120" s="35"/>
      <c r="N120" s="35"/>
    </row>
    <row r="121" spans="1:14" ht="14.75" customHeight="1" x14ac:dyDescent="0.35">
      <c r="A121" s="11">
        <v>116</v>
      </c>
      <c r="B121" s="31"/>
      <c r="C121" s="16"/>
      <c r="D121" s="21"/>
      <c r="E121" s="21"/>
      <c r="F121" s="22"/>
      <c r="G121" s="22"/>
      <c r="H121" s="4">
        <f t="shared" si="2"/>
        <v>0</v>
      </c>
      <c r="L121" s="35"/>
      <c r="M121" s="35"/>
      <c r="N121" s="35"/>
    </row>
    <row r="122" spans="1:14" ht="14.75" customHeight="1" x14ac:dyDescent="0.35">
      <c r="A122" s="11">
        <v>117</v>
      </c>
      <c r="B122" s="31"/>
      <c r="C122" s="16"/>
      <c r="D122" s="21"/>
      <c r="E122" s="21"/>
      <c r="F122" s="22"/>
      <c r="G122" s="22"/>
      <c r="H122" s="4">
        <f t="shared" si="2"/>
        <v>0</v>
      </c>
      <c r="L122" s="35"/>
      <c r="M122" s="35"/>
      <c r="N122" s="35"/>
    </row>
    <row r="123" spans="1:14" ht="14.75" customHeight="1" x14ac:dyDescent="0.35">
      <c r="A123" s="11">
        <v>118</v>
      </c>
      <c r="B123" s="31"/>
      <c r="C123" s="16"/>
      <c r="D123" s="21"/>
      <c r="E123" s="21"/>
      <c r="F123" s="22"/>
      <c r="G123" s="22"/>
      <c r="H123" s="4">
        <f t="shared" si="2"/>
        <v>0</v>
      </c>
      <c r="L123" s="35"/>
      <c r="M123" s="35"/>
      <c r="N123" s="35"/>
    </row>
    <row r="124" spans="1:14" ht="14.75" customHeight="1" x14ac:dyDescent="0.35">
      <c r="A124" s="11">
        <v>119</v>
      </c>
      <c r="B124" s="31"/>
      <c r="C124" s="16"/>
      <c r="D124" s="21"/>
      <c r="E124" s="21"/>
      <c r="F124" s="22"/>
      <c r="G124" s="22"/>
      <c r="H124" s="4">
        <f t="shared" si="2"/>
        <v>0</v>
      </c>
      <c r="L124" s="35"/>
      <c r="M124" s="35"/>
      <c r="N124" s="35"/>
    </row>
    <row r="125" spans="1:14" ht="14.75" customHeight="1" x14ac:dyDescent="0.35">
      <c r="A125" s="11">
        <v>120</v>
      </c>
      <c r="B125" s="31"/>
      <c r="C125" s="16"/>
      <c r="D125" s="21"/>
      <c r="E125" s="21"/>
      <c r="F125" s="22"/>
      <c r="G125" s="22"/>
      <c r="H125" s="4">
        <f t="shared" si="2"/>
        <v>0</v>
      </c>
      <c r="L125" s="35"/>
      <c r="M125" s="35"/>
      <c r="N125" s="35"/>
    </row>
    <row r="126" spans="1:14" ht="14.75" customHeight="1" x14ac:dyDescent="0.35">
      <c r="A126" s="11">
        <v>121</v>
      </c>
      <c r="B126" s="31"/>
      <c r="C126" s="16"/>
      <c r="D126" s="21"/>
      <c r="E126" s="21"/>
      <c r="F126" s="22"/>
      <c r="G126" s="22"/>
      <c r="H126" s="4">
        <f t="shared" si="2"/>
        <v>0</v>
      </c>
      <c r="L126" s="35"/>
      <c r="M126" s="35"/>
      <c r="N126" s="35"/>
    </row>
    <row r="127" spans="1:14" ht="14.75" customHeight="1" x14ac:dyDescent="0.35">
      <c r="A127" s="11">
        <v>122</v>
      </c>
      <c r="B127" s="31"/>
      <c r="C127" s="16"/>
      <c r="D127" s="21"/>
      <c r="E127" s="21"/>
      <c r="F127" s="22"/>
      <c r="G127" s="22"/>
      <c r="H127" s="4">
        <f t="shared" si="2"/>
        <v>0</v>
      </c>
      <c r="L127" s="35"/>
      <c r="M127" s="35"/>
      <c r="N127" s="35"/>
    </row>
    <row r="128" spans="1:14" ht="14.75" customHeight="1" x14ac:dyDescent="0.35">
      <c r="A128" s="11">
        <v>123</v>
      </c>
      <c r="B128" s="31"/>
      <c r="C128" s="16"/>
      <c r="D128" s="21"/>
      <c r="E128" s="21"/>
      <c r="F128" s="22"/>
      <c r="G128" s="22"/>
      <c r="H128" s="4">
        <f t="shared" si="2"/>
        <v>0</v>
      </c>
      <c r="L128" s="35"/>
      <c r="M128" s="35"/>
      <c r="N128" s="35"/>
    </row>
    <row r="129" spans="1:14" ht="14.75" customHeight="1" x14ac:dyDescent="0.35">
      <c r="A129" s="11">
        <v>124</v>
      </c>
      <c r="B129" s="31"/>
      <c r="C129" s="16"/>
      <c r="D129" s="21"/>
      <c r="E129" s="21"/>
      <c r="F129" s="22"/>
      <c r="G129" s="22"/>
      <c r="H129" s="4">
        <f t="shared" si="2"/>
        <v>0</v>
      </c>
      <c r="L129" s="35"/>
      <c r="M129" s="35"/>
      <c r="N129" s="35"/>
    </row>
    <row r="130" spans="1:14" ht="14.75" customHeight="1" x14ac:dyDescent="0.35">
      <c r="A130" s="11"/>
      <c r="B130" s="31"/>
      <c r="C130" s="16"/>
      <c r="D130" s="21"/>
      <c r="E130" s="21"/>
      <c r="F130" s="22"/>
      <c r="G130" s="22"/>
      <c r="H130" s="4">
        <f t="shared" si="2"/>
        <v>0</v>
      </c>
      <c r="L130" s="35"/>
      <c r="M130" s="35"/>
      <c r="N130" s="35"/>
    </row>
    <row r="131" spans="1:14" ht="14.75" customHeight="1" x14ac:dyDescent="0.35">
      <c r="A131" s="11"/>
      <c r="B131" s="31"/>
      <c r="C131" s="16"/>
      <c r="D131" s="21"/>
      <c r="E131" s="21"/>
      <c r="F131" s="22"/>
      <c r="G131" s="22"/>
      <c r="H131" s="4">
        <f t="shared" si="2"/>
        <v>0</v>
      </c>
      <c r="L131" s="35"/>
      <c r="M131" s="35"/>
      <c r="N131" s="35"/>
    </row>
    <row r="132" spans="1:14" ht="14.75" customHeight="1" x14ac:dyDescent="0.35">
      <c r="A132" s="11"/>
      <c r="B132" s="31"/>
      <c r="C132" s="16"/>
      <c r="D132" s="21"/>
      <c r="E132" s="21"/>
      <c r="F132" s="22"/>
      <c r="G132" s="22"/>
      <c r="H132" s="4">
        <f t="shared" si="2"/>
        <v>0</v>
      </c>
      <c r="L132" s="35"/>
      <c r="M132" s="35"/>
      <c r="N132" s="35"/>
    </row>
    <row r="133" spans="1:14" ht="14.75" customHeight="1" x14ac:dyDescent="0.35">
      <c r="A133" s="11"/>
      <c r="B133" s="31"/>
      <c r="C133" s="16"/>
      <c r="D133" s="21"/>
      <c r="E133" s="21"/>
      <c r="F133" s="22"/>
      <c r="G133" s="22"/>
      <c r="H133" s="4">
        <f t="shared" si="2"/>
        <v>0</v>
      </c>
      <c r="L133" s="35"/>
      <c r="M133" s="35"/>
      <c r="N133" s="35"/>
    </row>
    <row r="134" spans="1:14" ht="14.75" customHeight="1" x14ac:dyDescent="0.35">
      <c r="A134" s="11"/>
      <c r="B134" s="31"/>
      <c r="C134" s="16"/>
      <c r="D134" s="21"/>
      <c r="E134" s="21"/>
      <c r="F134" s="22"/>
      <c r="G134" s="22"/>
      <c r="H134" s="4">
        <f t="shared" si="2"/>
        <v>0</v>
      </c>
      <c r="L134" s="35"/>
      <c r="M134" s="35"/>
      <c r="N134" s="35"/>
    </row>
    <row r="135" spans="1:14" ht="14.75" customHeight="1" x14ac:dyDescent="0.35">
      <c r="A135" s="11"/>
      <c r="B135" s="31"/>
      <c r="C135" s="16"/>
      <c r="D135" s="21"/>
      <c r="E135" s="21"/>
      <c r="F135" s="22"/>
      <c r="G135" s="22"/>
      <c r="H135" s="4">
        <f t="shared" si="2"/>
        <v>0</v>
      </c>
      <c r="L135" s="35"/>
      <c r="M135" s="35"/>
      <c r="N135" s="35"/>
    </row>
    <row r="136" spans="1:14" ht="14.75" customHeight="1" x14ac:dyDescent="0.35">
      <c r="A136" s="11"/>
      <c r="B136" s="31"/>
      <c r="C136" s="16"/>
      <c r="D136" s="21"/>
      <c r="E136" s="21"/>
      <c r="F136" s="22"/>
      <c r="G136" s="22"/>
      <c r="H136" s="4">
        <f t="shared" si="2"/>
        <v>0</v>
      </c>
      <c r="L136" s="35"/>
      <c r="M136" s="35"/>
      <c r="N136" s="35"/>
    </row>
    <row r="137" spans="1:14" ht="14.75" customHeight="1" x14ac:dyDescent="0.35">
      <c r="A137" s="11"/>
      <c r="B137" s="31"/>
      <c r="C137" s="16"/>
      <c r="D137" s="21"/>
      <c r="E137" s="21"/>
      <c r="F137" s="22"/>
      <c r="G137" s="22"/>
      <c r="H137" s="4">
        <f t="shared" si="2"/>
        <v>0</v>
      </c>
      <c r="L137" s="35"/>
      <c r="M137" s="35"/>
      <c r="N137" s="35"/>
    </row>
    <row r="138" spans="1:14" ht="14.75" customHeight="1" x14ac:dyDescent="0.35">
      <c r="A138" s="11"/>
      <c r="B138" s="31"/>
      <c r="C138" s="16"/>
      <c r="D138" s="21"/>
      <c r="E138" s="21"/>
      <c r="F138" s="22"/>
      <c r="G138" s="22"/>
      <c r="H138" s="4">
        <f t="shared" si="2"/>
        <v>0</v>
      </c>
      <c r="L138" s="35"/>
      <c r="M138" s="35"/>
      <c r="N138" s="35"/>
    </row>
    <row r="139" spans="1:14" ht="14.75" customHeight="1" x14ac:dyDescent="0.35">
      <c r="A139" s="11"/>
      <c r="B139" s="31"/>
      <c r="C139" s="16"/>
      <c r="D139" s="21"/>
      <c r="E139" s="21"/>
      <c r="F139" s="22"/>
      <c r="G139" s="22"/>
      <c r="H139" s="4">
        <f t="shared" si="2"/>
        <v>0</v>
      </c>
      <c r="L139" s="35"/>
      <c r="M139" s="35"/>
      <c r="N139" s="35"/>
    </row>
    <row r="140" spans="1:14" ht="14.75" customHeight="1" x14ac:dyDescent="0.35">
      <c r="A140" s="11"/>
      <c r="B140" s="31"/>
      <c r="C140" s="16"/>
      <c r="D140" s="21"/>
      <c r="E140" s="21"/>
      <c r="F140" s="22"/>
      <c r="G140" s="22"/>
      <c r="H140" s="4">
        <f t="shared" si="2"/>
        <v>0</v>
      </c>
      <c r="L140" s="35"/>
      <c r="M140" s="35"/>
      <c r="N140" s="35"/>
    </row>
    <row r="141" spans="1:14" ht="14.75" customHeight="1" x14ac:dyDescent="0.35">
      <c r="A141" s="11"/>
      <c r="B141" s="31"/>
      <c r="C141" s="16"/>
      <c r="D141" s="21"/>
      <c r="E141" s="21"/>
      <c r="F141" s="22"/>
      <c r="G141" s="22"/>
      <c r="H141" s="4">
        <f t="shared" si="2"/>
        <v>0</v>
      </c>
      <c r="L141" s="35"/>
      <c r="M141" s="35"/>
      <c r="N141" s="35"/>
    </row>
    <row r="142" spans="1:14" ht="14.75" customHeight="1" x14ac:dyDescent="0.35">
      <c r="A142" s="11"/>
      <c r="B142" s="31"/>
      <c r="C142" s="16"/>
      <c r="D142" s="21"/>
      <c r="E142" s="21"/>
      <c r="F142" s="22"/>
      <c r="G142" s="22"/>
      <c r="H142" s="4">
        <f t="shared" si="2"/>
        <v>0</v>
      </c>
      <c r="L142" s="35"/>
      <c r="M142" s="35"/>
      <c r="N142" s="35"/>
    </row>
    <row r="143" spans="1:14" ht="14.75" customHeight="1" x14ac:dyDescent="0.35">
      <c r="A143" s="11"/>
      <c r="B143" s="31"/>
      <c r="C143" s="16"/>
      <c r="D143" s="21"/>
      <c r="E143" s="21"/>
      <c r="F143" s="22"/>
      <c r="G143" s="22"/>
      <c r="H143" s="4">
        <f t="shared" si="2"/>
        <v>0</v>
      </c>
      <c r="L143" s="35"/>
      <c r="M143" s="35"/>
      <c r="N143" s="35"/>
    </row>
    <row r="144" spans="1:14" ht="14.75" customHeight="1" x14ac:dyDescent="0.35">
      <c r="A144" s="11"/>
      <c r="B144" s="31"/>
      <c r="C144" s="16"/>
      <c r="D144" s="21"/>
      <c r="E144" s="21"/>
      <c r="F144" s="22"/>
      <c r="G144" s="22"/>
      <c r="H144" s="4">
        <f t="shared" si="2"/>
        <v>0</v>
      </c>
      <c r="L144" s="35"/>
      <c r="M144" s="35"/>
      <c r="N144" s="35"/>
    </row>
    <row r="145" spans="1:14" ht="14.75" customHeight="1" x14ac:dyDescent="0.35">
      <c r="A145" s="11"/>
      <c r="B145" s="31"/>
      <c r="C145" s="16"/>
      <c r="D145" s="21"/>
      <c r="E145" s="21"/>
      <c r="F145" s="22"/>
      <c r="G145" s="22"/>
      <c r="H145" s="4">
        <f t="shared" si="2"/>
        <v>0</v>
      </c>
      <c r="L145" s="35"/>
      <c r="M145" s="35"/>
      <c r="N145" s="35"/>
    </row>
    <row r="146" spans="1:14" ht="14.75" customHeight="1" x14ac:dyDescent="0.35">
      <c r="A146" s="11"/>
      <c r="B146" s="31"/>
      <c r="C146" s="16"/>
      <c r="D146" s="21"/>
      <c r="E146" s="21"/>
      <c r="F146" s="22"/>
      <c r="G146" s="22"/>
      <c r="H146" s="4">
        <f t="shared" si="2"/>
        <v>0</v>
      </c>
      <c r="L146" s="35"/>
      <c r="M146" s="35"/>
      <c r="N146" s="35"/>
    </row>
    <row r="147" spans="1:14" ht="14.75" customHeight="1" x14ac:dyDescent="0.35">
      <c r="A147" s="11"/>
      <c r="B147" s="31"/>
      <c r="C147" s="16"/>
      <c r="D147" s="21"/>
      <c r="E147" s="21"/>
      <c r="F147" s="22"/>
      <c r="G147" s="22"/>
      <c r="H147" s="4">
        <f t="shared" si="2"/>
        <v>0</v>
      </c>
      <c r="L147" s="35"/>
      <c r="M147" s="35"/>
      <c r="N147" s="35"/>
    </row>
    <row r="148" spans="1:14" ht="14.75" customHeight="1" x14ac:dyDescent="0.35">
      <c r="A148" s="11"/>
      <c r="B148" s="31"/>
      <c r="C148" s="16"/>
      <c r="D148" s="21"/>
      <c r="E148" s="21"/>
      <c r="F148" s="22"/>
      <c r="G148" s="22"/>
      <c r="H148" s="4">
        <f t="shared" si="2"/>
        <v>0</v>
      </c>
      <c r="L148" s="35"/>
      <c r="M148" s="35"/>
      <c r="N148" s="35"/>
    </row>
    <row r="149" spans="1:14" ht="14.75" customHeight="1" x14ac:dyDescent="0.35">
      <c r="A149" s="11"/>
      <c r="B149" s="31"/>
      <c r="C149" s="16"/>
      <c r="D149" s="21"/>
      <c r="E149" s="21"/>
      <c r="F149" s="22"/>
      <c r="G149" s="22"/>
      <c r="H149" s="4">
        <f t="shared" si="2"/>
        <v>0</v>
      </c>
      <c r="L149" s="35"/>
      <c r="M149" s="35"/>
      <c r="N149" s="35"/>
    </row>
    <row r="150" spans="1:14" ht="14.75" customHeight="1" x14ac:dyDescent="0.35">
      <c r="A150" s="11"/>
      <c r="B150" s="31"/>
      <c r="C150" s="16"/>
      <c r="D150" s="21"/>
      <c r="E150" s="21"/>
      <c r="F150" s="22"/>
      <c r="G150" s="22"/>
      <c r="H150" s="4">
        <f t="shared" si="2"/>
        <v>0</v>
      </c>
      <c r="L150" s="35"/>
      <c r="M150" s="35"/>
      <c r="N150" s="35"/>
    </row>
    <row r="151" spans="1:14" ht="14.75" customHeight="1" x14ac:dyDescent="0.35">
      <c r="A151" s="11"/>
      <c r="B151" s="31"/>
      <c r="C151" s="16"/>
      <c r="D151" s="21"/>
      <c r="E151" s="21"/>
      <c r="F151" s="22"/>
      <c r="G151" s="22"/>
      <c r="H151" s="4">
        <f t="shared" si="2"/>
        <v>0</v>
      </c>
      <c r="L151" s="35"/>
      <c r="M151" s="35"/>
      <c r="N151" s="35"/>
    </row>
    <row r="152" spans="1:14" ht="14.75" customHeight="1" x14ac:dyDescent="0.35">
      <c r="A152" s="11"/>
      <c r="B152" s="31"/>
      <c r="C152" s="16"/>
      <c r="D152" s="21"/>
      <c r="E152" s="21"/>
      <c r="F152" s="22"/>
      <c r="G152" s="22"/>
      <c r="H152" s="4">
        <f t="shared" si="2"/>
        <v>0</v>
      </c>
      <c r="L152" s="35"/>
      <c r="M152" s="35"/>
      <c r="N152" s="35"/>
    </row>
    <row r="153" spans="1:14" ht="14.75" customHeight="1" x14ac:dyDescent="0.35">
      <c r="A153" s="11"/>
      <c r="B153" s="31"/>
      <c r="C153" s="16"/>
      <c r="D153" s="21"/>
      <c r="E153" s="21"/>
      <c r="F153" s="22"/>
      <c r="G153" s="22"/>
      <c r="H153" s="4">
        <f t="shared" si="2"/>
        <v>0</v>
      </c>
      <c r="L153" s="35"/>
      <c r="M153" s="35"/>
      <c r="N153" s="35"/>
    </row>
    <row r="154" spans="1:14" ht="14.75" customHeight="1" x14ac:dyDescent="0.35">
      <c r="A154" s="11"/>
      <c r="B154" s="31"/>
      <c r="C154" s="16"/>
      <c r="D154" s="21"/>
      <c r="E154" s="21"/>
      <c r="F154" s="22"/>
      <c r="G154" s="22"/>
      <c r="H154" s="4">
        <f t="shared" si="2"/>
        <v>0</v>
      </c>
      <c r="L154" s="35"/>
      <c r="M154" s="35"/>
      <c r="N154" s="35"/>
    </row>
    <row r="155" spans="1:14" ht="14.75" customHeight="1" x14ac:dyDescent="0.35">
      <c r="A155" s="11"/>
      <c r="B155" s="31"/>
      <c r="C155" s="16"/>
      <c r="D155" s="21"/>
      <c r="E155" s="21"/>
      <c r="F155" s="22"/>
      <c r="G155" s="22"/>
      <c r="H155" s="4">
        <f t="shared" si="2"/>
        <v>0</v>
      </c>
      <c r="L155" s="35"/>
      <c r="M155" s="35"/>
      <c r="N155" s="35"/>
    </row>
    <row r="156" spans="1:14" ht="14.75" customHeight="1" x14ac:dyDescent="0.35">
      <c r="A156" s="11"/>
      <c r="B156" s="31"/>
      <c r="C156" s="16"/>
      <c r="D156" s="21"/>
      <c r="E156" s="21"/>
      <c r="F156" s="22"/>
      <c r="G156" s="22"/>
      <c r="H156" s="4">
        <f t="shared" si="2"/>
        <v>0</v>
      </c>
      <c r="L156" s="35"/>
      <c r="M156" s="35"/>
      <c r="N156" s="35"/>
    </row>
    <row r="157" spans="1:14" ht="14.75" customHeight="1" x14ac:dyDescent="0.35">
      <c r="A157" s="11"/>
      <c r="B157" s="31"/>
      <c r="C157" s="16"/>
      <c r="D157" s="21"/>
      <c r="E157" s="21"/>
      <c r="F157" s="22"/>
      <c r="G157" s="22"/>
      <c r="H157" s="4">
        <f t="shared" si="2"/>
        <v>0</v>
      </c>
      <c r="L157" s="35"/>
      <c r="M157" s="35"/>
      <c r="N157" s="35"/>
    </row>
    <row r="158" spans="1:14" ht="14.75" customHeight="1" x14ac:dyDescent="0.35">
      <c r="A158" s="11"/>
      <c r="B158" s="31"/>
      <c r="C158" s="16"/>
      <c r="D158" s="21"/>
      <c r="E158" s="21"/>
      <c r="F158" s="22"/>
      <c r="G158" s="22"/>
      <c r="H158" s="4">
        <f t="shared" si="2"/>
        <v>0</v>
      </c>
      <c r="L158" s="35"/>
      <c r="M158" s="35"/>
      <c r="N158" s="35"/>
    </row>
    <row r="159" spans="1:14" ht="14.75" customHeight="1" x14ac:dyDescent="0.35">
      <c r="A159" s="11"/>
      <c r="B159" s="31"/>
      <c r="C159" s="16"/>
      <c r="D159" s="21"/>
      <c r="E159" s="21"/>
      <c r="F159" s="22"/>
      <c r="G159" s="22"/>
      <c r="H159" s="4">
        <f t="shared" si="2"/>
        <v>0</v>
      </c>
      <c r="L159" s="35"/>
      <c r="M159" s="35"/>
      <c r="N159" s="35"/>
    </row>
    <row r="160" spans="1:14" ht="14.75" customHeight="1" x14ac:dyDescent="0.35">
      <c r="A160" s="11"/>
      <c r="B160" s="31"/>
      <c r="C160" s="16"/>
      <c r="D160" s="21"/>
      <c r="E160" s="21"/>
      <c r="F160" s="22"/>
      <c r="G160" s="22"/>
      <c r="H160" s="4">
        <f t="shared" si="2"/>
        <v>0</v>
      </c>
      <c r="L160" s="35"/>
      <c r="M160" s="35"/>
      <c r="N160" s="35"/>
    </row>
    <row r="161" spans="1:14" ht="14.75" customHeight="1" x14ac:dyDescent="0.35">
      <c r="A161" s="11"/>
      <c r="B161" s="31"/>
      <c r="C161" s="16"/>
      <c r="D161" s="21"/>
      <c r="E161" s="21"/>
      <c r="F161" s="22"/>
      <c r="G161" s="22"/>
      <c r="H161" s="4">
        <f t="shared" si="2"/>
        <v>0</v>
      </c>
      <c r="L161" s="35"/>
      <c r="M161" s="35"/>
      <c r="N161" s="35"/>
    </row>
    <row r="162" spans="1:14" ht="14.75" customHeight="1" x14ac:dyDescent="0.35">
      <c r="A162" s="11"/>
      <c r="B162" s="31"/>
      <c r="C162" s="16"/>
      <c r="D162" s="21"/>
      <c r="E162" s="21"/>
      <c r="F162" s="22"/>
      <c r="G162" s="22"/>
      <c r="H162" s="4">
        <f t="shared" ref="H162:H225" si="3">H161+F162-G162</f>
        <v>0</v>
      </c>
      <c r="L162" s="35"/>
      <c r="M162" s="35"/>
      <c r="N162" s="35"/>
    </row>
    <row r="163" spans="1:14" ht="14.75" customHeight="1" x14ac:dyDescent="0.35">
      <c r="A163" s="11"/>
      <c r="B163" s="31"/>
      <c r="C163" s="16"/>
      <c r="D163" s="21"/>
      <c r="E163" s="21"/>
      <c r="F163" s="22"/>
      <c r="G163" s="22"/>
      <c r="H163" s="4">
        <f t="shared" si="3"/>
        <v>0</v>
      </c>
      <c r="L163" s="35"/>
      <c r="M163" s="35"/>
      <c r="N163" s="35"/>
    </row>
    <row r="164" spans="1:14" ht="14.75" customHeight="1" x14ac:dyDescent="0.35">
      <c r="A164" s="11"/>
      <c r="B164" s="31"/>
      <c r="C164" s="16"/>
      <c r="D164" s="21"/>
      <c r="E164" s="21"/>
      <c r="F164" s="22"/>
      <c r="G164" s="22"/>
      <c r="H164" s="4">
        <f t="shared" si="3"/>
        <v>0</v>
      </c>
      <c r="L164" s="35"/>
      <c r="M164" s="35"/>
      <c r="N164" s="35"/>
    </row>
    <row r="165" spans="1:14" ht="14.75" customHeight="1" x14ac:dyDescent="0.35">
      <c r="A165" s="11"/>
      <c r="B165" s="31"/>
      <c r="C165" s="16"/>
      <c r="D165" s="21"/>
      <c r="E165" s="21"/>
      <c r="F165" s="22"/>
      <c r="G165" s="22"/>
      <c r="H165" s="4">
        <f t="shared" si="3"/>
        <v>0</v>
      </c>
      <c r="L165" s="35"/>
      <c r="M165" s="35"/>
      <c r="N165" s="35"/>
    </row>
    <row r="166" spans="1:14" ht="14.75" customHeight="1" x14ac:dyDescent="0.35">
      <c r="A166" s="11"/>
      <c r="B166" s="31"/>
      <c r="C166" s="16"/>
      <c r="D166" s="21"/>
      <c r="E166" s="21"/>
      <c r="F166" s="22"/>
      <c r="G166" s="22"/>
      <c r="H166" s="4">
        <f t="shared" si="3"/>
        <v>0</v>
      </c>
      <c r="L166" s="35"/>
      <c r="M166" s="35"/>
      <c r="N166" s="35"/>
    </row>
    <row r="167" spans="1:14" ht="14.75" customHeight="1" x14ac:dyDescent="0.35">
      <c r="A167" s="11"/>
      <c r="B167" s="31"/>
      <c r="C167" s="16"/>
      <c r="D167" s="21"/>
      <c r="E167" s="21"/>
      <c r="F167" s="22"/>
      <c r="G167" s="22"/>
      <c r="H167" s="4">
        <f t="shared" si="3"/>
        <v>0</v>
      </c>
      <c r="L167" s="35"/>
      <c r="M167" s="35"/>
      <c r="N167" s="35"/>
    </row>
    <row r="168" spans="1:14" ht="14.75" customHeight="1" x14ac:dyDescent="0.35">
      <c r="A168" s="11"/>
      <c r="B168" s="31"/>
      <c r="C168" s="16"/>
      <c r="D168" s="21"/>
      <c r="E168" s="21"/>
      <c r="F168" s="22"/>
      <c r="G168" s="22"/>
      <c r="H168" s="4">
        <f t="shared" si="3"/>
        <v>0</v>
      </c>
      <c r="L168" s="35"/>
      <c r="M168" s="35"/>
      <c r="N168" s="35"/>
    </row>
    <row r="169" spans="1:14" ht="14.75" customHeight="1" x14ac:dyDescent="0.35">
      <c r="A169" s="11"/>
      <c r="B169" s="31"/>
      <c r="C169" s="16"/>
      <c r="D169" s="21"/>
      <c r="E169" s="21"/>
      <c r="F169" s="22"/>
      <c r="G169" s="22"/>
      <c r="H169" s="4">
        <f t="shared" si="3"/>
        <v>0</v>
      </c>
      <c r="L169" s="35"/>
      <c r="M169" s="35"/>
      <c r="N169" s="35"/>
    </row>
    <row r="170" spans="1:14" ht="14.75" customHeight="1" x14ac:dyDescent="0.35">
      <c r="A170" s="11"/>
      <c r="B170" s="31"/>
      <c r="C170" s="16"/>
      <c r="D170" s="21"/>
      <c r="E170" s="21"/>
      <c r="F170" s="22"/>
      <c r="G170" s="22"/>
      <c r="H170" s="4">
        <f t="shared" si="3"/>
        <v>0</v>
      </c>
      <c r="L170" s="35"/>
      <c r="M170" s="35"/>
      <c r="N170" s="35"/>
    </row>
    <row r="171" spans="1:14" ht="14.75" customHeight="1" x14ac:dyDescent="0.35">
      <c r="A171" s="11"/>
      <c r="B171" s="31"/>
      <c r="C171" s="16"/>
      <c r="D171" s="21"/>
      <c r="E171" s="21"/>
      <c r="F171" s="22"/>
      <c r="G171" s="22"/>
      <c r="H171" s="4">
        <f t="shared" si="3"/>
        <v>0</v>
      </c>
      <c r="L171" s="35"/>
      <c r="M171" s="35"/>
      <c r="N171" s="35"/>
    </row>
    <row r="172" spans="1:14" ht="14.75" customHeight="1" x14ac:dyDescent="0.35">
      <c r="A172" s="11"/>
      <c r="B172" s="31"/>
      <c r="C172" s="16"/>
      <c r="D172" s="21"/>
      <c r="E172" s="21"/>
      <c r="F172" s="22"/>
      <c r="G172" s="22"/>
      <c r="H172" s="4">
        <f t="shared" si="3"/>
        <v>0</v>
      </c>
      <c r="L172" s="35"/>
      <c r="M172" s="35"/>
      <c r="N172" s="35"/>
    </row>
    <row r="173" spans="1:14" ht="14.75" customHeight="1" x14ac:dyDescent="0.35">
      <c r="A173" s="11"/>
      <c r="B173" s="31"/>
      <c r="C173" s="16"/>
      <c r="D173" s="21"/>
      <c r="E173" s="21"/>
      <c r="F173" s="22"/>
      <c r="G173" s="22"/>
      <c r="H173" s="4">
        <f t="shared" si="3"/>
        <v>0</v>
      </c>
      <c r="L173" s="35"/>
      <c r="M173" s="35"/>
      <c r="N173" s="35"/>
    </row>
    <row r="174" spans="1:14" ht="14.75" customHeight="1" x14ac:dyDescent="0.35">
      <c r="A174" s="11"/>
      <c r="B174" s="31"/>
      <c r="C174" s="16"/>
      <c r="D174" s="21"/>
      <c r="E174" s="21"/>
      <c r="F174" s="22"/>
      <c r="G174" s="22"/>
      <c r="H174" s="4">
        <f t="shared" si="3"/>
        <v>0</v>
      </c>
      <c r="L174" s="35"/>
      <c r="M174" s="35"/>
      <c r="N174" s="35"/>
    </row>
    <row r="175" spans="1:14" ht="14.75" customHeight="1" x14ac:dyDescent="0.35">
      <c r="A175" s="11"/>
      <c r="B175" s="31"/>
      <c r="C175" s="16"/>
      <c r="D175" s="21"/>
      <c r="E175" s="21"/>
      <c r="F175" s="22"/>
      <c r="G175" s="22"/>
      <c r="H175" s="4">
        <f t="shared" si="3"/>
        <v>0</v>
      </c>
      <c r="L175" s="35"/>
      <c r="M175" s="35"/>
      <c r="N175" s="35"/>
    </row>
    <row r="176" spans="1:14" ht="14.75" customHeight="1" x14ac:dyDescent="0.35">
      <c r="A176" s="11"/>
      <c r="B176" s="31"/>
      <c r="C176" s="16"/>
      <c r="D176" s="21"/>
      <c r="E176" s="21"/>
      <c r="F176" s="22"/>
      <c r="G176" s="22"/>
      <c r="H176" s="4">
        <f t="shared" si="3"/>
        <v>0</v>
      </c>
      <c r="L176" s="35"/>
      <c r="M176" s="35"/>
      <c r="N176" s="35"/>
    </row>
    <row r="177" spans="1:14" ht="14.75" customHeight="1" x14ac:dyDescent="0.35">
      <c r="A177" s="11"/>
      <c r="B177" s="31"/>
      <c r="C177" s="16"/>
      <c r="D177" s="21"/>
      <c r="E177" s="21"/>
      <c r="F177" s="22"/>
      <c r="G177" s="22"/>
      <c r="H177" s="4">
        <f t="shared" si="3"/>
        <v>0</v>
      </c>
      <c r="L177" s="35"/>
      <c r="M177" s="35"/>
      <c r="N177" s="35"/>
    </row>
    <row r="178" spans="1:14" ht="14.75" customHeight="1" x14ac:dyDescent="0.35">
      <c r="A178" s="11"/>
      <c r="B178" s="31"/>
      <c r="C178" s="16"/>
      <c r="D178" s="21"/>
      <c r="E178" s="21"/>
      <c r="F178" s="22"/>
      <c r="G178" s="22"/>
      <c r="H178" s="4">
        <f t="shared" si="3"/>
        <v>0</v>
      </c>
      <c r="L178" s="35"/>
      <c r="M178" s="35"/>
      <c r="N178" s="35"/>
    </row>
    <row r="179" spans="1:14" ht="14.75" customHeight="1" x14ac:dyDescent="0.35">
      <c r="A179" s="11"/>
      <c r="B179" s="31"/>
      <c r="C179" s="16"/>
      <c r="D179" s="21"/>
      <c r="E179" s="21"/>
      <c r="F179" s="22"/>
      <c r="G179" s="22"/>
      <c r="H179" s="4">
        <f t="shared" si="3"/>
        <v>0</v>
      </c>
      <c r="L179" s="35"/>
      <c r="M179" s="35"/>
      <c r="N179" s="35"/>
    </row>
    <row r="180" spans="1:14" ht="14.75" customHeight="1" x14ac:dyDescent="0.35">
      <c r="A180" s="11"/>
      <c r="B180" s="31"/>
      <c r="C180" s="16"/>
      <c r="D180" s="21"/>
      <c r="E180" s="21"/>
      <c r="F180" s="22"/>
      <c r="G180" s="22"/>
      <c r="H180" s="4">
        <f t="shared" si="3"/>
        <v>0</v>
      </c>
      <c r="L180" s="35"/>
      <c r="M180" s="35"/>
      <c r="N180" s="35"/>
    </row>
    <row r="181" spans="1:14" ht="14.75" customHeight="1" x14ac:dyDescent="0.35">
      <c r="A181" s="11"/>
      <c r="B181" s="31"/>
      <c r="C181" s="16"/>
      <c r="D181" s="21"/>
      <c r="E181" s="21"/>
      <c r="F181" s="22"/>
      <c r="G181" s="22"/>
      <c r="H181" s="4">
        <f t="shared" si="3"/>
        <v>0</v>
      </c>
      <c r="L181" s="35"/>
      <c r="M181" s="35"/>
      <c r="N181" s="35"/>
    </row>
    <row r="182" spans="1:14" ht="14.75" customHeight="1" x14ac:dyDescent="0.35">
      <c r="A182" s="11"/>
      <c r="B182" s="31"/>
      <c r="C182" s="16"/>
      <c r="D182" s="21"/>
      <c r="E182" s="21"/>
      <c r="F182" s="22"/>
      <c r="G182" s="22"/>
      <c r="H182" s="4">
        <f t="shared" si="3"/>
        <v>0</v>
      </c>
      <c r="L182" s="35"/>
      <c r="M182" s="35"/>
      <c r="N182" s="35"/>
    </row>
    <row r="183" spans="1:14" ht="14.75" customHeight="1" x14ac:dyDescent="0.35">
      <c r="A183" s="11"/>
      <c r="B183" s="31"/>
      <c r="C183" s="16"/>
      <c r="D183" s="21"/>
      <c r="E183" s="21"/>
      <c r="F183" s="22"/>
      <c r="G183" s="22"/>
      <c r="H183" s="4">
        <f t="shared" si="3"/>
        <v>0</v>
      </c>
      <c r="L183" s="35"/>
      <c r="M183" s="35"/>
      <c r="N183" s="35"/>
    </row>
    <row r="184" spans="1:14" ht="14.75" customHeight="1" x14ac:dyDescent="0.35">
      <c r="A184" s="11"/>
      <c r="B184" s="31"/>
      <c r="C184" s="16"/>
      <c r="D184" s="21"/>
      <c r="E184" s="21"/>
      <c r="F184" s="22"/>
      <c r="G184" s="22"/>
      <c r="H184" s="4">
        <f t="shared" si="3"/>
        <v>0</v>
      </c>
      <c r="L184" s="35"/>
      <c r="M184" s="35"/>
      <c r="N184" s="35"/>
    </row>
    <row r="185" spans="1:14" ht="14.75" customHeight="1" x14ac:dyDescent="0.35">
      <c r="A185" s="11"/>
      <c r="B185" s="31"/>
      <c r="C185" s="16"/>
      <c r="D185" s="21"/>
      <c r="E185" s="21"/>
      <c r="F185" s="22"/>
      <c r="G185" s="22"/>
      <c r="H185" s="4">
        <f t="shared" si="3"/>
        <v>0</v>
      </c>
      <c r="L185" s="35"/>
      <c r="M185" s="35"/>
      <c r="N185" s="35"/>
    </row>
    <row r="186" spans="1:14" ht="14.75" customHeight="1" x14ac:dyDescent="0.35">
      <c r="A186" s="11"/>
      <c r="B186" s="31"/>
      <c r="C186" s="16"/>
      <c r="D186" s="21"/>
      <c r="E186" s="21"/>
      <c r="F186" s="22"/>
      <c r="G186" s="22"/>
      <c r="H186" s="4">
        <f t="shared" si="3"/>
        <v>0</v>
      </c>
      <c r="L186" s="35"/>
      <c r="M186" s="35"/>
      <c r="N186" s="35"/>
    </row>
    <row r="187" spans="1:14" ht="14.75" customHeight="1" x14ac:dyDescent="0.35">
      <c r="A187" s="11"/>
      <c r="B187" s="31"/>
      <c r="C187" s="16"/>
      <c r="D187" s="21"/>
      <c r="E187" s="21"/>
      <c r="F187" s="22"/>
      <c r="G187" s="22"/>
      <c r="H187" s="4">
        <f t="shared" si="3"/>
        <v>0</v>
      </c>
      <c r="L187" s="35"/>
      <c r="M187" s="35"/>
      <c r="N187" s="35"/>
    </row>
    <row r="188" spans="1:14" ht="14.75" customHeight="1" x14ac:dyDescent="0.35">
      <c r="A188" s="11"/>
      <c r="B188" s="31"/>
      <c r="C188" s="16"/>
      <c r="D188" s="21"/>
      <c r="E188" s="21"/>
      <c r="F188" s="22"/>
      <c r="G188" s="22"/>
      <c r="H188" s="4">
        <f t="shared" si="3"/>
        <v>0</v>
      </c>
      <c r="L188" s="35"/>
      <c r="M188" s="35"/>
      <c r="N188" s="35"/>
    </row>
    <row r="189" spans="1:14" ht="14.75" customHeight="1" x14ac:dyDescent="0.35">
      <c r="A189" s="11"/>
      <c r="B189" s="31"/>
      <c r="C189" s="16"/>
      <c r="D189" s="21"/>
      <c r="E189" s="21"/>
      <c r="F189" s="22"/>
      <c r="G189" s="22"/>
      <c r="H189" s="4">
        <f t="shared" si="3"/>
        <v>0</v>
      </c>
      <c r="L189" s="35"/>
      <c r="M189" s="35"/>
      <c r="N189" s="35"/>
    </row>
    <row r="190" spans="1:14" ht="14.75" customHeight="1" x14ac:dyDescent="0.35">
      <c r="A190" s="11"/>
      <c r="B190" s="31"/>
      <c r="C190" s="16"/>
      <c r="D190" s="21"/>
      <c r="E190" s="21"/>
      <c r="F190" s="22"/>
      <c r="G190" s="22"/>
      <c r="H190" s="4">
        <f t="shared" si="3"/>
        <v>0</v>
      </c>
      <c r="L190" s="35"/>
      <c r="M190" s="35"/>
      <c r="N190" s="35"/>
    </row>
    <row r="191" spans="1:14" ht="14.75" customHeight="1" x14ac:dyDescent="0.35">
      <c r="A191" s="11"/>
      <c r="B191" s="31"/>
      <c r="C191" s="16"/>
      <c r="D191" s="21"/>
      <c r="E191" s="21"/>
      <c r="F191" s="22"/>
      <c r="G191" s="22"/>
      <c r="H191" s="4">
        <f t="shared" si="3"/>
        <v>0</v>
      </c>
      <c r="L191" s="35"/>
      <c r="M191" s="35"/>
      <c r="N191" s="35"/>
    </row>
    <row r="192" spans="1:14" ht="14.75" customHeight="1" x14ac:dyDescent="0.35">
      <c r="A192" s="11"/>
      <c r="B192" s="31"/>
      <c r="C192" s="16"/>
      <c r="D192" s="21"/>
      <c r="E192" s="21"/>
      <c r="F192" s="22"/>
      <c r="G192" s="22"/>
      <c r="H192" s="4">
        <f t="shared" si="3"/>
        <v>0</v>
      </c>
      <c r="L192" s="35"/>
      <c r="M192" s="35"/>
      <c r="N192" s="35"/>
    </row>
    <row r="193" spans="1:14" ht="14.75" customHeight="1" x14ac:dyDescent="0.35">
      <c r="A193" s="11"/>
      <c r="B193" s="31"/>
      <c r="C193" s="16"/>
      <c r="D193" s="21"/>
      <c r="E193" s="21"/>
      <c r="F193" s="22"/>
      <c r="G193" s="22"/>
      <c r="H193" s="4">
        <f t="shared" si="3"/>
        <v>0</v>
      </c>
      <c r="L193" s="35"/>
      <c r="M193" s="35"/>
      <c r="N193" s="35"/>
    </row>
    <row r="194" spans="1:14" ht="14.75" customHeight="1" x14ac:dyDescent="0.35">
      <c r="A194" s="11"/>
      <c r="B194" s="31"/>
      <c r="C194" s="16"/>
      <c r="D194" s="21"/>
      <c r="E194" s="21"/>
      <c r="F194" s="22"/>
      <c r="G194" s="22"/>
      <c r="H194" s="4">
        <f t="shared" si="3"/>
        <v>0</v>
      </c>
      <c r="L194" s="35"/>
      <c r="M194" s="35"/>
      <c r="N194" s="35"/>
    </row>
    <row r="195" spans="1:14" ht="14.75" customHeight="1" x14ac:dyDescent="0.35">
      <c r="A195" s="11"/>
      <c r="B195" s="31"/>
      <c r="C195" s="16"/>
      <c r="D195" s="21"/>
      <c r="E195" s="21"/>
      <c r="F195" s="22"/>
      <c r="G195" s="22"/>
      <c r="H195" s="4">
        <f t="shared" si="3"/>
        <v>0</v>
      </c>
      <c r="L195" s="35"/>
      <c r="M195" s="35"/>
      <c r="N195" s="35"/>
    </row>
    <row r="196" spans="1:14" ht="14.75" customHeight="1" x14ac:dyDescent="0.35">
      <c r="A196" s="11"/>
      <c r="B196" s="31"/>
      <c r="C196" s="16"/>
      <c r="D196" s="21"/>
      <c r="E196" s="21"/>
      <c r="F196" s="22"/>
      <c r="G196" s="22"/>
      <c r="H196" s="4">
        <f t="shared" si="3"/>
        <v>0</v>
      </c>
      <c r="L196" s="35"/>
      <c r="M196" s="35"/>
      <c r="N196" s="35"/>
    </row>
    <row r="197" spans="1:14" ht="14.75" customHeight="1" x14ac:dyDescent="0.35">
      <c r="A197" s="11"/>
      <c r="B197" s="31"/>
      <c r="C197" s="16"/>
      <c r="D197" s="21"/>
      <c r="E197" s="21"/>
      <c r="F197" s="22"/>
      <c r="G197" s="22"/>
      <c r="H197" s="4">
        <f t="shared" si="3"/>
        <v>0</v>
      </c>
      <c r="L197" s="35"/>
      <c r="M197" s="35"/>
      <c r="N197" s="35"/>
    </row>
    <row r="198" spans="1:14" ht="14.75" customHeight="1" x14ac:dyDescent="0.35">
      <c r="A198" s="11"/>
      <c r="B198" s="31"/>
      <c r="C198" s="16"/>
      <c r="D198" s="21"/>
      <c r="E198" s="21"/>
      <c r="F198" s="22"/>
      <c r="G198" s="22"/>
      <c r="H198" s="4">
        <f t="shared" si="3"/>
        <v>0</v>
      </c>
      <c r="L198" s="35"/>
      <c r="M198" s="35"/>
      <c r="N198" s="35"/>
    </row>
    <row r="199" spans="1:14" ht="14.75" customHeight="1" x14ac:dyDescent="0.35">
      <c r="A199" s="11"/>
      <c r="B199" s="31"/>
      <c r="C199" s="16"/>
      <c r="D199" s="21"/>
      <c r="E199" s="21"/>
      <c r="F199" s="22"/>
      <c r="G199" s="22"/>
      <c r="H199" s="4">
        <f t="shared" si="3"/>
        <v>0</v>
      </c>
      <c r="L199" s="35"/>
      <c r="M199" s="35"/>
      <c r="N199" s="35"/>
    </row>
    <row r="200" spans="1:14" ht="14.75" customHeight="1" x14ac:dyDescent="0.35">
      <c r="A200" s="11"/>
      <c r="B200" s="31"/>
      <c r="C200" s="16"/>
      <c r="D200" s="21"/>
      <c r="E200" s="21"/>
      <c r="F200" s="22"/>
      <c r="G200" s="22"/>
      <c r="H200" s="4">
        <f t="shared" si="3"/>
        <v>0</v>
      </c>
      <c r="L200" s="35"/>
      <c r="M200" s="35"/>
      <c r="N200" s="35"/>
    </row>
    <row r="201" spans="1:14" ht="14.75" customHeight="1" x14ac:dyDescent="0.35">
      <c r="A201" s="11"/>
      <c r="B201" s="31"/>
      <c r="C201" s="16"/>
      <c r="D201" s="21"/>
      <c r="E201" s="21"/>
      <c r="F201" s="22"/>
      <c r="G201" s="22"/>
      <c r="H201" s="4">
        <f t="shared" si="3"/>
        <v>0</v>
      </c>
      <c r="L201" s="35"/>
      <c r="M201" s="35"/>
      <c r="N201" s="35"/>
    </row>
    <row r="202" spans="1:14" ht="14.75" customHeight="1" x14ac:dyDescent="0.35">
      <c r="A202" s="11"/>
      <c r="B202" s="31"/>
      <c r="C202" s="16"/>
      <c r="D202" s="21"/>
      <c r="E202" s="21"/>
      <c r="F202" s="22"/>
      <c r="G202" s="22"/>
      <c r="H202" s="4">
        <f t="shared" si="3"/>
        <v>0</v>
      </c>
      <c r="L202" s="35"/>
      <c r="M202" s="35"/>
      <c r="N202" s="35"/>
    </row>
    <row r="203" spans="1:14" ht="14.75" customHeight="1" x14ac:dyDescent="0.35">
      <c r="A203" s="11"/>
      <c r="B203" s="31"/>
      <c r="C203" s="16"/>
      <c r="D203" s="19"/>
      <c r="E203" s="19"/>
      <c r="F203" s="22"/>
      <c r="G203" s="22"/>
      <c r="H203" s="2">
        <f t="shared" si="3"/>
        <v>0</v>
      </c>
    </row>
    <row r="204" spans="1:14" ht="14.75" customHeight="1" x14ac:dyDescent="0.35">
      <c r="A204" s="11"/>
      <c r="B204" s="31"/>
      <c r="C204" s="16"/>
      <c r="D204" s="19"/>
      <c r="E204" s="19"/>
      <c r="F204" s="22"/>
      <c r="G204" s="22"/>
      <c r="H204" s="2">
        <f t="shared" si="3"/>
        <v>0</v>
      </c>
    </row>
    <row r="205" spans="1:14" ht="14.75" customHeight="1" x14ac:dyDescent="0.35">
      <c r="A205" s="11"/>
      <c r="B205" s="31"/>
      <c r="C205" s="16"/>
      <c r="D205" s="19"/>
      <c r="E205" s="19"/>
      <c r="F205" s="22"/>
      <c r="G205" s="22"/>
      <c r="H205" s="2">
        <f t="shared" si="3"/>
        <v>0</v>
      </c>
    </row>
    <row r="206" spans="1:14" ht="14.75" customHeight="1" x14ac:dyDescent="0.35">
      <c r="A206" s="11"/>
      <c r="B206" s="31"/>
      <c r="C206" s="16"/>
      <c r="D206" s="19"/>
      <c r="E206" s="19"/>
      <c r="F206" s="22"/>
      <c r="G206" s="22"/>
      <c r="H206" s="2">
        <f t="shared" si="3"/>
        <v>0</v>
      </c>
    </row>
    <row r="207" spans="1:14" ht="14.75" customHeight="1" x14ac:dyDescent="0.35">
      <c r="A207" s="11"/>
      <c r="B207" s="31"/>
      <c r="C207" s="16"/>
      <c r="D207" s="19"/>
      <c r="E207" s="19"/>
      <c r="F207" s="22"/>
      <c r="G207" s="22"/>
      <c r="H207" s="2">
        <f t="shared" si="3"/>
        <v>0</v>
      </c>
    </row>
    <row r="208" spans="1:14" ht="14.75" customHeight="1" x14ac:dyDescent="0.35">
      <c r="A208" s="11"/>
      <c r="B208" s="31"/>
      <c r="C208" s="16"/>
      <c r="D208" s="19"/>
      <c r="E208" s="19"/>
      <c r="F208" s="22"/>
      <c r="G208" s="22"/>
      <c r="H208" s="2">
        <f t="shared" si="3"/>
        <v>0</v>
      </c>
    </row>
    <row r="209" spans="1:8" ht="14.75" customHeight="1" x14ac:dyDescent="0.35">
      <c r="A209" s="11"/>
      <c r="B209" s="31"/>
      <c r="C209" s="16"/>
      <c r="D209" s="19"/>
      <c r="E209" s="19"/>
      <c r="F209" s="22"/>
      <c r="G209" s="22"/>
      <c r="H209" s="2">
        <f t="shared" si="3"/>
        <v>0</v>
      </c>
    </row>
    <row r="210" spans="1:8" ht="14.75" customHeight="1" x14ac:dyDescent="0.35">
      <c r="A210" s="11"/>
      <c r="B210" s="31"/>
      <c r="C210" s="16"/>
      <c r="D210" s="19"/>
      <c r="E210" s="19"/>
      <c r="F210" s="22"/>
      <c r="G210" s="22"/>
      <c r="H210" s="2">
        <f t="shared" si="3"/>
        <v>0</v>
      </c>
    </row>
    <row r="211" spans="1:8" ht="14.75" customHeight="1" x14ac:dyDescent="0.35">
      <c r="A211" s="11"/>
      <c r="B211" s="31"/>
      <c r="C211" s="16"/>
      <c r="D211" s="19"/>
      <c r="E211" s="19"/>
      <c r="F211" s="22"/>
      <c r="G211" s="22"/>
      <c r="H211" s="2">
        <f t="shared" si="3"/>
        <v>0</v>
      </c>
    </row>
    <row r="212" spans="1:8" ht="14.75" customHeight="1" x14ac:dyDescent="0.35">
      <c r="A212" s="11"/>
      <c r="B212" s="31"/>
      <c r="C212" s="16"/>
      <c r="D212" s="19"/>
      <c r="E212" s="19"/>
      <c r="F212" s="22"/>
      <c r="G212" s="22"/>
      <c r="H212" s="2">
        <f t="shared" si="3"/>
        <v>0</v>
      </c>
    </row>
    <row r="213" spans="1:8" ht="14.75" customHeight="1" x14ac:dyDescent="0.35">
      <c r="A213" s="11"/>
      <c r="B213" s="31"/>
      <c r="C213" s="16"/>
      <c r="D213" s="19"/>
      <c r="E213" s="19"/>
      <c r="F213" s="22"/>
      <c r="G213" s="22"/>
      <c r="H213" s="2">
        <f t="shared" si="3"/>
        <v>0</v>
      </c>
    </row>
    <row r="214" spans="1:8" ht="14.75" customHeight="1" x14ac:dyDescent="0.35">
      <c r="A214" s="11"/>
      <c r="B214" s="31"/>
      <c r="C214" s="16"/>
      <c r="D214" s="19"/>
      <c r="E214" s="19"/>
      <c r="F214" s="22"/>
      <c r="G214" s="22"/>
      <c r="H214" s="2">
        <f t="shared" si="3"/>
        <v>0</v>
      </c>
    </row>
    <row r="215" spans="1:8" ht="14.75" customHeight="1" x14ac:dyDescent="0.35">
      <c r="A215" s="11"/>
      <c r="B215" s="31"/>
      <c r="C215" s="16"/>
      <c r="D215" s="19"/>
      <c r="E215" s="19"/>
      <c r="F215" s="22"/>
      <c r="G215" s="22"/>
      <c r="H215" s="2">
        <f t="shared" si="3"/>
        <v>0</v>
      </c>
    </row>
    <row r="216" spans="1:8" ht="14.75" customHeight="1" x14ac:dyDescent="0.35">
      <c r="A216" s="11"/>
      <c r="B216" s="31"/>
      <c r="C216" s="16"/>
      <c r="D216" s="19"/>
      <c r="E216" s="19"/>
      <c r="F216" s="22"/>
      <c r="G216" s="22"/>
      <c r="H216" s="2">
        <f t="shared" si="3"/>
        <v>0</v>
      </c>
    </row>
    <row r="217" spans="1:8" ht="14.75" customHeight="1" x14ac:dyDescent="0.35">
      <c r="A217" s="11"/>
      <c r="B217" s="31"/>
      <c r="C217" s="16"/>
      <c r="D217" s="19"/>
      <c r="E217" s="19"/>
      <c r="F217" s="22"/>
      <c r="G217" s="22"/>
      <c r="H217" s="2">
        <f t="shared" si="3"/>
        <v>0</v>
      </c>
    </row>
    <row r="218" spans="1:8" ht="14.75" customHeight="1" x14ac:dyDescent="0.35">
      <c r="A218" s="11"/>
      <c r="B218" s="31"/>
      <c r="C218" s="16"/>
      <c r="D218" s="19"/>
      <c r="E218" s="19"/>
      <c r="F218" s="22"/>
      <c r="G218" s="22"/>
      <c r="H218" s="2">
        <f t="shared" si="3"/>
        <v>0</v>
      </c>
    </row>
    <row r="219" spans="1:8" ht="14.75" customHeight="1" x14ac:dyDescent="0.35">
      <c r="A219" s="11"/>
      <c r="B219" s="31"/>
      <c r="C219" s="16"/>
      <c r="D219" s="19"/>
      <c r="E219" s="19"/>
      <c r="F219" s="22"/>
      <c r="G219" s="22"/>
      <c r="H219" s="2">
        <f t="shared" si="3"/>
        <v>0</v>
      </c>
    </row>
    <row r="220" spans="1:8" ht="14.75" customHeight="1" x14ac:dyDescent="0.35">
      <c r="A220" s="11"/>
      <c r="B220" s="31"/>
      <c r="C220" s="16"/>
      <c r="D220" s="19"/>
      <c r="E220" s="19"/>
      <c r="F220" s="22"/>
      <c r="G220" s="22"/>
      <c r="H220" s="2">
        <f t="shared" si="3"/>
        <v>0</v>
      </c>
    </row>
    <row r="221" spans="1:8" ht="14.75" customHeight="1" x14ac:dyDescent="0.35">
      <c r="A221" s="11"/>
      <c r="B221" s="31"/>
      <c r="C221" s="16"/>
      <c r="D221" s="19"/>
      <c r="E221" s="19"/>
      <c r="F221" s="22"/>
      <c r="G221" s="22"/>
      <c r="H221" s="2">
        <f t="shared" si="3"/>
        <v>0</v>
      </c>
    </row>
    <row r="222" spans="1:8" ht="14.75" customHeight="1" x14ac:dyDescent="0.35">
      <c r="A222" s="11"/>
      <c r="B222" s="31"/>
      <c r="C222" s="16"/>
      <c r="D222" s="19"/>
      <c r="E222" s="19"/>
      <c r="F222" s="22"/>
      <c r="G222" s="22"/>
      <c r="H222" s="2">
        <f t="shared" si="3"/>
        <v>0</v>
      </c>
    </row>
    <row r="223" spans="1:8" ht="14.75" customHeight="1" x14ac:dyDescent="0.35">
      <c r="A223" s="11"/>
      <c r="B223" s="31"/>
      <c r="C223" s="16"/>
      <c r="D223" s="19"/>
      <c r="E223" s="19"/>
      <c r="F223" s="22"/>
      <c r="G223" s="22"/>
      <c r="H223" s="2">
        <f t="shared" si="3"/>
        <v>0</v>
      </c>
    </row>
    <row r="224" spans="1:8" ht="14.75" customHeight="1" x14ac:dyDescent="0.35">
      <c r="A224" s="11"/>
      <c r="B224" s="31"/>
      <c r="C224" s="16"/>
      <c r="D224" s="19"/>
      <c r="E224" s="19"/>
      <c r="F224" s="22"/>
      <c r="G224" s="22"/>
      <c r="H224" s="2">
        <f t="shared" si="3"/>
        <v>0</v>
      </c>
    </row>
    <row r="225" spans="1:8" ht="14.75" customHeight="1" x14ac:dyDescent="0.35">
      <c r="A225" s="11"/>
      <c r="B225" s="31"/>
      <c r="C225" s="16"/>
      <c r="D225" s="19"/>
      <c r="E225" s="19"/>
      <c r="F225" s="22"/>
      <c r="G225" s="22"/>
      <c r="H225" s="2">
        <f t="shared" si="3"/>
        <v>0</v>
      </c>
    </row>
    <row r="226" spans="1:8" ht="14.75" customHeight="1" x14ac:dyDescent="0.35">
      <c r="A226" s="11"/>
      <c r="B226" s="31"/>
      <c r="C226" s="16"/>
      <c r="D226" s="19"/>
      <c r="E226" s="19"/>
      <c r="F226" s="22"/>
      <c r="G226" s="22"/>
      <c r="H226" s="2">
        <f t="shared" ref="H226:H289" si="4">H225+F226-G226</f>
        <v>0</v>
      </c>
    </row>
    <row r="227" spans="1:8" ht="14.75" customHeight="1" x14ac:dyDescent="0.35">
      <c r="A227" s="11"/>
      <c r="B227" s="31"/>
      <c r="C227" s="16"/>
      <c r="D227" s="19"/>
      <c r="E227" s="19"/>
      <c r="F227" s="22"/>
      <c r="G227" s="22"/>
      <c r="H227" s="2">
        <f t="shared" si="4"/>
        <v>0</v>
      </c>
    </row>
    <row r="228" spans="1:8" ht="14.75" customHeight="1" x14ac:dyDescent="0.35">
      <c r="A228" s="11"/>
      <c r="B228" s="31"/>
      <c r="C228" s="16"/>
      <c r="D228" s="19"/>
      <c r="E228" s="19"/>
      <c r="F228" s="22"/>
      <c r="G228" s="22"/>
      <c r="H228" s="2">
        <f t="shared" si="4"/>
        <v>0</v>
      </c>
    </row>
    <row r="229" spans="1:8" ht="14.75" customHeight="1" x14ac:dyDescent="0.35">
      <c r="A229" s="11"/>
      <c r="B229" s="31"/>
      <c r="C229" s="16"/>
      <c r="D229" s="19"/>
      <c r="E229" s="19"/>
      <c r="F229" s="22"/>
      <c r="G229" s="22"/>
      <c r="H229" s="2">
        <f t="shared" si="4"/>
        <v>0</v>
      </c>
    </row>
    <row r="230" spans="1:8" ht="14.75" customHeight="1" x14ac:dyDescent="0.35">
      <c r="A230" s="11"/>
      <c r="B230" s="31"/>
      <c r="C230" s="16"/>
      <c r="D230" s="19"/>
      <c r="E230" s="19"/>
      <c r="F230" s="22"/>
      <c r="G230" s="22"/>
      <c r="H230" s="2">
        <f t="shared" si="4"/>
        <v>0</v>
      </c>
    </row>
    <row r="231" spans="1:8" ht="14.75" customHeight="1" x14ac:dyDescent="0.35">
      <c r="A231" s="11"/>
      <c r="B231" s="31"/>
      <c r="C231" s="16"/>
      <c r="D231" s="19"/>
      <c r="E231" s="19"/>
      <c r="F231" s="22"/>
      <c r="G231" s="22"/>
      <c r="H231" s="2">
        <f t="shared" si="4"/>
        <v>0</v>
      </c>
    </row>
    <row r="232" spans="1:8" ht="14.75" customHeight="1" x14ac:dyDescent="0.35">
      <c r="A232" s="11"/>
      <c r="B232" s="31"/>
      <c r="C232" s="16"/>
      <c r="D232" s="19"/>
      <c r="E232" s="19"/>
      <c r="F232" s="22"/>
      <c r="G232" s="22"/>
      <c r="H232" s="2">
        <f t="shared" si="4"/>
        <v>0</v>
      </c>
    </row>
    <row r="233" spans="1:8" ht="14.75" customHeight="1" x14ac:dyDescent="0.35">
      <c r="A233" s="11"/>
      <c r="B233" s="31"/>
      <c r="C233" s="16"/>
      <c r="D233" s="19"/>
      <c r="E233" s="19"/>
      <c r="F233" s="22"/>
      <c r="G233" s="22"/>
      <c r="H233" s="2">
        <f t="shared" si="4"/>
        <v>0</v>
      </c>
    </row>
    <row r="234" spans="1:8" ht="14.75" customHeight="1" x14ac:dyDescent="0.35">
      <c r="A234" s="11"/>
      <c r="B234" s="31"/>
      <c r="C234" s="16"/>
      <c r="D234" s="19"/>
      <c r="E234" s="19"/>
      <c r="F234" s="22"/>
      <c r="G234" s="22"/>
      <c r="H234" s="2">
        <f t="shared" si="4"/>
        <v>0</v>
      </c>
    </row>
    <row r="235" spans="1:8" ht="14.75" customHeight="1" x14ac:dyDescent="0.35">
      <c r="A235" s="11"/>
      <c r="B235" s="31"/>
      <c r="C235" s="16"/>
      <c r="D235" s="19"/>
      <c r="E235" s="19"/>
      <c r="F235" s="22"/>
      <c r="G235" s="22"/>
      <c r="H235" s="2">
        <f t="shared" si="4"/>
        <v>0</v>
      </c>
    </row>
    <row r="236" spans="1:8" ht="14.75" customHeight="1" x14ac:dyDescent="0.35">
      <c r="A236" s="11"/>
      <c r="B236" s="31"/>
      <c r="C236" s="16"/>
      <c r="D236" s="19"/>
      <c r="E236" s="19"/>
      <c r="F236" s="22"/>
      <c r="G236" s="22"/>
      <c r="H236" s="2">
        <f t="shared" si="4"/>
        <v>0</v>
      </c>
    </row>
    <row r="237" spans="1:8" ht="14.75" customHeight="1" x14ac:dyDescent="0.35">
      <c r="A237" s="11"/>
      <c r="B237" s="31"/>
      <c r="C237" s="16"/>
      <c r="D237" s="19"/>
      <c r="E237" s="19"/>
      <c r="F237" s="22"/>
      <c r="G237" s="22"/>
      <c r="H237" s="2">
        <f t="shared" si="4"/>
        <v>0</v>
      </c>
    </row>
    <row r="238" spans="1:8" ht="14.75" customHeight="1" x14ac:dyDescent="0.35">
      <c r="A238" s="11"/>
      <c r="B238" s="31"/>
      <c r="C238" s="16"/>
      <c r="D238" s="19"/>
      <c r="E238" s="19"/>
      <c r="F238" s="22"/>
      <c r="G238" s="22"/>
      <c r="H238" s="2">
        <f t="shared" si="4"/>
        <v>0</v>
      </c>
    </row>
    <row r="239" spans="1:8" ht="14.75" customHeight="1" x14ac:dyDescent="0.35">
      <c r="A239" s="11"/>
      <c r="B239" s="31"/>
      <c r="C239" s="16"/>
      <c r="D239" s="19"/>
      <c r="E239" s="19"/>
      <c r="F239" s="22"/>
      <c r="G239" s="22"/>
      <c r="H239" s="2">
        <f t="shared" si="4"/>
        <v>0</v>
      </c>
    </row>
    <row r="240" spans="1:8" ht="14.75" customHeight="1" x14ac:dyDescent="0.35">
      <c r="A240" s="11"/>
      <c r="B240" s="31"/>
      <c r="C240" s="16"/>
      <c r="D240" s="19"/>
      <c r="E240" s="19"/>
      <c r="F240" s="22"/>
      <c r="G240" s="22"/>
      <c r="H240" s="2">
        <f t="shared" si="4"/>
        <v>0</v>
      </c>
    </row>
    <row r="241" spans="1:8" ht="14.75" customHeight="1" x14ac:dyDescent="0.35">
      <c r="A241" s="11"/>
      <c r="B241" s="31"/>
      <c r="C241" s="16"/>
      <c r="D241" s="19"/>
      <c r="E241" s="19"/>
      <c r="F241" s="22"/>
      <c r="G241" s="22"/>
      <c r="H241" s="2">
        <f t="shared" si="4"/>
        <v>0</v>
      </c>
    </row>
    <row r="242" spans="1:8" ht="14.75" customHeight="1" x14ac:dyDescent="0.35">
      <c r="A242" s="11"/>
      <c r="B242" s="31"/>
      <c r="C242" s="16"/>
      <c r="D242" s="19"/>
      <c r="E242" s="19"/>
      <c r="F242" s="22"/>
      <c r="G242" s="22"/>
      <c r="H242" s="2">
        <f t="shared" si="4"/>
        <v>0</v>
      </c>
    </row>
    <row r="243" spans="1:8" ht="14.75" customHeight="1" x14ac:dyDescent="0.35">
      <c r="A243" s="11"/>
      <c r="B243" s="31"/>
      <c r="C243" s="16"/>
      <c r="D243" s="19"/>
      <c r="E243" s="19"/>
      <c r="F243" s="22"/>
      <c r="G243" s="22"/>
      <c r="H243" s="2">
        <f t="shared" si="4"/>
        <v>0</v>
      </c>
    </row>
    <row r="244" spans="1:8" ht="14.75" customHeight="1" x14ac:dyDescent="0.35">
      <c r="A244" s="11"/>
      <c r="B244" s="31"/>
      <c r="C244" s="16"/>
      <c r="D244" s="19"/>
      <c r="E244" s="19"/>
      <c r="F244" s="22"/>
      <c r="G244" s="22"/>
      <c r="H244" s="2">
        <f t="shared" si="4"/>
        <v>0</v>
      </c>
    </row>
    <row r="245" spans="1:8" ht="14.75" customHeight="1" x14ac:dyDescent="0.35">
      <c r="A245" s="11"/>
      <c r="B245" s="31"/>
      <c r="C245" s="16"/>
      <c r="D245" s="19"/>
      <c r="E245" s="19"/>
      <c r="F245" s="22"/>
      <c r="G245" s="22"/>
      <c r="H245" s="2">
        <f t="shared" si="4"/>
        <v>0</v>
      </c>
    </row>
    <row r="246" spans="1:8" ht="14.75" customHeight="1" x14ac:dyDescent="0.35">
      <c r="A246" s="11"/>
      <c r="B246" s="31"/>
      <c r="C246" s="16"/>
      <c r="D246" s="19"/>
      <c r="E246" s="19"/>
      <c r="F246" s="22"/>
      <c r="G246" s="22"/>
      <c r="H246" s="2">
        <f t="shared" si="4"/>
        <v>0</v>
      </c>
    </row>
    <row r="247" spans="1:8" ht="14.75" customHeight="1" x14ac:dyDescent="0.35">
      <c r="A247" s="11"/>
      <c r="B247" s="31"/>
      <c r="C247" s="16"/>
      <c r="D247" s="19"/>
      <c r="E247" s="19"/>
      <c r="F247" s="22"/>
      <c r="G247" s="22"/>
      <c r="H247" s="2">
        <f t="shared" si="4"/>
        <v>0</v>
      </c>
    </row>
    <row r="248" spans="1:8" ht="14.75" customHeight="1" x14ac:dyDescent="0.35">
      <c r="A248" s="11"/>
      <c r="B248" s="31"/>
      <c r="C248" s="16"/>
      <c r="D248" s="19"/>
      <c r="E248" s="19"/>
      <c r="F248" s="22"/>
      <c r="G248" s="22"/>
      <c r="H248" s="2">
        <f t="shared" si="4"/>
        <v>0</v>
      </c>
    </row>
    <row r="249" spans="1:8" ht="14.75" customHeight="1" x14ac:dyDescent="0.35">
      <c r="A249" s="11"/>
      <c r="B249" s="31"/>
      <c r="C249" s="16"/>
      <c r="D249" s="19"/>
      <c r="E249" s="19"/>
      <c r="F249" s="22"/>
      <c r="G249" s="22"/>
      <c r="H249" s="2">
        <f t="shared" si="4"/>
        <v>0</v>
      </c>
    </row>
    <row r="250" spans="1:8" ht="14.75" customHeight="1" x14ac:dyDescent="0.35">
      <c r="A250" s="11"/>
      <c r="B250" s="31"/>
      <c r="C250" s="16"/>
      <c r="D250" s="19"/>
      <c r="E250" s="19"/>
      <c r="F250" s="22"/>
      <c r="G250" s="22"/>
      <c r="H250" s="2">
        <f t="shared" si="4"/>
        <v>0</v>
      </c>
    </row>
    <row r="251" spans="1:8" ht="14.75" customHeight="1" x14ac:dyDescent="0.35">
      <c r="A251" s="11"/>
      <c r="B251" s="31"/>
      <c r="C251" s="16"/>
      <c r="D251" s="19"/>
      <c r="E251" s="19"/>
      <c r="F251" s="22"/>
      <c r="G251" s="22"/>
      <c r="H251" s="2">
        <f t="shared" si="4"/>
        <v>0</v>
      </c>
    </row>
    <row r="252" spans="1:8" ht="14.75" customHeight="1" x14ac:dyDescent="0.35">
      <c r="A252" s="11"/>
      <c r="B252" s="31"/>
      <c r="C252" s="16"/>
      <c r="D252" s="19"/>
      <c r="E252" s="19"/>
      <c r="F252" s="22"/>
      <c r="G252" s="22"/>
      <c r="H252" s="2">
        <f t="shared" si="4"/>
        <v>0</v>
      </c>
    </row>
    <row r="253" spans="1:8" ht="14.75" customHeight="1" x14ac:dyDescent="0.35">
      <c r="A253" s="11"/>
      <c r="B253" s="31"/>
      <c r="C253" s="16"/>
      <c r="D253" s="19"/>
      <c r="E253" s="19"/>
      <c r="F253" s="22"/>
      <c r="G253" s="22"/>
      <c r="H253" s="2">
        <f t="shared" si="4"/>
        <v>0</v>
      </c>
    </row>
    <row r="254" spans="1:8" ht="14.75" customHeight="1" x14ac:dyDescent="0.35">
      <c r="A254" s="11"/>
      <c r="B254" s="31"/>
      <c r="C254" s="16"/>
      <c r="D254" s="19"/>
      <c r="E254" s="19"/>
      <c r="F254" s="22"/>
      <c r="G254" s="22"/>
      <c r="H254" s="2">
        <f t="shared" si="4"/>
        <v>0</v>
      </c>
    </row>
    <row r="255" spans="1:8" ht="14.75" customHeight="1" x14ac:dyDescent="0.35">
      <c r="A255" s="11"/>
      <c r="B255" s="31"/>
      <c r="C255" s="16"/>
      <c r="D255" s="19"/>
      <c r="E255" s="19"/>
      <c r="F255" s="22"/>
      <c r="G255" s="22"/>
      <c r="H255" s="2">
        <f t="shared" si="4"/>
        <v>0</v>
      </c>
    </row>
    <row r="256" spans="1:8" ht="14.75" customHeight="1" x14ac:dyDescent="0.35">
      <c r="A256" s="11"/>
      <c r="B256" s="31"/>
      <c r="C256" s="16"/>
      <c r="D256" s="19"/>
      <c r="E256" s="19"/>
      <c r="F256" s="22"/>
      <c r="G256" s="22"/>
      <c r="H256" s="2">
        <f t="shared" si="4"/>
        <v>0</v>
      </c>
    </row>
    <row r="257" spans="1:8" ht="14.75" customHeight="1" x14ac:dyDescent="0.35">
      <c r="A257" s="11"/>
      <c r="B257" s="31"/>
      <c r="C257" s="16"/>
      <c r="D257" s="19"/>
      <c r="E257" s="19"/>
      <c r="F257" s="22"/>
      <c r="G257" s="22"/>
      <c r="H257" s="2">
        <f t="shared" si="4"/>
        <v>0</v>
      </c>
    </row>
    <row r="258" spans="1:8" ht="14.75" customHeight="1" x14ac:dyDescent="0.35">
      <c r="A258" s="11"/>
      <c r="B258" s="31"/>
      <c r="C258" s="16"/>
      <c r="D258" s="19"/>
      <c r="E258" s="19"/>
      <c r="F258" s="22"/>
      <c r="G258" s="22"/>
      <c r="H258" s="2">
        <f t="shared" si="4"/>
        <v>0</v>
      </c>
    </row>
    <row r="259" spans="1:8" ht="14.75" customHeight="1" x14ac:dyDescent="0.35">
      <c r="A259" s="11"/>
      <c r="B259" s="31"/>
      <c r="C259" s="16"/>
      <c r="D259" s="19"/>
      <c r="E259" s="19"/>
      <c r="F259" s="22"/>
      <c r="G259" s="22"/>
      <c r="H259" s="2">
        <f t="shared" si="4"/>
        <v>0</v>
      </c>
    </row>
    <row r="260" spans="1:8" ht="14.75" customHeight="1" x14ac:dyDescent="0.35">
      <c r="A260" s="11"/>
      <c r="B260" s="31"/>
      <c r="C260" s="16"/>
      <c r="D260" s="19"/>
      <c r="E260" s="19"/>
      <c r="F260" s="22"/>
      <c r="G260" s="22"/>
      <c r="H260" s="2">
        <f t="shared" si="4"/>
        <v>0</v>
      </c>
    </row>
    <row r="261" spans="1:8" ht="14.75" customHeight="1" x14ac:dyDescent="0.35">
      <c r="A261" s="11"/>
      <c r="B261" s="31"/>
      <c r="C261" s="16"/>
      <c r="D261" s="19"/>
      <c r="E261" s="19"/>
      <c r="F261" s="22"/>
      <c r="G261" s="22"/>
      <c r="H261" s="2">
        <f t="shared" si="4"/>
        <v>0</v>
      </c>
    </row>
    <row r="262" spans="1:8" ht="14.75" customHeight="1" x14ac:dyDescent="0.35">
      <c r="A262" s="11"/>
      <c r="B262" s="31"/>
      <c r="C262" s="16"/>
      <c r="D262" s="19"/>
      <c r="E262" s="19"/>
      <c r="F262" s="22"/>
      <c r="G262" s="22"/>
      <c r="H262" s="2">
        <f t="shared" si="4"/>
        <v>0</v>
      </c>
    </row>
    <row r="263" spans="1:8" ht="14.75" customHeight="1" x14ac:dyDescent="0.35">
      <c r="A263" s="11"/>
      <c r="B263" s="31"/>
      <c r="C263" s="16"/>
      <c r="D263" s="19"/>
      <c r="E263" s="19"/>
      <c r="F263" s="22"/>
      <c r="G263" s="22"/>
      <c r="H263" s="2">
        <f t="shared" si="4"/>
        <v>0</v>
      </c>
    </row>
    <row r="264" spans="1:8" ht="14.75" customHeight="1" x14ac:dyDescent="0.35">
      <c r="A264" s="11"/>
      <c r="B264" s="31"/>
      <c r="C264" s="16"/>
      <c r="D264" s="19"/>
      <c r="E264" s="19"/>
      <c r="F264" s="22"/>
      <c r="G264" s="22"/>
      <c r="H264" s="2">
        <f t="shared" si="4"/>
        <v>0</v>
      </c>
    </row>
    <row r="265" spans="1:8" ht="14.75" customHeight="1" x14ac:dyDescent="0.35">
      <c r="A265" s="11"/>
      <c r="B265" s="31"/>
      <c r="C265" s="16"/>
      <c r="D265" s="19"/>
      <c r="E265" s="19"/>
      <c r="F265" s="22"/>
      <c r="G265" s="22"/>
      <c r="H265" s="2">
        <f t="shared" si="4"/>
        <v>0</v>
      </c>
    </row>
    <row r="266" spans="1:8" ht="14.75" customHeight="1" x14ac:dyDescent="0.35">
      <c r="A266" s="11"/>
      <c r="B266" s="31"/>
      <c r="C266" s="16"/>
      <c r="D266" s="19"/>
      <c r="E266" s="19"/>
      <c r="F266" s="22"/>
      <c r="G266" s="22"/>
      <c r="H266" s="2">
        <f t="shared" si="4"/>
        <v>0</v>
      </c>
    </row>
    <row r="267" spans="1:8" ht="14.75" customHeight="1" x14ac:dyDescent="0.35">
      <c r="A267" s="11"/>
      <c r="B267" s="31"/>
      <c r="C267" s="16"/>
      <c r="D267" s="19"/>
      <c r="E267" s="19"/>
      <c r="F267" s="22"/>
      <c r="G267" s="22"/>
      <c r="H267" s="2">
        <f t="shared" si="4"/>
        <v>0</v>
      </c>
    </row>
    <row r="268" spans="1:8" ht="14.75" customHeight="1" x14ac:dyDescent="0.35">
      <c r="A268" s="11"/>
      <c r="B268" s="31"/>
      <c r="C268" s="16"/>
      <c r="D268" s="19"/>
      <c r="E268" s="19"/>
      <c r="F268" s="22"/>
      <c r="G268" s="22"/>
      <c r="H268" s="2">
        <f t="shared" si="4"/>
        <v>0</v>
      </c>
    </row>
    <row r="269" spans="1:8" ht="14.75" customHeight="1" x14ac:dyDescent="0.35">
      <c r="A269" s="11"/>
      <c r="B269" s="31"/>
      <c r="C269" s="16"/>
      <c r="D269" s="19"/>
      <c r="E269" s="19"/>
      <c r="F269" s="22"/>
      <c r="G269" s="22"/>
      <c r="H269" s="2">
        <f t="shared" si="4"/>
        <v>0</v>
      </c>
    </row>
    <row r="270" spans="1:8" ht="14.75" customHeight="1" x14ac:dyDescent="0.35">
      <c r="A270" s="11"/>
      <c r="B270" s="31"/>
      <c r="C270" s="16"/>
      <c r="D270" s="19"/>
      <c r="E270" s="19"/>
      <c r="F270" s="22"/>
      <c r="G270" s="22"/>
      <c r="H270" s="2">
        <f t="shared" si="4"/>
        <v>0</v>
      </c>
    </row>
    <row r="271" spans="1:8" ht="14.75" customHeight="1" x14ac:dyDescent="0.35">
      <c r="A271" s="11"/>
      <c r="B271" s="31"/>
      <c r="C271" s="16"/>
      <c r="D271" s="19"/>
      <c r="E271" s="19"/>
      <c r="F271" s="22"/>
      <c r="G271" s="22"/>
      <c r="H271" s="2">
        <f t="shared" si="4"/>
        <v>0</v>
      </c>
    </row>
    <row r="272" spans="1:8" ht="14.75" customHeight="1" x14ac:dyDescent="0.35">
      <c r="A272" s="11"/>
      <c r="B272" s="31"/>
      <c r="C272" s="16"/>
      <c r="D272" s="19"/>
      <c r="E272" s="19"/>
      <c r="F272" s="22"/>
      <c r="G272" s="22"/>
      <c r="H272" s="2">
        <f t="shared" si="4"/>
        <v>0</v>
      </c>
    </row>
    <row r="273" spans="1:8" ht="14.75" customHeight="1" x14ac:dyDescent="0.35">
      <c r="A273" s="11"/>
      <c r="B273" s="31"/>
      <c r="C273" s="16"/>
      <c r="D273" s="19"/>
      <c r="E273" s="19"/>
      <c r="F273" s="22"/>
      <c r="G273" s="22"/>
      <c r="H273" s="2">
        <f t="shared" si="4"/>
        <v>0</v>
      </c>
    </row>
    <row r="274" spans="1:8" ht="14.75" customHeight="1" x14ac:dyDescent="0.35">
      <c r="A274" s="11"/>
      <c r="B274" s="31"/>
      <c r="C274" s="16"/>
      <c r="D274" s="19"/>
      <c r="E274" s="19"/>
      <c r="F274" s="22"/>
      <c r="G274" s="22"/>
      <c r="H274" s="2">
        <f t="shared" si="4"/>
        <v>0</v>
      </c>
    </row>
    <row r="275" spans="1:8" ht="14.75" customHeight="1" x14ac:dyDescent="0.35">
      <c r="A275" s="11"/>
      <c r="B275" s="31"/>
      <c r="C275" s="16"/>
      <c r="D275" s="19"/>
      <c r="E275" s="19"/>
      <c r="F275" s="22"/>
      <c r="G275" s="22"/>
      <c r="H275" s="2">
        <f t="shared" si="4"/>
        <v>0</v>
      </c>
    </row>
    <row r="276" spans="1:8" ht="14.75" customHeight="1" x14ac:dyDescent="0.35">
      <c r="A276" s="11"/>
      <c r="B276" s="31"/>
      <c r="C276" s="16"/>
      <c r="D276" s="19"/>
      <c r="E276" s="19"/>
      <c r="F276" s="22"/>
      <c r="G276" s="22"/>
      <c r="H276" s="2">
        <f t="shared" si="4"/>
        <v>0</v>
      </c>
    </row>
    <row r="277" spans="1:8" ht="14.75" customHeight="1" x14ac:dyDescent="0.35">
      <c r="A277" s="11"/>
      <c r="B277" s="31"/>
      <c r="C277" s="16"/>
      <c r="D277" s="19"/>
      <c r="E277" s="19"/>
      <c r="F277" s="22"/>
      <c r="G277" s="22"/>
      <c r="H277" s="2">
        <f t="shared" si="4"/>
        <v>0</v>
      </c>
    </row>
    <row r="278" spans="1:8" ht="14.75" customHeight="1" x14ac:dyDescent="0.35">
      <c r="A278" s="11"/>
      <c r="B278" s="31"/>
      <c r="C278" s="16"/>
      <c r="D278" s="19"/>
      <c r="E278" s="19"/>
      <c r="F278" s="22"/>
      <c r="G278" s="22"/>
      <c r="H278" s="2">
        <f t="shared" si="4"/>
        <v>0</v>
      </c>
    </row>
    <row r="279" spans="1:8" ht="14.75" customHeight="1" x14ac:dyDescent="0.35">
      <c r="A279" s="11"/>
      <c r="B279" s="31"/>
      <c r="C279" s="16"/>
      <c r="D279" s="19"/>
      <c r="E279" s="19"/>
      <c r="F279" s="22"/>
      <c r="G279" s="22"/>
      <c r="H279" s="2">
        <f t="shared" si="4"/>
        <v>0</v>
      </c>
    </row>
    <row r="280" spans="1:8" ht="14.75" customHeight="1" x14ac:dyDescent="0.35">
      <c r="A280" s="11"/>
      <c r="B280" s="31"/>
      <c r="C280" s="16"/>
      <c r="D280" s="19"/>
      <c r="E280" s="19"/>
      <c r="F280" s="22"/>
      <c r="G280" s="22"/>
      <c r="H280" s="2">
        <f t="shared" si="4"/>
        <v>0</v>
      </c>
    </row>
    <row r="281" spans="1:8" ht="14.75" customHeight="1" x14ac:dyDescent="0.35">
      <c r="A281" s="11"/>
      <c r="B281" s="31"/>
      <c r="C281" s="16"/>
      <c r="D281" s="19"/>
      <c r="E281" s="19"/>
      <c r="F281" s="22"/>
      <c r="G281" s="22"/>
      <c r="H281" s="2">
        <f t="shared" si="4"/>
        <v>0</v>
      </c>
    </row>
    <row r="282" spans="1:8" ht="14.75" customHeight="1" x14ac:dyDescent="0.35">
      <c r="A282" s="11"/>
      <c r="B282" s="31"/>
      <c r="C282" s="16"/>
      <c r="D282" s="19"/>
      <c r="E282" s="19"/>
      <c r="F282" s="22"/>
      <c r="G282" s="22"/>
      <c r="H282" s="2">
        <f t="shared" si="4"/>
        <v>0</v>
      </c>
    </row>
    <row r="283" spans="1:8" ht="14.75" customHeight="1" x14ac:dyDescent="0.35">
      <c r="A283" s="11"/>
      <c r="B283" s="31"/>
      <c r="C283" s="16"/>
      <c r="D283" s="19"/>
      <c r="E283" s="19"/>
      <c r="F283" s="22"/>
      <c r="G283" s="22"/>
      <c r="H283" s="2">
        <f t="shared" si="4"/>
        <v>0</v>
      </c>
    </row>
    <row r="284" spans="1:8" ht="14.75" customHeight="1" x14ac:dyDescent="0.35">
      <c r="A284" s="11"/>
      <c r="B284" s="31"/>
      <c r="C284" s="16"/>
      <c r="D284" s="19"/>
      <c r="E284" s="19"/>
      <c r="F284" s="22"/>
      <c r="G284" s="22"/>
      <c r="H284" s="2">
        <f t="shared" si="4"/>
        <v>0</v>
      </c>
    </row>
    <row r="285" spans="1:8" ht="14.75" customHeight="1" x14ac:dyDescent="0.35">
      <c r="A285" s="11"/>
      <c r="B285" s="31"/>
      <c r="C285" s="16"/>
      <c r="D285" s="19"/>
      <c r="E285" s="19"/>
      <c r="F285" s="22"/>
      <c r="G285" s="22"/>
      <c r="H285" s="2">
        <f t="shared" si="4"/>
        <v>0</v>
      </c>
    </row>
    <row r="286" spans="1:8" ht="14.75" customHeight="1" x14ac:dyDescent="0.35">
      <c r="A286" s="11"/>
      <c r="B286" s="31"/>
      <c r="C286" s="16"/>
      <c r="D286" s="19"/>
      <c r="E286" s="19"/>
      <c r="F286" s="22"/>
      <c r="G286" s="22"/>
      <c r="H286" s="2">
        <f t="shared" si="4"/>
        <v>0</v>
      </c>
    </row>
    <row r="287" spans="1:8" ht="14.75" customHeight="1" x14ac:dyDescent="0.35">
      <c r="A287" s="11"/>
      <c r="B287" s="31"/>
      <c r="C287" s="16"/>
      <c r="D287" s="19"/>
      <c r="E287" s="19"/>
      <c r="F287" s="22"/>
      <c r="G287" s="22"/>
      <c r="H287" s="2">
        <f t="shared" si="4"/>
        <v>0</v>
      </c>
    </row>
    <row r="288" spans="1:8" ht="14.75" customHeight="1" x14ac:dyDescent="0.35">
      <c r="A288" s="11"/>
      <c r="B288" s="31"/>
      <c r="C288" s="16"/>
      <c r="D288" s="19"/>
      <c r="E288" s="19"/>
      <c r="F288" s="22"/>
      <c r="G288" s="22"/>
      <c r="H288" s="2">
        <f t="shared" si="4"/>
        <v>0</v>
      </c>
    </row>
    <row r="289" spans="1:8" ht="14.75" customHeight="1" x14ac:dyDescent="0.35">
      <c r="A289" s="11"/>
      <c r="B289" s="31"/>
      <c r="C289" s="16"/>
      <c r="D289" s="19"/>
      <c r="E289" s="19"/>
      <c r="F289" s="22"/>
      <c r="G289" s="22"/>
      <c r="H289" s="2">
        <f t="shared" si="4"/>
        <v>0</v>
      </c>
    </row>
    <row r="290" spans="1:8" ht="14.75" customHeight="1" x14ac:dyDescent="0.35">
      <c r="A290" s="11"/>
      <c r="B290" s="31"/>
      <c r="C290" s="16"/>
      <c r="D290" s="19"/>
      <c r="E290" s="19"/>
      <c r="F290" s="22"/>
      <c r="G290" s="22"/>
      <c r="H290" s="2">
        <f t="shared" ref="H290:H353" si="5">H289+F290-G290</f>
        <v>0</v>
      </c>
    </row>
    <row r="291" spans="1:8" ht="14.75" customHeight="1" x14ac:dyDescent="0.35">
      <c r="A291" s="11"/>
      <c r="B291" s="31"/>
      <c r="C291" s="16"/>
      <c r="D291" s="19"/>
      <c r="E291" s="19"/>
      <c r="F291" s="22"/>
      <c r="G291" s="22"/>
      <c r="H291" s="2">
        <f t="shared" si="5"/>
        <v>0</v>
      </c>
    </row>
    <row r="292" spans="1:8" ht="14.75" customHeight="1" x14ac:dyDescent="0.35">
      <c r="A292" s="11"/>
      <c r="B292" s="31"/>
      <c r="C292" s="16"/>
      <c r="D292" s="19"/>
      <c r="E292" s="19"/>
      <c r="F292" s="22"/>
      <c r="G292" s="22"/>
      <c r="H292" s="2">
        <f t="shared" si="5"/>
        <v>0</v>
      </c>
    </row>
    <row r="293" spans="1:8" ht="14.75" customHeight="1" x14ac:dyDescent="0.35">
      <c r="A293" s="11"/>
      <c r="B293" s="31"/>
      <c r="C293" s="16"/>
      <c r="D293" s="19"/>
      <c r="E293" s="19"/>
      <c r="F293" s="22"/>
      <c r="G293" s="22"/>
      <c r="H293" s="2">
        <f t="shared" si="5"/>
        <v>0</v>
      </c>
    </row>
    <row r="294" spans="1:8" ht="14.75" customHeight="1" x14ac:dyDescent="0.35">
      <c r="A294" s="11"/>
      <c r="B294" s="31"/>
      <c r="C294" s="16"/>
      <c r="D294" s="19"/>
      <c r="E294" s="19"/>
      <c r="F294" s="22"/>
      <c r="G294" s="22"/>
      <c r="H294" s="2">
        <f t="shared" si="5"/>
        <v>0</v>
      </c>
    </row>
    <row r="295" spans="1:8" ht="14.75" customHeight="1" x14ac:dyDescent="0.35">
      <c r="A295" s="11"/>
      <c r="B295" s="31"/>
      <c r="C295" s="16"/>
      <c r="D295" s="19"/>
      <c r="E295" s="19"/>
      <c r="F295" s="22"/>
      <c r="G295" s="22"/>
      <c r="H295" s="2">
        <f t="shared" si="5"/>
        <v>0</v>
      </c>
    </row>
    <row r="296" spans="1:8" ht="14.75" customHeight="1" x14ac:dyDescent="0.35">
      <c r="A296" s="11"/>
      <c r="B296" s="31"/>
      <c r="C296" s="16"/>
      <c r="D296" s="19"/>
      <c r="E296" s="19"/>
      <c r="F296" s="22"/>
      <c r="G296" s="22"/>
      <c r="H296" s="2">
        <f t="shared" si="5"/>
        <v>0</v>
      </c>
    </row>
    <row r="297" spans="1:8" ht="14.75" customHeight="1" x14ac:dyDescent="0.35">
      <c r="A297" s="11"/>
      <c r="B297" s="31"/>
      <c r="C297" s="16"/>
      <c r="D297" s="19"/>
      <c r="E297" s="19"/>
      <c r="F297" s="22"/>
      <c r="G297" s="22"/>
      <c r="H297" s="2">
        <f t="shared" si="5"/>
        <v>0</v>
      </c>
    </row>
    <row r="298" spans="1:8" ht="14.75" customHeight="1" x14ac:dyDescent="0.35">
      <c r="A298" s="11"/>
      <c r="B298" s="31"/>
      <c r="C298" s="16"/>
      <c r="D298" s="19"/>
      <c r="E298" s="19"/>
      <c r="F298" s="22"/>
      <c r="G298" s="22"/>
      <c r="H298" s="2">
        <f t="shared" si="5"/>
        <v>0</v>
      </c>
    </row>
    <row r="299" spans="1:8" ht="14.75" customHeight="1" x14ac:dyDescent="0.35">
      <c r="A299" s="11"/>
      <c r="B299" s="31"/>
      <c r="C299" s="16"/>
      <c r="D299" s="19"/>
      <c r="E299" s="19"/>
      <c r="F299" s="22"/>
      <c r="G299" s="22"/>
      <c r="H299" s="2">
        <f t="shared" si="5"/>
        <v>0</v>
      </c>
    </row>
    <row r="300" spans="1:8" ht="14.75" customHeight="1" x14ac:dyDescent="0.35">
      <c r="A300" s="11"/>
      <c r="B300" s="31"/>
      <c r="C300" s="16"/>
      <c r="D300" s="19"/>
      <c r="E300" s="19"/>
      <c r="F300" s="22"/>
      <c r="G300" s="22"/>
      <c r="H300" s="2">
        <f t="shared" si="5"/>
        <v>0</v>
      </c>
    </row>
    <row r="301" spans="1:8" ht="14.75" customHeight="1" x14ac:dyDescent="0.35">
      <c r="A301" s="11"/>
      <c r="B301" s="31"/>
      <c r="C301" s="16"/>
      <c r="D301" s="19"/>
      <c r="E301" s="19"/>
      <c r="F301" s="22"/>
      <c r="G301" s="22"/>
      <c r="H301" s="2">
        <f t="shared" si="5"/>
        <v>0</v>
      </c>
    </row>
    <row r="302" spans="1:8" ht="14.75" customHeight="1" x14ac:dyDescent="0.35">
      <c r="A302" s="11"/>
      <c r="B302" s="31"/>
      <c r="C302" s="16"/>
      <c r="D302" s="19"/>
      <c r="E302" s="19"/>
      <c r="F302" s="22"/>
      <c r="G302" s="22"/>
      <c r="H302" s="2">
        <f t="shared" si="5"/>
        <v>0</v>
      </c>
    </row>
    <row r="303" spans="1:8" ht="14.75" customHeight="1" x14ac:dyDescent="0.35">
      <c r="A303" s="11"/>
      <c r="B303" s="31"/>
      <c r="C303" s="16"/>
      <c r="D303" s="19"/>
      <c r="E303" s="19"/>
      <c r="F303" s="22"/>
      <c r="G303" s="22"/>
      <c r="H303" s="2">
        <f t="shared" si="5"/>
        <v>0</v>
      </c>
    </row>
    <row r="304" spans="1:8" ht="14.75" customHeight="1" x14ac:dyDescent="0.35">
      <c r="A304" s="11"/>
      <c r="B304" s="31"/>
      <c r="C304" s="16"/>
      <c r="D304" s="19"/>
      <c r="E304" s="19"/>
      <c r="F304" s="22"/>
      <c r="G304" s="22"/>
      <c r="H304" s="2">
        <f t="shared" si="5"/>
        <v>0</v>
      </c>
    </row>
    <row r="305" spans="1:8" ht="14.75" customHeight="1" x14ac:dyDescent="0.35">
      <c r="A305" s="11"/>
      <c r="B305" s="31"/>
      <c r="C305" s="16"/>
      <c r="D305" s="19"/>
      <c r="E305" s="19"/>
      <c r="F305" s="22"/>
      <c r="G305" s="22"/>
      <c r="H305" s="2">
        <f t="shared" si="5"/>
        <v>0</v>
      </c>
    </row>
    <row r="306" spans="1:8" ht="14.75" customHeight="1" x14ac:dyDescent="0.35">
      <c r="A306" s="11"/>
      <c r="B306" s="31"/>
      <c r="C306" s="16"/>
      <c r="D306" s="19"/>
      <c r="E306" s="19"/>
      <c r="F306" s="22"/>
      <c r="G306" s="22"/>
      <c r="H306" s="2">
        <f t="shared" si="5"/>
        <v>0</v>
      </c>
    </row>
    <row r="307" spans="1:8" ht="14.75" customHeight="1" x14ac:dyDescent="0.35">
      <c r="A307" s="11"/>
      <c r="B307" s="31"/>
      <c r="C307" s="16"/>
      <c r="D307" s="19"/>
      <c r="E307" s="19"/>
      <c r="F307" s="22"/>
      <c r="G307" s="22"/>
      <c r="H307" s="2">
        <f t="shared" si="5"/>
        <v>0</v>
      </c>
    </row>
    <row r="308" spans="1:8" ht="14.75" customHeight="1" x14ac:dyDescent="0.35">
      <c r="A308" s="11"/>
      <c r="B308" s="31"/>
      <c r="C308" s="16"/>
      <c r="D308" s="19"/>
      <c r="E308" s="19"/>
      <c r="F308" s="22"/>
      <c r="G308" s="22"/>
      <c r="H308" s="2">
        <f t="shared" si="5"/>
        <v>0</v>
      </c>
    </row>
    <row r="309" spans="1:8" ht="14.75" customHeight="1" x14ac:dyDescent="0.35">
      <c r="A309" s="11"/>
      <c r="B309" s="31"/>
      <c r="C309" s="16"/>
      <c r="D309" s="19"/>
      <c r="E309" s="19"/>
      <c r="F309" s="22"/>
      <c r="G309" s="22"/>
      <c r="H309" s="2">
        <f t="shared" si="5"/>
        <v>0</v>
      </c>
    </row>
    <row r="310" spans="1:8" ht="14.75" customHeight="1" x14ac:dyDescent="0.35">
      <c r="A310" s="11"/>
      <c r="B310" s="31"/>
      <c r="C310" s="16"/>
      <c r="D310" s="19"/>
      <c r="E310" s="19"/>
      <c r="F310" s="22"/>
      <c r="G310" s="22"/>
      <c r="H310" s="2">
        <f t="shared" si="5"/>
        <v>0</v>
      </c>
    </row>
    <row r="311" spans="1:8" ht="14.75" customHeight="1" x14ac:dyDescent="0.35">
      <c r="A311" s="11"/>
      <c r="B311" s="31"/>
      <c r="C311" s="16"/>
      <c r="D311" s="19"/>
      <c r="E311" s="19"/>
      <c r="F311" s="22"/>
      <c r="G311" s="22"/>
      <c r="H311" s="2">
        <f t="shared" si="5"/>
        <v>0</v>
      </c>
    </row>
    <row r="312" spans="1:8" ht="14.75" customHeight="1" x14ac:dyDescent="0.35">
      <c r="A312" s="11"/>
      <c r="B312" s="31"/>
      <c r="C312" s="16"/>
      <c r="D312" s="19"/>
      <c r="E312" s="19"/>
      <c r="F312" s="22"/>
      <c r="G312" s="22"/>
      <c r="H312" s="2">
        <f t="shared" si="5"/>
        <v>0</v>
      </c>
    </row>
    <row r="313" spans="1:8" ht="14.75" customHeight="1" x14ac:dyDescent="0.35">
      <c r="A313" s="11"/>
      <c r="B313" s="31"/>
      <c r="C313" s="16"/>
      <c r="D313" s="19"/>
      <c r="E313" s="19"/>
      <c r="F313" s="22"/>
      <c r="G313" s="22"/>
      <c r="H313" s="2">
        <f t="shared" si="5"/>
        <v>0</v>
      </c>
    </row>
    <row r="314" spans="1:8" ht="14.75" customHeight="1" x14ac:dyDescent="0.35">
      <c r="A314" s="11"/>
      <c r="B314" s="31"/>
      <c r="C314" s="16"/>
      <c r="D314" s="19"/>
      <c r="E314" s="19"/>
      <c r="F314" s="22"/>
      <c r="G314" s="22"/>
      <c r="H314" s="2">
        <f t="shared" si="5"/>
        <v>0</v>
      </c>
    </row>
    <row r="315" spans="1:8" ht="14.75" customHeight="1" x14ac:dyDescent="0.35">
      <c r="A315" s="11"/>
      <c r="B315" s="31"/>
      <c r="C315" s="16"/>
      <c r="D315" s="19"/>
      <c r="E315" s="19"/>
      <c r="F315" s="22"/>
      <c r="G315" s="22"/>
      <c r="H315" s="2">
        <f t="shared" si="5"/>
        <v>0</v>
      </c>
    </row>
    <row r="316" spans="1:8" ht="14.75" customHeight="1" x14ac:dyDescent="0.35">
      <c r="A316" s="11"/>
      <c r="B316" s="31"/>
      <c r="C316" s="16"/>
      <c r="D316" s="19"/>
      <c r="E316" s="19"/>
      <c r="F316" s="22"/>
      <c r="G316" s="22"/>
      <c r="H316" s="2">
        <f t="shared" si="5"/>
        <v>0</v>
      </c>
    </row>
    <row r="317" spans="1:8" ht="14.75" customHeight="1" x14ac:dyDescent="0.35">
      <c r="A317" s="11"/>
      <c r="B317" s="31"/>
      <c r="C317" s="16"/>
      <c r="D317" s="19"/>
      <c r="E317" s="19"/>
      <c r="F317" s="22"/>
      <c r="G317" s="22"/>
      <c r="H317" s="2">
        <f t="shared" si="5"/>
        <v>0</v>
      </c>
    </row>
    <row r="318" spans="1:8" ht="14.75" customHeight="1" x14ac:dyDescent="0.35">
      <c r="A318" s="11"/>
      <c r="B318" s="31"/>
      <c r="C318" s="16"/>
      <c r="D318" s="19"/>
      <c r="E318" s="19"/>
      <c r="F318" s="22"/>
      <c r="G318" s="22"/>
      <c r="H318" s="2">
        <f t="shared" si="5"/>
        <v>0</v>
      </c>
    </row>
    <row r="319" spans="1:8" ht="14.75" customHeight="1" x14ac:dyDescent="0.35">
      <c r="A319" s="11"/>
      <c r="B319" s="31"/>
      <c r="C319" s="16"/>
      <c r="D319" s="19"/>
      <c r="E319" s="19"/>
      <c r="F319" s="22"/>
      <c r="G319" s="22"/>
      <c r="H319" s="2">
        <f t="shared" si="5"/>
        <v>0</v>
      </c>
    </row>
    <row r="320" spans="1:8" ht="14.75" customHeight="1" x14ac:dyDescent="0.35">
      <c r="A320" s="11"/>
      <c r="B320" s="31"/>
      <c r="C320" s="16"/>
      <c r="D320" s="19"/>
      <c r="E320" s="19"/>
      <c r="F320" s="22"/>
      <c r="G320" s="22"/>
      <c r="H320" s="2">
        <f t="shared" si="5"/>
        <v>0</v>
      </c>
    </row>
    <row r="321" spans="1:8" ht="14.75" customHeight="1" x14ac:dyDescent="0.35">
      <c r="A321" s="11"/>
      <c r="B321" s="31"/>
      <c r="C321" s="16"/>
      <c r="D321" s="19"/>
      <c r="E321" s="19"/>
      <c r="F321" s="22"/>
      <c r="G321" s="22"/>
      <c r="H321" s="2">
        <f t="shared" si="5"/>
        <v>0</v>
      </c>
    </row>
    <row r="322" spans="1:8" ht="14.75" customHeight="1" x14ac:dyDescent="0.35">
      <c r="A322" s="11"/>
      <c r="B322" s="31"/>
      <c r="C322" s="16"/>
      <c r="D322" s="19"/>
      <c r="E322" s="19"/>
      <c r="F322" s="22"/>
      <c r="G322" s="22"/>
      <c r="H322" s="2">
        <f t="shared" si="5"/>
        <v>0</v>
      </c>
    </row>
    <row r="323" spans="1:8" ht="14.75" customHeight="1" x14ac:dyDescent="0.35">
      <c r="A323" s="11"/>
      <c r="B323" s="31"/>
      <c r="C323" s="16"/>
      <c r="D323" s="19"/>
      <c r="E323" s="19"/>
      <c r="F323" s="22"/>
      <c r="G323" s="22"/>
      <c r="H323" s="2">
        <f t="shared" si="5"/>
        <v>0</v>
      </c>
    </row>
    <row r="324" spans="1:8" ht="14.75" customHeight="1" x14ac:dyDescent="0.35">
      <c r="A324" s="11"/>
      <c r="B324" s="31"/>
      <c r="C324" s="16"/>
      <c r="D324" s="19"/>
      <c r="E324" s="19"/>
      <c r="F324" s="22"/>
      <c r="G324" s="22"/>
      <c r="H324" s="2">
        <f t="shared" si="5"/>
        <v>0</v>
      </c>
    </row>
    <row r="325" spans="1:8" ht="14.75" customHeight="1" x14ac:dyDescent="0.35">
      <c r="A325" s="11"/>
      <c r="B325" s="31"/>
      <c r="C325" s="16"/>
      <c r="D325" s="19"/>
      <c r="E325" s="19"/>
      <c r="F325" s="22"/>
      <c r="G325" s="22"/>
      <c r="H325" s="2">
        <f t="shared" si="5"/>
        <v>0</v>
      </c>
    </row>
    <row r="326" spans="1:8" ht="14.75" customHeight="1" x14ac:dyDescent="0.35">
      <c r="A326" s="11"/>
      <c r="B326" s="31"/>
      <c r="C326" s="16"/>
      <c r="D326" s="19"/>
      <c r="E326" s="19"/>
      <c r="F326" s="22"/>
      <c r="G326" s="22"/>
      <c r="H326" s="2">
        <f t="shared" si="5"/>
        <v>0</v>
      </c>
    </row>
    <row r="327" spans="1:8" ht="14.75" customHeight="1" x14ac:dyDescent="0.35">
      <c r="A327" s="11"/>
      <c r="B327" s="31"/>
      <c r="C327" s="16"/>
      <c r="D327" s="19"/>
      <c r="E327" s="19"/>
      <c r="F327" s="22"/>
      <c r="G327" s="22"/>
      <c r="H327" s="2">
        <f t="shared" si="5"/>
        <v>0</v>
      </c>
    </row>
    <row r="328" spans="1:8" ht="14.75" customHeight="1" x14ac:dyDescent="0.35">
      <c r="A328" s="11"/>
      <c r="B328" s="31"/>
      <c r="C328" s="16"/>
      <c r="D328" s="19"/>
      <c r="E328" s="19"/>
      <c r="F328" s="22"/>
      <c r="G328" s="22"/>
      <c r="H328" s="2">
        <f t="shared" si="5"/>
        <v>0</v>
      </c>
    </row>
    <row r="329" spans="1:8" ht="14.75" customHeight="1" x14ac:dyDescent="0.35">
      <c r="A329" s="11"/>
      <c r="B329" s="31"/>
      <c r="C329" s="16"/>
      <c r="D329" s="19"/>
      <c r="E329" s="19"/>
      <c r="F329" s="22"/>
      <c r="G329" s="22"/>
      <c r="H329" s="2">
        <f t="shared" si="5"/>
        <v>0</v>
      </c>
    </row>
    <row r="330" spans="1:8" ht="14.75" customHeight="1" x14ac:dyDescent="0.35">
      <c r="A330" s="11"/>
      <c r="B330" s="31"/>
      <c r="C330" s="16"/>
      <c r="D330" s="19"/>
      <c r="E330" s="19"/>
      <c r="F330" s="22"/>
      <c r="G330" s="22"/>
      <c r="H330" s="2">
        <f t="shared" si="5"/>
        <v>0</v>
      </c>
    </row>
    <row r="331" spans="1:8" ht="14.75" customHeight="1" x14ac:dyDescent="0.35">
      <c r="A331" s="11"/>
      <c r="B331" s="31"/>
      <c r="C331" s="16"/>
      <c r="D331" s="19"/>
      <c r="E331" s="19"/>
      <c r="F331" s="22"/>
      <c r="G331" s="22"/>
      <c r="H331" s="2">
        <f t="shared" si="5"/>
        <v>0</v>
      </c>
    </row>
    <row r="332" spans="1:8" ht="14.75" customHeight="1" x14ac:dyDescent="0.35">
      <c r="A332" s="11"/>
      <c r="B332" s="31"/>
      <c r="C332" s="16"/>
      <c r="D332" s="19"/>
      <c r="E332" s="19"/>
      <c r="F332" s="22"/>
      <c r="G332" s="22"/>
      <c r="H332" s="2">
        <f t="shared" si="5"/>
        <v>0</v>
      </c>
    </row>
    <row r="333" spans="1:8" ht="14.75" customHeight="1" x14ac:dyDescent="0.35">
      <c r="A333" s="11"/>
      <c r="B333" s="31"/>
      <c r="C333" s="16"/>
      <c r="D333" s="19"/>
      <c r="E333" s="19"/>
      <c r="F333" s="22"/>
      <c r="G333" s="22"/>
      <c r="H333" s="2">
        <f t="shared" si="5"/>
        <v>0</v>
      </c>
    </row>
    <row r="334" spans="1:8" ht="14.75" customHeight="1" x14ac:dyDescent="0.35">
      <c r="A334" s="11"/>
      <c r="B334" s="31"/>
      <c r="C334" s="16"/>
      <c r="D334" s="19"/>
      <c r="E334" s="19"/>
      <c r="F334" s="22"/>
      <c r="G334" s="22"/>
      <c r="H334" s="2">
        <f t="shared" si="5"/>
        <v>0</v>
      </c>
    </row>
    <row r="335" spans="1:8" ht="14.75" customHeight="1" x14ac:dyDescent="0.35">
      <c r="A335" s="11"/>
      <c r="B335" s="31"/>
      <c r="C335" s="16"/>
      <c r="D335" s="19"/>
      <c r="E335" s="19"/>
      <c r="F335" s="22"/>
      <c r="G335" s="22"/>
      <c r="H335" s="2">
        <f t="shared" si="5"/>
        <v>0</v>
      </c>
    </row>
    <row r="336" spans="1:8" ht="14.75" customHeight="1" x14ac:dyDescent="0.35">
      <c r="A336" s="11"/>
      <c r="B336" s="31"/>
      <c r="C336" s="16"/>
      <c r="D336" s="19"/>
      <c r="E336" s="19"/>
      <c r="F336" s="22"/>
      <c r="G336" s="22"/>
      <c r="H336" s="2">
        <f t="shared" si="5"/>
        <v>0</v>
      </c>
    </row>
    <row r="337" spans="1:8" ht="14.75" customHeight="1" x14ac:dyDescent="0.35">
      <c r="A337" s="11"/>
      <c r="B337" s="31"/>
      <c r="C337" s="16"/>
      <c r="D337" s="19"/>
      <c r="E337" s="19"/>
      <c r="F337" s="22"/>
      <c r="G337" s="22"/>
      <c r="H337" s="2">
        <f t="shared" si="5"/>
        <v>0</v>
      </c>
    </row>
    <row r="338" spans="1:8" ht="14.75" customHeight="1" x14ac:dyDescent="0.35">
      <c r="A338" s="11"/>
      <c r="B338" s="31"/>
      <c r="C338" s="16"/>
      <c r="D338" s="19"/>
      <c r="E338" s="19"/>
      <c r="F338" s="22"/>
      <c r="G338" s="22"/>
      <c r="H338" s="2">
        <f t="shared" si="5"/>
        <v>0</v>
      </c>
    </row>
    <row r="339" spans="1:8" ht="14.75" customHeight="1" x14ac:dyDescent="0.35">
      <c r="A339" s="11"/>
      <c r="B339" s="31"/>
      <c r="C339" s="16"/>
      <c r="D339" s="19"/>
      <c r="E339" s="19"/>
      <c r="F339" s="22"/>
      <c r="G339" s="22"/>
      <c r="H339" s="2">
        <f t="shared" si="5"/>
        <v>0</v>
      </c>
    </row>
    <row r="340" spans="1:8" ht="14.75" customHeight="1" x14ac:dyDescent="0.35">
      <c r="A340" s="11"/>
      <c r="B340" s="31"/>
      <c r="C340" s="16"/>
      <c r="D340" s="19"/>
      <c r="E340" s="19"/>
      <c r="F340" s="22"/>
      <c r="G340" s="22"/>
      <c r="H340" s="2">
        <f t="shared" si="5"/>
        <v>0</v>
      </c>
    </row>
    <row r="341" spans="1:8" ht="14.75" customHeight="1" x14ac:dyDescent="0.35">
      <c r="A341" s="11"/>
      <c r="B341" s="31"/>
      <c r="C341" s="16"/>
      <c r="D341" s="19"/>
      <c r="E341" s="19"/>
      <c r="F341" s="22"/>
      <c r="G341" s="22"/>
      <c r="H341" s="2">
        <f t="shared" si="5"/>
        <v>0</v>
      </c>
    </row>
    <row r="342" spans="1:8" ht="14.75" customHeight="1" x14ac:dyDescent="0.35">
      <c r="A342" s="11"/>
      <c r="B342" s="31"/>
      <c r="C342" s="16"/>
      <c r="D342" s="19"/>
      <c r="E342" s="19"/>
      <c r="F342" s="22"/>
      <c r="G342" s="22"/>
      <c r="H342" s="2">
        <f t="shared" si="5"/>
        <v>0</v>
      </c>
    </row>
    <row r="343" spans="1:8" ht="14.75" customHeight="1" x14ac:dyDescent="0.35">
      <c r="A343" s="11"/>
      <c r="B343" s="31"/>
      <c r="C343" s="16"/>
      <c r="D343" s="19"/>
      <c r="E343" s="19"/>
      <c r="F343" s="22"/>
      <c r="G343" s="22"/>
      <c r="H343" s="2">
        <f t="shared" si="5"/>
        <v>0</v>
      </c>
    </row>
    <row r="344" spans="1:8" ht="14.75" customHeight="1" x14ac:dyDescent="0.35">
      <c r="A344" s="11"/>
      <c r="B344" s="31"/>
      <c r="C344" s="16"/>
      <c r="D344" s="19"/>
      <c r="E344" s="19"/>
      <c r="F344" s="22"/>
      <c r="G344" s="22"/>
      <c r="H344" s="2">
        <f t="shared" si="5"/>
        <v>0</v>
      </c>
    </row>
    <row r="345" spans="1:8" ht="14.75" customHeight="1" x14ac:dyDescent="0.35">
      <c r="A345" s="11"/>
      <c r="B345" s="31"/>
      <c r="C345" s="16"/>
      <c r="D345" s="19"/>
      <c r="E345" s="19"/>
      <c r="F345" s="22"/>
      <c r="G345" s="22"/>
      <c r="H345" s="2">
        <f t="shared" si="5"/>
        <v>0</v>
      </c>
    </row>
    <row r="346" spans="1:8" ht="14.75" customHeight="1" x14ac:dyDescent="0.35">
      <c r="A346" s="11"/>
      <c r="B346" s="31"/>
      <c r="C346" s="16"/>
      <c r="D346" s="19"/>
      <c r="E346" s="19"/>
      <c r="F346" s="22"/>
      <c r="G346" s="22"/>
      <c r="H346" s="2">
        <f t="shared" si="5"/>
        <v>0</v>
      </c>
    </row>
    <row r="347" spans="1:8" ht="14.75" customHeight="1" x14ac:dyDescent="0.35">
      <c r="A347" s="11"/>
      <c r="B347" s="31"/>
      <c r="C347" s="16"/>
      <c r="D347" s="19"/>
      <c r="E347" s="19"/>
      <c r="F347" s="22"/>
      <c r="G347" s="22"/>
      <c r="H347" s="2">
        <f t="shared" si="5"/>
        <v>0</v>
      </c>
    </row>
    <row r="348" spans="1:8" ht="14.75" customHeight="1" x14ac:dyDescent="0.35">
      <c r="A348" s="11"/>
      <c r="B348" s="31"/>
      <c r="C348" s="16"/>
      <c r="D348" s="19"/>
      <c r="E348" s="19"/>
      <c r="F348" s="22"/>
      <c r="G348" s="22"/>
      <c r="H348" s="2">
        <f t="shared" si="5"/>
        <v>0</v>
      </c>
    </row>
    <row r="349" spans="1:8" ht="14.75" customHeight="1" x14ac:dyDescent="0.35">
      <c r="A349" s="11"/>
      <c r="B349" s="31"/>
      <c r="C349" s="16"/>
      <c r="D349" s="19"/>
      <c r="E349" s="19"/>
      <c r="F349" s="22"/>
      <c r="G349" s="22"/>
      <c r="H349" s="2">
        <f t="shared" si="5"/>
        <v>0</v>
      </c>
    </row>
    <row r="350" spans="1:8" ht="14.75" customHeight="1" x14ac:dyDescent="0.35">
      <c r="A350" s="11"/>
      <c r="B350" s="31"/>
      <c r="C350" s="16"/>
      <c r="D350" s="19"/>
      <c r="E350" s="19"/>
      <c r="F350" s="22"/>
      <c r="G350" s="22"/>
      <c r="H350" s="2">
        <f t="shared" si="5"/>
        <v>0</v>
      </c>
    </row>
    <row r="351" spans="1:8" ht="14.75" customHeight="1" x14ac:dyDescent="0.35">
      <c r="A351" s="11"/>
      <c r="B351" s="31"/>
      <c r="C351" s="16"/>
      <c r="D351" s="19"/>
      <c r="E351" s="19"/>
      <c r="F351" s="22"/>
      <c r="G351" s="22"/>
      <c r="H351" s="2">
        <f t="shared" si="5"/>
        <v>0</v>
      </c>
    </row>
    <row r="352" spans="1:8" ht="14.75" customHeight="1" x14ac:dyDescent="0.35">
      <c r="A352" s="11"/>
      <c r="B352" s="31"/>
      <c r="C352" s="16"/>
      <c r="D352" s="19"/>
      <c r="E352" s="19"/>
      <c r="F352" s="22"/>
      <c r="G352" s="22"/>
      <c r="H352" s="2">
        <f t="shared" si="5"/>
        <v>0</v>
      </c>
    </row>
    <row r="353" spans="1:8" ht="14.75" customHeight="1" x14ac:dyDescent="0.35">
      <c r="A353" s="11"/>
      <c r="B353" s="31"/>
      <c r="C353" s="16"/>
      <c r="D353" s="19"/>
      <c r="E353" s="19"/>
      <c r="F353" s="22"/>
      <c r="G353" s="22"/>
      <c r="H353" s="2">
        <f t="shared" si="5"/>
        <v>0</v>
      </c>
    </row>
    <row r="354" spans="1:8" ht="14.75" customHeight="1" x14ac:dyDescent="0.35">
      <c r="A354" s="11"/>
      <c r="B354" s="31"/>
      <c r="C354" s="16"/>
      <c r="D354" s="19"/>
      <c r="E354" s="19"/>
      <c r="F354" s="22"/>
      <c r="G354" s="22"/>
      <c r="H354" s="2">
        <f t="shared" ref="H354:H417" si="6">H353+F354-G354</f>
        <v>0</v>
      </c>
    </row>
    <row r="355" spans="1:8" ht="14.75" customHeight="1" x14ac:dyDescent="0.35">
      <c r="A355" s="11"/>
      <c r="B355" s="31"/>
      <c r="C355" s="16"/>
      <c r="D355" s="19"/>
      <c r="E355" s="19"/>
      <c r="F355" s="22"/>
      <c r="G355" s="22"/>
      <c r="H355" s="2">
        <f t="shared" si="6"/>
        <v>0</v>
      </c>
    </row>
    <row r="356" spans="1:8" ht="14.75" customHeight="1" x14ac:dyDescent="0.35">
      <c r="A356" s="11"/>
      <c r="B356" s="31"/>
      <c r="C356" s="16"/>
      <c r="D356" s="19"/>
      <c r="E356" s="19"/>
      <c r="F356" s="22"/>
      <c r="G356" s="22"/>
      <c r="H356" s="2">
        <f t="shared" si="6"/>
        <v>0</v>
      </c>
    </row>
    <row r="357" spans="1:8" ht="14.75" customHeight="1" x14ac:dyDescent="0.35">
      <c r="A357" s="11"/>
      <c r="B357" s="31"/>
      <c r="C357" s="16"/>
      <c r="D357" s="19"/>
      <c r="E357" s="19"/>
      <c r="F357" s="22"/>
      <c r="G357" s="22"/>
      <c r="H357" s="2">
        <f t="shared" si="6"/>
        <v>0</v>
      </c>
    </row>
    <row r="358" spans="1:8" ht="14.75" customHeight="1" x14ac:dyDescent="0.35">
      <c r="A358" s="11"/>
      <c r="B358" s="31"/>
      <c r="C358" s="16"/>
      <c r="D358" s="19"/>
      <c r="E358" s="19"/>
      <c r="F358" s="22"/>
      <c r="G358" s="22"/>
      <c r="H358" s="2">
        <f t="shared" si="6"/>
        <v>0</v>
      </c>
    </row>
    <row r="359" spans="1:8" ht="14.75" customHeight="1" x14ac:dyDescent="0.35">
      <c r="A359" s="11"/>
      <c r="B359" s="31"/>
      <c r="C359" s="16"/>
      <c r="D359" s="19"/>
      <c r="E359" s="19"/>
      <c r="F359" s="22"/>
      <c r="G359" s="22"/>
      <c r="H359" s="2">
        <f t="shared" si="6"/>
        <v>0</v>
      </c>
    </row>
    <row r="360" spans="1:8" ht="14.75" customHeight="1" x14ac:dyDescent="0.35">
      <c r="A360" s="11"/>
      <c r="B360" s="31"/>
      <c r="C360" s="16"/>
      <c r="D360" s="19"/>
      <c r="E360" s="19"/>
      <c r="F360" s="22"/>
      <c r="G360" s="22"/>
      <c r="H360" s="2">
        <f t="shared" si="6"/>
        <v>0</v>
      </c>
    </row>
    <row r="361" spans="1:8" ht="14.75" customHeight="1" x14ac:dyDescent="0.35">
      <c r="A361" s="11"/>
      <c r="B361" s="31"/>
      <c r="C361" s="16"/>
      <c r="D361" s="19"/>
      <c r="E361" s="19"/>
      <c r="F361" s="22"/>
      <c r="G361" s="22"/>
      <c r="H361" s="2">
        <f t="shared" si="6"/>
        <v>0</v>
      </c>
    </row>
    <row r="362" spans="1:8" ht="14.75" customHeight="1" x14ac:dyDescent="0.35">
      <c r="A362" s="11"/>
      <c r="B362" s="31"/>
      <c r="C362" s="16"/>
      <c r="D362" s="19"/>
      <c r="E362" s="19"/>
      <c r="F362" s="22"/>
      <c r="G362" s="22"/>
      <c r="H362" s="2">
        <f t="shared" si="6"/>
        <v>0</v>
      </c>
    </row>
    <row r="363" spans="1:8" ht="14.75" customHeight="1" x14ac:dyDescent="0.35">
      <c r="A363" s="11"/>
      <c r="B363" s="31"/>
      <c r="C363" s="16"/>
      <c r="D363" s="19"/>
      <c r="E363" s="19"/>
      <c r="F363" s="22"/>
      <c r="G363" s="22"/>
      <c r="H363" s="2">
        <f t="shared" si="6"/>
        <v>0</v>
      </c>
    </row>
    <row r="364" spans="1:8" ht="14.75" customHeight="1" x14ac:dyDescent="0.35">
      <c r="A364" s="11"/>
      <c r="B364" s="31"/>
      <c r="C364" s="16"/>
      <c r="D364" s="19"/>
      <c r="E364" s="19"/>
      <c r="F364" s="22"/>
      <c r="G364" s="22"/>
      <c r="H364" s="2">
        <f t="shared" si="6"/>
        <v>0</v>
      </c>
    </row>
    <row r="365" spans="1:8" ht="14.75" customHeight="1" x14ac:dyDescent="0.35">
      <c r="A365" s="11"/>
      <c r="B365" s="31"/>
      <c r="C365" s="16"/>
      <c r="D365" s="19"/>
      <c r="E365" s="19"/>
      <c r="F365" s="22"/>
      <c r="G365" s="22"/>
      <c r="H365" s="2">
        <f t="shared" si="6"/>
        <v>0</v>
      </c>
    </row>
    <row r="366" spans="1:8" ht="14.75" customHeight="1" x14ac:dyDescent="0.35">
      <c r="A366" s="11"/>
      <c r="B366" s="31"/>
      <c r="C366" s="16"/>
      <c r="D366" s="19"/>
      <c r="E366" s="19"/>
      <c r="F366" s="22"/>
      <c r="G366" s="22"/>
      <c r="H366" s="2">
        <f t="shared" si="6"/>
        <v>0</v>
      </c>
    </row>
    <row r="367" spans="1:8" ht="14.75" customHeight="1" x14ac:dyDescent="0.35">
      <c r="A367" s="11"/>
      <c r="B367" s="31"/>
      <c r="C367" s="16"/>
      <c r="D367" s="19"/>
      <c r="E367" s="19"/>
      <c r="F367" s="22"/>
      <c r="G367" s="22"/>
      <c r="H367" s="2">
        <f t="shared" si="6"/>
        <v>0</v>
      </c>
    </row>
    <row r="368" spans="1:8" ht="14.75" customHeight="1" x14ac:dyDescent="0.35">
      <c r="A368" s="11"/>
      <c r="B368" s="31"/>
      <c r="C368" s="16"/>
      <c r="D368" s="19"/>
      <c r="E368" s="19"/>
      <c r="F368" s="22"/>
      <c r="G368" s="22"/>
      <c r="H368" s="2">
        <f t="shared" si="6"/>
        <v>0</v>
      </c>
    </row>
    <row r="369" spans="1:8" ht="14.75" customHeight="1" x14ac:dyDescent="0.35">
      <c r="A369" s="11"/>
      <c r="B369" s="31"/>
      <c r="C369" s="16"/>
      <c r="D369" s="19"/>
      <c r="E369" s="19"/>
      <c r="F369" s="22"/>
      <c r="G369" s="22"/>
      <c r="H369" s="2">
        <f t="shared" si="6"/>
        <v>0</v>
      </c>
    </row>
    <row r="370" spans="1:8" ht="14.75" customHeight="1" x14ac:dyDescent="0.35">
      <c r="A370" s="11"/>
      <c r="B370" s="31"/>
      <c r="C370" s="16"/>
      <c r="D370" s="19"/>
      <c r="E370" s="19"/>
      <c r="F370" s="22"/>
      <c r="G370" s="22"/>
      <c r="H370" s="2">
        <f t="shared" si="6"/>
        <v>0</v>
      </c>
    </row>
    <row r="371" spans="1:8" ht="14.75" customHeight="1" x14ac:dyDescent="0.35">
      <c r="A371" s="11"/>
      <c r="B371" s="31"/>
      <c r="C371" s="16"/>
      <c r="D371" s="19"/>
      <c r="E371" s="19"/>
      <c r="F371" s="22"/>
      <c r="G371" s="22"/>
      <c r="H371" s="2">
        <f t="shared" si="6"/>
        <v>0</v>
      </c>
    </row>
    <row r="372" spans="1:8" ht="14.75" customHeight="1" x14ac:dyDescent="0.35">
      <c r="A372" s="11"/>
      <c r="B372" s="31"/>
      <c r="C372" s="16"/>
      <c r="D372" s="19"/>
      <c r="E372" s="19"/>
      <c r="F372" s="22"/>
      <c r="G372" s="22"/>
      <c r="H372" s="2">
        <f t="shared" si="6"/>
        <v>0</v>
      </c>
    </row>
    <row r="373" spans="1:8" ht="14.75" customHeight="1" x14ac:dyDescent="0.35">
      <c r="A373" s="11"/>
      <c r="B373" s="31"/>
      <c r="C373" s="16"/>
      <c r="D373" s="19"/>
      <c r="E373" s="19"/>
      <c r="F373" s="22"/>
      <c r="G373" s="22"/>
      <c r="H373" s="2">
        <f t="shared" si="6"/>
        <v>0</v>
      </c>
    </row>
    <row r="374" spans="1:8" ht="14.75" customHeight="1" x14ac:dyDescent="0.35">
      <c r="A374" s="11"/>
      <c r="B374" s="31"/>
      <c r="C374" s="16"/>
      <c r="D374" s="19"/>
      <c r="E374" s="19"/>
      <c r="F374" s="22"/>
      <c r="G374" s="22"/>
      <c r="H374" s="2">
        <f t="shared" si="6"/>
        <v>0</v>
      </c>
    </row>
    <row r="375" spans="1:8" ht="14.75" customHeight="1" x14ac:dyDescent="0.35">
      <c r="A375" s="11"/>
      <c r="B375" s="31"/>
      <c r="C375" s="16"/>
      <c r="D375" s="19"/>
      <c r="E375" s="19"/>
      <c r="F375" s="22"/>
      <c r="G375" s="22"/>
      <c r="H375" s="2">
        <f t="shared" si="6"/>
        <v>0</v>
      </c>
    </row>
    <row r="376" spans="1:8" ht="14.75" customHeight="1" x14ac:dyDescent="0.35">
      <c r="A376" s="11"/>
      <c r="B376" s="31"/>
      <c r="C376" s="16"/>
      <c r="D376" s="19"/>
      <c r="E376" s="19"/>
      <c r="F376" s="22"/>
      <c r="G376" s="22"/>
      <c r="H376" s="2">
        <f t="shared" si="6"/>
        <v>0</v>
      </c>
    </row>
    <row r="377" spans="1:8" ht="14.75" customHeight="1" x14ac:dyDescent="0.35">
      <c r="A377" s="11"/>
      <c r="B377" s="31"/>
      <c r="C377" s="16"/>
      <c r="D377" s="19"/>
      <c r="E377" s="19"/>
      <c r="F377" s="22"/>
      <c r="G377" s="22"/>
      <c r="H377" s="2">
        <f t="shared" si="6"/>
        <v>0</v>
      </c>
    </row>
    <row r="378" spans="1:8" ht="14.75" customHeight="1" x14ac:dyDescent="0.35">
      <c r="A378" s="11"/>
      <c r="B378" s="31"/>
      <c r="C378" s="16"/>
      <c r="D378" s="19"/>
      <c r="E378" s="19"/>
      <c r="F378" s="22"/>
      <c r="G378" s="22"/>
      <c r="H378" s="2">
        <f t="shared" si="6"/>
        <v>0</v>
      </c>
    </row>
    <row r="379" spans="1:8" ht="14.75" customHeight="1" x14ac:dyDescent="0.35">
      <c r="A379" s="11"/>
      <c r="B379" s="31"/>
      <c r="C379" s="16"/>
      <c r="D379" s="19"/>
      <c r="E379" s="19"/>
      <c r="F379" s="22"/>
      <c r="G379" s="22"/>
      <c r="H379" s="2">
        <f t="shared" si="6"/>
        <v>0</v>
      </c>
    </row>
    <row r="380" spans="1:8" ht="14.75" customHeight="1" x14ac:dyDescent="0.35">
      <c r="A380" s="11"/>
      <c r="B380" s="31"/>
      <c r="C380" s="16"/>
      <c r="D380" s="19"/>
      <c r="E380" s="19"/>
      <c r="F380" s="22"/>
      <c r="G380" s="22"/>
      <c r="H380" s="2">
        <f t="shared" si="6"/>
        <v>0</v>
      </c>
    </row>
    <row r="381" spans="1:8" ht="14.75" customHeight="1" x14ac:dyDescent="0.35">
      <c r="A381" s="11"/>
      <c r="B381" s="31"/>
      <c r="C381" s="16"/>
      <c r="D381" s="19"/>
      <c r="E381" s="19"/>
      <c r="F381" s="22"/>
      <c r="G381" s="22"/>
      <c r="H381" s="2">
        <f t="shared" si="6"/>
        <v>0</v>
      </c>
    </row>
    <row r="382" spans="1:8" ht="14.75" customHeight="1" x14ac:dyDescent="0.35">
      <c r="A382" s="11"/>
      <c r="B382" s="31"/>
      <c r="C382" s="16"/>
      <c r="D382" s="19"/>
      <c r="E382" s="19"/>
      <c r="F382" s="22"/>
      <c r="G382" s="22"/>
      <c r="H382" s="2">
        <f t="shared" si="6"/>
        <v>0</v>
      </c>
    </row>
    <row r="383" spans="1:8" ht="14.75" customHeight="1" x14ac:dyDescent="0.35">
      <c r="A383" s="11"/>
      <c r="B383" s="31"/>
      <c r="C383" s="16"/>
      <c r="D383" s="19"/>
      <c r="E383" s="19"/>
      <c r="F383" s="22"/>
      <c r="G383" s="22"/>
      <c r="H383" s="2">
        <f t="shared" si="6"/>
        <v>0</v>
      </c>
    </row>
    <row r="384" spans="1:8" ht="14.75" customHeight="1" x14ac:dyDescent="0.35">
      <c r="A384" s="11"/>
      <c r="B384" s="31"/>
      <c r="C384" s="16"/>
      <c r="D384" s="19"/>
      <c r="E384" s="19"/>
      <c r="F384" s="22"/>
      <c r="G384" s="22"/>
      <c r="H384" s="2">
        <f t="shared" si="6"/>
        <v>0</v>
      </c>
    </row>
    <row r="385" spans="1:8" ht="14.75" customHeight="1" x14ac:dyDescent="0.35">
      <c r="A385" s="11"/>
      <c r="B385" s="31"/>
      <c r="C385" s="16"/>
      <c r="D385" s="19"/>
      <c r="E385" s="19"/>
      <c r="F385" s="22"/>
      <c r="G385" s="22"/>
      <c r="H385" s="2">
        <f t="shared" si="6"/>
        <v>0</v>
      </c>
    </row>
    <row r="386" spans="1:8" ht="14.75" customHeight="1" x14ac:dyDescent="0.35">
      <c r="A386" s="11"/>
      <c r="B386" s="31"/>
      <c r="C386" s="16"/>
      <c r="D386" s="19"/>
      <c r="E386" s="19"/>
      <c r="F386" s="22"/>
      <c r="G386" s="22"/>
      <c r="H386" s="2">
        <f t="shared" si="6"/>
        <v>0</v>
      </c>
    </row>
    <row r="387" spans="1:8" ht="14.75" customHeight="1" x14ac:dyDescent="0.35">
      <c r="A387" s="11"/>
      <c r="B387" s="31"/>
      <c r="C387" s="16"/>
      <c r="D387" s="19"/>
      <c r="E387" s="19"/>
      <c r="F387" s="22"/>
      <c r="G387" s="22"/>
      <c r="H387" s="2">
        <f t="shared" si="6"/>
        <v>0</v>
      </c>
    </row>
    <row r="388" spans="1:8" ht="14.75" customHeight="1" x14ac:dyDescent="0.35">
      <c r="A388" s="11"/>
      <c r="B388" s="31"/>
      <c r="C388" s="16"/>
      <c r="D388" s="19"/>
      <c r="E388" s="19"/>
      <c r="F388" s="22"/>
      <c r="G388" s="22"/>
      <c r="H388" s="2">
        <f t="shared" si="6"/>
        <v>0</v>
      </c>
    </row>
    <row r="389" spans="1:8" ht="14.75" customHeight="1" x14ac:dyDescent="0.35">
      <c r="A389" s="11"/>
      <c r="B389" s="31"/>
      <c r="C389" s="16"/>
      <c r="D389" s="19"/>
      <c r="E389" s="19"/>
      <c r="F389" s="22"/>
      <c r="G389" s="22"/>
      <c r="H389" s="2">
        <f t="shared" si="6"/>
        <v>0</v>
      </c>
    </row>
    <row r="390" spans="1:8" ht="14.75" customHeight="1" x14ac:dyDescent="0.35">
      <c r="A390" s="11"/>
      <c r="B390" s="31"/>
      <c r="C390" s="16"/>
      <c r="D390" s="19"/>
      <c r="E390" s="19"/>
      <c r="F390" s="22"/>
      <c r="G390" s="22"/>
      <c r="H390" s="2">
        <f t="shared" si="6"/>
        <v>0</v>
      </c>
    </row>
    <row r="391" spans="1:8" ht="14.75" customHeight="1" x14ac:dyDescent="0.35">
      <c r="A391" s="11"/>
      <c r="B391" s="31"/>
      <c r="C391" s="16"/>
      <c r="D391" s="19"/>
      <c r="E391" s="19"/>
      <c r="F391" s="22"/>
      <c r="G391" s="22"/>
      <c r="H391" s="2">
        <f t="shared" si="6"/>
        <v>0</v>
      </c>
    </row>
    <row r="392" spans="1:8" ht="14.75" customHeight="1" x14ac:dyDescent="0.35">
      <c r="A392" s="11"/>
      <c r="B392" s="31"/>
      <c r="C392" s="16"/>
      <c r="D392" s="19"/>
      <c r="E392" s="19"/>
      <c r="F392" s="22"/>
      <c r="G392" s="22"/>
      <c r="H392" s="2">
        <f t="shared" si="6"/>
        <v>0</v>
      </c>
    </row>
    <row r="393" spans="1:8" ht="14.75" customHeight="1" x14ac:dyDescent="0.35">
      <c r="A393" s="11"/>
      <c r="B393" s="31"/>
      <c r="C393" s="16"/>
      <c r="D393" s="19"/>
      <c r="E393" s="19"/>
      <c r="F393" s="22"/>
      <c r="G393" s="22"/>
      <c r="H393" s="2">
        <f t="shared" si="6"/>
        <v>0</v>
      </c>
    </row>
    <row r="394" spans="1:8" ht="14.75" customHeight="1" x14ac:dyDescent="0.35">
      <c r="A394" s="11"/>
      <c r="B394" s="31"/>
      <c r="C394" s="16"/>
      <c r="D394" s="19"/>
      <c r="E394" s="19"/>
      <c r="F394" s="22"/>
      <c r="G394" s="22"/>
      <c r="H394" s="2">
        <f t="shared" si="6"/>
        <v>0</v>
      </c>
    </row>
    <row r="395" spans="1:8" ht="14.75" customHeight="1" x14ac:dyDescent="0.35">
      <c r="A395" s="11"/>
      <c r="B395" s="31"/>
      <c r="C395" s="16"/>
      <c r="D395" s="19"/>
      <c r="E395" s="19"/>
      <c r="F395" s="22"/>
      <c r="G395" s="22"/>
      <c r="H395" s="2">
        <f t="shared" si="6"/>
        <v>0</v>
      </c>
    </row>
    <row r="396" spans="1:8" ht="14.75" customHeight="1" x14ac:dyDescent="0.35">
      <c r="A396" s="11"/>
      <c r="B396" s="31"/>
      <c r="C396" s="16"/>
      <c r="D396" s="19"/>
      <c r="E396" s="19"/>
      <c r="F396" s="22"/>
      <c r="G396" s="22"/>
      <c r="H396" s="2">
        <f t="shared" si="6"/>
        <v>0</v>
      </c>
    </row>
    <row r="397" spans="1:8" ht="14.75" customHeight="1" x14ac:dyDescent="0.35">
      <c r="A397" s="11"/>
      <c r="B397" s="31"/>
      <c r="C397" s="16"/>
      <c r="D397" s="19"/>
      <c r="E397" s="19"/>
      <c r="F397" s="22"/>
      <c r="G397" s="22"/>
      <c r="H397" s="2">
        <f t="shared" si="6"/>
        <v>0</v>
      </c>
    </row>
    <row r="398" spans="1:8" ht="14.75" customHeight="1" x14ac:dyDescent="0.35">
      <c r="A398" s="11"/>
      <c r="B398" s="31"/>
      <c r="C398" s="16"/>
      <c r="D398" s="19"/>
      <c r="E398" s="19"/>
      <c r="F398" s="22"/>
      <c r="G398" s="22"/>
      <c r="H398" s="2">
        <f t="shared" si="6"/>
        <v>0</v>
      </c>
    </row>
    <row r="399" spans="1:8" ht="14.75" customHeight="1" x14ac:dyDescent="0.35">
      <c r="A399" s="11"/>
      <c r="B399" s="31"/>
      <c r="C399" s="16"/>
      <c r="D399" s="19"/>
      <c r="E399" s="19"/>
      <c r="F399" s="22"/>
      <c r="G399" s="22"/>
      <c r="H399" s="2">
        <f t="shared" si="6"/>
        <v>0</v>
      </c>
    </row>
    <row r="400" spans="1:8" ht="14.75" customHeight="1" x14ac:dyDescent="0.35">
      <c r="A400" s="11"/>
      <c r="B400" s="31"/>
      <c r="C400" s="16"/>
      <c r="D400" s="19"/>
      <c r="E400" s="19"/>
      <c r="F400" s="22"/>
      <c r="G400" s="22"/>
      <c r="H400" s="2">
        <f t="shared" si="6"/>
        <v>0</v>
      </c>
    </row>
    <row r="401" spans="1:8" ht="14.75" customHeight="1" x14ac:dyDescent="0.35">
      <c r="A401" s="11"/>
      <c r="B401" s="31"/>
      <c r="C401" s="16"/>
      <c r="D401" s="19"/>
      <c r="E401" s="19"/>
      <c r="F401" s="22"/>
      <c r="G401" s="22"/>
      <c r="H401" s="2">
        <f t="shared" si="6"/>
        <v>0</v>
      </c>
    </row>
    <row r="402" spans="1:8" ht="14.75" customHeight="1" x14ac:dyDescent="0.35">
      <c r="A402" s="11"/>
      <c r="B402" s="31"/>
      <c r="C402" s="16"/>
      <c r="D402" s="19"/>
      <c r="E402" s="19"/>
      <c r="F402" s="22"/>
      <c r="G402" s="22"/>
      <c r="H402" s="2">
        <f t="shared" si="6"/>
        <v>0</v>
      </c>
    </row>
    <row r="403" spans="1:8" ht="14.75" customHeight="1" x14ac:dyDescent="0.35">
      <c r="A403" s="11"/>
      <c r="B403" s="31"/>
      <c r="C403" s="16"/>
      <c r="D403" s="19"/>
      <c r="E403" s="19"/>
      <c r="F403" s="22"/>
      <c r="G403" s="22"/>
      <c r="H403" s="2">
        <f t="shared" si="6"/>
        <v>0</v>
      </c>
    </row>
    <row r="404" spans="1:8" ht="14.75" customHeight="1" x14ac:dyDescent="0.35">
      <c r="A404" s="11"/>
      <c r="B404" s="31"/>
      <c r="C404" s="16"/>
      <c r="D404" s="19"/>
      <c r="E404" s="19"/>
      <c r="F404" s="22"/>
      <c r="G404" s="22"/>
      <c r="H404" s="2">
        <f t="shared" si="6"/>
        <v>0</v>
      </c>
    </row>
    <row r="405" spans="1:8" ht="14.75" customHeight="1" x14ac:dyDescent="0.35">
      <c r="A405" s="11"/>
      <c r="B405" s="31"/>
      <c r="C405" s="16"/>
      <c r="D405" s="19"/>
      <c r="E405" s="19"/>
      <c r="F405" s="22"/>
      <c r="G405" s="22"/>
      <c r="H405" s="2">
        <f t="shared" si="6"/>
        <v>0</v>
      </c>
    </row>
    <row r="406" spans="1:8" ht="14.75" customHeight="1" x14ac:dyDescent="0.35">
      <c r="A406" s="11"/>
      <c r="B406" s="31"/>
      <c r="C406" s="16"/>
      <c r="D406" s="19"/>
      <c r="E406" s="19"/>
      <c r="F406" s="22"/>
      <c r="G406" s="22"/>
      <c r="H406" s="2">
        <f t="shared" si="6"/>
        <v>0</v>
      </c>
    </row>
    <row r="407" spans="1:8" ht="14.75" customHeight="1" x14ac:dyDescent="0.35">
      <c r="A407" s="11"/>
      <c r="B407" s="31"/>
      <c r="C407" s="16"/>
      <c r="D407" s="19"/>
      <c r="E407" s="19"/>
      <c r="F407" s="22"/>
      <c r="G407" s="22"/>
      <c r="H407" s="2">
        <f t="shared" si="6"/>
        <v>0</v>
      </c>
    </row>
    <row r="408" spans="1:8" ht="14.75" customHeight="1" x14ac:dyDescent="0.35">
      <c r="A408" s="11"/>
      <c r="B408" s="31"/>
      <c r="C408" s="16"/>
      <c r="D408" s="19"/>
      <c r="E408" s="19"/>
      <c r="F408" s="22"/>
      <c r="G408" s="22"/>
      <c r="H408" s="2">
        <f t="shared" si="6"/>
        <v>0</v>
      </c>
    </row>
    <row r="409" spans="1:8" ht="14.75" customHeight="1" x14ac:dyDescent="0.35">
      <c r="A409" s="11"/>
      <c r="B409" s="31"/>
      <c r="C409" s="16"/>
      <c r="D409" s="19"/>
      <c r="E409" s="19"/>
      <c r="F409" s="22"/>
      <c r="G409" s="22"/>
      <c r="H409" s="2">
        <f t="shared" si="6"/>
        <v>0</v>
      </c>
    </row>
    <row r="410" spans="1:8" ht="14.75" customHeight="1" x14ac:dyDescent="0.35">
      <c r="A410" s="11"/>
      <c r="B410" s="31"/>
      <c r="C410" s="16"/>
      <c r="D410" s="19"/>
      <c r="E410" s="19"/>
      <c r="F410" s="22"/>
      <c r="G410" s="22"/>
      <c r="H410" s="2">
        <f t="shared" si="6"/>
        <v>0</v>
      </c>
    </row>
    <row r="411" spans="1:8" ht="14.75" customHeight="1" x14ac:dyDescent="0.35">
      <c r="A411" s="11"/>
      <c r="B411" s="31"/>
      <c r="C411" s="16"/>
      <c r="D411" s="19"/>
      <c r="E411" s="19"/>
      <c r="F411" s="22"/>
      <c r="G411" s="22"/>
      <c r="H411" s="2">
        <f t="shared" si="6"/>
        <v>0</v>
      </c>
    </row>
    <row r="412" spans="1:8" ht="14.75" customHeight="1" x14ac:dyDescent="0.35">
      <c r="A412" s="11">
        <v>26</v>
      </c>
      <c r="B412" s="31"/>
      <c r="C412" s="16"/>
      <c r="D412" s="19"/>
      <c r="E412" s="19"/>
      <c r="F412" s="24"/>
      <c r="G412" s="20"/>
      <c r="H412" s="2">
        <f t="shared" si="6"/>
        <v>0</v>
      </c>
    </row>
    <row r="413" spans="1:8" ht="14.75" customHeight="1" x14ac:dyDescent="0.35">
      <c r="A413" s="11">
        <v>27</v>
      </c>
      <c r="B413" s="31"/>
      <c r="C413" s="16"/>
      <c r="D413" s="19"/>
      <c r="E413" s="19"/>
      <c r="F413" s="24"/>
      <c r="G413" s="20"/>
      <c r="H413" s="2">
        <f t="shared" si="6"/>
        <v>0</v>
      </c>
    </row>
    <row r="414" spans="1:8" ht="14.75" customHeight="1" x14ac:dyDescent="0.35">
      <c r="A414" s="11">
        <v>28</v>
      </c>
      <c r="B414" s="31"/>
      <c r="C414" s="16"/>
      <c r="D414" s="19"/>
      <c r="E414" s="19"/>
      <c r="F414" s="24"/>
      <c r="G414" s="20"/>
      <c r="H414" s="2">
        <f t="shared" si="6"/>
        <v>0</v>
      </c>
    </row>
    <row r="415" spans="1:8" ht="14.75" customHeight="1" x14ac:dyDescent="0.35">
      <c r="A415" s="11">
        <v>29</v>
      </c>
      <c r="B415" s="31"/>
      <c r="C415" s="16"/>
      <c r="D415" s="19"/>
      <c r="E415" s="19"/>
      <c r="F415" s="24"/>
      <c r="G415" s="20"/>
      <c r="H415" s="2">
        <f t="shared" si="6"/>
        <v>0</v>
      </c>
    </row>
    <row r="416" spans="1:8" ht="14.75" customHeight="1" x14ac:dyDescent="0.35">
      <c r="A416" s="11">
        <v>30</v>
      </c>
      <c r="B416" s="31"/>
      <c r="C416" s="16"/>
      <c r="D416" s="19"/>
      <c r="E416" s="19"/>
      <c r="F416" s="24"/>
      <c r="G416" s="20"/>
      <c r="H416" s="2">
        <f t="shared" si="6"/>
        <v>0</v>
      </c>
    </row>
    <row r="417" spans="1:8" ht="14.75" customHeight="1" x14ac:dyDescent="0.35">
      <c r="A417" s="11">
        <v>31</v>
      </c>
      <c r="B417" s="31"/>
      <c r="C417" s="16"/>
      <c r="D417" s="19"/>
      <c r="E417" s="19"/>
      <c r="F417" s="24"/>
      <c r="G417" s="20"/>
      <c r="H417" s="2">
        <f t="shared" si="6"/>
        <v>0</v>
      </c>
    </row>
    <row r="418" spans="1:8" ht="14.75" customHeight="1" x14ac:dyDescent="0.35">
      <c r="A418" s="11">
        <v>32</v>
      </c>
      <c r="B418" s="31"/>
      <c r="C418" s="16"/>
      <c r="D418" s="19"/>
      <c r="E418" s="21"/>
      <c r="F418" s="22"/>
      <c r="G418" s="22"/>
      <c r="H418" s="2">
        <f t="shared" ref="H418:H481" si="7">H417+F418-G418</f>
        <v>0</v>
      </c>
    </row>
    <row r="419" spans="1:8" ht="14.75" customHeight="1" x14ac:dyDescent="0.35">
      <c r="A419" s="11">
        <v>33</v>
      </c>
      <c r="B419" s="31"/>
      <c r="C419" s="16"/>
      <c r="D419" s="21"/>
      <c r="E419" s="21"/>
      <c r="F419" s="22"/>
      <c r="G419" s="22"/>
      <c r="H419" s="2">
        <f t="shared" si="7"/>
        <v>0</v>
      </c>
    </row>
    <row r="420" spans="1:8" ht="14.75" customHeight="1" x14ac:dyDescent="0.35">
      <c r="A420" s="11">
        <v>34</v>
      </c>
      <c r="B420" s="31"/>
      <c r="C420" s="16"/>
      <c r="D420" s="21"/>
      <c r="E420" s="21"/>
      <c r="F420" s="22"/>
      <c r="G420" s="22"/>
      <c r="H420" s="2">
        <f t="shared" si="7"/>
        <v>0</v>
      </c>
    </row>
    <row r="421" spans="1:8" ht="14.75" customHeight="1" x14ac:dyDescent="0.35">
      <c r="A421" s="11">
        <v>35</v>
      </c>
      <c r="B421" s="31"/>
      <c r="C421" s="16"/>
      <c r="D421" s="21"/>
      <c r="E421" s="19"/>
      <c r="F421" s="24"/>
      <c r="G421" s="20"/>
      <c r="H421" s="2">
        <f t="shared" si="7"/>
        <v>0</v>
      </c>
    </row>
    <row r="422" spans="1:8" ht="14.75" customHeight="1" x14ac:dyDescent="0.35">
      <c r="A422" s="11">
        <v>36</v>
      </c>
      <c r="B422" s="31"/>
      <c r="C422" s="16"/>
      <c r="D422" s="19"/>
      <c r="E422" s="19"/>
      <c r="F422" s="24"/>
      <c r="G422" s="20"/>
      <c r="H422" s="2">
        <f t="shared" si="7"/>
        <v>0</v>
      </c>
    </row>
    <row r="423" spans="1:8" ht="14.75" customHeight="1" x14ac:dyDescent="0.35">
      <c r="A423" s="11">
        <v>37</v>
      </c>
      <c r="B423" s="31"/>
      <c r="C423" s="16"/>
      <c r="D423" s="19"/>
      <c r="E423" s="19"/>
      <c r="F423" s="24"/>
      <c r="G423" s="20"/>
      <c r="H423" s="2">
        <f t="shared" si="7"/>
        <v>0</v>
      </c>
    </row>
    <row r="424" spans="1:8" ht="14.75" customHeight="1" x14ac:dyDescent="0.35">
      <c r="A424" s="11">
        <v>38</v>
      </c>
      <c r="B424" s="31"/>
      <c r="C424" s="16"/>
      <c r="D424" s="19"/>
      <c r="E424" s="19"/>
      <c r="F424" s="24"/>
      <c r="G424" s="20"/>
      <c r="H424" s="2">
        <f t="shared" si="7"/>
        <v>0</v>
      </c>
    </row>
    <row r="425" spans="1:8" ht="14.75" customHeight="1" x14ac:dyDescent="0.35">
      <c r="A425" s="11">
        <v>39</v>
      </c>
      <c r="B425" s="31"/>
      <c r="C425" s="16"/>
      <c r="D425" s="19"/>
      <c r="E425" s="19"/>
      <c r="F425" s="24"/>
      <c r="G425" s="20"/>
      <c r="H425" s="2">
        <f t="shared" si="7"/>
        <v>0</v>
      </c>
    </row>
    <row r="426" spans="1:8" ht="14.75" customHeight="1" x14ac:dyDescent="0.35">
      <c r="A426" s="11">
        <v>40</v>
      </c>
      <c r="B426" s="31"/>
      <c r="C426" s="16"/>
      <c r="D426" s="19"/>
      <c r="E426" s="19"/>
      <c r="F426" s="24"/>
      <c r="G426" s="20"/>
      <c r="H426" s="2">
        <f t="shared" si="7"/>
        <v>0</v>
      </c>
    </row>
    <row r="427" spans="1:8" ht="14.75" customHeight="1" x14ac:dyDescent="0.35">
      <c r="A427" s="11">
        <v>41</v>
      </c>
      <c r="B427" s="31"/>
      <c r="C427" s="16"/>
      <c r="D427" s="19"/>
      <c r="E427" s="19"/>
      <c r="F427" s="24"/>
      <c r="G427" s="20"/>
      <c r="H427" s="2">
        <f t="shared" si="7"/>
        <v>0</v>
      </c>
    </row>
    <row r="428" spans="1:8" ht="14.75" customHeight="1" x14ac:dyDescent="0.35">
      <c r="A428" s="11">
        <v>42</v>
      </c>
      <c r="B428" s="31"/>
      <c r="C428" s="16"/>
      <c r="D428" s="19"/>
      <c r="E428" s="19"/>
      <c r="F428" s="24"/>
      <c r="G428" s="20"/>
      <c r="H428" s="2">
        <f t="shared" si="7"/>
        <v>0</v>
      </c>
    </row>
    <row r="429" spans="1:8" ht="14.75" customHeight="1" x14ac:dyDescent="0.35">
      <c r="A429" s="11">
        <v>43</v>
      </c>
      <c r="B429" s="31"/>
      <c r="C429" s="16"/>
      <c r="D429" s="19"/>
      <c r="E429" s="19"/>
      <c r="F429" s="24"/>
      <c r="G429" s="20"/>
      <c r="H429" s="2">
        <f t="shared" si="7"/>
        <v>0</v>
      </c>
    </row>
    <row r="430" spans="1:8" ht="14.75" customHeight="1" x14ac:dyDescent="0.35">
      <c r="A430" s="11">
        <v>44</v>
      </c>
      <c r="B430" s="31"/>
      <c r="C430" s="16"/>
      <c r="D430" s="19"/>
      <c r="E430" s="19"/>
      <c r="F430" s="24"/>
      <c r="G430" s="20"/>
      <c r="H430" s="2">
        <f t="shared" si="7"/>
        <v>0</v>
      </c>
    </row>
    <row r="431" spans="1:8" ht="14.75" customHeight="1" x14ac:dyDescent="0.35">
      <c r="A431" s="11">
        <v>45</v>
      </c>
      <c r="B431" s="31"/>
      <c r="C431" s="16"/>
      <c r="D431" s="21"/>
      <c r="E431" s="21"/>
      <c r="F431" s="22"/>
      <c r="G431" s="22"/>
      <c r="H431" s="2">
        <f t="shared" si="7"/>
        <v>0</v>
      </c>
    </row>
    <row r="432" spans="1:8" ht="14.75" customHeight="1" x14ac:dyDescent="0.35">
      <c r="A432" s="11">
        <v>46</v>
      </c>
      <c r="B432" s="31"/>
      <c r="C432" s="16"/>
      <c r="D432" s="21"/>
      <c r="E432" s="21"/>
      <c r="F432" s="22"/>
      <c r="G432" s="22"/>
      <c r="H432" s="2">
        <f t="shared" si="7"/>
        <v>0</v>
      </c>
    </row>
    <row r="433" spans="1:8" ht="14.75" customHeight="1" x14ac:dyDescent="0.35">
      <c r="A433" s="11">
        <v>47</v>
      </c>
      <c r="B433" s="31"/>
      <c r="C433" s="16"/>
      <c r="D433" s="21"/>
      <c r="E433" s="21"/>
      <c r="F433" s="22"/>
      <c r="G433" s="22"/>
      <c r="H433" s="2">
        <f t="shared" si="7"/>
        <v>0</v>
      </c>
    </row>
    <row r="434" spans="1:8" ht="14.75" customHeight="1" x14ac:dyDescent="0.35">
      <c r="A434" s="11">
        <v>48</v>
      </c>
      <c r="B434" s="31"/>
      <c r="C434" s="16"/>
      <c r="D434" s="21"/>
      <c r="E434" s="21"/>
      <c r="F434" s="22"/>
      <c r="G434" s="22"/>
      <c r="H434" s="2">
        <f t="shared" si="7"/>
        <v>0</v>
      </c>
    </row>
    <row r="435" spans="1:8" ht="14.75" customHeight="1" x14ac:dyDescent="0.35">
      <c r="A435" s="11">
        <v>49</v>
      </c>
      <c r="B435" s="31"/>
      <c r="C435" s="16"/>
      <c r="D435" s="21"/>
      <c r="E435" s="21"/>
      <c r="F435" s="23"/>
      <c r="G435" s="23"/>
      <c r="H435" s="2">
        <f t="shared" si="7"/>
        <v>0</v>
      </c>
    </row>
    <row r="436" spans="1:8" ht="14.75" customHeight="1" x14ac:dyDescent="0.35">
      <c r="A436" s="11">
        <v>50</v>
      </c>
      <c r="B436" s="31"/>
      <c r="C436" s="16"/>
      <c r="D436" s="21"/>
      <c r="E436" s="21"/>
      <c r="F436" s="23"/>
      <c r="G436" s="23"/>
      <c r="H436" s="2">
        <f t="shared" si="7"/>
        <v>0</v>
      </c>
    </row>
    <row r="437" spans="1:8" ht="14.75" customHeight="1" x14ac:dyDescent="0.35">
      <c r="A437" s="11">
        <v>51</v>
      </c>
      <c r="B437" s="31"/>
      <c r="C437" s="16"/>
      <c r="D437" s="21"/>
      <c r="E437" s="21"/>
      <c r="F437" s="23"/>
      <c r="G437" s="23"/>
      <c r="H437" s="2">
        <f t="shared" si="7"/>
        <v>0</v>
      </c>
    </row>
    <row r="438" spans="1:8" ht="14.75" customHeight="1" x14ac:dyDescent="0.35">
      <c r="A438" s="11">
        <v>52</v>
      </c>
      <c r="B438" s="31"/>
      <c r="C438" s="16"/>
      <c r="D438" s="19"/>
      <c r="E438" s="19"/>
      <c r="F438" s="24"/>
      <c r="G438" s="20"/>
      <c r="H438" s="2">
        <f t="shared" si="7"/>
        <v>0</v>
      </c>
    </row>
    <row r="439" spans="1:8" ht="14.75" customHeight="1" x14ac:dyDescent="0.35">
      <c r="A439" s="11">
        <v>53</v>
      </c>
      <c r="B439" s="31"/>
      <c r="C439" s="16"/>
      <c r="D439" s="19"/>
      <c r="E439" s="19"/>
      <c r="F439" s="24"/>
      <c r="G439" s="20"/>
      <c r="H439" s="2">
        <f t="shared" si="7"/>
        <v>0</v>
      </c>
    </row>
    <row r="440" spans="1:8" ht="14.75" customHeight="1" x14ac:dyDescent="0.35">
      <c r="A440" s="11">
        <v>54</v>
      </c>
      <c r="B440" s="31"/>
      <c r="C440" s="16"/>
      <c r="D440" s="21"/>
      <c r="E440" s="21"/>
      <c r="F440" s="23"/>
      <c r="G440" s="22"/>
      <c r="H440" s="2">
        <f t="shared" si="7"/>
        <v>0</v>
      </c>
    </row>
    <row r="441" spans="1:8" ht="14.75" customHeight="1" x14ac:dyDescent="0.35">
      <c r="A441" s="11">
        <v>55</v>
      </c>
      <c r="B441" s="31"/>
      <c r="C441" s="16"/>
      <c r="D441" s="19"/>
      <c r="E441" s="19"/>
      <c r="F441" s="24"/>
      <c r="G441" s="20"/>
      <c r="H441" s="2">
        <f t="shared" si="7"/>
        <v>0</v>
      </c>
    </row>
    <row r="442" spans="1:8" ht="14.75" customHeight="1" x14ac:dyDescent="0.35">
      <c r="A442" s="11">
        <v>56</v>
      </c>
      <c r="B442" s="31"/>
      <c r="C442" s="16"/>
      <c r="D442" s="19"/>
      <c r="E442" s="19"/>
      <c r="F442" s="24"/>
      <c r="G442" s="20"/>
      <c r="H442" s="2">
        <f t="shared" si="7"/>
        <v>0</v>
      </c>
    </row>
    <row r="443" spans="1:8" ht="14.75" customHeight="1" x14ac:dyDescent="0.35">
      <c r="A443" s="11">
        <v>57</v>
      </c>
      <c r="B443" s="31"/>
      <c r="C443" s="16"/>
      <c r="D443" s="19"/>
      <c r="E443" s="19"/>
      <c r="F443" s="24"/>
      <c r="G443" s="20"/>
      <c r="H443" s="2">
        <f t="shared" si="7"/>
        <v>0</v>
      </c>
    </row>
    <row r="444" spans="1:8" ht="14.75" customHeight="1" x14ac:dyDescent="0.35">
      <c r="A444" s="11">
        <v>58</v>
      </c>
      <c r="B444" s="31"/>
      <c r="C444" s="16"/>
      <c r="D444" s="19"/>
      <c r="E444" s="19"/>
      <c r="F444" s="24"/>
      <c r="G444" s="20"/>
      <c r="H444" s="2">
        <f t="shared" si="7"/>
        <v>0</v>
      </c>
    </row>
    <row r="445" spans="1:8" ht="14.75" customHeight="1" x14ac:dyDescent="0.35">
      <c r="A445" s="11">
        <v>59</v>
      </c>
      <c r="B445" s="31"/>
      <c r="C445" s="16"/>
      <c r="D445" s="19"/>
      <c r="E445" s="19"/>
      <c r="F445" s="24"/>
      <c r="G445" s="20"/>
      <c r="H445" s="2">
        <f t="shared" si="7"/>
        <v>0</v>
      </c>
    </row>
    <row r="446" spans="1:8" ht="14.75" customHeight="1" x14ac:dyDescent="0.35">
      <c r="A446" s="11">
        <v>60</v>
      </c>
      <c r="B446" s="31"/>
      <c r="C446" s="16"/>
      <c r="D446" s="19"/>
      <c r="E446" s="19"/>
      <c r="F446" s="24"/>
      <c r="G446" s="20"/>
      <c r="H446" s="2">
        <f t="shared" si="7"/>
        <v>0</v>
      </c>
    </row>
    <row r="447" spans="1:8" ht="14.75" customHeight="1" x14ac:dyDescent="0.35">
      <c r="A447" s="11">
        <v>61</v>
      </c>
      <c r="B447" s="31"/>
      <c r="C447" s="16"/>
      <c r="D447" s="19"/>
      <c r="E447" s="19"/>
      <c r="F447" s="24"/>
      <c r="G447" s="20"/>
      <c r="H447" s="2">
        <f t="shared" si="7"/>
        <v>0</v>
      </c>
    </row>
    <row r="448" spans="1:8" ht="14.75" customHeight="1" x14ac:dyDescent="0.35">
      <c r="A448" s="11">
        <v>62</v>
      </c>
      <c r="B448" s="31"/>
      <c r="C448" s="16"/>
      <c r="D448" s="19"/>
      <c r="E448" s="19"/>
      <c r="F448" s="24"/>
      <c r="G448" s="20"/>
      <c r="H448" s="2">
        <f t="shared" si="7"/>
        <v>0</v>
      </c>
    </row>
    <row r="449" spans="1:8" ht="14.75" customHeight="1" x14ac:dyDescent="0.35">
      <c r="A449" s="11">
        <v>63</v>
      </c>
      <c r="B449" s="31"/>
      <c r="C449" s="16"/>
      <c r="D449" s="19"/>
      <c r="E449" s="19"/>
      <c r="F449" s="24"/>
      <c r="G449" s="20"/>
      <c r="H449" s="2">
        <f t="shared" si="7"/>
        <v>0</v>
      </c>
    </row>
    <row r="450" spans="1:8" ht="14.75" customHeight="1" x14ac:dyDescent="0.35">
      <c r="A450" s="11">
        <v>64</v>
      </c>
      <c r="B450" s="31"/>
      <c r="C450" s="16"/>
      <c r="D450" s="19"/>
      <c r="E450" s="19"/>
      <c r="F450" s="24"/>
      <c r="G450" s="20"/>
      <c r="H450" s="2">
        <f t="shared" si="7"/>
        <v>0</v>
      </c>
    </row>
    <row r="451" spans="1:8" ht="14.75" customHeight="1" x14ac:dyDescent="0.35">
      <c r="A451" s="11">
        <v>65</v>
      </c>
      <c r="B451" s="31"/>
      <c r="C451" s="16"/>
      <c r="D451" s="19"/>
      <c r="E451" s="19"/>
      <c r="F451" s="24"/>
      <c r="G451" s="20"/>
      <c r="H451" s="2">
        <f t="shared" si="7"/>
        <v>0</v>
      </c>
    </row>
    <row r="452" spans="1:8" ht="14.75" customHeight="1" x14ac:dyDescent="0.35">
      <c r="A452" s="11">
        <v>66</v>
      </c>
      <c r="B452" s="31"/>
      <c r="C452" s="16"/>
      <c r="D452" s="19"/>
      <c r="E452" s="19"/>
      <c r="F452" s="24"/>
      <c r="G452" s="20"/>
      <c r="H452" s="2">
        <f t="shared" si="7"/>
        <v>0</v>
      </c>
    </row>
    <row r="453" spans="1:8" ht="14.75" customHeight="1" x14ac:dyDescent="0.35">
      <c r="A453" s="11">
        <v>67</v>
      </c>
      <c r="B453" s="31"/>
      <c r="C453" s="16"/>
      <c r="D453" s="19"/>
      <c r="E453" s="19"/>
      <c r="F453" s="24"/>
      <c r="G453" s="20"/>
      <c r="H453" s="2">
        <f t="shared" si="7"/>
        <v>0</v>
      </c>
    </row>
    <row r="454" spans="1:8" ht="14.75" customHeight="1" x14ac:dyDescent="0.35">
      <c r="A454" s="11">
        <v>68</v>
      </c>
      <c r="B454" s="31"/>
      <c r="C454" s="16"/>
      <c r="D454" s="19"/>
      <c r="E454" s="19"/>
      <c r="F454" s="24"/>
      <c r="G454" s="20"/>
      <c r="H454" s="2">
        <f t="shared" si="7"/>
        <v>0</v>
      </c>
    </row>
    <row r="455" spans="1:8" ht="14.75" customHeight="1" x14ac:dyDescent="0.35">
      <c r="A455" s="11">
        <v>69</v>
      </c>
      <c r="B455" s="31"/>
      <c r="C455" s="16"/>
      <c r="D455" s="19"/>
      <c r="E455" s="19"/>
      <c r="F455" s="24"/>
      <c r="G455" s="20"/>
      <c r="H455" s="2">
        <f t="shared" si="7"/>
        <v>0</v>
      </c>
    </row>
    <row r="456" spans="1:8" ht="14.75" customHeight="1" x14ac:dyDescent="0.35">
      <c r="A456" s="11">
        <v>70</v>
      </c>
      <c r="B456" s="31"/>
      <c r="C456" s="16"/>
      <c r="D456" s="19"/>
      <c r="E456" s="19"/>
      <c r="F456" s="24"/>
      <c r="G456" s="20"/>
      <c r="H456" s="2">
        <f t="shared" si="7"/>
        <v>0</v>
      </c>
    </row>
    <row r="457" spans="1:8" ht="14.75" customHeight="1" x14ac:dyDescent="0.35">
      <c r="A457" s="11">
        <v>71</v>
      </c>
      <c r="B457" s="31"/>
      <c r="C457" s="16"/>
      <c r="D457" s="19"/>
      <c r="E457" s="19"/>
      <c r="F457" s="24"/>
      <c r="G457" s="20"/>
      <c r="H457" s="2">
        <f t="shared" si="7"/>
        <v>0</v>
      </c>
    </row>
    <row r="458" spans="1:8" ht="14.75" customHeight="1" x14ac:dyDescent="0.35">
      <c r="A458" s="11">
        <v>72</v>
      </c>
      <c r="B458" s="31"/>
      <c r="C458" s="16"/>
      <c r="D458" s="19"/>
      <c r="E458" s="19"/>
      <c r="F458" s="24"/>
      <c r="G458" s="20"/>
      <c r="H458" s="2">
        <f t="shared" si="7"/>
        <v>0</v>
      </c>
    </row>
    <row r="459" spans="1:8" ht="14.75" customHeight="1" x14ac:dyDescent="0.35">
      <c r="A459" s="11">
        <v>73</v>
      </c>
      <c r="B459" s="31"/>
      <c r="C459" s="16"/>
      <c r="D459" s="19"/>
      <c r="E459" s="19"/>
      <c r="F459" s="24"/>
      <c r="G459" s="20"/>
      <c r="H459" s="2">
        <f t="shared" si="7"/>
        <v>0</v>
      </c>
    </row>
    <row r="460" spans="1:8" ht="14.75" customHeight="1" x14ac:dyDescent="0.35">
      <c r="A460" s="11">
        <v>74</v>
      </c>
      <c r="B460" s="31"/>
      <c r="C460" s="16"/>
      <c r="D460" s="19"/>
      <c r="E460" s="19"/>
      <c r="F460" s="24"/>
      <c r="G460" s="20"/>
      <c r="H460" s="2">
        <f t="shared" si="7"/>
        <v>0</v>
      </c>
    </row>
    <row r="461" spans="1:8" ht="14.75" customHeight="1" x14ac:dyDescent="0.35">
      <c r="A461" s="11">
        <v>75</v>
      </c>
      <c r="B461" s="31"/>
      <c r="C461" s="16"/>
      <c r="D461" s="19"/>
      <c r="E461" s="19"/>
      <c r="F461" s="24"/>
      <c r="G461" s="20"/>
      <c r="H461" s="2">
        <f t="shared" si="7"/>
        <v>0</v>
      </c>
    </row>
    <row r="462" spans="1:8" ht="14.75" customHeight="1" x14ac:dyDescent="0.35">
      <c r="A462" s="11">
        <v>76</v>
      </c>
      <c r="B462" s="31"/>
      <c r="C462" s="16"/>
      <c r="D462" s="19"/>
      <c r="E462" s="19"/>
      <c r="F462" s="24"/>
      <c r="G462" s="20"/>
      <c r="H462" s="2">
        <f t="shared" si="7"/>
        <v>0</v>
      </c>
    </row>
    <row r="463" spans="1:8" ht="14.75" customHeight="1" x14ac:dyDescent="0.35">
      <c r="A463" s="11">
        <v>77</v>
      </c>
      <c r="B463" s="31"/>
      <c r="C463" s="16"/>
      <c r="D463" s="19"/>
      <c r="E463" s="19"/>
      <c r="F463" s="24"/>
      <c r="G463" s="20"/>
      <c r="H463" s="2">
        <f t="shared" si="7"/>
        <v>0</v>
      </c>
    </row>
    <row r="464" spans="1:8" ht="14.75" customHeight="1" x14ac:dyDescent="0.35">
      <c r="A464" s="11">
        <v>78</v>
      </c>
      <c r="B464" s="31"/>
      <c r="C464" s="16"/>
      <c r="D464" s="19"/>
      <c r="E464" s="19"/>
      <c r="F464" s="24"/>
      <c r="G464" s="20"/>
      <c r="H464" s="2">
        <f t="shared" si="7"/>
        <v>0</v>
      </c>
    </row>
    <row r="465" spans="1:8" ht="14.75" customHeight="1" x14ac:dyDescent="0.35">
      <c r="A465" s="11">
        <v>79</v>
      </c>
      <c r="B465" s="31"/>
      <c r="C465" s="16"/>
      <c r="D465" s="19"/>
      <c r="E465" s="19"/>
      <c r="F465" s="24"/>
      <c r="G465" s="20"/>
      <c r="H465" s="2">
        <f t="shared" si="7"/>
        <v>0</v>
      </c>
    </row>
    <row r="466" spans="1:8" ht="14.75" customHeight="1" x14ac:dyDescent="0.35">
      <c r="A466" s="11">
        <v>80</v>
      </c>
      <c r="B466" s="31"/>
      <c r="C466" s="16"/>
      <c r="D466" s="19"/>
      <c r="E466" s="19"/>
      <c r="F466" s="24"/>
      <c r="G466" s="20"/>
      <c r="H466" s="2">
        <f t="shared" si="7"/>
        <v>0</v>
      </c>
    </row>
    <row r="467" spans="1:8" ht="14.75" customHeight="1" x14ac:dyDescent="0.35">
      <c r="A467" s="11">
        <v>81</v>
      </c>
      <c r="B467" s="31"/>
      <c r="C467" s="16"/>
      <c r="D467" s="19"/>
      <c r="E467" s="19"/>
      <c r="F467" s="24"/>
      <c r="G467" s="20"/>
      <c r="H467" s="2">
        <f t="shared" si="7"/>
        <v>0</v>
      </c>
    </row>
    <row r="468" spans="1:8" ht="14.75" customHeight="1" x14ac:dyDescent="0.35">
      <c r="A468" s="11">
        <v>82</v>
      </c>
      <c r="B468" s="31"/>
      <c r="C468" s="16"/>
      <c r="D468" s="19"/>
      <c r="E468" s="19"/>
      <c r="F468" s="24"/>
      <c r="G468" s="20"/>
      <c r="H468" s="2">
        <f t="shared" si="7"/>
        <v>0</v>
      </c>
    </row>
    <row r="469" spans="1:8" ht="14.75" customHeight="1" x14ac:dyDescent="0.35">
      <c r="A469" s="11">
        <v>83</v>
      </c>
      <c r="B469" s="31"/>
      <c r="C469" s="16"/>
      <c r="D469" s="19"/>
      <c r="E469" s="19"/>
      <c r="F469" s="24"/>
      <c r="G469" s="20"/>
      <c r="H469" s="2">
        <f t="shared" si="7"/>
        <v>0</v>
      </c>
    </row>
    <row r="470" spans="1:8" ht="14.75" customHeight="1" x14ac:dyDescent="0.35">
      <c r="A470" s="11">
        <v>84</v>
      </c>
      <c r="B470" s="31"/>
      <c r="C470" s="16"/>
      <c r="D470" s="19"/>
      <c r="E470" s="19"/>
      <c r="F470" s="24"/>
      <c r="G470" s="20"/>
      <c r="H470" s="2">
        <f t="shared" si="7"/>
        <v>0</v>
      </c>
    </row>
    <row r="471" spans="1:8" ht="14.75" customHeight="1" x14ac:dyDescent="0.35">
      <c r="A471" s="11">
        <v>85</v>
      </c>
      <c r="B471" s="31"/>
      <c r="C471" s="16"/>
      <c r="D471" s="19"/>
      <c r="E471" s="19"/>
      <c r="F471" s="24"/>
      <c r="G471" s="20"/>
      <c r="H471" s="2">
        <f t="shared" si="7"/>
        <v>0</v>
      </c>
    </row>
    <row r="472" spans="1:8" ht="14.75" customHeight="1" x14ac:dyDescent="0.35">
      <c r="A472" s="11">
        <v>86</v>
      </c>
      <c r="B472" s="31"/>
      <c r="C472" s="16"/>
      <c r="D472" s="19"/>
      <c r="E472" s="19"/>
      <c r="F472" s="24"/>
      <c r="G472" s="20"/>
      <c r="H472" s="2">
        <f t="shared" si="7"/>
        <v>0</v>
      </c>
    </row>
    <row r="473" spans="1:8" ht="14.75" customHeight="1" x14ac:dyDescent="0.35">
      <c r="A473" s="11">
        <v>87</v>
      </c>
      <c r="B473" s="31"/>
      <c r="C473" s="16"/>
      <c r="D473" s="19"/>
      <c r="E473" s="19"/>
      <c r="F473" s="24"/>
      <c r="G473" s="20"/>
      <c r="H473" s="2">
        <f t="shared" si="7"/>
        <v>0</v>
      </c>
    </row>
    <row r="474" spans="1:8" ht="14.75" customHeight="1" x14ac:dyDescent="0.35">
      <c r="A474" s="11">
        <v>88</v>
      </c>
      <c r="B474" s="31"/>
      <c r="C474" s="16"/>
      <c r="D474" s="19"/>
      <c r="E474" s="19"/>
      <c r="F474" s="24"/>
      <c r="G474" s="20"/>
      <c r="H474" s="2">
        <f t="shared" si="7"/>
        <v>0</v>
      </c>
    </row>
    <row r="475" spans="1:8" ht="14.75" customHeight="1" x14ac:dyDescent="0.35">
      <c r="A475" s="11">
        <v>89</v>
      </c>
      <c r="B475" s="31"/>
      <c r="C475" s="16"/>
      <c r="D475" s="19"/>
      <c r="E475" s="19"/>
      <c r="F475" s="24"/>
      <c r="G475" s="20"/>
      <c r="H475" s="2">
        <f t="shared" si="7"/>
        <v>0</v>
      </c>
    </row>
    <row r="476" spans="1:8" ht="14.75" customHeight="1" x14ac:dyDescent="0.35">
      <c r="A476" s="11">
        <v>90</v>
      </c>
      <c r="B476" s="31"/>
      <c r="C476" s="16"/>
      <c r="D476" s="19"/>
      <c r="E476" s="19"/>
      <c r="F476" s="24"/>
      <c r="G476" s="20"/>
      <c r="H476" s="2">
        <f t="shared" si="7"/>
        <v>0</v>
      </c>
    </row>
    <row r="477" spans="1:8" ht="14.75" customHeight="1" x14ac:dyDescent="0.35">
      <c r="A477" s="11">
        <v>91</v>
      </c>
      <c r="B477" s="31"/>
      <c r="C477" s="16"/>
      <c r="D477" s="19"/>
      <c r="E477" s="19"/>
      <c r="F477" s="24"/>
      <c r="G477" s="20"/>
      <c r="H477" s="2">
        <f t="shared" si="7"/>
        <v>0</v>
      </c>
    </row>
    <row r="478" spans="1:8" ht="14.75" customHeight="1" x14ac:dyDescent="0.35">
      <c r="A478" s="11">
        <v>92</v>
      </c>
      <c r="B478" s="31"/>
      <c r="C478" s="16"/>
      <c r="D478" s="19"/>
      <c r="E478" s="19"/>
      <c r="F478" s="24"/>
      <c r="G478" s="20"/>
      <c r="H478" s="2">
        <f t="shared" si="7"/>
        <v>0</v>
      </c>
    </row>
    <row r="479" spans="1:8" ht="14.75" customHeight="1" x14ac:dyDescent="0.35">
      <c r="A479" s="11">
        <v>93</v>
      </c>
      <c r="B479" s="31"/>
      <c r="C479" s="16"/>
      <c r="D479" s="19"/>
      <c r="E479" s="19"/>
      <c r="F479" s="24"/>
      <c r="G479" s="20"/>
      <c r="H479" s="2">
        <f t="shared" si="7"/>
        <v>0</v>
      </c>
    </row>
    <row r="480" spans="1:8" ht="14.75" customHeight="1" x14ac:dyDescent="0.35">
      <c r="A480" s="11">
        <v>94</v>
      </c>
      <c r="B480" s="31"/>
      <c r="C480" s="16"/>
      <c r="D480" s="19"/>
      <c r="E480" s="19"/>
      <c r="F480" s="24"/>
      <c r="G480" s="20"/>
      <c r="H480" s="2">
        <f t="shared" si="7"/>
        <v>0</v>
      </c>
    </row>
    <row r="481" spans="1:8" ht="14.75" customHeight="1" x14ac:dyDescent="0.35">
      <c r="A481" s="11">
        <v>95</v>
      </c>
      <c r="B481" s="31"/>
      <c r="C481" s="16"/>
      <c r="D481" s="19"/>
      <c r="E481" s="19"/>
      <c r="F481" s="24"/>
      <c r="G481" s="20"/>
      <c r="H481" s="2">
        <f t="shared" si="7"/>
        <v>0</v>
      </c>
    </row>
    <row r="482" spans="1:8" ht="14.75" customHeight="1" x14ac:dyDescent="0.35">
      <c r="A482" s="11">
        <v>96</v>
      </c>
      <c r="B482" s="31"/>
      <c r="C482" s="16"/>
      <c r="D482" s="19"/>
      <c r="E482" s="19"/>
      <c r="F482" s="24"/>
      <c r="G482" s="20"/>
      <c r="H482" s="2">
        <f t="shared" ref="H482:H545" si="8">H481+F482-G482</f>
        <v>0</v>
      </c>
    </row>
    <row r="483" spans="1:8" ht="14.75" customHeight="1" x14ac:dyDescent="0.35">
      <c r="A483" s="11">
        <v>97</v>
      </c>
      <c r="B483" s="31"/>
      <c r="C483" s="16"/>
      <c r="D483" s="19"/>
      <c r="E483" s="19"/>
      <c r="F483" s="24"/>
      <c r="G483" s="20"/>
      <c r="H483" s="2">
        <f t="shared" si="8"/>
        <v>0</v>
      </c>
    </row>
    <row r="484" spans="1:8" ht="14.75" customHeight="1" x14ac:dyDescent="0.35">
      <c r="A484" s="11">
        <v>98</v>
      </c>
      <c r="B484" s="31"/>
      <c r="C484" s="16"/>
      <c r="D484" s="19"/>
      <c r="E484" s="19"/>
      <c r="F484" s="24"/>
      <c r="G484" s="20"/>
      <c r="H484" s="2">
        <f t="shared" si="8"/>
        <v>0</v>
      </c>
    </row>
    <row r="485" spans="1:8" ht="14.75" customHeight="1" x14ac:dyDescent="0.35">
      <c r="A485" s="11">
        <v>99</v>
      </c>
      <c r="B485" s="31"/>
      <c r="C485" s="16"/>
      <c r="D485" s="19"/>
      <c r="E485" s="19"/>
      <c r="F485" s="24"/>
      <c r="G485" s="20"/>
      <c r="H485" s="2">
        <f t="shared" si="8"/>
        <v>0</v>
      </c>
    </row>
    <row r="486" spans="1:8" ht="14.75" customHeight="1" x14ac:dyDescent="0.35">
      <c r="A486" s="11">
        <v>100</v>
      </c>
      <c r="B486" s="31"/>
      <c r="C486" s="16"/>
      <c r="D486" s="19"/>
      <c r="E486" s="19"/>
      <c r="F486" s="24"/>
      <c r="G486" s="20"/>
      <c r="H486" s="2">
        <f t="shared" si="8"/>
        <v>0</v>
      </c>
    </row>
    <row r="487" spans="1:8" ht="14.75" customHeight="1" x14ac:dyDescent="0.35">
      <c r="A487" s="11">
        <v>101</v>
      </c>
      <c r="B487" s="31"/>
      <c r="C487" s="16"/>
      <c r="D487" s="19"/>
      <c r="E487" s="19"/>
      <c r="F487" s="24"/>
      <c r="G487" s="20"/>
      <c r="H487" s="2">
        <f t="shared" si="8"/>
        <v>0</v>
      </c>
    </row>
    <row r="488" spans="1:8" ht="14.75" customHeight="1" x14ac:dyDescent="0.35">
      <c r="A488" s="11">
        <v>102</v>
      </c>
      <c r="B488" s="31"/>
      <c r="C488" s="16"/>
      <c r="D488" s="19"/>
      <c r="E488" s="19"/>
      <c r="F488" s="24"/>
      <c r="G488" s="20"/>
      <c r="H488" s="2">
        <f t="shared" si="8"/>
        <v>0</v>
      </c>
    </row>
    <row r="489" spans="1:8" ht="14.75" customHeight="1" x14ac:dyDescent="0.35">
      <c r="A489" s="11">
        <v>103</v>
      </c>
      <c r="B489" s="31"/>
      <c r="C489" s="16"/>
      <c r="D489" s="19"/>
      <c r="E489" s="19"/>
      <c r="F489" s="24"/>
      <c r="G489" s="20"/>
      <c r="H489" s="2">
        <f t="shared" si="8"/>
        <v>0</v>
      </c>
    </row>
    <row r="490" spans="1:8" ht="14.75" customHeight="1" x14ac:dyDescent="0.35">
      <c r="A490" s="11">
        <v>104</v>
      </c>
      <c r="B490" s="31"/>
      <c r="C490" s="16"/>
      <c r="D490" s="19"/>
      <c r="E490" s="19"/>
      <c r="F490" s="24"/>
      <c r="G490" s="20"/>
      <c r="H490" s="2">
        <f t="shared" si="8"/>
        <v>0</v>
      </c>
    </row>
    <row r="491" spans="1:8" ht="14.75" customHeight="1" x14ac:dyDescent="0.35">
      <c r="A491" s="11">
        <v>105</v>
      </c>
      <c r="B491" s="31"/>
      <c r="C491" s="16"/>
      <c r="D491" s="19"/>
      <c r="E491" s="19"/>
      <c r="F491" s="24"/>
      <c r="G491" s="20"/>
      <c r="H491" s="2">
        <f t="shared" si="8"/>
        <v>0</v>
      </c>
    </row>
    <row r="492" spans="1:8" ht="14.75" customHeight="1" x14ac:dyDescent="0.35">
      <c r="A492" s="11">
        <v>106</v>
      </c>
      <c r="B492" s="31"/>
      <c r="C492" s="16"/>
      <c r="D492" s="19"/>
      <c r="E492" s="19"/>
      <c r="F492" s="24"/>
      <c r="G492" s="20"/>
      <c r="H492" s="2">
        <f t="shared" si="8"/>
        <v>0</v>
      </c>
    </row>
    <row r="493" spans="1:8" ht="14.75" customHeight="1" x14ac:dyDescent="0.35">
      <c r="A493" s="11">
        <v>107</v>
      </c>
      <c r="B493" s="31"/>
      <c r="C493" s="16"/>
      <c r="D493" s="19"/>
      <c r="E493" s="19"/>
      <c r="F493" s="24"/>
      <c r="G493" s="20"/>
      <c r="H493" s="2">
        <f t="shared" si="8"/>
        <v>0</v>
      </c>
    </row>
    <row r="494" spans="1:8" ht="14.75" customHeight="1" x14ac:dyDescent="0.35">
      <c r="A494" s="11">
        <v>108</v>
      </c>
      <c r="B494" s="31"/>
      <c r="C494" s="16"/>
      <c r="D494" s="19"/>
      <c r="E494" s="19"/>
      <c r="F494" s="24"/>
      <c r="G494" s="20"/>
      <c r="H494" s="2">
        <f t="shared" si="8"/>
        <v>0</v>
      </c>
    </row>
    <row r="495" spans="1:8" ht="14.75" customHeight="1" x14ac:dyDescent="0.35">
      <c r="A495" s="11">
        <v>109</v>
      </c>
      <c r="B495" s="31"/>
      <c r="C495" s="16"/>
      <c r="D495" s="19"/>
      <c r="E495" s="19"/>
      <c r="F495" s="24"/>
      <c r="G495" s="20"/>
      <c r="H495" s="2">
        <f t="shared" si="8"/>
        <v>0</v>
      </c>
    </row>
    <row r="496" spans="1:8" ht="14.75" customHeight="1" x14ac:dyDescent="0.35">
      <c r="A496" s="11">
        <v>110</v>
      </c>
      <c r="B496" s="31"/>
      <c r="C496" s="16"/>
      <c r="D496" s="19"/>
      <c r="E496" s="19"/>
      <c r="F496" s="24"/>
      <c r="G496" s="20"/>
      <c r="H496" s="2">
        <f t="shared" si="8"/>
        <v>0</v>
      </c>
    </row>
    <row r="497" spans="1:8" ht="14.75" customHeight="1" x14ac:dyDescent="0.35">
      <c r="A497" s="11">
        <v>111</v>
      </c>
      <c r="B497" s="31"/>
      <c r="C497" s="16"/>
      <c r="D497" s="19"/>
      <c r="E497" s="19"/>
      <c r="F497" s="24"/>
      <c r="G497" s="20"/>
      <c r="H497" s="2">
        <f t="shared" si="8"/>
        <v>0</v>
      </c>
    </row>
    <row r="498" spans="1:8" ht="14.75" customHeight="1" x14ac:dyDescent="0.35">
      <c r="A498" s="11">
        <v>112</v>
      </c>
      <c r="B498" s="31"/>
      <c r="C498" s="16"/>
      <c r="D498" s="19"/>
      <c r="E498" s="19"/>
      <c r="F498" s="24"/>
      <c r="G498" s="20"/>
      <c r="H498" s="2">
        <f t="shared" si="8"/>
        <v>0</v>
      </c>
    </row>
    <row r="499" spans="1:8" ht="14.75" customHeight="1" x14ac:dyDescent="0.35">
      <c r="A499" s="11">
        <v>113</v>
      </c>
      <c r="B499" s="31"/>
      <c r="C499" s="16"/>
      <c r="D499" s="19"/>
      <c r="E499" s="19"/>
      <c r="F499" s="24"/>
      <c r="G499" s="20"/>
      <c r="H499" s="2">
        <f t="shared" si="8"/>
        <v>0</v>
      </c>
    </row>
    <row r="500" spans="1:8" ht="14.75" customHeight="1" x14ac:dyDescent="0.35">
      <c r="A500" s="11">
        <v>114</v>
      </c>
      <c r="B500" s="31"/>
      <c r="C500" s="16"/>
      <c r="D500" s="19"/>
      <c r="E500" s="19"/>
      <c r="F500" s="24"/>
      <c r="G500" s="20"/>
      <c r="H500" s="2">
        <f t="shared" si="8"/>
        <v>0</v>
      </c>
    </row>
    <row r="501" spans="1:8" ht="14.75" customHeight="1" x14ac:dyDescent="0.35">
      <c r="A501" s="11">
        <v>115</v>
      </c>
      <c r="B501" s="31"/>
      <c r="C501" s="16"/>
      <c r="D501" s="19"/>
      <c r="E501" s="19"/>
      <c r="F501" s="24"/>
      <c r="G501" s="20"/>
      <c r="H501" s="2">
        <f t="shared" si="8"/>
        <v>0</v>
      </c>
    </row>
    <row r="502" spans="1:8" ht="14.75" customHeight="1" x14ac:dyDescent="0.35">
      <c r="A502" s="11">
        <v>116</v>
      </c>
      <c r="B502" s="31"/>
      <c r="C502" s="16"/>
      <c r="D502" s="19"/>
      <c r="E502" s="19"/>
      <c r="F502" s="24"/>
      <c r="G502" s="20"/>
      <c r="H502" s="2">
        <f t="shared" si="8"/>
        <v>0</v>
      </c>
    </row>
    <row r="503" spans="1:8" ht="14.75" customHeight="1" x14ac:dyDescent="0.35">
      <c r="A503" s="11">
        <v>117</v>
      </c>
      <c r="B503" s="31"/>
      <c r="C503" s="16"/>
      <c r="D503" s="19"/>
      <c r="E503" s="19"/>
      <c r="F503" s="24"/>
      <c r="G503" s="20"/>
      <c r="H503" s="2">
        <f t="shared" si="8"/>
        <v>0</v>
      </c>
    </row>
    <row r="504" spans="1:8" ht="14.75" customHeight="1" x14ac:dyDescent="0.35">
      <c r="A504" s="11">
        <v>118</v>
      </c>
      <c r="B504" s="31"/>
      <c r="C504" s="16"/>
      <c r="D504" s="19"/>
      <c r="E504" s="19"/>
      <c r="F504" s="24"/>
      <c r="G504" s="20"/>
      <c r="H504" s="2">
        <f t="shared" si="8"/>
        <v>0</v>
      </c>
    </row>
    <row r="505" spans="1:8" ht="14.75" customHeight="1" x14ac:dyDescent="0.35">
      <c r="A505" s="11">
        <v>119</v>
      </c>
      <c r="B505" s="31"/>
      <c r="C505" s="16"/>
      <c r="D505" s="19"/>
      <c r="E505" s="19"/>
      <c r="F505" s="24"/>
      <c r="G505" s="20"/>
      <c r="H505" s="2">
        <f t="shared" si="8"/>
        <v>0</v>
      </c>
    </row>
    <row r="506" spans="1:8" ht="14.75" customHeight="1" x14ac:dyDescent="0.35">
      <c r="A506" s="11">
        <v>120</v>
      </c>
      <c r="B506" s="31"/>
      <c r="C506" s="16"/>
      <c r="D506" s="19"/>
      <c r="E506" s="19"/>
      <c r="F506" s="24"/>
      <c r="G506" s="20"/>
      <c r="H506" s="2">
        <f t="shared" si="8"/>
        <v>0</v>
      </c>
    </row>
    <row r="507" spans="1:8" ht="14.75" customHeight="1" x14ac:dyDescent="0.35">
      <c r="A507" s="11">
        <v>121</v>
      </c>
      <c r="B507" s="31"/>
      <c r="C507" s="16"/>
      <c r="D507" s="19"/>
      <c r="E507" s="19"/>
      <c r="F507" s="24"/>
      <c r="G507" s="20"/>
      <c r="H507" s="2">
        <f t="shared" si="8"/>
        <v>0</v>
      </c>
    </row>
    <row r="508" spans="1:8" ht="14.75" customHeight="1" x14ac:dyDescent="0.35">
      <c r="A508" s="11">
        <v>122</v>
      </c>
      <c r="B508" s="31"/>
      <c r="C508" s="16"/>
      <c r="D508" s="19"/>
      <c r="E508" s="19"/>
      <c r="F508" s="24"/>
      <c r="G508" s="20"/>
      <c r="H508" s="2">
        <f t="shared" si="8"/>
        <v>0</v>
      </c>
    </row>
    <row r="509" spans="1:8" ht="14.75" customHeight="1" x14ac:dyDescent="0.35">
      <c r="A509" s="11">
        <v>123</v>
      </c>
      <c r="B509" s="31"/>
      <c r="C509" s="16"/>
      <c r="D509" s="19"/>
      <c r="E509" s="19"/>
      <c r="F509" s="24"/>
      <c r="G509" s="20"/>
      <c r="H509" s="2">
        <f t="shared" si="8"/>
        <v>0</v>
      </c>
    </row>
    <row r="510" spans="1:8" ht="14.75" customHeight="1" x14ac:dyDescent="0.35">
      <c r="A510" s="11">
        <v>124</v>
      </c>
      <c r="B510" s="31"/>
      <c r="C510" s="16"/>
      <c r="D510" s="19"/>
      <c r="E510" s="19"/>
      <c r="F510" s="24"/>
      <c r="G510" s="20"/>
      <c r="H510" s="2">
        <f t="shared" si="8"/>
        <v>0</v>
      </c>
    </row>
    <row r="511" spans="1:8" ht="14.75" customHeight="1" x14ac:dyDescent="0.35">
      <c r="A511" s="11">
        <v>125</v>
      </c>
      <c r="B511" s="31"/>
      <c r="C511" s="16"/>
      <c r="D511" s="19"/>
      <c r="E511" s="19"/>
      <c r="F511" s="24"/>
      <c r="G511" s="20"/>
      <c r="H511" s="2">
        <f t="shared" si="8"/>
        <v>0</v>
      </c>
    </row>
    <row r="512" spans="1:8" ht="14.75" customHeight="1" x14ac:dyDescent="0.35">
      <c r="A512" s="11">
        <v>126</v>
      </c>
      <c r="B512" s="31"/>
      <c r="C512" s="16"/>
      <c r="D512" s="19"/>
      <c r="E512" s="19"/>
      <c r="F512" s="24"/>
      <c r="G512" s="20"/>
      <c r="H512" s="2">
        <f t="shared" si="8"/>
        <v>0</v>
      </c>
    </row>
    <row r="513" spans="1:8" ht="14.75" customHeight="1" x14ac:dyDescent="0.35">
      <c r="A513" s="11">
        <v>127</v>
      </c>
      <c r="B513" s="31"/>
      <c r="C513" s="16"/>
      <c r="D513" s="19"/>
      <c r="E513" s="19"/>
      <c r="F513" s="24"/>
      <c r="G513" s="20"/>
      <c r="H513" s="2">
        <f t="shared" si="8"/>
        <v>0</v>
      </c>
    </row>
    <row r="514" spans="1:8" ht="14.75" customHeight="1" x14ac:dyDescent="0.35">
      <c r="A514" s="11">
        <v>128</v>
      </c>
      <c r="B514" s="31"/>
      <c r="C514" s="16"/>
      <c r="D514" s="19"/>
      <c r="E514" s="19"/>
      <c r="F514" s="24"/>
      <c r="G514" s="20"/>
      <c r="H514" s="2">
        <f t="shared" si="8"/>
        <v>0</v>
      </c>
    </row>
    <row r="515" spans="1:8" ht="14.75" customHeight="1" x14ac:dyDescent="0.35">
      <c r="A515" s="11">
        <v>129</v>
      </c>
      <c r="B515" s="31"/>
      <c r="C515" s="16"/>
      <c r="D515" s="19"/>
      <c r="E515" s="19"/>
      <c r="F515" s="24"/>
      <c r="G515" s="20"/>
      <c r="H515" s="2">
        <f t="shared" si="8"/>
        <v>0</v>
      </c>
    </row>
    <row r="516" spans="1:8" ht="14.75" customHeight="1" x14ac:dyDescent="0.35">
      <c r="A516" s="11">
        <v>130</v>
      </c>
      <c r="B516" s="31"/>
      <c r="C516" s="16"/>
      <c r="D516" s="19"/>
      <c r="E516" s="19"/>
      <c r="F516" s="24"/>
      <c r="G516" s="20"/>
      <c r="H516" s="2">
        <f t="shared" si="8"/>
        <v>0</v>
      </c>
    </row>
    <row r="517" spans="1:8" ht="14.75" customHeight="1" x14ac:dyDescent="0.35">
      <c r="A517" s="11">
        <v>131</v>
      </c>
      <c r="B517" s="31"/>
      <c r="C517" s="16"/>
      <c r="D517" s="19"/>
      <c r="E517" s="19"/>
      <c r="F517" s="24"/>
      <c r="G517" s="20"/>
      <c r="H517" s="2">
        <f t="shared" si="8"/>
        <v>0</v>
      </c>
    </row>
    <row r="518" spans="1:8" ht="14.75" customHeight="1" x14ac:dyDescent="0.35">
      <c r="A518" s="11">
        <v>132</v>
      </c>
      <c r="B518" s="31"/>
      <c r="C518" s="16"/>
      <c r="D518" s="19"/>
      <c r="E518" s="19"/>
      <c r="F518" s="24"/>
      <c r="G518" s="20"/>
      <c r="H518" s="2">
        <f t="shared" si="8"/>
        <v>0</v>
      </c>
    </row>
    <row r="519" spans="1:8" ht="14.75" customHeight="1" x14ac:dyDescent="0.35">
      <c r="A519" s="11">
        <v>133</v>
      </c>
      <c r="B519" s="31"/>
      <c r="C519" s="16"/>
      <c r="D519" s="19"/>
      <c r="E519" s="19"/>
      <c r="F519" s="24"/>
      <c r="G519" s="20"/>
      <c r="H519" s="2">
        <f t="shared" si="8"/>
        <v>0</v>
      </c>
    </row>
    <row r="520" spans="1:8" ht="14.75" customHeight="1" x14ac:dyDescent="0.35">
      <c r="A520" s="11">
        <v>134</v>
      </c>
      <c r="B520" s="31"/>
      <c r="C520" s="16"/>
      <c r="D520" s="19"/>
      <c r="E520" s="19"/>
      <c r="F520" s="24"/>
      <c r="G520" s="20"/>
      <c r="H520" s="2">
        <f t="shared" si="8"/>
        <v>0</v>
      </c>
    </row>
    <row r="521" spans="1:8" ht="14.75" customHeight="1" x14ac:dyDescent="0.35">
      <c r="A521" s="11">
        <v>135</v>
      </c>
      <c r="B521" s="31"/>
      <c r="C521" s="16"/>
      <c r="D521" s="19"/>
      <c r="E521" s="19"/>
      <c r="F521" s="24"/>
      <c r="G521" s="20"/>
      <c r="H521" s="2">
        <f t="shared" si="8"/>
        <v>0</v>
      </c>
    </row>
    <row r="522" spans="1:8" ht="14.75" customHeight="1" x14ac:dyDescent="0.35">
      <c r="A522" s="11">
        <v>136</v>
      </c>
      <c r="B522" s="31"/>
      <c r="C522" s="16"/>
      <c r="D522" s="19"/>
      <c r="E522" s="19"/>
      <c r="F522" s="24"/>
      <c r="G522" s="20"/>
      <c r="H522" s="2">
        <f t="shared" si="8"/>
        <v>0</v>
      </c>
    </row>
    <row r="523" spans="1:8" ht="14.75" customHeight="1" x14ac:dyDescent="0.35">
      <c r="A523" s="11">
        <v>137</v>
      </c>
      <c r="B523" s="31"/>
      <c r="C523" s="16"/>
      <c r="D523" s="19"/>
      <c r="E523" s="19"/>
      <c r="F523" s="24"/>
      <c r="G523" s="20"/>
      <c r="H523" s="2">
        <f t="shared" si="8"/>
        <v>0</v>
      </c>
    </row>
    <row r="524" spans="1:8" ht="14.75" customHeight="1" x14ac:dyDescent="0.35">
      <c r="A524" s="11">
        <v>138</v>
      </c>
      <c r="B524" s="31"/>
      <c r="C524" s="16"/>
      <c r="D524" s="19"/>
      <c r="E524" s="19"/>
      <c r="F524" s="24"/>
      <c r="G524" s="20"/>
      <c r="H524" s="2">
        <f t="shared" si="8"/>
        <v>0</v>
      </c>
    </row>
    <row r="525" spans="1:8" ht="14.75" customHeight="1" x14ac:dyDescent="0.35">
      <c r="A525" s="11">
        <v>139</v>
      </c>
      <c r="B525" s="31"/>
      <c r="C525" s="16"/>
      <c r="D525" s="19"/>
      <c r="E525" s="19"/>
      <c r="F525" s="24"/>
      <c r="G525" s="20"/>
      <c r="H525" s="2">
        <f t="shared" si="8"/>
        <v>0</v>
      </c>
    </row>
    <row r="526" spans="1:8" ht="14.75" customHeight="1" x14ac:dyDescent="0.35">
      <c r="A526" s="11">
        <v>140</v>
      </c>
      <c r="B526" s="31"/>
      <c r="C526" s="16"/>
      <c r="D526" s="19"/>
      <c r="E526" s="19"/>
      <c r="F526" s="24"/>
      <c r="G526" s="20"/>
      <c r="H526" s="2">
        <f t="shared" si="8"/>
        <v>0</v>
      </c>
    </row>
    <row r="527" spans="1:8" ht="14.75" customHeight="1" x14ac:dyDescent="0.35">
      <c r="A527" s="11">
        <v>141</v>
      </c>
      <c r="B527" s="31"/>
      <c r="C527" s="16"/>
      <c r="D527" s="19"/>
      <c r="E527" s="19"/>
      <c r="F527" s="24"/>
      <c r="G527" s="20"/>
      <c r="H527" s="2">
        <f t="shared" si="8"/>
        <v>0</v>
      </c>
    </row>
    <row r="528" spans="1:8" ht="14.75" customHeight="1" x14ac:dyDescent="0.35">
      <c r="A528" s="11">
        <v>142</v>
      </c>
      <c r="B528" s="31"/>
      <c r="C528" s="16"/>
      <c r="D528" s="19"/>
      <c r="E528" s="19"/>
      <c r="F528" s="24"/>
      <c r="G528" s="20"/>
      <c r="H528" s="2">
        <f t="shared" si="8"/>
        <v>0</v>
      </c>
    </row>
    <row r="529" spans="1:8" ht="14.75" customHeight="1" x14ac:dyDescent="0.35">
      <c r="A529" s="11">
        <v>143</v>
      </c>
      <c r="B529" s="31"/>
      <c r="C529" s="16"/>
      <c r="D529" s="19"/>
      <c r="E529" s="19"/>
      <c r="F529" s="24"/>
      <c r="G529" s="20"/>
      <c r="H529" s="2">
        <f t="shared" si="8"/>
        <v>0</v>
      </c>
    </row>
    <row r="530" spans="1:8" ht="14.75" customHeight="1" x14ac:dyDescent="0.35">
      <c r="A530" s="11">
        <v>144</v>
      </c>
      <c r="B530" s="31"/>
      <c r="C530" s="16"/>
      <c r="D530" s="19"/>
      <c r="E530" s="19"/>
      <c r="F530" s="24"/>
      <c r="G530" s="20"/>
      <c r="H530" s="2">
        <f t="shared" si="8"/>
        <v>0</v>
      </c>
    </row>
    <row r="531" spans="1:8" ht="14.75" customHeight="1" x14ac:dyDescent="0.35">
      <c r="A531" s="11">
        <v>145</v>
      </c>
      <c r="B531" s="31"/>
      <c r="C531" s="16"/>
      <c r="D531" s="19"/>
      <c r="E531" s="19"/>
      <c r="F531" s="24"/>
      <c r="G531" s="20"/>
      <c r="H531" s="2">
        <f t="shared" si="8"/>
        <v>0</v>
      </c>
    </row>
    <row r="532" spans="1:8" ht="14.75" customHeight="1" x14ac:dyDescent="0.35">
      <c r="A532" s="11">
        <v>146</v>
      </c>
      <c r="B532" s="31"/>
      <c r="C532" s="16"/>
      <c r="D532" s="19"/>
      <c r="E532" s="19"/>
      <c r="F532" s="24"/>
      <c r="G532" s="20"/>
      <c r="H532" s="2">
        <f t="shared" si="8"/>
        <v>0</v>
      </c>
    </row>
    <row r="533" spans="1:8" ht="14.75" customHeight="1" x14ac:dyDescent="0.35">
      <c r="A533" s="11">
        <v>147</v>
      </c>
      <c r="B533" s="31"/>
      <c r="C533" s="16"/>
      <c r="D533" s="19"/>
      <c r="E533" s="19"/>
      <c r="F533" s="24"/>
      <c r="G533" s="20"/>
      <c r="H533" s="2">
        <f t="shared" si="8"/>
        <v>0</v>
      </c>
    </row>
    <row r="534" spans="1:8" ht="14.75" customHeight="1" x14ac:dyDescent="0.35">
      <c r="A534" s="11">
        <v>148</v>
      </c>
      <c r="B534" s="31"/>
      <c r="C534" s="16"/>
      <c r="D534" s="19"/>
      <c r="E534" s="19"/>
      <c r="F534" s="24"/>
      <c r="G534" s="20"/>
      <c r="H534" s="2">
        <f t="shared" si="8"/>
        <v>0</v>
      </c>
    </row>
    <row r="535" spans="1:8" ht="14.75" customHeight="1" x14ac:dyDescent="0.35">
      <c r="A535" s="11">
        <v>149</v>
      </c>
      <c r="B535" s="31"/>
      <c r="C535" s="16"/>
      <c r="D535" s="19"/>
      <c r="E535" s="19"/>
      <c r="F535" s="24"/>
      <c r="G535" s="20"/>
      <c r="H535" s="2">
        <f t="shared" si="8"/>
        <v>0</v>
      </c>
    </row>
    <row r="536" spans="1:8" ht="14.75" customHeight="1" x14ac:dyDescent="0.35">
      <c r="A536" s="11">
        <v>150</v>
      </c>
      <c r="B536" s="31"/>
      <c r="C536" s="16"/>
      <c r="D536" s="19"/>
      <c r="E536" s="19"/>
      <c r="F536" s="24"/>
      <c r="G536" s="20"/>
      <c r="H536" s="2">
        <f t="shared" si="8"/>
        <v>0</v>
      </c>
    </row>
    <row r="537" spans="1:8" ht="14.75" customHeight="1" x14ac:dyDescent="0.35">
      <c r="A537" s="11">
        <v>151</v>
      </c>
      <c r="B537" s="31"/>
      <c r="C537" s="16"/>
      <c r="D537" s="19"/>
      <c r="E537" s="19"/>
      <c r="F537" s="24"/>
      <c r="G537" s="20"/>
      <c r="H537" s="2">
        <f t="shared" si="8"/>
        <v>0</v>
      </c>
    </row>
    <row r="538" spans="1:8" ht="14.75" customHeight="1" x14ac:dyDescent="0.35">
      <c r="A538" s="11">
        <v>152</v>
      </c>
      <c r="B538" s="31"/>
      <c r="C538" s="16"/>
      <c r="D538" s="19"/>
      <c r="E538" s="19"/>
      <c r="F538" s="24"/>
      <c r="G538" s="20"/>
      <c r="H538" s="2">
        <f t="shared" si="8"/>
        <v>0</v>
      </c>
    </row>
    <row r="539" spans="1:8" ht="14.75" customHeight="1" x14ac:dyDescent="0.35">
      <c r="A539" s="11">
        <v>153</v>
      </c>
      <c r="B539" s="31"/>
      <c r="C539" s="16"/>
      <c r="D539" s="19"/>
      <c r="E539" s="19"/>
      <c r="F539" s="24"/>
      <c r="G539" s="20"/>
      <c r="H539" s="2">
        <f t="shared" si="8"/>
        <v>0</v>
      </c>
    </row>
    <row r="540" spans="1:8" ht="14.75" customHeight="1" x14ac:dyDescent="0.35">
      <c r="A540" s="11">
        <v>154</v>
      </c>
      <c r="B540" s="31"/>
      <c r="C540" s="16"/>
      <c r="D540" s="19"/>
      <c r="E540" s="19"/>
      <c r="F540" s="24"/>
      <c r="G540" s="20"/>
      <c r="H540" s="2">
        <f t="shared" si="8"/>
        <v>0</v>
      </c>
    </row>
    <row r="541" spans="1:8" ht="14.75" customHeight="1" x14ac:dyDescent="0.35">
      <c r="A541" s="11">
        <v>155</v>
      </c>
      <c r="B541" s="31"/>
      <c r="C541" s="16"/>
      <c r="D541" s="19"/>
      <c r="E541" s="19"/>
      <c r="F541" s="24"/>
      <c r="G541" s="20"/>
      <c r="H541" s="2">
        <f t="shared" si="8"/>
        <v>0</v>
      </c>
    </row>
    <row r="542" spans="1:8" ht="14.75" customHeight="1" x14ac:dyDescent="0.35">
      <c r="A542" s="11">
        <v>156</v>
      </c>
      <c r="B542" s="31"/>
      <c r="C542" s="16"/>
      <c r="D542" s="19"/>
      <c r="E542" s="19"/>
      <c r="F542" s="24"/>
      <c r="G542" s="20"/>
      <c r="H542" s="2">
        <f t="shared" si="8"/>
        <v>0</v>
      </c>
    </row>
    <row r="543" spans="1:8" ht="14.75" customHeight="1" x14ac:dyDescent="0.35">
      <c r="A543" s="11">
        <v>157</v>
      </c>
      <c r="B543" s="31"/>
      <c r="C543" s="16"/>
      <c r="D543" s="19"/>
      <c r="E543" s="19"/>
      <c r="F543" s="24"/>
      <c r="G543" s="20"/>
      <c r="H543" s="2">
        <f t="shared" si="8"/>
        <v>0</v>
      </c>
    </row>
    <row r="544" spans="1:8" ht="14.75" customHeight="1" x14ac:dyDescent="0.35">
      <c r="A544" s="11">
        <v>158</v>
      </c>
      <c r="B544" s="31"/>
      <c r="C544" s="16"/>
      <c r="D544" s="19"/>
      <c r="E544" s="19"/>
      <c r="F544" s="24"/>
      <c r="G544" s="20"/>
      <c r="H544" s="2">
        <f t="shared" si="8"/>
        <v>0</v>
      </c>
    </row>
    <row r="545" spans="1:8" ht="14.75" customHeight="1" x14ac:dyDescent="0.35">
      <c r="A545" s="11">
        <v>159</v>
      </c>
      <c r="B545" s="31"/>
      <c r="C545" s="16"/>
      <c r="D545" s="19"/>
      <c r="E545" s="19"/>
      <c r="F545" s="24"/>
      <c r="G545" s="20"/>
      <c r="H545" s="2">
        <f t="shared" si="8"/>
        <v>0</v>
      </c>
    </row>
    <row r="546" spans="1:8" ht="14.75" customHeight="1" x14ac:dyDescent="0.35">
      <c r="A546" s="11">
        <v>160</v>
      </c>
      <c r="B546" s="31"/>
      <c r="C546" s="16"/>
      <c r="D546" s="19"/>
      <c r="E546" s="19"/>
      <c r="F546" s="24"/>
      <c r="G546" s="20"/>
      <c r="H546" s="2">
        <f t="shared" ref="H546:H609" si="9">H545+F546-G546</f>
        <v>0</v>
      </c>
    </row>
    <row r="547" spans="1:8" ht="14.75" customHeight="1" x14ac:dyDescent="0.35">
      <c r="A547" s="11">
        <v>161</v>
      </c>
      <c r="B547" s="31"/>
      <c r="C547" s="16"/>
      <c r="D547" s="19"/>
      <c r="E547" s="19"/>
      <c r="F547" s="24"/>
      <c r="G547" s="20"/>
      <c r="H547" s="2">
        <f t="shared" si="9"/>
        <v>0</v>
      </c>
    </row>
    <row r="548" spans="1:8" ht="14.75" customHeight="1" x14ac:dyDescent="0.35">
      <c r="A548" s="11">
        <v>162</v>
      </c>
      <c r="B548" s="31"/>
      <c r="C548" s="16"/>
      <c r="D548" s="19"/>
      <c r="E548" s="19"/>
      <c r="F548" s="24"/>
      <c r="G548" s="20"/>
      <c r="H548" s="2">
        <f t="shared" si="9"/>
        <v>0</v>
      </c>
    </row>
    <row r="549" spans="1:8" ht="14.75" customHeight="1" x14ac:dyDescent="0.35">
      <c r="A549" s="11">
        <v>163</v>
      </c>
      <c r="B549" s="31"/>
      <c r="C549" s="16"/>
      <c r="D549" s="19"/>
      <c r="E549" s="19"/>
      <c r="F549" s="24"/>
      <c r="G549" s="20"/>
      <c r="H549" s="2">
        <f t="shared" si="9"/>
        <v>0</v>
      </c>
    </row>
    <row r="550" spans="1:8" ht="14.75" customHeight="1" x14ac:dyDescent="0.35">
      <c r="A550" s="11">
        <v>164</v>
      </c>
      <c r="B550" s="31"/>
      <c r="C550" s="16"/>
      <c r="D550" s="19"/>
      <c r="E550" s="19"/>
      <c r="F550" s="24"/>
      <c r="G550" s="20"/>
      <c r="H550" s="2">
        <f t="shared" si="9"/>
        <v>0</v>
      </c>
    </row>
    <row r="551" spans="1:8" ht="14.75" customHeight="1" x14ac:dyDescent="0.35">
      <c r="A551" s="11">
        <v>165</v>
      </c>
      <c r="B551" s="31"/>
      <c r="C551" s="16"/>
      <c r="D551" s="19"/>
      <c r="E551" s="19"/>
      <c r="F551" s="24"/>
      <c r="G551" s="20"/>
      <c r="H551" s="2">
        <f t="shared" si="9"/>
        <v>0</v>
      </c>
    </row>
    <row r="552" spans="1:8" ht="14.75" customHeight="1" x14ac:dyDescent="0.35">
      <c r="A552" s="11">
        <v>166</v>
      </c>
      <c r="B552" s="31"/>
      <c r="C552" s="16"/>
      <c r="D552" s="19"/>
      <c r="E552" s="19"/>
      <c r="F552" s="24"/>
      <c r="G552" s="20"/>
      <c r="H552" s="2">
        <f t="shared" si="9"/>
        <v>0</v>
      </c>
    </row>
    <row r="553" spans="1:8" ht="14.75" customHeight="1" x14ac:dyDescent="0.35">
      <c r="A553" s="11">
        <v>167</v>
      </c>
      <c r="B553" s="31"/>
      <c r="C553" s="16"/>
      <c r="D553" s="19"/>
      <c r="E553" s="19"/>
      <c r="F553" s="24"/>
      <c r="G553" s="20"/>
      <c r="H553" s="2">
        <f t="shared" si="9"/>
        <v>0</v>
      </c>
    </row>
    <row r="554" spans="1:8" ht="14.75" customHeight="1" x14ac:dyDescent="0.35">
      <c r="A554" s="11">
        <v>168</v>
      </c>
      <c r="B554" s="31"/>
      <c r="C554" s="16"/>
      <c r="D554" s="19"/>
      <c r="E554" s="19"/>
      <c r="F554" s="24"/>
      <c r="G554" s="20"/>
      <c r="H554" s="2">
        <f t="shared" si="9"/>
        <v>0</v>
      </c>
    </row>
    <row r="555" spans="1:8" ht="14.75" customHeight="1" x14ac:dyDescent="0.35">
      <c r="A555" s="11">
        <v>169</v>
      </c>
      <c r="B555" s="31"/>
      <c r="C555" s="16"/>
      <c r="D555" s="19"/>
      <c r="E555" s="19"/>
      <c r="F555" s="24"/>
      <c r="G555" s="20"/>
      <c r="H555" s="2">
        <f t="shared" si="9"/>
        <v>0</v>
      </c>
    </row>
    <row r="556" spans="1:8" ht="14.75" customHeight="1" x14ac:dyDescent="0.35">
      <c r="A556" s="11">
        <v>170</v>
      </c>
      <c r="B556" s="31"/>
      <c r="C556" s="16"/>
      <c r="D556" s="19"/>
      <c r="E556" s="19"/>
      <c r="F556" s="24"/>
      <c r="G556" s="20"/>
      <c r="H556" s="2">
        <f t="shared" si="9"/>
        <v>0</v>
      </c>
    </row>
    <row r="557" spans="1:8" ht="14.75" customHeight="1" x14ac:dyDescent="0.35">
      <c r="A557" s="11">
        <v>171</v>
      </c>
      <c r="B557" s="31"/>
      <c r="C557" s="16"/>
      <c r="D557" s="19"/>
      <c r="E557" s="19"/>
      <c r="F557" s="24"/>
      <c r="G557" s="20"/>
      <c r="H557" s="2">
        <f t="shared" si="9"/>
        <v>0</v>
      </c>
    </row>
    <row r="558" spans="1:8" ht="14.75" customHeight="1" x14ac:dyDescent="0.35">
      <c r="A558" s="11">
        <v>172</v>
      </c>
      <c r="B558" s="31"/>
      <c r="C558" s="16"/>
      <c r="D558" s="19"/>
      <c r="E558" s="19"/>
      <c r="F558" s="24"/>
      <c r="G558" s="20"/>
      <c r="H558" s="2">
        <f t="shared" si="9"/>
        <v>0</v>
      </c>
    </row>
    <row r="559" spans="1:8" ht="14.75" customHeight="1" x14ac:dyDescent="0.35">
      <c r="A559" s="11">
        <v>173</v>
      </c>
      <c r="B559" s="31"/>
      <c r="C559" s="16"/>
      <c r="D559" s="19"/>
      <c r="E559" s="19"/>
      <c r="F559" s="24"/>
      <c r="G559" s="20"/>
      <c r="H559" s="2">
        <f t="shared" si="9"/>
        <v>0</v>
      </c>
    </row>
    <row r="560" spans="1:8" ht="14.75" customHeight="1" x14ac:dyDescent="0.35">
      <c r="A560" s="11">
        <v>174</v>
      </c>
      <c r="B560" s="31"/>
      <c r="C560" s="16"/>
      <c r="D560" s="19"/>
      <c r="E560" s="19"/>
      <c r="F560" s="24"/>
      <c r="G560" s="20"/>
      <c r="H560" s="2">
        <f t="shared" si="9"/>
        <v>0</v>
      </c>
    </row>
    <row r="561" spans="1:8" ht="14.75" customHeight="1" x14ac:dyDescent="0.35">
      <c r="A561" s="11">
        <v>175</v>
      </c>
      <c r="B561" s="31"/>
      <c r="C561" s="16"/>
      <c r="D561" s="19"/>
      <c r="E561" s="19"/>
      <c r="F561" s="24"/>
      <c r="G561" s="20"/>
      <c r="H561" s="2">
        <f t="shared" si="9"/>
        <v>0</v>
      </c>
    </row>
    <row r="562" spans="1:8" ht="14.75" customHeight="1" x14ac:dyDescent="0.35">
      <c r="A562" s="11">
        <v>176</v>
      </c>
      <c r="B562" s="31"/>
      <c r="C562" s="16"/>
      <c r="D562" s="19"/>
      <c r="E562" s="19"/>
      <c r="F562" s="24"/>
      <c r="G562" s="20"/>
      <c r="H562" s="2">
        <f t="shared" si="9"/>
        <v>0</v>
      </c>
    </row>
    <row r="563" spans="1:8" ht="14.75" customHeight="1" x14ac:dyDescent="0.35">
      <c r="A563" s="11">
        <v>177</v>
      </c>
      <c r="B563" s="31"/>
      <c r="C563" s="16"/>
      <c r="D563" s="19"/>
      <c r="E563" s="19"/>
      <c r="F563" s="24"/>
      <c r="G563" s="20"/>
      <c r="H563" s="2">
        <f t="shared" si="9"/>
        <v>0</v>
      </c>
    </row>
    <row r="564" spans="1:8" ht="14.75" customHeight="1" x14ac:dyDescent="0.35">
      <c r="A564" s="11">
        <v>178</v>
      </c>
      <c r="B564" s="31"/>
      <c r="C564" s="16"/>
      <c r="D564" s="19"/>
      <c r="E564" s="19"/>
      <c r="F564" s="24"/>
      <c r="G564" s="20"/>
      <c r="H564" s="2">
        <f t="shared" si="9"/>
        <v>0</v>
      </c>
    </row>
    <row r="565" spans="1:8" ht="14.75" customHeight="1" x14ac:dyDescent="0.35">
      <c r="A565" s="11">
        <v>179</v>
      </c>
      <c r="B565" s="31"/>
      <c r="C565" s="16"/>
      <c r="D565" s="19"/>
      <c r="E565" s="19"/>
      <c r="F565" s="24"/>
      <c r="G565" s="20"/>
      <c r="H565" s="2">
        <f t="shared" si="9"/>
        <v>0</v>
      </c>
    </row>
    <row r="566" spans="1:8" ht="14.75" customHeight="1" x14ac:dyDescent="0.35">
      <c r="A566" s="11">
        <v>180</v>
      </c>
      <c r="B566" s="31"/>
      <c r="C566" s="16"/>
      <c r="D566" s="19"/>
      <c r="E566" s="19"/>
      <c r="F566" s="24"/>
      <c r="G566" s="20"/>
      <c r="H566" s="2">
        <f t="shared" si="9"/>
        <v>0</v>
      </c>
    </row>
    <row r="567" spans="1:8" ht="14.75" customHeight="1" x14ac:dyDescent="0.35">
      <c r="A567" s="11">
        <v>181</v>
      </c>
      <c r="B567" s="31"/>
      <c r="C567" s="16"/>
      <c r="D567" s="19"/>
      <c r="E567" s="19"/>
      <c r="F567" s="24"/>
      <c r="G567" s="20"/>
      <c r="H567" s="2">
        <f t="shared" si="9"/>
        <v>0</v>
      </c>
    </row>
    <row r="568" spans="1:8" ht="14.75" customHeight="1" x14ac:dyDescent="0.35">
      <c r="A568" s="11">
        <v>182</v>
      </c>
      <c r="B568" s="31"/>
      <c r="C568" s="16"/>
      <c r="D568" s="19"/>
      <c r="E568" s="19"/>
      <c r="F568" s="24"/>
      <c r="G568" s="20"/>
      <c r="H568" s="2">
        <f t="shared" si="9"/>
        <v>0</v>
      </c>
    </row>
    <row r="569" spans="1:8" ht="14.75" customHeight="1" x14ac:dyDescent="0.35">
      <c r="A569" s="11">
        <v>183</v>
      </c>
      <c r="B569" s="31"/>
      <c r="C569" s="16"/>
      <c r="D569" s="19"/>
      <c r="E569" s="19"/>
      <c r="F569" s="24"/>
      <c r="G569" s="20"/>
      <c r="H569" s="2">
        <f t="shared" si="9"/>
        <v>0</v>
      </c>
    </row>
    <row r="570" spans="1:8" ht="14.75" customHeight="1" x14ac:dyDescent="0.35">
      <c r="A570" s="11">
        <v>184</v>
      </c>
      <c r="B570" s="31"/>
      <c r="C570" s="16"/>
      <c r="D570" s="19"/>
      <c r="E570" s="19"/>
      <c r="F570" s="24"/>
      <c r="G570" s="20"/>
      <c r="H570" s="2">
        <f t="shared" si="9"/>
        <v>0</v>
      </c>
    </row>
    <row r="571" spans="1:8" ht="14.75" customHeight="1" x14ac:dyDescent="0.35">
      <c r="A571" s="11">
        <v>185</v>
      </c>
      <c r="B571" s="31"/>
      <c r="C571" s="16"/>
      <c r="D571" s="19"/>
      <c r="E571" s="19"/>
      <c r="F571" s="24"/>
      <c r="G571" s="20"/>
      <c r="H571" s="2">
        <f t="shared" si="9"/>
        <v>0</v>
      </c>
    </row>
    <row r="572" spans="1:8" ht="14.75" customHeight="1" x14ac:dyDescent="0.35">
      <c r="A572" s="11">
        <v>186</v>
      </c>
      <c r="B572" s="31"/>
      <c r="C572" s="16"/>
      <c r="D572" s="19"/>
      <c r="E572" s="19"/>
      <c r="F572" s="24"/>
      <c r="G572" s="20"/>
      <c r="H572" s="2">
        <f t="shared" si="9"/>
        <v>0</v>
      </c>
    </row>
    <row r="573" spans="1:8" ht="14.75" customHeight="1" x14ac:dyDescent="0.35">
      <c r="A573" s="11">
        <v>187</v>
      </c>
      <c r="B573" s="31"/>
      <c r="C573" s="16"/>
      <c r="D573" s="19"/>
      <c r="E573" s="19"/>
      <c r="F573" s="24"/>
      <c r="G573" s="20"/>
      <c r="H573" s="2">
        <f t="shared" si="9"/>
        <v>0</v>
      </c>
    </row>
    <row r="574" spans="1:8" ht="14.75" customHeight="1" x14ac:dyDescent="0.35">
      <c r="A574" s="11">
        <v>188</v>
      </c>
      <c r="B574" s="31"/>
      <c r="C574" s="16"/>
      <c r="D574" s="19"/>
      <c r="E574" s="19"/>
      <c r="F574" s="24"/>
      <c r="G574" s="20"/>
      <c r="H574" s="2">
        <f t="shared" si="9"/>
        <v>0</v>
      </c>
    </row>
    <row r="575" spans="1:8" ht="14.75" customHeight="1" x14ac:dyDescent="0.35">
      <c r="A575" s="11">
        <v>189</v>
      </c>
      <c r="B575" s="31"/>
      <c r="C575" s="16"/>
      <c r="D575" s="19"/>
      <c r="E575" s="19"/>
      <c r="F575" s="24"/>
      <c r="G575" s="20"/>
      <c r="H575" s="2">
        <f t="shared" si="9"/>
        <v>0</v>
      </c>
    </row>
    <row r="576" spans="1:8" ht="14.75" customHeight="1" x14ac:dyDescent="0.35">
      <c r="A576" s="11">
        <v>190</v>
      </c>
      <c r="B576" s="31"/>
      <c r="C576" s="16"/>
      <c r="D576" s="19"/>
      <c r="E576" s="19"/>
      <c r="F576" s="24"/>
      <c r="G576" s="20"/>
      <c r="H576" s="2">
        <f t="shared" si="9"/>
        <v>0</v>
      </c>
    </row>
    <row r="577" spans="1:8" ht="14.75" customHeight="1" x14ac:dyDescent="0.35">
      <c r="A577" s="11">
        <v>191</v>
      </c>
      <c r="B577" s="31"/>
      <c r="C577" s="16"/>
      <c r="D577" s="19"/>
      <c r="E577" s="19"/>
      <c r="F577" s="24"/>
      <c r="G577" s="20"/>
      <c r="H577" s="2">
        <f t="shared" si="9"/>
        <v>0</v>
      </c>
    </row>
    <row r="578" spans="1:8" ht="14.75" customHeight="1" x14ac:dyDescent="0.35">
      <c r="A578" s="11">
        <v>192</v>
      </c>
      <c r="B578" s="31"/>
      <c r="C578" s="16"/>
      <c r="D578" s="19"/>
      <c r="E578" s="19"/>
      <c r="F578" s="24"/>
      <c r="G578" s="20"/>
      <c r="H578" s="2">
        <f t="shared" si="9"/>
        <v>0</v>
      </c>
    </row>
    <row r="579" spans="1:8" ht="14.75" customHeight="1" x14ac:dyDescent="0.35">
      <c r="A579" s="11">
        <v>193</v>
      </c>
      <c r="B579" s="31"/>
      <c r="C579" s="16"/>
      <c r="D579" s="19"/>
      <c r="E579" s="19"/>
      <c r="F579" s="24"/>
      <c r="G579" s="20"/>
      <c r="H579" s="2">
        <f t="shared" si="9"/>
        <v>0</v>
      </c>
    </row>
    <row r="580" spans="1:8" ht="14.75" customHeight="1" x14ac:dyDescent="0.35">
      <c r="A580" s="11">
        <v>194</v>
      </c>
      <c r="B580" s="31"/>
      <c r="C580" s="16"/>
      <c r="D580" s="19"/>
      <c r="E580" s="19"/>
      <c r="F580" s="24"/>
      <c r="G580" s="20"/>
      <c r="H580" s="2">
        <f t="shared" si="9"/>
        <v>0</v>
      </c>
    </row>
    <row r="581" spans="1:8" ht="14.75" customHeight="1" x14ac:dyDescent="0.35">
      <c r="A581" s="11">
        <v>195</v>
      </c>
      <c r="B581" s="31"/>
      <c r="C581" s="16"/>
      <c r="D581" s="19"/>
      <c r="E581" s="19"/>
      <c r="F581" s="24"/>
      <c r="G581" s="20"/>
      <c r="H581" s="2">
        <f t="shared" si="9"/>
        <v>0</v>
      </c>
    </row>
    <row r="582" spans="1:8" ht="14.75" customHeight="1" x14ac:dyDescent="0.35">
      <c r="A582" s="11">
        <v>196</v>
      </c>
      <c r="B582" s="31"/>
      <c r="C582" s="16"/>
      <c r="D582" s="19"/>
      <c r="E582" s="19"/>
      <c r="F582" s="24"/>
      <c r="G582" s="20"/>
      <c r="H582" s="2">
        <f t="shared" si="9"/>
        <v>0</v>
      </c>
    </row>
    <row r="583" spans="1:8" ht="14.75" customHeight="1" x14ac:dyDescent="0.35">
      <c r="A583" s="11">
        <v>197</v>
      </c>
      <c r="B583" s="31"/>
      <c r="C583" s="16"/>
      <c r="D583" s="19"/>
      <c r="E583" s="19"/>
      <c r="F583" s="24"/>
      <c r="G583" s="20"/>
      <c r="H583" s="2">
        <f t="shared" si="9"/>
        <v>0</v>
      </c>
    </row>
    <row r="584" spans="1:8" ht="14.75" customHeight="1" x14ac:dyDescent="0.35">
      <c r="A584" s="11">
        <v>198</v>
      </c>
      <c r="B584" s="31"/>
      <c r="C584" s="16"/>
      <c r="D584" s="19"/>
      <c r="E584" s="19"/>
      <c r="F584" s="24"/>
      <c r="G584" s="20"/>
      <c r="H584" s="2">
        <f t="shared" si="9"/>
        <v>0</v>
      </c>
    </row>
    <row r="585" spans="1:8" ht="14.75" customHeight="1" x14ac:dyDescent="0.35">
      <c r="A585" s="11">
        <v>199</v>
      </c>
      <c r="B585" s="31"/>
      <c r="C585" s="16"/>
      <c r="D585" s="19"/>
      <c r="E585" s="19"/>
      <c r="F585" s="24"/>
      <c r="G585" s="20"/>
      <c r="H585" s="2">
        <f t="shared" si="9"/>
        <v>0</v>
      </c>
    </row>
    <row r="586" spans="1:8" ht="14.75" customHeight="1" x14ac:dyDescent="0.35">
      <c r="A586" s="11">
        <v>200</v>
      </c>
      <c r="B586" s="31"/>
      <c r="C586" s="16"/>
      <c r="D586" s="19"/>
      <c r="E586" s="19"/>
      <c r="F586" s="24"/>
      <c r="G586" s="20"/>
      <c r="H586" s="2">
        <f t="shared" si="9"/>
        <v>0</v>
      </c>
    </row>
    <row r="587" spans="1:8" ht="14.75" customHeight="1" x14ac:dyDescent="0.35">
      <c r="A587" s="11">
        <v>201</v>
      </c>
      <c r="B587" s="31"/>
      <c r="C587" s="16"/>
      <c r="D587" s="19"/>
      <c r="E587" s="19"/>
      <c r="F587" s="24"/>
      <c r="G587" s="20"/>
      <c r="H587" s="2">
        <f t="shared" si="9"/>
        <v>0</v>
      </c>
    </row>
    <row r="588" spans="1:8" ht="14.75" customHeight="1" x14ac:dyDescent="0.35">
      <c r="A588" s="11">
        <v>202</v>
      </c>
      <c r="B588" s="31"/>
      <c r="C588" s="16"/>
      <c r="D588" s="19"/>
      <c r="E588" s="19"/>
      <c r="F588" s="24"/>
      <c r="G588" s="20"/>
      <c r="H588" s="2">
        <f t="shared" si="9"/>
        <v>0</v>
      </c>
    </row>
    <row r="589" spans="1:8" ht="14.75" customHeight="1" x14ac:dyDescent="0.35">
      <c r="A589" s="11">
        <v>203</v>
      </c>
      <c r="B589" s="31"/>
      <c r="C589" s="16"/>
      <c r="D589" s="19"/>
      <c r="E589" s="19"/>
      <c r="F589" s="24"/>
      <c r="G589" s="20"/>
      <c r="H589" s="2">
        <f t="shared" si="9"/>
        <v>0</v>
      </c>
    </row>
    <row r="590" spans="1:8" ht="14.75" customHeight="1" x14ac:dyDescent="0.35">
      <c r="A590" s="11">
        <v>204</v>
      </c>
      <c r="B590" s="31"/>
      <c r="C590" s="16"/>
      <c r="D590" s="19"/>
      <c r="E590" s="19"/>
      <c r="F590" s="24"/>
      <c r="G590" s="20"/>
      <c r="H590" s="2">
        <f t="shared" si="9"/>
        <v>0</v>
      </c>
    </row>
    <row r="591" spans="1:8" ht="14.75" customHeight="1" x14ac:dyDescent="0.35">
      <c r="A591" s="11">
        <v>205</v>
      </c>
      <c r="B591" s="31"/>
      <c r="C591" s="16"/>
      <c r="D591" s="19"/>
      <c r="E591" s="19"/>
      <c r="F591" s="24"/>
      <c r="G591" s="20"/>
      <c r="H591" s="2">
        <f t="shared" si="9"/>
        <v>0</v>
      </c>
    </row>
    <row r="592" spans="1:8" ht="14.75" customHeight="1" x14ac:dyDescent="0.35">
      <c r="A592" s="11">
        <v>206</v>
      </c>
      <c r="B592" s="31"/>
      <c r="C592" s="16"/>
      <c r="D592" s="19"/>
      <c r="E592" s="19"/>
      <c r="F592" s="24"/>
      <c r="G592" s="20"/>
      <c r="H592" s="2">
        <f t="shared" si="9"/>
        <v>0</v>
      </c>
    </row>
    <row r="593" spans="1:8" ht="14.75" customHeight="1" x14ac:dyDescent="0.35">
      <c r="A593" s="11">
        <v>207</v>
      </c>
      <c r="B593" s="31"/>
      <c r="C593" s="16"/>
      <c r="D593" s="19"/>
      <c r="E593" s="19"/>
      <c r="F593" s="24"/>
      <c r="G593" s="20"/>
      <c r="H593" s="2">
        <f t="shared" si="9"/>
        <v>0</v>
      </c>
    </row>
    <row r="594" spans="1:8" ht="14.75" customHeight="1" x14ac:dyDescent="0.35">
      <c r="A594" s="11">
        <v>208</v>
      </c>
      <c r="B594" s="31"/>
      <c r="C594" s="16"/>
      <c r="D594" s="19"/>
      <c r="E594" s="19"/>
      <c r="F594" s="24"/>
      <c r="G594" s="20"/>
      <c r="H594" s="2">
        <f t="shared" si="9"/>
        <v>0</v>
      </c>
    </row>
    <row r="595" spans="1:8" ht="14.75" customHeight="1" x14ac:dyDescent="0.35">
      <c r="A595" s="11">
        <v>209</v>
      </c>
      <c r="B595" s="31"/>
      <c r="C595" s="16"/>
      <c r="D595" s="19"/>
      <c r="E595" s="19"/>
      <c r="F595" s="24"/>
      <c r="G595" s="20"/>
      <c r="H595" s="2">
        <f t="shared" si="9"/>
        <v>0</v>
      </c>
    </row>
    <row r="596" spans="1:8" ht="14.75" customHeight="1" x14ac:dyDescent="0.35">
      <c r="A596" s="11">
        <v>210</v>
      </c>
      <c r="B596" s="31"/>
      <c r="C596" s="16"/>
      <c r="D596" s="19"/>
      <c r="E596" s="19"/>
      <c r="F596" s="24"/>
      <c r="G596" s="20"/>
      <c r="H596" s="2">
        <f t="shared" si="9"/>
        <v>0</v>
      </c>
    </row>
    <row r="597" spans="1:8" ht="14.75" customHeight="1" x14ac:dyDescent="0.35">
      <c r="A597" s="11">
        <v>211</v>
      </c>
      <c r="B597" s="31"/>
      <c r="C597" s="16"/>
      <c r="D597" s="19"/>
      <c r="E597" s="19"/>
      <c r="F597" s="24"/>
      <c r="G597" s="20"/>
      <c r="H597" s="2">
        <f t="shared" si="9"/>
        <v>0</v>
      </c>
    </row>
    <row r="598" spans="1:8" ht="14.75" customHeight="1" x14ac:dyDescent="0.35">
      <c r="A598" s="11">
        <v>212</v>
      </c>
      <c r="B598" s="31"/>
      <c r="C598" s="16"/>
      <c r="D598" s="19"/>
      <c r="E598" s="19"/>
      <c r="F598" s="24"/>
      <c r="G598" s="20"/>
      <c r="H598" s="2">
        <f t="shared" si="9"/>
        <v>0</v>
      </c>
    </row>
    <row r="599" spans="1:8" ht="14.75" customHeight="1" x14ac:dyDescent="0.35">
      <c r="A599" s="11">
        <v>213</v>
      </c>
      <c r="B599" s="31"/>
      <c r="C599" s="16"/>
      <c r="D599" s="19"/>
      <c r="E599" s="19"/>
      <c r="F599" s="24"/>
      <c r="G599" s="20"/>
      <c r="H599" s="2">
        <f t="shared" si="9"/>
        <v>0</v>
      </c>
    </row>
    <row r="600" spans="1:8" ht="14.75" customHeight="1" x14ac:dyDescent="0.35">
      <c r="A600" s="11">
        <v>214</v>
      </c>
      <c r="B600" s="31"/>
      <c r="C600" s="16"/>
      <c r="D600" s="19"/>
      <c r="E600" s="19"/>
      <c r="F600" s="24"/>
      <c r="G600" s="20"/>
      <c r="H600" s="2">
        <f t="shared" si="9"/>
        <v>0</v>
      </c>
    </row>
    <row r="601" spans="1:8" ht="14.75" customHeight="1" x14ac:dyDescent="0.35">
      <c r="A601" s="11">
        <v>215</v>
      </c>
      <c r="B601" s="31"/>
      <c r="C601" s="16"/>
      <c r="D601" s="19"/>
      <c r="E601" s="19"/>
      <c r="F601" s="24"/>
      <c r="G601" s="20"/>
      <c r="H601" s="2">
        <f t="shared" si="9"/>
        <v>0</v>
      </c>
    </row>
    <row r="602" spans="1:8" ht="14.75" customHeight="1" x14ac:dyDescent="0.35">
      <c r="A602" s="11">
        <v>216</v>
      </c>
      <c r="B602" s="31"/>
      <c r="C602" s="16"/>
      <c r="D602" s="19"/>
      <c r="E602" s="19"/>
      <c r="F602" s="24"/>
      <c r="G602" s="20"/>
      <c r="H602" s="2">
        <f t="shared" si="9"/>
        <v>0</v>
      </c>
    </row>
    <row r="603" spans="1:8" ht="14.75" customHeight="1" x14ac:dyDescent="0.35">
      <c r="A603" s="11">
        <v>217</v>
      </c>
      <c r="B603" s="31"/>
      <c r="C603" s="16"/>
      <c r="D603" s="19"/>
      <c r="E603" s="19"/>
      <c r="F603" s="24"/>
      <c r="G603" s="20"/>
      <c r="H603" s="2">
        <f t="shared" si="9"/>
        <v>0</v>
      </c>
    </row>
    <row r="604" spans="1:8" ht="14.75" customHeight="1" x14ac:dyDescent="0.35">
      <c r="A604" s="11">
        <v>218</v>
      </c>
      <c r="B604" s="31"/>
      <c r="C604" s="16"/>
      <c r="D604" s="19"/>
      <c r="E604" s="19"/>
      <c r="F604" s="24"/>
      <c r="G604" s="20"/>
      <c r="H604" s="2">
        <f t="shared" si="9"/>
        <v>0</v>
      </c>
    </row>
    <row r="605" spans="1:8" ht="14.75" customHeight="1" x14ac:dyDescent="0.35">
      <c r="A605" s="11">
        <v>219</v>
      </c>
      <c r="B605" s="31"/>
      <c r="C605" s="16"/>
      <c r="D605" s="19"/>
      <c r="E605" s="19"/>
      <c r="F605" s="24"/>
      <c r="G605" s="20"/>
      <c r="H605" s="2">
        <f t="shared" si="9"/>
        <v>0</v>
      </c>
    </row>
    <row r="606" spans="1:8" ht="14.75" customHeight="1" x14ac:dyDescent="0.35">
      <c r="A606" s="11">
        <v>220</v>
      </c>
      <c r="B606" s="31"/>
      <c r="C606" s="16"/>
      <c r="D606" s="19"/>
      <c r="E606" s="19"/>
      <c r="F606" s="24"/>
      <c r="G606" s="20"/>
      <c r="H606" s="2">
        <f t="shared" si="9"/>
        <v>0</v>
      </c>
    </row>
    <row r="607" spans="1:8" ht="14.75" customHeight="1" x14ac:dyDescent="0.35">
      <c r="A607" s="11">
        <v>221</v>
      </c>
      <c r="B607" s="31"/>
      <c r="C607" s="16"/>
      <c r="D607" s="19"/>
      <c r="E607" s="19"/>
      <c r="F607" s="24"/>
      <c r="G607" s="20"/>
      <c r="H607" s="2">
        <f t="shared" si="9"/>
        <v>0</v>
      </c>
    </row>
    <row r="608" spans="1:8" ht="14.75" customHeight="1" x14ac:dyDescent="0.35">
      <c r="A608" s="11">
        <v>222</v>
      </c>
      <c r="B608" s="31"/>
      <c r="C608" s="16"/>
      <c r="D608" s="19"/>
      <c r="E608" s="19"/>
      <c r="F608" s="24"/>
      <c r="G608" s="20"/>
      <c r="H608" s="2">
        <f t="shared" si="9"/>
        <v>0</v>
      </c>
    </row>
    <row r="609" spans="1:8" ht="14.75" customHeight="1" x14ac:dyDescent="0.35">
      <c r="A609" s="11">
        <v>223</v>
      </c>
      <c r="B609" s="31"/>
      <c r="C609" s="16"/>
      <c r="D609" s="19"/>
      <c r="E609" s="19"/>
      <c r="F609" s="24"/>
      <c r="G609" s="20"/>
      <c r="H609" s="2">
        <f t="shared" si="9"/>
        <v>0</v>
      </c>
    </row>
    <row r="610" spans="1:8" ht="14.75" customHeight="1" x14ac:dyDescent="0.35">
      <c r="A610" s="11">
        <v>224</v>
      </c>
      <c r="B610" s="31"/>
      <c r="C610" s="16"/>
      <c r="D610" s="19"/>
      <c r="E610" s="19"/>
      <c r="F610" s="24"/>
      <c r="G610" s="20"/>
      <c r="H610" s="2">
        <f t="shared" ref="H610:H673" si="10">H609+F610-G610</f>
        <v>0</v>
      </c>
    </row>
    <row r="611" spans="1:8" ht="14.75" customHeight="1" x14ac:dyDescent="0.35">
      <c r="A611" s="11">
        <v>225</v>
      </c>
      <c r="B611" s="31"/>
      <c r="C611" s="16"/>
      <c r="D611" s="19"/>
      <c r="E611" s="19"/>
      <c r="F611" s="24"/>
      <c r="G611" s="20"/>
      <c r="H611" s="2">
        <f t="shared" si="10"/>
        <v>0</v>
      </c>
    </row>
    <row r="612" spans="1:8" ht="14.75" customHeight="1" x14ac:dyDescent="0.35">
      <c r="A612" s="11">
        <v>226</v>
      </c>
      <c r="B612" s="31"/>
      <c r="C612" s="16"/>
      <c r="D612" s="19"/>
      <c r="E612" s="19"/>
      <c r="F612" s="24"/>
      <c r="G612" s="20"/>
      <c r="H612" s="2">
        <f t="shared" si="10"/>
        <v>0</v>
      </c>
    </row>
    <row r="613" spans="1:8" ht="14.75" customHeight="1" x14ac:dyDescent="0.35">
      <c r="A613" s="11">
        <v>227</v>
      </c>
      <c r="B613" s="31"/>
      <c r="C613" s="16"/>
      <c r="D613" s="19"/>
      <c r="E613" s="19"/>
      <c r="F613" s="24"/>
      <c r="G613" s="20"/>
      <c r="H613" s="2">
        <f t="shared" si="10"/>
        <v>0</v>
      </c>
    </row>
    <row r="614" spans="1:8" ht="14.75" customHeight="1" x14ac:dyDescent="0.35">
      <c r="A614" s="11">
        <v>228</v>
      </c>
      <c r="B614" s="31"/>
      <c r="C614" s="16"/>
      <c r="D614" s="19"/>
      <c r="E614" s="19"/>
      <c r="F614" s="24"/>
      <c r="G614" s="20"/>
      <c r="H614" s="2">
        <f t="shared" si="10"/>
        <v>0</v>
      </c>
    </row>
    <row r="615" spans="1:8" ht="14.75" customHeight="1" x14ac:dyDescent="0.35">
      <c r="A615" s="11">
        <v>229</v>
      </c>
      <c r="B615" s="31"/>
      <c r="C615" s="16"/>
      <c r="D615" s="19"/>
      <c r="E615" s="19"/>
      <c r="F615" s="24"/>
      <c r="G615" s="20"/>
      <c r="H615" s="2">
        <f t="shared" si="10"/>
        <v>0</v>
      </c>
    </row>
    <row r="616" spans="1:8" ht="14.75" customHeight="1" x14ac:dyDescent="0.35">
      <c r="A616" s="11">
        <v>230</v>
      </c>
      <c r="B616" s="31"/>
      <c r="C616" s="16"/>
      <c r="D616" s="19"/>
      <c r="E616" s="19"/>
      <c r="F616" s="24"/>
      <c r="G616" s="20"/>
      <c r="H616" s="2">
        <f t="shared" si="10"/>
        <v>0</v>
      </c>
    </row>
    <row r="617" spans="1:8" ht="14.75" customHeight="1" x14ac:dyDescent="0.35">
      <c r="A617" s="11">
        <v>231</v>
      </c>
      <c r="B617" s="31"/>
      <c r="C617" s="16"/>
      <c r="D617" s="19"/>
      <c r="E617" s="19"/>
      <c r="F617" s="24"/>
      <c r="G617" s="20"/>
      <c r="H617" s="2">
        <f t="shared" si="10"/>
        <v>0</v>
      </c>
    </row>
    <row r="618" spans="1:8" ht="14.75" customHeight="1" x14ac:dyDescent="0.35">
      <c r="A618" s="11">
        <v>232</v>
      </c>
      <c r="B618" s="31"/>
      <c r="C618" s="16"/>
      <c r="D618" s="19"/>
      <c r="E618" s="19"/>
      <c r="F618" s="24"/>
      <c r="G618" s="20"/>
      <c r="H618" s="2">
        <f t="shared" si="10"/>
        <v>0</v>
      </c>
    </row>
    <row r="619" spans="1:8" ht="14.75" customHeight="1" x14ac:dyDescent="0.35">
      <c r="A619" s="11">
        <v>233</v>
      </c>
      <c r="B619" s="31"/>
      <c r="C619" s="16"/>
      <c r="D619" s="19"/>
      <c r="E619" s="19"/>
      <c r="F619" s="24"/>
      <c r="G619" s="20"/>
      <c r="H619" s="2">
        <f t="shared" si="10"/>
        <v>0</v>
      </c>
    </row>
    <row r="620" spans="1:8" ht="14.75" customHeight="1" x14ac:dyDescent="0.35">
      <c r="A620" s="11">
        <v>234</v>
      </c>
      <c r="B620" s="31"/>
      <c r="C620" s="16"/>
      <c r="D620" s="19"/>
      <c r="E620" s="19"/>
      <c r="F620" s="24"/>
      <c r="G620" s="20"/>
      <c r="H620" s="2">
        <f t="shared" si="10"/>
        <v>0</v>
      </c>
    </row>
    <row r="621" spans="1:8" ht="14.75" customHeight="1" x14ac:dyDescent="0.35">
      <c r="A621" s="11">
        <v>235</v>
      </c>
      <c r="B621" s="31"/>
      <c r="C621" s="16"/>
      <c r="D621" s="19"/>
      <c r="E621" s="19"/>
      <c r="F621" s="24"/>
      <c r="G621" s="20"/>
      <c r="H621" s="2">
        <f t="shared" si="10"/>
        <v>0</v>
      </c>
    </row>
    <row r="622" spans="1:8" ht="14.75" customHeight="1" x14ac:dyDescent="0.35">
      <c r="A622" s="11">
        <v>236</v>
      </c>
      <c r="B622" s="31"/>
      <c r="C622" s="16"/>
      <c r="D622" s="19"/>
      <c r="E622" s="19"/>
      <c r="F622" s="24"/>
      <c r="G622" s="20"/>
      <c r="H622" s="2">
        <f t="shared" si="10"/>
        <v>0</v>
      </c>
    </row>
    <row r="623" spans="1:8" ht="14.75" customHeight="1" x14ac:dyDescent="0.35">
      <c r="A623" s="11">
        <v>237</v>
      </c>
      <c r="B623" s="31"/>
      <c r="C623" s="16"/>
      <c r="D623" s="19"/>
      <c r="E623" s="19"/>
      <c r="F623" s="24"/>
      <c r="G623" s="20"/>
      <c r="H623" s="2">
        <f t="shared" si="10"/>
        <v>0</v>
      </c>
    </row>
    <row r="624" spans="1:8" ht="14.75" customHeight="1" x14ac:dyDescent="0.35">
      <c r="A624" s="11">
        <v>238</v>
      </c>
      <c r="B624" s="31"/>
      <c r="C624" s="16"/>
      <c r="D624" s="19"/>
      <c r="E624" s="19"/>
      <c r="F624" s="24"/>
      <c r="G624" s="20"/>
      <c r="H624" s="2">
        <f t="shared" si="10"/>
        <v>0</v>
      </c>
    </row>
    <row r="625" spans="1:8" ht="14.75" customHeight="1" x14ac:dyDescent="0.35">
      <c r="A625" s="11">
        <v>239</v>
      </c>
      <c r="B625" s="31"/>
      <c r="C625" s="16"/>
      <c r="D625" s="19"/>
      <c r="E625" s="19"/>
      <c r="F625" s="24"/>
      <c r="G625" s="20"/>
      <c r="H625" s="2">
        <f t="shared" si="10"/>
        <v>0</v>
      </c>
    </row>
    <row r="626" spans="1:8" ht="14.75" customHeight="1" x14ac:dyDescent="0.35">
      <c r="A626" s="11">
        <v>240</v>
      </c>
      <c r="B626" s="31"/>
      <c r="C626" s="16"/>
      <c r="D626" s="19"/>
      <c r="E626" s="19"/>
      <c r="F626" s="24"/>
      <c r="G626" s="20"/>
      <c r="H626" s="2">
        <f t="shared" si="10"/>
        <v>0</v>
      </c>
    </row>
    <row r="627" spans="1:8" ht="14.75" customHeight="1" x14ac:dyDescent="0.35">
      <c r="A627" s="11">
        <v>241</v>
      </c>
      <c r="B627" s="31"/>
      <c r="C627" s="16"/>
      <c r="D627" s="19"/>
      <c r="E627" s="19"/>
      <c r="F627" s="24"/>
      <c r="G627" s="20"/>
      <c r="H627" s="2">
        <f t="shared" si="10"/>
        <v>0</v>
      </c>
    </row>
    <row r="628" spans="1:8" ht="14.75" customHeight="1" x14ac:dyDescent="0.35">
      <c r="A628" s="11">
        <v>242</v>
      </c>
      <c r="B628" s="31"/>
      <c r="C628" s="16"/>
      <c r="D628" s="19"/>
      <c r="E628" s="19"/>
      <c r="F628" s="24"/>
      <c r="G628" s="20"/>
      <c r="H628" s="2">
        <f t="shared" si="10"/>
        <v>0</v>
      </c>
    </row>
    <row r="629" spans="1:8" ht="14.75" customHeight="1" x14ac:dyDescent="0.35">
      <c r="A629" s="11">
        <v>243</v>
      </c>
      <c r="B629" s="31"/>
      <c r="C629" s="16"/>
      <c r="D629" s="19"/>
      <c r="E629" s="19"/>
      <c r="F629" s="24"/>
      <c r="G629" s="20"/>
      <c r="H629" s="2">
        <f t="shared" si="10"/>
        <v>0</v>
      </c>
    </row>
    <row r="630" spans="1:8" ht="14.75" customHeight="1" x14ac:dyDescent="0.35">
      <c r="A630" s="11">
        <v>244</v>
      </c>
      <c r="B630" s="31"/>
      <c r="C630" s="16"/>
      <c r="D630" s="19"/>
      <c r="E630" s="19"/>
      <c r="F630" s="24"/>
      <c r="G630" s="20"/>
      <c r="H630" s="2">
        <f t="shared" si="10"/>
        <v>0</v>
      </c>
    </row>
    <row r="631" spans="1:8" ht="14.75" customHeight="1" x14ac:dyDescent="0.35">
      <c r="A631" s="11">
        <v>245</v>
      </c>
      <c r="B631" s="31"/>
      <c r="C631" s="16"/>
      <c r="D631" s="19"/>
      <c r="E631" s="19"/>
      <c r="F631" s="24"/>
      <c r="G631" s="20"/>
      <c r="H631" s="2">
        <f t="shared" si="10"/>
        <v>0</v>
      </c>
    </row>
    <row r="632" spans="1:8" ht="14.75" customHeight="1" x14ac:dyDescent="0.35">
      <c r="A632" s="11">
        <v>246</v>
      </c>
      <c r="B632" s="31"/>
      <c r="C632" s="16"/>
      <c r="D632" s="19"/>
      <c r="E632" s="19"/>
      <c r="F632" s="24"/>
      <c r="G632" s="20"/>
      <c r="H632" s="2">
        <f t="shared" si="10"/>
        <v>0</v>
      </c>
    </row>
    <row r="633" spans="1:8" ht="14.75" customHeight="1" x14ac:dyDescent="0.35">
      <c r="A633" s="11">
        <v>247</v>
      </c>
      <c r="B633" s="31"/>
      <c r="C633" s="16"/>
      <c r="D633" s="19"/>
      <c r="E633" s="19"/>
      <c r="F633" s="24"/>
      <c r="G633" s="20"/>
      <c r="H633" s="2">
        <f t="shared" si="10"/>
        <v>0</v>
      </c>
    </row>
    <row r="634" spans="1:8" ht="14.75" customHeight="1" x14ac:dyDescent="0.35">
      <c r="A634" s="11">
        <v>248</v>
      </c>
      <c r="B634" s="31"/>
      <c r="C634" s="16"/>
      <c r="D634" s="19"/>
      <c r="E634" s="19"/>
      <c r="F634" s="24"/>
      <c r="G634" s="20"/>
      <c r="H634" s="2">
        <f t="shared" si="10"/>
        <v>0</v>
      </c>
    </row>
    <row r="635" spans="1:8" ht="14.75" customHeight="1" x14ac:dyDescent="0.35">
      <c r="A635" s="11">
        <v>249</v>
      </c>
      <c r="B635" s="31"/>
      <c r="C635" s="16"/>
      <c r="D635" s="19"/>
      <c r="E635" s="19"/>
      <c r="F635" s="24"/>
      <c r="G635" s="20"/>
      <c r="H635" s="2">
        <f t="shared" si="10"/>
        <v>0</v>
      </c>
    </row>
    <row r="636" spans="1:8" ht="14.75" customHeight="1" x14ac:dyDescent="0.35">
      <c r="A636" s="11">
        <v>250</v>
      </c>
      <c r="B636" s="31"/>
      <c r="C636" s="16"/>
      <c r="D636" s="19"/>
      <c r="E636" s="19"/>
      <c r="F636" s="24"/>
      <c r="G636" s="20"/>
      <c r="H636" s="2">
        <f t="shared" si="10"/>
        <v>0</v>
      </c>
    </row>
    <row r="637" spans="1:8" ht="14.75" customHeight="1" x14ac:dyDescent="0.35">
      <c r="A637" s="11">
        <v>251</v>
      </c>
      <c r="B637" s="31"/>
      <c r="C637" s="16"/>
      <c r="D637" s="19"/>
      <c r="E637" s="19"/>
      <c r="F637" s="24"/>
      <c r="G637" s="20"/>
      <c r="H637" s="2">
        <f t="shared" si="10"/>
        <v>0</v>
      </c>
    </row>
    <row r="638" spans="1:8" ht="14.75" customHeight="1" x14ac:dyDescent="0.35">
      <c r="A638" s="11">
        <v>252</v>
      </c>
      <c r="B638" s="31"/>
      <c r="C638" s="16"/>
      <c r="D638" s="19"/>
      <c r="E638" s="19"/>
      <c r="F638" s="24"/>
      <c r="G638" s="20"/>
      <c r="H638" s="2">
        <f t="shared" si="10"/>
        <v>0</v>
      </c>
    </row>
    <row r="639" spans="1:8" ht="14.75" customHeight="1" x14ac:dyDescent="0.35">
      <c r="A639" s="11">
        <v>253</v>
      </c>
      <c r="B639" s="31"/>
      <c r="C639" s="16"/>
      <c r="D639" s="19"/>
      <c r="E639" s="19"/>
      <c r="F639" s="24"/>
      <c r="G639" s="20"/>
      <c r="H639" s="2">
        <f t="shared" si="10"/>
        <v>0</v>
      </c>
    </row>
    <row r="640" spans="1:8" ht="14.75" customHeight="1" x14ac:dyDescent="0.35">
      <c r="A640" s="11">
        <v>254</v>
      </c>
      <c r="B640" s="31"/>
      <c r="C640" s="16"/>
      <c r="D640" s="19"/>
      <c r="E640" s="19"/>
      <c r="F640" s="24"/>
      <c r="G640" s="20"/>
      <c r="H640" s="2">
        <f t="shared" si="10"/>
        <v>0</v>
      </c>
    </row>
    <row r="641" spans="1:8" ht="14.75" customHeight="1" x14ac:dyDescent="0.35">
      <c r="A641" s="11">
        <v>255</v>
      </c>
      <c r="B641" s="31"/>
      <c r="C641" s="16"/>
      <c r="D641" s="19"/>
      <c r="E641" s="19"/>
      <c r="F641" s="24"/>
      <c r="G641" s="20"/>
      <c r="H641" s="2">
        <f t="shared" si="10"/>
        <v>0</v>
      </c>
    </row>
    <row r="642" spans="1:8" ht="14.75" customHeight="1" x14ac:dyDescent="0.35">
      <c r="A642" s="11">
        <v>256</v>
      </c>
      <c r="B642" s="31"/>
      <c r="C642" s="16"/>
      <c r="D642" s="19"/>
      <c r="E642" s="19"/>
      <c r="F642" s="24"/>
      <c r="G642" s="20"/>
      <c r="H642" s="2">
        <f t="shared" si="10"/>
        <v>0</v>
      </c>
    </row>
    <row r="643" spans="1:8" ht="14.75" customHeight="1" x14ac:dyDescent="0.35">
      <c r="A643" s="11">
        <v>257</v>
      </c>
      <c r="B643" s="31"/>
      <c r="C643" s="16"/>
      <c r="D643" s="19"/>
      <c r="E643" s="19"/>
      <c r="F643" s="24"/>
      <c r="G643" s="20"/>
      <c r="H643" s="2">
        <f t="shared" si="10"/>
        <v>0</v>
      </c>
    </row>
    <row r="644" spans="1:8" ht="14.75" customHeight="1" x14ac:dyDescent="0.35">
      <c r="A644" s="11">
        <v>258</v>
      </c>
      <c r="B644" s="31"/>
      <c r="C644" s="16"/>
      <c r="D644" s="19"/>
      <c r="E644" s="19"/>
      <c r="F644" s="24"/>
      <c r="G644" s="20"/>
      <c r="H644" s="2">
        <f t="shared" si="10"/>
        <v>0</v>
      </c>
    </row>
    <row r="645" spans="1:8" ht="14.75" customHeight="1" x14ac:dyDescent="0.35">
      <c r="A645" s="11">
        <v>259</v>
      </c>
      <c r="B645" s="31"/>
      <c r="C645" s="16"/>
      <c r="D645" s="19"/>
      <c r="E645" s="19"/>
      <c r="F645" s="24"/>
      <c r="G645" s="20"/>
      <c r="H645" s="2">
        <f t="shared" si="10"/>
        <v>0</v>
      </c>
    </row>
    <row r="646" spans="1:8" ht="14.75" customHeight="1" x14ac:dyDescent="0.35">
      <c r="A646" s="11">
        <v>260</v>
      </c>
      <c r="B646" s="31"/>
      <c r="C646" s="16"/>
      <c r="D646" s="19"/>
      <c r="E646" s="19"/>
      <c r="F646" s="24"/>
      <c r="G646" s="20"/>
      <c r="H646" s="2">
        <f t="shared" si="10"/>
        <v>0</v>
      </c>
    </row>
    <row r="647" spans="1:8" ht="14.75" customHeight="1" x14ac:dyDescent="0.35">
      <c r="A647" s="11">
        <v>261</v>
      </c>
      <c r="B647" s="31"/>
      <c r="C647" s="16"/>
      <c r="D647" s="19"/>
      <c r="E647" s="19"/>
      <c r="F647" s="24"/>
      <c r="G647" s="20"/>
      <c r="H647" s="2">
        <f t="shared" si="10"/>
        <v>0</v>
      </c>
    </row>
    <row r="648" spans="1:8" ht="14.75" customHeight="1" x14ac:dyDescent="0.35">
      <c r="A648" s="11">
        <v>262</v>
      </c>
      <c r="B648" s="31"/>
      <c r="C648" s="16"/>
      <c r="D648" s="19"/>
      <c r="E648" s="19"/>
      <c r="F648" s="24"/>
      <c r="G648" s="20"/>
      <c r="H648" s="2">
        <f t="shared" si="10"/>
        <v>0</v>
      </c>
    </row>
    <row r="649" spans="1:8" ht="14.75" customHeight="1" x14ac:dyDescent="0.35">
      <c r="A649" s="11">
        <v>263</v>
      </c>
      <c r="B649" s="31"/>
      <c r="C649" s="16"/>
      <c r="D649" s="19"/>
      <c r="E649" s="19"/>
      <c r="F649" s="24"/>
      <c r="G649" s="20"/>
      <c r="H649" s="2">
        <f t="shared" si="10"/>
        <v>0</v>
      </c>
    </row>
    <row r="650" spans="1:8" ht="14.75" customHeight="1" x14ac:dyDescent="0.35">
      <c r="A650" s="11">
        <v>264</v>
      </c>
      <c r="B650" s="31"/>
      <c r="C650" s="16"/>
      <c r="D650" s="19"/>
      <c r="E650" s="19"/>
      <c r="F650" s="24"/>
      <c r="G650" s="20"/>
      <c r="H650" s="2">
        <f t="shared" si="10"/>
        <v>0</v>
      </c>
    </row>
    <row r="651" spans="1:8" ht="14.75" customHeight="1" x14ac:dyDescent="0.35">
      <c r="A651" s="11">
        <v>265</v>
      </c>
      <c r="B651" s="31"/>
      <c r="C651" s="16"/>
      <c r="D651" s="19"/>
      <c r="E651" s="19"/>
      <c r="F651" s="24"/>
      <c r="G651" s="20"/>
      <c r="H651" s="2">
        <f t="shared" si="10"/>
        <v>0</v>
      </c>
    </row>
    <row r="652" spans="1:8" ht="14.75" customHeight="1" x14ac:dyDescent="0.35">
      <c r="A652" s="11">
        <v>266</v>
      </c>
      <c r="B652" s="31"/>
      <c r="C652" s="16"/>
      <c r="D652" s="19"/>
      <c r="E652" s="19"/>
      <c r="F652" s="24"/>
      <c r="G652" s="20"/>
      <c r="H652" s="2">
        <f t="shared" si="10"/>
        <v>0</v>
      </c>
    </row>
    <row r="653" spans="1:8" ht="14.75" customHeight="1" x14ac:dyDescent="0.35">
      <c r="A653" s="11">
        <v>267</v>
      </c>
      <c r="B653" s="31"/>
      <c r="C653" s="16"/>
      <c r="D653" s="19"/>
      <c r="E653" s="19"/>
      <c r="F653" s="24"/>
      <c r="G653" s="20"/>
      <c r="H653" s="2">
        <f t="shared" si="10"/>
        <v>0</v>
      </c>
    </row>
    <row r="654" spans="1:8" ht="14.75" customHeight="1" x14ac:dyDescent="0.35">
      <c r="A654" s="11">
        <v>268</v>
      </c>
      <c r="B654" s="31"/>
      <c r="C654" s="16"/>
      <c r="D654" s="19"/>
      <c r="E654" s="19"/>
      <c r="F654" s="24"/>
      <c r="G654" s="20"/>
      <c r="H654" s="2">
        <f t="shared" si="10"/>
        <v>0</v>
      </c>
    </row>
    <row r="655" spans="1:8" ht="14.75" customHeight="1" x14ac:dyDescent="0.35">
      <c r="A655" s="11">
        <v>269</v>
      </c>
      <c r="B655" s="31"/>
      <c r="C655" s="16"/>
      <c r="D655" s="19"/>
      <c r="E655" s="19"/>
      <c r="F655" s="24"/>
      <c r="G655" s="20"/>
      <c r="H655" s="2">
        <f t="shared" si="10"/>
        <v>0</v>
      </c>
    </row>
    <row r="656" spans="1:8" ht="14.75" customHeight="1" x14ac:dyDescent="0.35">
      <c r="A656" s="11">
        <v>270</v>
      </c>
      <c r="B656" s="31"/>
      <c r="C656" s="16"/>
      <c r="D656" s="19"/>
      <c r="E656" s="19"/>
      <c r="F656" s="24"/>
      <c r="G656" s="20"/>
      <c r="H656" s="2">
        <f t="shared" si="10"/>
        <v>0</v>
      </c>
    </row>
    <row r="657" spans="1:8" ht="14.75" customHeight="1" x14ac:dyDescent="0.35">
      <c r="A657" s="11">
        <v>271</v>
      </c>
      <c r="B657" s="31"/>
      <c r="C657" s="16"/>
      <c r="D657" s="19"/>
      <c r="E657" s="19"/>
      <c r="F657" s="24"/>
      <c r="G657" s="20"/>
      <c r="H657" s="2">
        <f t="shared" si="10"/>
        <v>0</v>
      </c>
    </row>
    <row r="658" spans="1:8" ht="14.75" customHeight="1" x14ac:dyDescent="0.35">
      <c r="A658" s="11">
        <v>272</v>
      </c>
      <c r="B658" s="31"/>
      <c r="C658" s="16"/>
      <c r="D658" s="19"/>
      <c r="E658" s="19"/>
      <c r="F658" s="24"/>
      <c r="G658" s="20"/>
      <c r="H658" s="2">
        <f t="shared" si="10"/>
        <v>0</v>
      </c>
    </row>
    <row r="659" spans="1:8" ht="14.75" customHeight="1" x14ac:dyDescent="0.35">
      <c r="A659" s="11">
        <v>273</v>
      </c>
      <c r="B659" s="31"/>
      <c r="C659" s="16"/>
      <c r="D659" s="19"/>
      <c r="E659" s="19"/>
      <c r="F659" s="24"/>
      <c r="G659" s="20"/>
      <c r="H659" s="2">
        <f t="shared" si="10"/>
        <v>0</v>
      </c>
    </row>
    <row r="660" spans="1:8" ht="14.75" customHeight="1" x14ac:dyDescent="0.35">
      <c r="A660" s="11">
        <v>274</v>
      </c>
      <c r="B660" s="31"/>
      <c r="C660" s="16"/>
      <c r="D660" s="19"/>
      <c r="E660" s="19"/>
      <c r="F660" s="24"/>
      <c r="G660" s="20"/>
      <c r="H660" s="2">
        <f t="shared" si="10"/>
        <v>0</v>
      </c>
    </row>
    <row r="661" spans="1:8" ht="14.75" customHeight="1" x14ac:dyDescent="0.35">
      <c r="A661" s="11">
        <v>275</v>
      </c>
      <c r="B661" s="31"/>
      <c r="C661" s="16"/>
      <c r="D661" s="19"/>
      <c r="E661" s="19"/>
      <c r="F661" s="24"/>
      <c r="G661" s="20"/>
      <c r="H661" s="2">
        <f t="shared" si="10"/>
        <v>0</v>
      </c>
    </row>
    <row r="662" spans="1:8" ht="14.75" customHeight="1" x14ac:dyDescent="0.35">
      <c r="A662" s="11">
        <v>276</v>
      </c>
      <c r="B662" s="31"/>
      <c r="C662" s="16"/>
      <c r="D662" s="19"/>
      <c r="E662" s="19"/>
      <c r="F662" s="24"/>
      <c r="G662" s="20"/>
      <c r="H662" s="2">
        <f t="shared" si="10"/>
        <v>0</v>
      </c>
    </row>
    <row r="663" spans="1:8" ht="14.75" customHeight="1" x14ac:dyDescent="0.35">
      <c r="A663" s="11">
        <v>277</v>
      </c>
      <c r="B663" s="31"/>
      <c r="C663" s="16"/>
      <c r="D663" s="19"/>
      <c r="E663" s="19"/>
      <c r="F663" s="24"/>
      <c r="G663" s="20"/>
      <c r="H663" s="2">
        <f t="shared" si="10"/>
        <v>0</v>
      </c>
    </row>
    <row r="664" spans="1:8" ht="14.75" customHeight="1" x14ac:dyDescent="0.35">
      <c r="A664" s="11">
        <v>278</v>
      </c>
      <c r="B664" s="31"/>
      <c r="C664" s="16"/>
      <c r="D664" s="19"/>
      <c r="E664" s="19"/>
      <c r="F664" s="24"/>
      <c r="G664" s="20"/>
      <c r="H664" s="2">
        <f t="shared" si="10"/>
        <v>0</v>
      </c>
    </row>
    <row r="665" spans="1:8" ht="14.75" customHeight="1" x14ac:dyDescent="0.35">
      <c r="A665" s="11">
        <v>279</v>
      </c>
      <c r="B665" s="31"/>
      <c r="C665" s="16"/>
      <c r="D665" s="19"/>
      <c r="E665" s="19"/>
      <c r="F665" s="24"/>
      <c r="G665" s="20"/>
      <c r="H665" s="2">
        <f t="shared" si="10"/>
        <v>0</v>
      </c>
    </row>
    <row r="666" spans="1:8" ht="14.75" customHeight="1" x14ac:dyDescent="0.35">
      <c r="A666" s="11">
        <v>280</v>
      </c>
      <c r="B666" s="31"/>
      <c r="C666" s="16"/>
      <c r="D666" s="19"/>
      <c r="E666" s="19"/>
      <c r="F666" s="24"/>
      <c r="G666" s="20"/>
      <c r="H666" s="2">
        <f t="shared" si="10"/>
        <v>0</v>
      </c>
    </row>
    <row r="667" spans="1:8" ht="14.75" customHeight="1" x14ac:dyDescent="0.35">
      <c r="A667" s="11">
        <v>281</v>
      </c>
      <c r="B667" s="31"/>
      <c r="C667" s="16"/>
      <c r="D667" s="19"/>
      <c r="E667" s="19"/>
      <c r="F667" s="24"/>
      <c r="G667" s="20"/>
      <c r="H667" s="2">
        <f t="shared" si="10"/>
        <v>0</v>
      </c>
    </row>
    <row r="668" spans="1:8" ht="14.75" customHeight="1" x14ac:dyDescent="0.35">
      <c r="A668" s="11">
        <v>282</v>
      </c>
      <c r="B668" s="31"/>
      <c r="C668" s="16"/>
      <c r="D668" s="19"/>
      <c r="E668" s="19"/>
      <c r="F668" s="24"/>
      <c r="G668" s="20"/>
      <c r="H668" s="2">
        <f t="shared" si="10"/>
        <v>0</v>
      </c>
    </row>
    <row r="669" spans="1:8" ht="14.75" customHeight="1" x14ac:dyDescent="0.35">
      <c r="A669" s="11">
        <v>283</v>
      </c>
      <c r="B669" s="31"/>
      <c r="C669" s="16"/>
      <c r="D669" s="19"/>
      <c r="E669" s="19"/>
      <c r="F669" s="24"/>
      <c r="G669" s="20"/>
      <c r="H669" s="2">
        <f t="shared" si="10"/>
        <v>0</v>
      </c>
    </row>
    <row r="670" spans="1:8" ht="14.75" customHeight="1" x14ac:dyDescent="0.35">
      <c r="A670" s="11">
        <v>284</v>
      </c>
      <c r="B670" s="31"/>
      <c r="C670" s="16"/>
      <c r="D670" s="19"/>
      <c r="E670" s="19"/>
      <c r="F670" s="24"/>
      <c r="G670" s="20"/>
      <c r="H670" s="2">
        <f t="shared" si="10"/>
        <v>0</v>
      </c>
    </row>
    <row r="671" spans="1:8" ht="14.75" customHeight="1" x14ac:dyDescent="0.35">
      <c r="A671" s="11">
        <v>285</v>
      </c>
      <c r="B671" s="31"/>
      <c r="C671" s="16"/>
      <c r="D671" s="19"/>
      <c r="E671" s="19"/>
      <c r="F671" s="24"/>
      <c r="G671" s="20"/>
      <c r="H671" s="2">
        <f t="shared" si="10"/>
        <v>0</v>
      </c>
    </row>
    <row r="672" spans="1:8" ht="14.75" customHeight="1" x14ac:dyDescent="0.35">
      <c r="A672" s="11">
        <v>286</v>
      </c>
      <c r="B672" s="31"/>
      <c r="C672" s="16"/>
      <c r="D672" s="19"/>
      <c r="E672" s="19"/>
      <c r="F672" s="24"/>
      <c r="G672" s="20"/>
      <c r="H672" s="2">
        <f t="shared" si="10"/>
        <v>0</v>
      </c>
    </row>
    <row r="673" spans="1:8" ht="14.75" customHeight="1" x14ac:dyDescent="0.35">
      <c r="A673" s="11">
        <v>287</v>
      </c>
      <c r="B673" s="31"/>
      <c r="C673" s="16"/>
      <c r="D673" s="19"/>
      <c r="E673" s="19"/>
      <c r="F673" s="24"/>
      <c r="G673" s="20"/>
      <c r="H673" s="2">
        <f t="shared" si="10"/>
        <v>0</v>
      </c>
    </row>
    <row r="674" spans="1:8" ht="14.75" customHeight="1" x14ac:dyDescent="0.35">
      <c r="A674" s="11">
        <v>288</v>
      </c>
      <c r="B674" s="31"/>
      <c r="C674" s="16"/>
      <c r="D674" s="19"/>
      <c r="E674" s="19"/>
      <c r="F674" s="24"/>
      <c r="G674" s="20"/>
      <c r="H674" s="2">
        <f t="shared" ref="H674:H737" si="11">H673+F674-G674</f>
        <v>0</v>
      </c>
    </row>
    <row r="675" spans="1:8" ht="14.75" customHeight="1" x14ac:dyDescent="0.35">
      <c r="A675" s="11">
        <v>289</v>
      </c>
      <c r="B675" s="31"/>
      <c r="C675" s="16"/>
      <c r="D675" s="19"/>
      <c r="E675" s="19"/>
      <c r="F675" s="24"/>
      <c r="G675" s="20"/>
      <c r="H675" s="2">
        <f t="shared" si="11"/>
        <v>0</v>
      </c>
    </row>
    <row r="676" spans="1:8" ht="14.75" customHeight="1" x14ac:dyDescent="0.35">
      <c r="A676" s="11">
        <v>290</v>
      </c>
      <c r="B676" s="31"/>
      <c r="C676" s="16"/>
      <c r="D676" s="19"/>
      <c r="E676" s="19"/>
      <c r="F676" s="24"/>
      <c r="G676" s="20"/>
      <c r="H676" s="2">
        <f t="shared" si="11"/>
        <v>0</v>
      </c>
    </row>
    <row r="677" spans="1:8" ht="14.75" customHeight="1" x14ac:dyDescent="0.35">
      <c r="A677" s="11">
        <v>291</v>
      </c>
      <c r="B677" s="31"/>
      <c r="C677" s="16"/>
      <c r="D677" s="19"/>
      <c r="E677" s="19"/>
      <c r="F677" s="24"/>
      <c r="G677" s="20"/>
      <c r="H677" s="2">
        <f t="shared" si="11"/>
        <v>0</v>
      </c>
    </row>
    <row r="678" spans="1:8" ht="14.75" customHeight="1" x14ac:dyDescent="0.35">
      <c r="A678" s="11">
        <v>292</v>
      </c>
      <c r="B678" s="31"/>
      <c r="C678" s="16"/>
      <c r="D678" s="19"/>
      <c r="E678" s="19"/>
      <c r="F678" s="24"/>
      <c r="G678" s="20"/>
      <c r="H678" s="2">
        <f t="shared" si="11"/>
        <v>0</v>
      </c>
    </row>
    <row r="679" spans="1:8" ht="14.75" customHeight="1" x14ac:dyDescent="0.35">
      <c r="A679" s="11">
        <v>293</v>
      </c>
      <c r="B679" s="31"/>
      <c r="C679" s="16"/>
      <c r="D679" s="19"/>
      <c r="E679" s="19"/>
      <c r="F679" s="24"/>
      <c r="G679" s="20"/>
      <c r="H679" s="2">
        <f t="shared" si="11"/>
        <v>0</v>
      </c>
    </row>
    <row r="680" spans="1:8" ht="14.75" customHeight="1" x14ac:dyDescent="0.35">
      <c r="A680" s="11">
        <v>294</v>
      </c>
      <c r="B680" s="31"/>
      <c r="C680" s="16"/>
      <c r="D680" s="19"/>
      <c r="E680" s="19"/>
      <c r="F680" s="24"/>
      <c r="G680" s="20"/>
      <c r="H680" s="2">
        <f t="shared" si="11"/>
        <v>0</v>
      </c>
    </row>
    <row r="681" spans="1:8" ht="14.75" customHeight="1" x14ac:dyDescent="0.35">
      <c r="A681" s="11">
        <v>295</v>
      </c>
      <c r="B681" s="31"/>
      <c r="C681" s="16"/>
      <c r="D681" s="19"/>
      <c r="E681" s="19"/>
      <c r="F681" s="24"/>
      <c r="G681" s="20"/>
      <c r="H681" s="2">
        <f t="shared" si="11"/>
        <v>0</v>
      </c>
    </row>
    <row r="682" spans="1:8" ht="14.75" customHeight="1" x14ac:dyDescent="0.35">
      <c r="A682" s="11">
        <v>296</v>
      </c>
      <c r="B682" s="31"/>
      <c r="C682" s="16"/>
      <c r="D682" s="19"/>
      <c r="E682" s="19"/>
      <c r="F682" s="24"/>
      <c r="G682" s="20"/>
      <c r="H682" s="2">
        <f t="shared" si="11"/>
        <v>0</v>
      </c>
    </row>
    <row r="683" spans="1:8" ht="14.75" customHeight="1" x14ac:dyDescent="0.35">
      <c r="A683" s="11">
        <v>297</v>
      </c>
      <c r="B683" s="31"/>
      <c r="C683" s="16"/>
      <c r="D683" s="19"/>
      <c r="E683" s="19"/>
      <c r="F683" s="24"/>
      <c r="G683" s="20"/>
      <c r="H683" s="2">
        <f t="shared" si="11"/>
        <v>0</v>
      </c>
    </row>
    <row r="684" spans="1:8" ht="14.75" customHeight="1" x14ac:dyDescent="0.35">
      <c r="A684" s="11">
        <v>298</v>
      </c>
      <c r="B684" s="31"/>
      <c r="C684" s="16"/>
      <c r="D684" s="19"/>
      <c r="E684" s="19"/>
      <c r="F684" s="24"/>
      <c r="G684" s="20"/>
      <c r="H684" s="2">
        <f t="shared" si="11"/>
        <v>0</v>
      </c>
    </row>
    <row r="685" spans="1:8" ht="14.75" customHeight="1" x14ac:dyDescent="0.35">
      <c r="A685" s="11">
        <v>299</v>
      </c>
      <c r="B685" s="31"/>
      <c r="C685" s="16"/>
      <c r="D685" s="19"/>
      <c r="E685" s="19"/>
      <c r="F685" s="24"/>
      <c r="G685" s="20"/>
      <c r="H685" s="2">
        <f t="shared" si="11"/>
        <v>0</v>
      </c>
    </row>
    <row r="686" spans="1:8" ht="14.75" customHeight="1" x14ac:dyDescent="0.35">
      <c r="A686" s="11">
        <v>300</v>
      </c>
      <c r="B686" s="31"/>
      <c r="C686" s="16"/>
      <c r="D686" s="19"/>
      <c r="E686" s="19"/>
      <c r="F686" s="24"/>
      <c r="G686" s="20"/>
      <c r="H686" s="2">
        <f t="shared" si="11"/>
        <v>0</v>
      </c>
    </row>
    <row r="687" spans="1:8" ht="14.75" customHeight="1" x14ac:dyDescent="0.35">
      <c r="A687" s="11">
        <v>301</v>
      </c>
      <c r="B687" s="31"/>
      <c r="C687" s="16"/>
      <c r="D687" s="19"/>
      <c r="E687" s="19"/>
      <c r="F687" s="24"/>
      <c r="G687" s="20"/>
      <c r="H687" s="2">
        <f t="shared" si="11"/>
        <v>0</v>
      </c>
    </row>
    <row r="688" spans="1:8" ht="14.75" customHeight="1" x14ac:dyDescent="0.35">
      <c r="A688" s="11">
        <v>302</v>
      </c>
      <c r="B688" s="31"/>
      <c r="C688" s="16"/>
      <c r="D688" s="19"/>
      <c r="E688" s="19"/>
      <c r="F688" s="24"/>
      <c r="G688" s="20"/>
      <c r="H688" s="2">
        <f t="shared" si="11"/>
        <v>0</v>
      </c>
    </row>
    <row r="689" spans="1:8" ht="14.75" customHeight="1" x14ac:dyDescent="0.35">
      <c r="A689" s="11">
        <v>303</v>
      </c>
      <c r="B689" s="31"/>
      <c r="C689" s="16"/>
      <c r="D689" s="19"/>
      <c r="E689" s="19"/>
      <c r="F689" s="24"/>
      <c r="G689" s="20"/>
      <c r="H689" s="2">
        <f t="shared" si="11"/>
        <v>0</v>
      </c>
    </row>
    <row r="690" spans="1:8" ht="14.75" customHeight="1" x14ac:dyDescent="0.35">
      <c r="A690" s="11">
        <v>304</v>
      </c>
      <c r="B690" s="31"/>
      <c r="C690" s="16"/>
      <c r="D690" s="19"/>
      <c r="E690" s="19"/>
      <c r="F690" s="24"/>
      <c r="G690" s="20"/>
      <c r="H690" s="2">
        <f t="shared" si="11"/>
        <v>0</v>
      </c>
    </row>
    <row r="691" spans="1:8" ht="14.75" customHeight="1" x14ac:dyDescent="0.35">
      <c r="A691" s="11">
        <v>305</v>
      </c>
      <c r="B691" s="31"/>
      <c r="C691" s="16"/>
      <c r="D691" s="19"/>
      <c r="E691" s="19"/>
      <c r="F691" s="24"/>
      <c r="G691" s="20"/>
      <c r="H691" s="2">
        <f t="shared" si="11"/>
        <v>0</v>
      </c>
    </row>
    <row r="692" spans="1:8" ht="14.75" customHeight="1" x14ac:dyDescent="0.35">
      <c r="A692" s="11">
        <v>306</v>
      </c>
      <c r="B692" s="31"/>
      <c r="C692" s="16"/>
      <c r="D692" s="19"/>
      <c r="E692" s="19"/>
      <c r="F692" s="24"/>
      <c r="G692" s="20"/>
      <c r="H692" s="2">
        <f t="shared" si="11"/>
        <v>0</v>
      </c>
    </row>
    <row r="693" spans="1:8" ht="14.75" customHeight="1" x14ac:dyDescent="0.35">
      <c r="A693" s="11">
        <v>307</v>
      </c>
      <c r="B693" s="31"/>
      <c r="C693" s="16"/>
      <c r="D693" s="19"/>
      <c r="E693" s="19"/>
      <c r="F693" s="24"/>
      <c r="G693" s="20"/>
      <c r="H693" s="2">
        <f t="shared" si="11"/>
        <v>0</v>
      </c>
    </row>
    <row r="694" spans="1:8" ht="14.75" customHeight="1" x14ac:dyDescent="0.35">
      <c r="A694" s="11">
        <v>308</v>
      </c>
      <c r="B694" s="31"/>
      <c r="C694" s="16"/>
      <c r="D694" s="19"/>
      <c r="E694" s="19"/>
      <c r="F694" s="24"/>
      <c r="G694" s="20"/>
      <c r="H694" s="2">
        <f t="shared" si="11"/>
        <v>0</v>
      </c>
    </row>
    <row r="695" spans="1:8" ht="14.75" customHeight="1" x14ac:dyDescent="0.35">
      <c r="A695" s="11">
        <v>309</v>
      </c>
      <c r="B695" s="31"/>
      <c r="C695" s="16"/>
      <c r="D695" s="19"/>
      <c r="E695" s="19"/>
      <c r="F695" s="24"/>
      <c r="G695" s="20"/>
      <c r="H695" s="2">
        <f t="shared" si="11"/>
        <v>0</v>
      </c>
    </row>
    <row r="696" spans="1:8" ht="14.75" customHeight="1" x14ac:dyDescent="0.35">
      <c r="A696" s="11">
        <v>310</v>
      </c>
      <c r="B696" s="31"/>
      <c r="C696" s="16"/>
      <c r="D696" s="19"/>
      <c r="E696" s="19"/>
      <c r="F696" s="24"/>
      <c r="G696" s="20"/>
      <c r="H696" s="2">
        <f t="shared" si="11"/>
        <v>0</v>
      </c>
    </row>
    <row r="697" spans="1:8" ht="14.75" customHeight="1" x14ac:dyDescent="0.35">
      <c r="A697" s="11">
        <v>311</v>
      </c>
      <c r="B697" s="31"/>
      <c r="C697" s="16"/>
      <c r="D697" s="19"/>
      <c r="E697" s="19"/>
      <c r="F697" s="24"/>
      <c r="G697" s="20"/>
      <c r="H697" s="2">
        <f t="shared" si="11"/>
        <v>0</v>
      </c>
    </row>
    <row r="698" spans="1:8" ht="14.75" customHeight="1" x14ac:dyDescent="0.35">
      <c r="A698" s="11">
        <v>312</v>
      </c>
      <c r="B698" s="31"/>
      <c r="C698" s="16"/>
      <c r="D698" s="19"/>
      <c r="E698" s="19"/>
      <c r="F698" s="24"/>
      <c r="G698" s="20"/>
      <c r="H698" s="2">
        <f t="shared" si="11"/>
        <v>0</v>
      </c>
    </row>
    <row r="699" spans="1:8" ht="14.75" customHeight="1" x14ac:dyDescent="0.35">
      <c r="A699" s="11">
        <v>313</v>
      </c>
      <c r="B699" s="31"/>
      <c r="C699" s="16"/>
      <c r="D699" s="19"/>
      <c r="E699" s="19"/>
      <c r="F699" s="24"/>
      <c r="G699" s="20"/>
      <c r="H699" s="2">
        <f t="shared" si="11"/>
        <v>0</v>
      </c>
    </row>
    <row r="700" spans="1:8" ht="14.75" customHeight="1" x14ac:dyDescent="0.35">
      <c r="A700" s="11">
        <v>314</v>
      </c>
      <c r="B700" s="31"/>
      <c r="C700" s="16"/>
      <c r="D700" s="19"/>
      <c r="E700" s="19"/>
      <c r="F700" s="24"/>
      <c r="G700" s="20"/>
      <c r="H700" s="2">
        <f t="shared" si="11"/>
        <v>0</v>
      </c>
    </row>
    <row r="701" spans="1:8" ht="14.75" customHeight="1" x14ac:dyDescent="0.35">
      <c r="A701" s="11">
        <v>315</v>
      </c>
      <c r="B701" s="31"/>
      <c r="C701" s="16"/>
      <c r="D701" s="19"/>
      <c r="E701" s="19"/>
      <c r="F701" s="24"/>
      <c r="G701" s="20"/>
      <c r="H701" s="2">
        <f t="shared" si="11"/>
        <v>0</v>
      </c>
    </row>
    <row r="702" spans="1:8" ht="14.75" customHeight="1" x14ac:dyDescent="0.35">
      <c r="A702" s="11">
        <v>316</v>
      </c>
      <c r="B702" s="31"/>
      <c r="C702" s="16"/>
      <c r="D702" s="19"/>
      <c r="E702" s="19"/>
      <c r="F702" s="24"/>
      <c r="G702" s="20"/>
      <c r="H702" s="2">
        <f t="shared" si="11"/>
        <v>0</v>
      </c>
    </row>
    <row r="703" spans="1:8" ht="14.75" customHeight="1" x14ac:dyDescent="0.35">
      <c r="A703" s="11">
        <v>317</v>
      </c>
      <c r="B703" s="31"/>
      <c r="C703" s="16"/>
      <c r="D703" s="19"/>
      <c r="E703" s="19"/>
      <c r="F703" s="24"/>
      <c r="G703" s="20"/>
      <c r="H703" s="2">
        <f t="shared" si="11"/>
        <v>0</v>
      </c>
    </row>
    <row r="704" spans="1:8" ht="14.75" customHeight="1" x14ac:dyDescent="0.35">
      <c r="A704" s="11">
        <v>318</v>
      </c>
      <c r="B704" s="31"/>
      <c r="C704" s="16"/>
      <c r="D704" s="19"/>
      <c r="E704" s="19"/>
      <c r="F704" s="24"/>
      <c r="G704" s="20"/>
      <c r="H704" s="2">
        <f t="shared" si="11"/>
        <v>0</v>
      </c>
    </row>
    <row r="705" spans="1:8" ht="14.75" customHeight="1" x14ac:dyDescent="0.35">
      <c r="A705" s="11">
        <v>319</v>
      </c>
      <c r="B705" s="31"/>
      <c r="C705" s="16"/>
      <c r="D705" s="19"/>
      <c r="E705" s="19"/>
      <c r="F705" s="24"/>
      <c r="G705" s="20"/>
      <c r="H705" s="2">
        <f t="shared" si="11"/>
        <v>0</v>
      </c>
    </row>
    <row r="706" spans="1:8" ht="14.75" customHeight="1" x14ac:dyDescent="0.35">
      <c r="A706" s="11">
        <v>320</v>
      </c>
      <c r="B706" s="31"/>
      <c r="C706" s="16"/>
      <c r="D706" s="19"/>
      <c r="E706" s="19"/>
      <c r="F706" s="24"/>
      <c r="G706" s="20"/>
      <c r="H706" s="2">
        <f t="shared" si="11"/>
        <v>0</v>
      </c>
    </row>
    <row r="707" spans="1:8" ht="14.75" customHeight="1" x14ac:dyDescent="0.35">
      <c r="A707" s="11">
        <v>321</v>
      </c>
      <c r="B707" s="31"/>
      <c r="C707" s="16"/>
      <c r="D707" s="19"/>
      <c r="E707" s="19"/>
      <c r="F707" s="24"/>
      <c r="G707" s="20"/>
      <c r="H707" s="2">
        <f t="shared" si="11"/>
        <v>0</v>
      </c>
    </row>
    <row r="708" spans="1:8" ht="14.75" customHeight="1" x14ac:dyDescent="0.35">
      <c r="A708" s="11">
        <v>322</v>
      </c>
      <c r="B708" s="31"/>
      <c r="C708" s="16"/>
      <c r="D708" s="19"/>
      <c r="E708" s="19"/>
      <c r="F708" s="24"/>
      <c r="G708" s="20"/>
      <c r="H708" s="2">
        <f t="shared" si="11"/>
        <v>0</v>
      </c>
    </row>
    <row r="709" spans="1:8" ht="14.75" customHeight="1" x14ac:dyDescent="0.35">
      <c r="A709" s="11">
        <v>323</v>
      </c>
      <c r="B709" s="31"/>
      <c r="C709" s="16"/>
      <c r="D709" s="19"/>
      <c r="E709" s="19"/>
      <c r="F709" s="24"/>
      <c r="G709" s="20"/>
      <c r="H709" s="2">
        <f t="shared" si="11"/>
        <v>0</v>
      </c>
    </row>
    <row r="710" spans="1:8" ht="14.75" customHeight="1" x14ac:dyDescent="0.35">
      <c r="A710" s="11">
        <v>324</v>
      </c>
      <c r="B710" s="31"/>
      <c r="C710" s="16"/>
      <c r="D710" s="19"/>
      <c r="E710" s="19"/>
      <c r="F710" s="24"/>
      <c r="G710" s="20"/>
      <c r="H710" s="2">
        <f t="shared" si="11"/>
        <v>0</v>
      </c>
    </row>
    <row r="711" spans="1:8" ht="14.75" customHeight="1" x14ac:dyDescent="0.35">
      <c r="A711" s="11">
        <v>325</v>
      </c>
      <c r="B711" s="31"/>
      <c r="C711" s="16"/>
      <c r="D711" s="19"/>
      <c r="E711" s="19"/>
      <c r="F711" s="24"/>
      <c r="G711" s="20"/>
      <c r="H711" s="2">
        <f t="shared" si="11"/>
        <v>0</v>
      </c>
    </row>
    <row r="712" spans="1:8" ht="14.75" customHeight="1" x14ac:dyDescent="0.35">
      <c r="A712" s="11">
        <v>326</v>
      </c>
      <c r="B712" s="31"/>
      <c r="C712" s="16"/>
      <c r="D712" s="19"/>
      <c r="E712" s="19"/>
      <c r="F712" s="24"/>
      <c r="G712" s="20"/>
      <c r="H712" s="2">
        <f t="shared" si="11"/>
        <v>0</v>
      </c>
    </row>
    <row r="713" spans="1:8" ht="14.75" customHeight="1" x14ac:dyDescent="0.35">
      <c r="A713" s="11">
        <v>327</v>
      </c>
      <c r="B713" s="31"/>
      <c r="C713" s="16"/>
      <c r="D713" s="19"/>
      <c r="E713" s="19"/>
      <c r="F713" s="24"/>
      <c r="G713" s="20"/>
      <c r="H713" s="2">
        <f t="shared" si="11"/>
        <v>0</v>
      </c>
    </row>
    <row r="714" spans="1:8" ht="14.75" customHeight="1" x14ac:dyDescent="0.35">
      <c r="A714" s="11">
        <v>328</v>
      </c>
      <c r="B714" s="31"/>
      <c r="C714" s="16"/>
      <c r="D714" s="19"/>
      <c r="E714" s="19"/>
      <c r="F714" s="24"/>
      <c r="G714" s="20"/>
      <c r="H714" s="2">
        <f t="shared" si="11"/>
        <v>0</v>
      </c>
    </row>
    <row r="715" spans="1:8" ht="14.75" customHeight="1" x14ac:dyDescent="0.35">
      <c r="A715" s="11">
        <v>329</v>
      </c>
      <c r="B715" s="31"/>
      <c r="C715" s="16"/>
      <c r="D715" s="19"/>
      <c r="E715" s="19"/>
      <c r="F715" s="24"/>
      <c r="G715" s="20"/>
      <c r="H715" s="2">
        <f t="shared" si="11"/>
        <v>0</v>
      </c>
    </row>
    <row r="716" spans="1:8" ht="14.75" customHeight="1" x14ac:dyDescent="0.35">
      <c r="A716" s="11">
        <v>330</v>
      </c>
      <c r="B716" s="31"/>
      <c r="C716" s="16"/>
      <c r="D716" s="19"/>
      <c r="E716" s="19"/>
      <c r="F716" s="24"/>
      <c r="G716" s="20"/>
      <c r="H716" s="2">
        <f t="shared" si="11"/>
        <v>0</v>
      </c>
    </row>
    <row r="717" spans="1:8" ht="14.75" customHeight="1" x14ac:dyDescent="0.35">
      <c r="A717" s="11">
        <v>331</v>
      </c>
      <c r="B717" s="31"/>
      <c r="C717" s="16"/>
      <c r="D717" s="19"/>
      <c r="E717" s="19"/>
      <c r="F717" s="24"/>
      <c r="G717" s="20"/>
      <c r="H717" s="2">
        <f t="shared" si="11"/>
        <v>0</v>
      </c>
    </row>
    <row r="718" spans="1:8" ht="14.75" customHeight="1" x14ac:dyDescent="0.35">
      <c r="A718" s="11">
        <v>332</v>
      </c>
      <c r="B718" s="31"/>
      <c r="C718" s="16"/>
      <c r="D718" s="19"/>
      <c r="E718" s="19"/>
      <c r="F718" s="24"/>
      <c r="G718" s="20"/>
      <c r="H718" s="2">
        <f t="shared" si="11"/>
        <v>0</v>
      </c>
    </row>
    <row r="719" spans="1:8" ht="14.75" customHeight="1" x14ac:dyDescent="0.35">
      <c r="A719" s="11">
        <v>333</v>
      </c>
      <c r="B719" s="31"/>
      <c r="C719" s="16"/>
      <c r="D719" s="19"/>
      <c r="E719" s="19"/>
      <c r="F719" s="24"/>
      <c r="G719" s="20"/>
      <c r="H719" s="2">
        <f t="shared" si="11"/>
        <v>0</v>
      </c>
    </row>
    <row r="720" spans="1:8" ht="14.75" customHeight="1" x14ac:dyDescent="0.35">
      <c r="A720" s="11">
        <v>334</v>
      </c>
      <c r="B720" s="31"/>
      <c r="C720" s="16"/>
      <c r="D720" s="19"/>
      <c r="E720" s="19"/>
      <c r="F720" s="24"/>
      <c r="G720" s="20"/>
      <c r="H720" s="2">
        <f t="shared" si="11"/>
        <v>0</v>
      </c>
    </row>
    <row r="721" spans="1:8" ht="14.75" customHeight="1" x14ac:dyDescent="0.35">
      <c r="A721" s="11">
        <v>335</v>
      </c>
      <c r="B721" s="31"/>
      <c r="C721" s="16"/>
      <c r="D721" s="19"/>
      <c r="E721" s="19"/>
      <c r="F721" s="24"/>
      <c r="G721" s="20"/>
      <c r="H721" s="2">
        <f t="shared" si="11"/>
        <v>0</v>
      </c>
    </row>
    <row r="722" spans="1:8" ht="14.75" customHeight="1" x14ac:dyDescent="0.35">
      <c r="A722" s="11">
        <v>336</v>
      </c>
      <c r="B722" s="31"/>
      <c r="C722" s="16"/>
      <c r="D722" s="19"/>
      <c r="E722" s="19"/>
      <c r="F722" s="24"/>
      <c r="G722" s="20"/>
      <c r="H722" s="2">
        <f t="shared" si="11"/>
        <v>0</v>
      </c>
    </row>
    <row r="723" spans="1:8" ht="14.75" customHeight="1" x14ac:dyDescent="0.35">
      <c r="A723" s="11">
        <v>337</v>
      </c>
      <c r="B723" s="31"/>
      <c r="C723" s="16"/>
      <c r="D723" s="19"/>
      <c r="E723" s="19"/>
      <c r="F723" s="24"/>
      <c r="G723" s="20"/>
      <c r="H723" s="2">
        <f t="shared" si="11"/>
        <v>0</v>
      </c>
    </row>
    <row r="724" spans="1:8" ht="14.75" customHeight="1" x14ac:dyDescent="0.35">
      <c r="A724" s="11">
        <v>338</v>
      </c>
      <c r="B724" s="31"/>
      <c r="C724" s="16"/>
      <c r="D724" s="19"/>
      <c r="E724" s="19"/>
      <c r="F724" s="24"/>
      <c r="G724" s="20"/>
      <c r="H724" s="2">
        <f t="shared" si="11"/>
        <v>0</v>
      </c>
    </row>
    <row r="725" spans="1:8" ht="14.75" customHeight="1" x14ac:dyDescent="0.35">
      <c r="A725" s="11">
        <v>339</v>
      </c>
      <c r="B725" s="31"/>
      <c r="C725" s="16"/>
      <c r="D725" s="19"/>
      <c r="E725" s="19"/>
      <c r="F725" s="24"/>
      <c r="G725" s="20"/>
      <c r="H725" s="2">
        <f t="shared" si="11"/>
        <v>0</v>
      </c>
    </row>
    <row r="726" spans="1:8" ht="14.75" customHeight="1" x14ac:dyDescent="0.35">
      <c r="A726" s="11">
        <v>340</v>
      </c>
      <c r="B726" s="31"/>
      <c r="C726" s="16"/>
      <c r="D726" s="19"/>
      <c r="E726" s="19"/>
      <c r="F726" s="24"/>
      <c r="G726" s="20"/>
      <c r="H726" s="2">
        <f t="shared" si="11"/>
        <v>0</v>
      </c>
    </row>
    <row r="727" spans="1:8" ht="14.75" customHeight="1" x14ac:dyDescent="0.35">
      <c r="A727" s="11">
        <v>341</v>
      </c>
      <c r="B727" s="31"/>
      <c r="C727" s="16"/>
      <c r="D727" s="19"/>
      <c r="E727" s="19"/>
      <c r="F727" s="24"/>
      <c r="G727" s="20"/>
      <c r="H727" s="2">
        <f t="shared" si="11"/>
        <v>0</v>
      </c>
    </row>
    <row r="728" spans="1:8" ht="14.75" customHeight="1" x14ac:dyDescent="0.35">
      <c r="A728" s="11">
        <v>342</v>
      </c>
      <c r="B728" s="31"/>
      <c r="C728" s="16"/>
      <c r="D728" s="19"/>
      <c r="E728" s="19"/>
      <c r="F728" s="24"/>
      <c r="G728" s="20"/>
      <c r="H728" s="2">
        <f t="shared" si="11"/>
        <v>0</v>
      </c>
    </row>
    <row r="729" spans="1:8" ht="14.75" customHeight="1" x14ac:dyDescent="0.35">
      <c r="A729" s="11">
        <v>343</v>
      </c>
      <c r="B729" s="31"/>
      <c r="C729" s="16"/>
      <c r="D729" s="19"/>
      <c r="E729" s="19"/>
      <c r="F729" s="24"/>
      <c r="G729" s="20"/>
      <c r="H729" s="2">
        <f t="shared" si="11"/>
        <v>0</v>
      </c>
    </row>
    <row r="730" spans="1:8" ht="14.75" customHeight="1" x14ac:dyDescent="0.35">
      <c r="A730" s="11">
        <v>344</v>
      </c>
      <c r="B730" s="31"/>
      <c r="C730" s="16"/>
      <c r="D730" s="19"/>
      <c r="E730" s="19"/>
      <c r="F730" s="24"/>
      <c r="G730" s="20"/>
      <c r="H730" s="2">
        <f t="shared" si="11"/>
        <v>0</v>
      </c>
    </row>
    <row r="731" spans="1:8" ht="14.75" customHeight="1" x14ac:dyDescent="0.35">
      <c r="A731" s="11">
        <v>345</v>
      </c>
      <c r="B731" s="31"/>
      <c r="C731" s="16"/>
      <c r="D731" s="19"/>
      <c r="E731" s="19"/>
      <c r="F731" s="24"/>
      <c r="G731" s="20"/>
      <c r="H731" s="2">
        <f t="shared" si="11"/>
        <v>0</v>
      </c>
    </row>
    <row r="732" spans="1:8" ht="14.75" customHeight="1" x14ac:dyDescent="0.35">
      <c r="A732" s="11">
        <v>346</v>
      </c>
      <c r="B732" s="31"/>
      <c r="C732" s="16"/>
      <c r="D732" s="19"/>
      <c r="E732" s="19"/>
      <c r="F732" s="24"/>
      <c r="G732" s="20"/>
      <c r="H732" s="2">
        <f t="shared" si="11"/>
        <v>0</v>
      </c>
    </row>
    <row r="733" spans="1:8" ht="14.75" customHeight="1" x14ac:dyDescent="0.35">
      <c r="A733" s="11">
        <v>347</v>
      </c>
      <c r="B733" s="31"/>
      <c r="C733" s="16"/>
      <c r="D733" s="19"/>
      <c r="E733" s="19"/>
      <c r="F733" s="24"/>
      <c r="G733" s="20"/>
      <c r="H733" s="2">
        <f t="shared" si="11"/>
        <v>0</v>
      </c>
    </row>
    <row r="734" spans="1:8" ht="14.75" customHeight="1" x14ac:dyDescent="0.35">
      <c r="A734" s="11">
        <v>348</v>
      </c>
      <c r="B734" s="31"/>
      <c r="C734" s="16"/>
      <c r="D734" s="19"/>
      <c r="E734" s="19"/>
      <c r="F734" s="24"/>
      <c r="G734" s="20"/>
      <c r="H734" s="2">
        <f t="shared" si="11"/>
        <v>0</v>
      </c>
    </row>
    <row r="735" spans="1:8" ht="14.75" customHeight="1" x14ac:dyDescent="0.35">
      <c r="A735" s="11">
        <v>349</v>
      </c>
      <c r="B735" s="31"/>
      <c r="C735" s="16"/>
      <c r="D735" s="19"/>
      <c r="E735" s="19"/>
      <c r="F735" s="24"/>
      <c r="G735" s="20"/>
      <c r="H735" s="2">
        <f t="shared" si="11"/>
        <v>0</v>
      </c>
    </row>
    <row r="736" spans="1:8" ht="14.75" customHeight="1" x14ac:dyDescent="0.35">
      <c r="A736" s="11">
        <v>350</v>
      </c>
      <c r="B736" s="31"/>
      <c r="C736" s="16"/>
      <c r="D736" s="19"/>
      <c r="E736" s="19"/>
      <c r="F736" s="24"/>
      <c r="G736" s="20"/>
      <c r="H736" s="2">
        <f t="shared" si="11"/>
        <v>0</v>
      </c>
    </row>
    <row r="737" spans="1:8" ht="14.75" customHeight="1" x14ac:dyDescent="0.35">
      <c r="A737" s="11">
        <v>351</v>
      </c>
      <c r="B737" s="31"/>
      <c r="C737" s="16"/>
      <c r="D737" s="19"/>
      <c r="E737" s="19"/>
      <c r="F737" s="24"/>
      <c r="G737" s="20"/>
      <c r="H737" s="2">
        <f t="shared" si="11"/>
        <v>0</v>
      </c>
    </row>
    <row r="738" spans="1:8" ht="14.75" customHeight="1" x14ac:dyDescent="0.35">
      <c r="A738" s="11">
        <v>352</v>
      </c>
      <c r="B738" s="31"/>
      <c r="C738" s="16"/>
      <c r="D738" s="19"/>
      <c r="E738" s="19"/>
      <c r="F738" s="24"/>
      <c r="G738" s="20"/>
      <c r="H738" s="2">
        <f t="shared" ref="H738:H795" si="12">H737+F738-G738</f>
        <v>0</v>
      </c>
    </row>
    <row r="739" spans="1:8" ht="14.75" customHeight="1" x14ac:dyDescent="0.35">
      <c r="A739" s="11">
        <v>353</v>
      </c>
      <c r="B739" s="31"/>
      <c r="C739" s="16"/>
      <c r="D739" s="19"/>
      <c r="E739" s="19"/>
      <c r="F739" s="24"/>
      <c r="G739" s="20"/>
      <c r="H739" s="2">
        <f t="shared" si="12"/>
        <v>0</v>
      </c>
    </row>
    <row r="740" spans="1:8" ht="14.75" customHeight="1" x14ac:dyDescent="0.35">
      <c r="A740" s="11">
        <v>354</v>
      </c>
      <c r="B740" s="31"/>
      <c r="C740" s="16"/>
      <c r="D740" s="19"/>
      <c r="E740" s="19"/>
      <c r="F740" s="24"/>
      <c r="G740" s="20"/>
      <c r="H740" s="2">
        <f t="shared" si="12"/>
        <v>0</v>
      </c>
    </row>
    <row r="741" spans="1:8" ht="14.75" customHeight="1" x14ac:dyDescent="0.35">
      <c r="A741" s="11">
        <v>355</v>
      </c>
      <c r="B741" s="31"/>
      <c r="C741" s="16"/>
      <c r="D741" s="19"/>
      <c r="E741" s="19"/>
      <c r="F741" s="24"/>
      <c r="G741" s="20"/>
      <c r="H741" s="2">
        <f t="shared" si="12"/>
        <v>0</v>
      </c>
    </row>
    <row r="742" spans="1:8" ht="14.75" customHeight="1" x14ac:dyDescent="0.35">
      <c r="A742" s="11">
        <v>356</v>
      </c>
      <c r="B742" s="31"/>
      <c r="C742" s="16"/>
      <c r="D742" s="19"/>
      <c r="E742" s="19"/>
      <c r="F742" s="24"/>
      <c r="G742" s="20"/>
      <c r="H742" s="2">
        <f t="shared" si="12"/>
        <v>0</v>
      </c>
    </row>
    <row r="743" spans="1:8" ht="14.75" customHeight="1" x14ac:dyDescent="0.35">
      <c r="A743" s="11">
        <v>357</v>
      </c>
      <c r="B743" s="31"/>
      <c r="C743" s="16"/>
      <c r="D743" s="19"/>
      <c r="E743" s="19"/>
      <c r="F743" s="24"/>
      <c r="G743" s="20"/>
      <c r="H743" s="2">
        <f t="shared" si="12"/>
        <v>0</v>
      </c>
    </row>
    <row r="744" spans="1:8" ht="14.75" customHeight="1" x14ac:dyDescent="0.35">
      <c r="A744" s="11">
        <v>358</v>
      </c>
      <c r="B744" s="31"/>
      <c r="C744" s="16"/>
      <c r="D744" s="19"/>
      <c r="E744" s="19"/>
      <c r="F744" s="24"/>
      <c r="G744" s="20"/>
      <c r="H744" s="2">
        <f t="shared" si="12"/>
        <v>0</v>
      </c>
    </row>
    <row r="745" spans="1:8" ht="14.75" customHeight="1" x14ac:dyDescent="0.35">
      <c r="A745" s="11">
        <v>359</v>
      </c>
      <c r="B745" s="31"/>
      <c r="C745" s="16"/>
      <c r="D745" s="19"/>
      <c r="E745" s="19"/>
      <c r="F745" s="24"/>
      <c r="G745" s="20"/>
      <c r="H745" s="2">
        <f t="shared" si="12"/>
        <v>0</v>
      </c>
    </row>
    <row r="746" spans="1:8" ht="14.75" customHeight="1" x14ac:dyDescent="0.35">
      <c r="A746" s="11">
        <v>360</v>
      </c>
      <c r="B746" s="31"/>
      <c r="C746" s="16"/>
      <c r="D746" s="19"/>
      <c r="E746" s="19"/>
      <c r="F746" s="24"/>
      <c r="G746" s="20"/>
      <c r="H746" s="2">
        <f t="shared" si="12"/>
        <v>0</v>
      </c>
    </row>
    <row r="747" spans="1:8" ht="14.75" customHeight="1" x14ac:dyDescent="0.35">
      <c r="A747" s="11">
        <v>361</v>
      </c>
      <c r="B747" s="31"/>
      <c r="C747" s="16"/>
      <c r="D747" s="19"/>
      <c r="E747" s="19"/>
      <c r="F747" s="24"/>
      <c r="G747" s="20"/>
      <c r="H747" s="2">
        <f t="shared" si="12"/>
        <v>0</v>
      </c>
    </row>
    <row r="748" spans="1:8" ht="14.75" customHeight="1" x14ac:dyDescent="0.35">
      <c r="A748" s="11">
        <v>362</v>
      </c>
      <c r="B748" s="31"/>
      <c r="C748" s="16"/>
      <c r="D748" s="19"/>
      <c r="E748" s="19"/>
      <c r="F748" s="24"/>
      <c r="G748" s="20"/>
      <c r="H748" s="2">
        <f t="shared" si="12"/>
        <v>0</v>
      </c>
    </row>
    <row r="749" spans="1:8" ht="14.75" customHeight="1" x14ac:dyDescent="0.35">
      <c r="A749" s="11">
        <v>363</v>
      </c>
      <c r="B749" s="31"/>
      <c r="C749" s="16"/>
      <c r="D749" s="19"/>
      <c r="E749" s="19"/>
      <c r="F749" s="24"/>
      <c r="G749" s="20"/>
      <c r="H749" s="2">
        <f t="shared" si="12"/>
        <v>0</v>
      </c>
    </row>
    <row r="750" spans="1:8" ht="14.75" customHeight="1" x14ac:dyDescent="0.35">
      <c r="A750" s="11">
        <v>364</v>
      </c>
      <c r="B750" s="31"/>
      <c r="C750" s="16"/>
      <c r="D750" s="19"/>
      <c r="E750" s="19"/>
      <c r="F750" s="24"/>
      <c r="G750" s="20"/>
      <c r="H750" s="2">
        <f t="shared" si="12"/>
        <v>0</v>
      </c>
    </row>
    <row r="751" spans="1:8" ht="14.75" customHeight="1" x14ac:dyDescent="0.35">
      <c r="A751" s="11">
        <v>365</v>
      </c>
      <c r="B751" s="31"/>
      <c r="C751" s="16"/>
      <c r="D751" s="19"/>
      <c r="E751" s="19"/>
      <c r="F751" s="24"/>
      <c r="G751" s="20"/>
      <c r="H751" s="2">
        <f t="shared" si="12"/>
        <v>0</v>
      </c>
    </row>
    <row r="752" spans="1:8" ht="14.75" customHeight="1" x14ac:dyDescent="0.35">
      <c r="A752" s="11">
        <v>366</v>
      </c>
      <c r="B752" s="31"/>
      <c r="C752" s="16"/>
      <c r="D752" s="19"/>
      <c r="E752" s="19"/>
      <c r="F752" s="24"/>
      <c r="G752" s="20"/>
      <c r="H752" s="2">
        <f t="shared" si="12"/>
        <v>0</v>
      </c>
    </row>
    <row r="753" spans="1:8" ht="14.75" customHeight="1" x14ac:dyDescent="0.35">
      <c r="A753" s="11">
        <v>367</v>
      </c>
      <c r="B753" s="31"/>
      <c r="C753" s="16"/>
      <c r="D753" s="19"/>
      <c r="E753" s="19"/>
      <c r="F753" s="24"/>
      <c r="G753" s="20"/>
      <c r="H753" s="2">
        <f t="shared" si="12"/>
        <v>0</v>
      </c>
    </row>
    <row r="754" spans="1:8" ht="14.75" customHeight="1" x14ac:dyDescent="0.35">
      <c r="A754" s="11">
        <v>368</v>
      </c>
      <c r="B754" s="31"/>
      <c r="C754" s="16"/>
      <c r="D754" s="19"/>
      <c r="E754" s="19"/>
      <c r="F754" s="24"/>
      <c r="G754" s="20"/>
      <c r="H754" s="2">
        <f t="shared" si="12"/>
        <v>0</v>
      </c>
    </row>
    <row r="755" spans="1:8" ht="14.75" customHeight="1" x14ac:dyDescent="0.35">
      <c r="A755" s="11">
        <v>369</v>
      </c>
      <c r="B755" s="31"/>
      <c r="C755" s="16"/>
      <c r="D755" s="19"/>
      <c r="E755" s="19"/>
      <c r="F755" s="24"/>
      <c r="G755" s="20"/>
      <c r="H755" s="2">
        <f t="shared" si="12"/>
        <v>0</v>
      </c>
    </row>
    <row r="756" spans="1:8" ht="14.75" customHeight="1" x14ac:dyDescent="0.35">
      <c r="A756" s="11">
        <v>370</v>
      </c>
      <c r="B756" s="31"/>
      <c r="C756" s="16"/>
      <c r="D756" s="19"/>
      <c r="E756" s="19"/>
      <c r="F756" s="24"/>
      <c r="G756" s="20"/>
      <c r="H756" s="2">
        <f t="shared" si="12"/>
        <v>0</v>
      </c>
    </row>
    <row r="757" spans="1:8" ht="14.75" customHeight="1" x14ac:dyDescent="0.35">
      <c r="A757" s="11">
        <v>371</v>
      </c>
      <c r="B757" s="31"/>
      <c r="C757" s="16"/>
      <c r="D757" s="19"/>
      <c r="E757" s="19"/>
      <c r="F757" s="24"/>
      <c r="G757" s="20"/>
      <c r="H757" s="2">
        <f t="shared" si="12"/>
        <v>0</v>
      </c>
    </row>
    <row r="758" spans="1:8" ht="14.75" customHeight="1" x14ac:dyDescent="0.35">
      <c r="A758" s="11">
        <v>372</v>
      </c>
      <c r="B758" s="31"/>
      <c r="C758" s="16"/>
      <c r="D758" s="19"/>
      <c r="E758" s="19"/>
      <c r="F758" s="24"/>
      <c r="G758" s="20"/>
      <c r="H758" s="2">
        <f t="shared" si="12"/>
        <v>0</v>
      </c>
    </row>
    <row r="759" spans="1:8" ht="14.75" customHeight="1" x14ac:dyDescent="0.35">
      <c r="A759" s="11">
        <v>373</v>
      </c>
      <c r="B759" s="31"/>
      <c r="C759" s="16"/>
      <c r="D759" s="19"/>
      <c r="E759" s="19"/>
      <c r="F759" s="24"/>
      <c r="G759" s="20"/>
      <c r="H759" s="2">
        <f t="shared" si="12"/>
        <v>0</v>
      </c>
    </row>
    <row r="760" spans="1:8" ht="14.75" customHeight="1" x14ac:dyDescent="0.35">
      <c r="A760" s="11">
        <v>374</v>
      </c>
      <c r="B760" s="31"/>
      <c r="C760" s="16"/>
      <c r="D760" s="19"/>
      <c r="E760" s="19"/>
      <c r="F760" s="24"/>
      <c r="G760" s="20"/>
      <c r="H760" s="2">
        <f t="shared" si="12"/>
        <v>0</v>
      </c>
    </row>
    <row r="761" spans="1:8" ht="14.75" customHeight="1" x14ac:dyDescent="0.35">
      <c r="A761" s="11">
        <v>375</v>
      </c>
      <c r="B761" s="31"/>
      <c r="C761" s="16"/>
      <c r="D761" s="19"/>
      <c r="E761" s="19"/>
      <c r="F761" s="24"/>
      <c r="G761" s="20"/>
      <c r="H761" s="2">
        <f t="shared" si="12"/>
        <v>0</v>
      </c>
    </row>
    <row r="762" spans="1:8" ht="14.75" customHeight="1" x14ac:dyDescent="0.35">
      <c r="A762" s="11">
        <v>376</v>
      </c>
      <c r="B762" s="31"/>
      <c r="C762" s="16"/>
      <c r="D762" s="19"/>
      <c r="E762" s="19"/>
      <c r="F762" s="24"/>
      <c r="G762" s="20"/>
      <c r="H762" s="2">
        <f t="shared" si="12"/>
        <v>0</v>
      </c>
    </row>
    <row r="763" spans="1:8" ht="14.75" customHeight="1" x14ac:dyDescent="0.35">
      <c r="A763" s="11">
        <v>377</v>
      </c>
      <c r="B763" s="31"/>
      <c r="C763" s="16"/>
      <c r="D763" s="19"/>
      <c r="E763" s="19"/>
      <c r="F763" s="24"/>
      <c r="G763" s="20"/>
      <c r="H763" s="2">
        <f t="shared" si="12"/>
        <v>0</v>
      </c>
    </row>
    <row r="764" spans="1:8" ht="14.75" customHeight="1" x14ac:dyDescent="0.35">
      <c r="A764" s="11">
        <v>378</v>
      </c>
      <c r="B764" s="31"/>
      <c r="C764" s="16"/>
      <c r="D764" s="19"/>
      <c r="E764" s="19"/>
      <c r="F764" s="24"/>
      <c r="G764" s="20"/>
      <c r="H764" s="2">
        <f t="shared" si="12"/>
        <v>0</v>
      </c>
    </row>
    <row r="765" spans="1:8" ht="14.75" customHeight="1" x14ac:dyDescent="0.35">
      <c r="A765" s="11">
        <v>379</v>
      </c>
      <c r="B765" s="31"/>
      <c r="C765" s="16"/>
      <c r="D765" s="19"/>
      <c r="E765" s="19"/>
      <c r="F765" s="24"/>
      <c r="G765" s="20"/>
      <c r="H765" s="2">
        <f t="shared" si="12"/>
        <v>0</v>
      </c>
    </row>
    <row r="766" spans="1:8" ht="14.75" customHeight="1" x14ac:dyDescent="0.35">
      <c r="A766" s="11">
        <v>380</v>
      </c>
      <c r="B766" s="31"/>
      <c r="C766" s="16"/>
      <c r="D766" s="19"/>
      <c r="E766" s="19"/>
      <c r="F766" s="24"/>
      <c r="G766" s="20"/>
      <c r="H766" s="2">
        <f t="shared" si="12"/>
        <v>0</v>
      </c>
    </row>
    <row r="767" spans="1:8" ht="14.75" customHeight="1" x14ac:dyDescent="0.35">
      <c r="A767" s="11">
        <v>381</v>
      </c>
      <c r="B767" s="31"/>
      <c r="C767" s="16"/>
      <c r="D767" s="19"/>
      <c r="E767" s="19"/>
      <c r="F767" s="24"/>
      <c r="G767" s="20"/>
      <c r="H767" s="2">
        <f t="shared" si="12"/>
        <v>0</v>
      </c>
    </row>
    <row r="768" spans="1:8" ht="14.75" customHeight="1" x14ac:dyDescent="0.35">
      <c r="A768" s="11">
        <v>382</v>
      </c>
      <c r="B768" s="31"/>
      <c r="C768" s="16"/>
      <c r="D768" s="19"/>
      <c r="E768" s="19"/>
      <c r="F768" s="24"/>
      <c r="G768" s="20"/>
      <c r="H768" s="2">
        <f t="shared" si="12"/>
        <v>0</v>
      </c>
    </row>
    <row r="769" spans="1:8" ht="14.75" customHeight="1" x14ac:dyDescent="0.35">
      <c r="A769" s="11">
        <v>383</v>
      </c>
      <c r="B769" s="31"/>
      <c r="C769" s="16"/>
      <c r="D769" s="19"/>
      <c r="E769" s="19"/>
      <c r="F769" s="24"/>
      <c r="G769" s="20"/>
      <c r="H769" s="2">
        <f t="shared" si="12"/>
        <v>0</v>
      </c>
    </row>
    <row r="770" spans="1:8" ht="14.75" customHeight="1" x14ac:dyDescent="0.35">
      <c r="A770" s="11">
        <v>384</v>
      </c>
      <c r="B770" s="31"/>
      <c r="C770" s="16"/>
      <c r="D770" s="19"/>
      <c r="E770" s="19"/>
      <c r="F770" s="24"/>
      <c r="G770" s="20"/>
      <c r="H770" s="2">
        <f t="shared" si="12"/>
        <v>0</v>
      </c>
    </row>
    <row r="771" spans="1:8" ht="14.75" customHeight="1" x14ac:dyDescent="0.35">
      <c r="A771" s="11">
        <v>385</v>
      </c>
      <c r="B771" s="31"/>
      <c r="C771" s="16"/>
      <c r="D771" s="19"/>
      <c r="E771" s="19"/>
      <c r="F771" s="24"/>
      <c r="G771" s="20"/>
      <c r="H771" s="2">
        <f t="shared" si="12"/>
        <v>0</v>
      </c>
    </row>
    <row r="772" spans="1:8" ht="14.75" customHeight="1" x14ac:dyDescent="0.35">
      <c r="A772" s="11">
        <v>386</v>
      </c>
      <c r="B772" s="31"/>
      <c r="C772" s="16"/>
      <c r="D772" s="19"/>
      <c r="E772" s="19"/>
      <c r="F772" s="24"/>
      <c r="G772" s="20"/>
      <c r="H772" s="2">
        <f t="shared" si="12"/>
        <v>0</v>
      </c>
    </row>
    <row r="773" spans="1:8" ht="14.75" customHeight="1" x14ac:dyDescent="0.35">
      <c r="A773" s="11">
        <v>387</v>
      </c>
      <c r="B773" s="31"/>
      <c r="C773" s="16"/>
      <c r="D773" s="19"/>
      <c r="E773" s="19"/>
      <c r="F773" s="24"/>
      <c r="G773" s="20"/>
      <c r="H773" s="2">
        <f t="shared" si="12"/>
        <v>0</v>
      </c>
    </row>
    <row r="774" spans="1:8" ht="14.75" customHeight="1" x14ac:dyDescent="0.35">
      <c r="A774" s="11">
        <v>388</v>
      </c>
      <c r="B774" s="31"/>
      <c r="C774" s="16"/>
      <c r="D774" s="19"/>
      <c r="E774" s="19"/>
      <c r="F774" s="24"/>
      <c r="G774" s="20"/>
      <c r="H774" s="2">
        <f t="shared" si="12"/>
        <v>0</v>
      </c>
    </row>
    <row r="775" spans="1:8" ht="14.75" customHeight="1" x14ac:dyDescent="0.35">
      <c r="A775" s="11">
        <v>389</v>
      </c>
      <c r="B775" s="31"/>
      <c r="C775" s="16"/>
      <c r="D775" s="19"/>
      <c r="E775" s="19"/>
      <c r="F775" s="24"/>
      <c r="G775" s="20"/>
      <c r="H775" s="2">
        <f t="shared" si="12"/>
        <v>0</v>
      </c>
    </row>
    <row r="776" spans="1:8" ht="14.75" customHeight="1" x14ac:dyDescent="0.35">
      <c r="A776" s="11">
        <v>390</v>
      </c>
      <c r="B776" s="31"/>
      <c r="C776" s="16"/>
      <c r="D776" s="19"/>
      <c r="E776" s="19"/>
      <c r="F776" s="24"/>
      <c r="G776" s="20"/>
      <c r="H776" s="2">
        <f t="shared" si="12"/>
        <v>0</v>
      </c>
    </row>
    <row r="777" spans="1:8" ht="14.75" customHeight="1" x14ac:dyDescent="0.35">
      <c r="A777" s="11">
        <v>391</v>
      </c>
      <c r="B777" s="31"/>
      <c r="C777" s="16"/>
      <c r="D777" s="19"/>
      <c r="E777" s="19"/>
      <c r="F777" s="24"/>
      <c r="G777" s="20"/>
      <c r="H777" s="2">
        <f t="shared" si="12"/>
        <v>0</v>
      </c>
    </row>
    <row r="778" spans="1:8" ht="14.75" customHeight="1" x14ac:dyDescent="0.35">
      <c r="A778" s="11">
        <v>392</v>
      </c>
      <c r="B778" s="31"/>
      <c r="C778" s="16"/>
      <c r="D778" s="19"/>
      <c r="E778" s="19"/>
      <c r="F778" s="24"/>
      <c r="G778" s="20"/>
      <c r="H778" s="2">
        <f t="shared" si="12"/>
        <v>0</v>
      </c>
    </row>
    <row r="779" spans="1:8" ht="14.75" customHeight="1" x14ac:dyDescent="0.35">
      <c r="A779" s="11">
        <v>393</v>
      </c>
      <c r="B779" s="31"/>
      <c r="C779" s="16"/>
      <c r="D779" s="19"/>
      <c r="E779" s="19"/>
      <c r="F779" s="24"/>
      <c r="G779" s="20"/>
      <c r="H779" s="2">
        <f t="shared" si="12"/>
        <v>0</v>
      </c>
    </row>
    <row r="780" spans="1:8" ht="14.75" customHeight="1" x14ac:dyDescent="0.35">
      <c r="A780" s="11">
        <v>394</v>
      </c>
      <c r="B780" s="31"/>
      <c r="C780" s="16"/>
      <c r="D780" s="19"/>
      <c r="E780" s="19"/>
      <c r="F780" s="24"/>
      <c r="G780" s="20"/>
      <c r="H780" s="2">
        <f t="shared" si="12"/>
        <v>0</v>
      </c>
    </row>
    <row r="781" spans="1:8" ht="14.75" customHeight="1" x14ac:dyDescent="0.35">
      <c r="A781" s="11">
        <v>395</v>
      </c>
      <c r="B781" s="31"/>
      <c r="C781" s="16"/>
      <c r="D781" s="19"/>
      <c r="E781" s="19"/>
      <c r="F781" s="24"/>
      <c r="G781" s="20"/>
      <c r="H781" s="2">
        <f t="shared" si="12"/>
        <v>0</v>
      </c>
    </row>
    <row r="782" spans="1:8" ht="14.75" customHeight="1" x14ac:dyDescent="0.35">
      <c r="A782" s="11">
        <v>396</v>
      </c>
      <c r="B782" s="31"/>
      <c r="C782" s="16"/>
      <c r="D782" s="19"/>
      <c r="E782" s="19"/>
      <c r="F782" s="24"/>
      <c r="G782" s="20"/>
      <c r="H782" s="2">
        <f t="shared" si="12"/>
        <v>0</v>
      </c>
    </row>
    <row r="783" spans="1:8" ht="14.75" customHeight="1" x14ac:dyDescent="0.35">
      <c r="A783" s="11">
        <v>397</v>
      </c>
      <c r="B783" s="31"/>
      <c r="C783" s="16"/>
      <c r="D783" s="19"/>
      <c r="E783" s="19"/>
      <c r="F783" s="24"/>
      <c r="G783" s="20"/>
      <c r="H783" s="2">
        <f t="shared" si="12"/>
        <v>0</v>
      </c>
    </row>
    <row r="784" spans="1:8" ht="14.75" customHeight="1" x14ac:dyDescent="0.35">
      <c r="A784" s="11">
        <v>398</v>
      </c>
      <c r="B784" s="31"/>
      <c r="C784" s="16"/>
      <c r="D784" s="19"/>
      <c r="E784" s="19"/>
      <c r="F784" s="24"/>
      <c r="G784" s="20"/>
      <c r="H784" s="2">
        <f t="shared" si="12"/>
        <v>0</v>
      </c>
    </row>
    <row r="785" spans="1:8" ht="14.75" customHeight="1" x14ac:dyDescent="0.35">
      <c r="A785" s="11">
        <v>399</v>
      </c>
      <c r="B785" s="31"/>
      <c r="C785" s="16"/>
      <c r="D785" s="19"/>
      <c r="E785" s="19"/>
      <c r="F785" s="24"/>
      <c r="G785" s="20"/>
      <c r="H785" s="2">
        <f t="shared" si="12"/>
        <v>0</v>
      </c>
    </row>
    <row r="786" spans="1:8" ht="14.75" customHeight="1" x14ac:dyDescent="0.35">
      <c r="A786" s="11">
        <v>400</v>
      </c>
      <c r="B786" s="31"/>
      <c r="C786" s="16"/>
      <c r="D786" s="19"/>
      <c r="E786" s="19"/>
      <c r="F786" s="24"/>
      <c r="G786" s="20"/>
      <c r="H786" s="2">
        <f t="shared" si="12"/>
        <v>0</v>
      </c>
    </row>
    <row r="787" spans="1:8" ht="14.75" customHeight="1" x14ac:dyDescent="0.35">
      <c r="A787" s="11">
        <v>401</v>
      </c>
      <c r="B787" s="31"/>
      <c r="C787" s="16"/>
      <c r="D787" s="19"/>
      <c r="E787" s="19"/>
      <c r="F787" s="24"/>
      <c r="G787" s="20"/>
      <c r="H787" s="2">
        <f t="shared" si="12"/>
        <v>0</v>
      </c>
    </row>
    <row r="788" spans="1:8" ht="14.75" customHeight="1" x14ac:dyDescent="0.35">
      <c r="A788" s="11">
        <v>402</v>
      </c>
      <c r="B788" s="31"/>
      <c r="C788" s="16"/>
      <c r="D788" s="19"/>
      <c r="E788" s="19"/>
      <c r="F788" s="24"/>
      <c r="G788" s="20"/>
      <c r="H788" s="2">
        <f t="shared" si="12"/>
        <v>0</v>
      </c>
    </row>
    <row r="789" spans="1:8" ht="14.75" customHeight="1" x14ac:dyDescent="0.35">
      <c r="A789" s="11">
        <v>403</v>
      </c>
      <c r="B789" s="30"/>
      <c r="C789" s="16"/>
      <c r="D789" s="1"/>
      <c r="E789" s="1"/>
      <c r="F789" s="2"/>
      <c r="G789" s="2"/>
      <c r="H789" s="2">
        <f t="shared" si="12"/>
        <v>0</v>
      </c>
    </row>
    <row r="790" spans="1:8" ht="14.75" customHeight="1" x14ac:dyDescent="0.35">
      <c r="A790" s="11">
        <v>404</v>
      </c>
      <c r="B790" s="30"/>
      <c r="C790" s="16"/>
      <c r="D790" s="1"/>
      <c r="E790" s="1"/>
      <c r="F790" s="2"/>
      <c r="G790" s="2"/>
      <c r="H790" s="2">
        <f t="shared" si="12"/>
        <v>0</v>
      </c>
    </row>
    <row r="791" spans="1:8" ht="14.75" customHeight="1" x14ac:dyDescent="0.35">
      <c r="A791" s="11">
        <v>405</v>
      </c>
      <c r="B791" s="30"/>
      <c r="C791" s="16"/>
      <c r="D791" s="1"/>
      <c r="E791" s="1"/>
      <c r="F791" s="2"/>
      <c r="G791" s="2"/>
      <c r="H791" s="2">
        <f t="shared" si="12"/>
        <v>0</v>
      </c>
    </row>
    <row r="792" spans="1:8" ht="14.75" customHeight="1" x14ac:dyDescent="0.35">
      <c r="A792" s="11">
        <v>406</v>
      </c>
      <c r="B792" s="30"/>
      <c r="C792" s="16"/>
      <c r="D792" s="1"/>
      <c r="E792" s="1"/>
      <c r="F792" s="2"/>
      <c r="G792" s="2"/>
      <c r="H792" s="2">
        <f t="shared" si="12"/>
        <v>0</v>
      </c>
    </row>
    <row r="793" spans="1:8" ht="14.75" customHeight="1" x14ac:dyDescent="0.35">
      <c r="A793" s="11">
        <v>407</v>
      </c>
      <c r="B793" s="30"/>
      <c r="C793" s="16"/>
      <c r="D793" s="1"/>
      <c r="E793" s="1"/>
      <c r="F793" s="2"/>
      <c r="G793" s="2"/>
      <c r="H793" s="2">
        <f t="shared" si="12"/>
        <v>0</v>
      </c>
    </row>
    <row r="794" spans="1:8" ht="14.75" customHeight="1" x14ac:dyDescent="0.35">
      <c r="A794" s="11">
        <v>408</v>
      </c>
      <c r="B794" s="30"/>
      <c r="C794" s="16"/>
      <c r="D794" s="1"/>
      <c r="E794" s="1"/>
      <c r="F794" s="2"/>
      <c r="G794" s="2"/>
      <c r="H794" s="2">
        <f t="shared" si="12"/>
        <v>0</v>
      </c>
    </row>
    <row r="795" spans="1:8" ht="14.75" customHeight="1" x14ac:dyDescent="0.35">
      <c r="A795" s="11">
        <v>409</v>
      </c>
      <c r="B795" s="30"/>
      <c r="C795" s="16"/>
      <c r="D795" s="1"/>
      <c r="E795" s="1"/>
      <c r="F795" s="2"/>
      <c r="G795" s="2"/>
      <c r="H795" s="2">
        <f t="shared" si="12"/>
        <v>0</v>
      </c>
    </row>
    <row r="796" spans="1:8" x14ac:dyDescent="0.35">
      <c r="A796" s="11"/>
      <c r="B796" s="29"/>
      <c r="C796" s="16"/>
      <c r="D796" s="5" t="s">
        <v>5</v>
      </c>
      <c r="E796" s="5"/>
      <c r="F796" s="8">
        <f>SUM(F7:F795)</f>
        <v>0</v>
      </c>
      <c r="G796" s="8">
        <f>SUM(G7:G795)</f>
        <v>0</v>
      </c>
      <c r="H796" s="8"/>
    </row>
  </sheetData>
  <autoFilter ref="A5:H795" xr:uid="{00000000-0009-0000-0000-000005000000}"/>
  <mergeCells count="3">
    <mergeCell ref="B1:H1"/>
    <mergeCell ref="B2:H2"/>
    <mergeCell ref="B3:H3"/>
  </mergeCells>
  <dataValidations count="1">
    <dataValidation type="list" allowBlank="1" showInputMessage="1" showErrorMessage="1" sqref="C7:C796" xr:uid="{00000000-0002-0000-0500-000000000000}">
      <formula1>"Pendapatan,Biaya Jasa,Gaji,Listrik Internet PDAM,BPJS,Operasional,Pemasaran,Transport,Pemeliharaan,Sewa,Administrasi &amp; Umum,Pajak,PLU,BLU,Kas,Aset Tetap,PPN Masukan,PPN Keluaran,PPh 23,PPh 22,PPh 25,Piutang,Hutang,Modal,Prive/Dividen"</formula1>
    </dataValidation>
  </dataValidations>
  <pageMargins left="0.7" right="0.7" top="0.75" bottom="0.75" header="0.3" footer="0.3"/>
  <pageSetup paperSize="9" orientation="portrait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N796"/>
  <sheetViews>
    <sheetView showGridLines="0" zoomScaleNormal="100" workbookViewId="0">
      <pane ySplit="6" topLeftCell="A755" activePane="bottomLeft" state="frozen"/>
      <selection activeCell="C12" sqref="C12"/>
      <selection pane="bottomLeft" activeCell="B4" sqref="B4"/>
    </sheetView>
  </sheetViews>
  <sheetFormatPr defaultColWidth="8.90625" defaultRowHeight="14" x14ac:dyDescent="0.4"/>
  <cols>
    <col min="1" max="1" width="5" style="87" customWidth="1"/>
    <col min="2" max="2" width="11.36328125" style="91" customWidth="1"/>
    <col min="3" max="3" width="21.90625" style="89" customWidth="1"/>
    <col min="4" max="4" width="40.6328125" style="88" customWidth="1"/>
    <col min="5" max="5" width="14.08984375" style="88" customWidth="1"/>
    <col min="6" max="6" width="13.6328125" style="90" customWidth="1"/>
    <col min="7" max="8" width="15.36328125" style="90" customWidth="1"/>
    <col min="9" max="9" width="4.90625" style="88" customWidth="1"/>
    <col min="10" max="10" width="14.36328125" style="89" customWidth="1"/>
    <col min="11" max="11" width="8.90625" style="88"/>
    <col min="12" max="12" width="8.6328125" style="90" bestFit="1" customWidth="1"/>
    <col min="13" max="14" width="12.6328125" style="90" bestFit="1" customWidth="1"/>
    <col min="15" max="16384" width="8.90625" style="88"/>
  </cols>
  <sheetData>
    <row r="1" spans="1:14" x14ac:dyDescent="0.4">
      <c r="A1" s="214"/>
      <c r="B1" s="319" t="s">
        <v>91</v>
      </c>
      <c r="C1" s="319"/>
      <c r="D1" s="319"/>
      <c r="E1" s="319"/>
      <c r="F1" s="319"/>
      <c r="G1" s="319"/>
      <c r="H1" s="319"/>
    </row>
    <row r="2" spans="1:14" x14ac:dyDescent="0.4">
      <c r="A2" s="214"/>
      <c r="B2" s="318" t="str">
        <f>KAS!B2</f>
        <v xml:space="preserve">PT EDU MEDIA DIGITAL </v>
      </c>
      <c r="C2" s="319"/>
      <c r="D2" s="319"/>
      <c r="E2" s="319"/>
      <c r="F2" s="319"/>
      <c r="G2" s="319"/>
      <c r="H2" s="319"/>
    </row>
    <row r="3" spans="1:14" x14ac:dyDescent="0.4">
      <c r="A3" s="214"/>
      <c r="B3" s="317" t="s">
        <v>325</v>
      </c>
      <c r="C3" s="317"/>
      <c r="D3" s="317"/>
      <c r="E3" s="317"/>
      <c r="F3" s="317"/>
      <c r="G3" s="317"/>
      <c r="H3" s="317"/>
    </row>
    <row r="4" spans="1:14" x14ac:dyDescent="0.4">
      <c r="F4" s="90">
        <f>SUBTOTAL(9,F7:F795)</f>
        <v>0</v>
      </c>
      <c r="G4" s="90">
        <f>SUBTOTAL(9,G7:G795)</f>
        <v>0</v>
      </c>
    </row>
    <row r="5" spans="1:14" x14ac:dyDescent="0.4">
      <c r="A5" s="92" t="s">
        <v>24</v>
      </c>
      <c r="B5" s="93" t="s">
        <v>0</v>
      </c>
      <c r="C5" s="94" t="s">
        <v>6</v>
      </c>
      <c r="D5" s="95" t="s">
        <v>9</v>
      </c>
      <c r="E5" s="95" t="s">
        <v>88</v>
      </c>
      <c r="F5" s="94" t="s">
        <v>1</v>
      </c>
      <c r="G5" s="94" t="s">
        <v>2</v>
      </c>
      <c r="H5" s="94" t="s">
        <v>3</v>
      </c>
    </row>
    <row r="6" spans="1:14" ht="14.75" customHeight="1" x14ac:dyDescent="0.4">
      <c r="A6" s="96">
        <v>1</v>
      </c>
      <c r="B6" s="97"/>
      <c r="C6" s="98" t="s">
        <v>4</v>
      </c>
      <c r="D6" s="99"/>
      <c r="E6" s="99"/>
      <c r="F6" s="100"/>
      <c r="G6" s="100"/>
      <c r="H6" s="100">
        <f>NS!F10</f>
        <v>0</v>
      </c>
    </row>
    <row r="7" spans="1:14" ht="14.75" customHeight="1" x14ac:dyDescent="0.4">
      <c r="A7" s="96">
        <v>2</v>
      </c>
      <c r="B7" s="101"/>
      <c r="C7" s="102"/>
      <c r="D7" s="103"/>
      <c r="E7" s="103"/>
      <c r="F7" s="104"/>
      <c r="G7" s="104"/>
      <c r="H7" s="105">
        <f>H6+F7-G7</f>
        <v>0</v>
      </c>
      <c r="L7" s="106"/>
      <c r="M7" s="106"/>
      <c r="N7" s="106"/>
    </row>
    <row r="8" spans="1:14" ht="14.75" customHeight="1" x14ac:dyDescent="0.4">
      <c r="A8" s="96">
        <v>3</v>
      </c>
      <c r="B8" s="101"/>
      <c r="C8" s="102"/>
      <c r="D8" s="103"/>
      <c r="E8" s="103"/>
      <c r="F8" s="104"/>
      <c r="G8" s="104"/>
      <c r="H8" s="105">
        <f>H7+F8-G8</f>
        <v>0</v>
      </c>
      <c r="L8" s="106"/>
      <c r="M8" s="106"/>
      <c r="N8" s="106"/>
    </row>
    <row r="9" spans="1:14" ht="14.75" customHeight="1" x14ac:dyDescent="0.4">
      <c r="A9" s="96">
        <v>4</v>
      </c>
      <c r="B9" s="101"/>
      <c r="C9" s="102"/>
      <c r="D9" s="103"/>
      <c r="E9" s="103"/>
      <c r="F9" s="104"/>
      <c r="G9" s="104"/>
      <c r="H9" s="105">
        <f t="shared" ref="H9:H32" si="0">H8+F9-G9</f>
        <v>0</v>
      </c>
      <c r="L9" s="106"/>
      <c r="M9" s="106"/>
      <c r="N9" s="106"/>
    </row>
    <row r="10" spans="1:14" ht="14.75" customHeight="1" x14ac:dyDescent="0.4">
      <c r="A10" s="96">
        <v>5</v>
      </c>
      <c r="B10" s="101"/>
      <c r="C10" s="102"/>
      <c r="D10" s="103"/>
      <c r="E10" s="103"/>
      <c r="F10" s="104"/>
      <c r="G10" s="104"/>
      <c r="H10" s="105">
        <f t="shared" si="0"/>
        <v>0</v>
      </c>
      <c r="L10" s="106"/>
      <c r="M10" s="106"/>
      <c r="N10" s="106"/>
    </row>
    <row r="11" spans="1:14" ht="14.75" customHeight="1" x14ac:dyDescent="0.4">
      <c r="A11" s="96">
        <v>6</v>
      </c>
      <c r="B11" s="101"/>
      <c r="C11" s="102"/>
      <c r="D11" s="103"/>
      <c r="E11" s="103"/>
      <c r="F11" s="104"/>
      <c r="G11" s="104"/>
      <c r="H11" s="105">
        <f t="shared" si="0"/>
        <v>0</v>
      </c>
      <c r="L11" s="106"/>
      <c r="M11" s="106"/>
      <c r="N11" s="106"/>
    </row>
    <row r="12" spans="1:14" ht="14.75" customHeight="1" x14ac:dyDescent="0.4">
      <c r="A12" s="96">
        <v>7</v>
      </c>
      <c r="B12" s="101"/>
      <c r="C12" s="102"/>
      <c r="D12" s="103"/>
      <c r="E12" s="103"/>
      <c r="F12" s="104"/>
      <c r="G12" s="104"/>
      <c r="H12" s="105">
        <f t="shared" si="0"/>
        <v>0</v>
      </c>
      <c r="L12" s="106"/>
      <c r="M12" s="106"/>
      <c r="N12" s="106"/>
    </row>
    <row r="13" spans="1:14" ht="14.75" customHeight="1" x14ac:dyDescent="0.4">
      <c r="A13" s="96">
        <v>8</v>
      </c>
      <c r="B13" s="101"/>
      <c r="C13" s="102"/>
      <c r="D13" s="103"/>
      <c r="E13" s="103"/>
      <c r="F13" s="104"/>
      <c r="G13" s="104"/>
      <c r="H13" s="105">
        <f t="shared" si="0"/>
        <v>0</v>
      </c>
      <c r="J13" s="107"/>
      <c r="L13" s="106"/>
      <c r="M13" s="106"/>
      <c r="N13" s="106"/>
    </row>
    <row r="14" spans="1:14" ht="14.75" customHeight="1" x14ac:dyDescent="0.4">
      <c r="A14" s="96">
        <v>9</v>
      </c>
      <c r="B14" s="101"/>
      <c r="C14" s="102"/>
      <c r="D14" s="103"/>
      <c r="E14" s="103"/>
      <c r="F14" s="104"/>
      <c r="G14" s="104"/>
      <c r="H14" s="105">
        <f t="shared" si="0"/>
        <v>0</v>
      </c>
      <c r="J14" s="107"/>
      <c r="L14" s="106"/>
      <c r="M14" s="106"/>
      <c r="N14" s="106"/>
    </row>
    <row r="15" spans="1:14" ht="14.75" customHeight="1" x14ac:dyDescent="0.4">
      <c r="A15" s="96">
        <v>10</v>
      </c>
      <c r="B15" s="101"/>
      <c r="C15" s="102"/>
      <c r="D15" s="103"/>
      <c r="E15" s="103"/>
      <c r="F15" s="104"/>
      <c r="G15" s="104"/>
      <c r="H15" s="105">
        <f t="shared" si="0"/>
        <v>0</v>
      </c>
      <c r="J15" s="107"/>
      <c r="L15" s="106"/>
      <c r="M15" s="106"/>
      <c r="N15" s="106"/>
    </row>
    <row r="16" spans="1:14" ht="14.75" customHeight="1" x14ac:dyDescent="0.4">
      <c r="A16" s="96">
        <v>11</v>
      </c>
      <c r="B16" s="101"/>
      <c r="C16" s="102"/>
      <c r="D16" s="103"/>
      <c r="E16" s="103"/>
      <c r="F16" s="104"/>
      <c r="G16" s="104"/>
      <c r="H16" s="105">
        <f t="shared" si="0"/>
        <v>0</v>
      </c>
      <c r="J16" s="107"/>
      <c r="L16" s="106"/>
      <c r="M16" s="106"/>
      <c r="N16" s="106"/>
    </row>
    <row r="17" spans="1:14" ht="14.75" customHeight="1" x14ac:dyDescent="0.4">
      <c r="A17" s="96">
        <v>12</v>
      </c>
      <c r="B17" s="101"/>
      <c r="C17" s="102"/>
      <c r="D17" s="103"/>
      <c r="E17" s="103"/>
      <c r="F17" s="104"/>
      <c r="G17" s="104"/>
      <c r="H17" s="105">
        <f t="shared" si="0"/>
        <v>0</v>
      </c>
      <c r="J17" s="107"/>
      <c r="L17" s="106"/>
      <c r="M17" s="106"/>
      <c r="N17" s="106"/>
    </row>
    <row r="18" spans="1:14" ht="14.75" customHeight="1" x14ac:dyDescent="0.4">
      <c r="A18" s="96">
        <v>13</v>
      </c>
      <c r="B18" s="101"/>
      <c r="C18" s="102"/>
      <c r="D18" s="103"/>
      <c r="E18" s="103"/>
      <c r="F18" s="104"/>
      <c r="G18" s="104"/>
      <c r="H18" s="105">
        <f t="shared" si="0"/>
        <v>0</v>
      </c>
      <c r="J18" s="107"/>
      <c r="L18" s="106"/>
      <c r="M18" s="106"/>
      <c r="N18" s="106"/>
    </row>
    <row r="19" spans="1:14" ht="14.75" customHeight="1" x14ac:dyDescent="0.4">
      <c r="A19" s="96">
        <v>14</v>
      </c>
      <c r="B19" s="101"/>
      <c r="C19" s="102"/>
      <c r="D19" s="103"/>
      <c r="E19" s="103"/>
      <c r="F19" s="104"/>
      <c r="G19" s="104"/>
      <c r="H19" s="105">
        <f t="shared" si="0"/>
        <v>0</v>
      </c>
      <c r="J19" s="107"/>
      <c r="L19" s="106"/>
      <c r="M19" s="106"/>
      <c r="N19" s="106"/>
    </row>
    <row r="20" spans="1:14" ht="14.75" customHeight="1" x14ac:dyDescent="0.4">
      <c r="A20" s="96">
        <v>15</v>
      </c>
      <c r="B20" s="101"/>
      <c r="C20" s="102"/>
      <c r="D20" s="103"/>
      <c r="E20" s="103"/>
      <c r="F20" s="104"/>
      <c r="G20" s="104"/>
      <c r="H20" s="105">
        <f t="shared" si="0"/>
        <v>0</v>
      </c>
      <c r="J20" s="107"/>
      <c r="L20" s="106"/>
      <c r="M20" s="106"/>
      <c r="N20" s="106"/>
    </row>
    <row r="21" spans="1:14" ht="14.75" customHeight="1" x14ac:dyDescent="0.4">
      <c r="A21" s="96">
        <v>16</v>
      </c>
      <c r="B21" s="101"/>
      <c r="C21" s="102"/>
      <c r="D21" s="103"/>
      <c r="E21" s="103"/>
      <c r="F21" s="104"/>
      <c r="G21" s="104"/>
      <c r="H21" s="105">
        <f t="shared" si="0"/>
        <v>0</v>
      </c>
      <c r="J21" s="107"/>
      <c r="L21" s="106"/>
      <c r="M21" s="106"/>
      <c r="N21" s="106"/>
    </row>
    <row r="22" spans="1:14" ht="14.75" customHeight="1" x14ac:dyDescent="0.4">
      <c r="A22" s="96">
        <v>17</v>
      </c>
      <c r="B22" s="101"/>
      <c r="C22" s="102"/>
      <c r="D22" s="103"/>
      <c r="E22" s="103"/>
      <c r="F22" s="104"/>
      <c r="G22" s="104"/>
      <c r="H22" s="105">
        <f t="shared" si="0"/>
        <v>0</v>
      </c>
      <c r="J22" s="107"/>
      <c r="L22" s="106"/>
      <c r="M22" s="106"/>
      <c r="N22" s="106"/>
    </row>
    <row r="23" spans="1:14" ht="14.75" customHeight="1" x14ac:dyDescent="0.4">
      <c r="A23" s="96">
        <v>18</v>
      </c>
      <c r="B23" s="101"/>
      <c r="C23" s="102"/>
      <c r="D23" s="103"/>
      <c r="E23" s="103"/>
      <c r="F23" s="104"/>
      <c r="G23" s="104"/>
      <c r="H23" s="105">
        <f t="shared" si="0"/>
        <v>0</v>
      </c>
      <c r="J23" s="107"/>
      <c r="L23" s="106"/>
      <c r="M23" s="106"/>
      <c r="N23" s="106"/>
    </row>
    <row r="24" spans="1:14" ht="14.75" customHeight="1" x14ac:dyDescent="0.4">
      <c r="A24" s="96">
        <v>19</v>
      </c>
      <c r="B24" s="101"/>
      <c r="C24" s="102"/>
      <c r="D24" s="108"/>
      <c r="E24" s="103"/>
      <c r="F24" s="104"/>
      <c r="G24" s="104"/>
      <c r="H24" s="105">
        <f t="shared" si="0"/>
        <v>0</v>
      </c>
      <c r="J24" s="107"/>
      <c r="L24" s="106"/>
      <c r="M24" s="106"/>
      <c r="N24" s="106"/>
    </row>
    <row r="25" spans="1:14" ht="14.75" customHeight="1" x14ac:dyDescent="0.4">
      <c r="A25" s="96">
        <v>20</v>
      </c>
      <c r="B25" s="101"/>
      <c r="C25" s="102"/>
      <c r="D25" s="108"/>
      <c r="E25" s="103"/>
      <c r="F25" s="104"/>
      <c r="G25" s="104"/>
      <c r="H25" s="105">
        <f t="shared" si="0"/>
        <v>0</v>
      </c>
      <c r="L25" s="106"/>
      <c r="M25" s="106"/>
      <c r="N25" s="106"/>
    </row>
    <row r="26" spans="1:14" ht="14.75" customHeight="1" x14ac:dyDescent="0.4">
      <c r="A26" s="96">
        <v>21</v>
      </c>
      <c r="B26" s="101"/>
      <c r="C26" s="102"/>
      <c r="D26" s="108"/>
      <c r="E26" s="103"/>
      <c r="F26" s="104"/>
      <c r="G26" s="104"/>
      <c r="H26" s="105">
        <f t="shared" si="0"/>
        <v>0</v>
      </c>
      <c r="L26" s="106"/>
      <c r="M26" s="106"/>
      <c r="N26" s="106"/>
    </row>
    <row r="27" spans="1:14" ht="14.75" customHeight="1" x14ac:dyDescent="0.4">
      <c r="A27" s="96">
        <v>22</v>
      </c>
      <c r="B27" s="101"/>
      <c r="C27" s="102"/>
      <c r="D27" s="108"/>
      <c r="E27" s="103"/>
      <c r="F27" s="104"/>
      <c r="G27" s="104"/>
      <c r="H27" s="105">
        <f t="shared" si="0"/>
        <v>0</v>
      </c>
      <c r="L27" s="106"/>
      <c r="M27" s="106"/>
      <c r="N27" s="106"/>
    </row>
    <row r="28" spans="1:14" ht="14.75" customHeight="1" x14ac:dyDescent="0.4">
      <c r="A28" s="96">
        <v>23</v>
      </c>
      <c r="B28" s="101"/>
      <c r="C28" s="102"/>
      <c r="D28" s="108"/>
      <c r="E28" s="103"/>
      <c r="F28" s="104"/>
      <c r="G28" s="104"/>
      <c r="H28" s="105">
        <f t="shared" si="0"/>
        <v>0</v>
      </c>
      <c r="L28" s="106"/>
      <c r="M28" s="106"/>
      <c r="N28" s="106"/>
    </row>
    <row r="29" spans="1:14" ht="14.75" customHeight="1" x14ac:dyDescent="0.4">
      <c r="A29" s="96">
        <v>24</v>
      </c>
      <c r="B29" s="101"/>
      <c r="C29" s="102"/>
      <c r="D29" s="108"/>
      <c r="E29" s="103"/>
      <c r="F29" s="104"/>
      <c r="G29" s="104"/>
      <c r="H29" s="105">
        <f t="shared" si="0"/>
        <v>0</v>
      </c>
      <c r="L29" s="106"/>
      <c r="M29" s="106"/>
      <c r="N29" s="106"/>
    </row>
    <row r="30" spans="1:14" ht="14.75" customHeight="1" x14ac:dyDescent="0.4">
      <c r="A30" s="96">
        <v>25</v>
      </c>
      <c r="B30" s="101"/>
      <c r="C30" s="102"/>
      <c r="D30" s="108"/>
      <c r="E30" s="103"/>
      <c r="F30" s="104"/>
      <c r="G30" s="104"/>
      <c r="H30" s="105">
        <f t="shared" si="0"/>
        <v>0</v>
      </c>
      <c r="L30" s="106"/>
      <c r="M30" s="106"/>
      <c r="N30" s="106"/>
    </row>
    <row r="31" spans="1:14" ht="14.75" customHeight="1" x14ac:dyDescent="0.4">
      <c r="A31" s="96">
        <v>26</v>
      </c>
      <c r="B31" s="101"/>
      <c r="C31" s="102"/>
      <c r="D31" s="108"/>
      <c r="E31" s="103"/>
      <c r="F31" s="104"/>
      <c r="G31" s="104"/>
      <c r="H31" s="105">
        <f t="shared" si="0"/>
        <v>0</v>
      </c>
      <c r="L31" s="106"/>
      <c r="M31" s="106"/>
      <c r="N31" s="106"/>
    </row>
    <row r="32" spans="1:14" ht="14.75" customHeight="1" x14ac:dyDescent="0.4">
      <c r="A32" s="96">
        <v>27</v>
      </c>
      <c r="B32" s="101"/>
      <c r="C32" s="102"/>
      <c r="D32" s="108"/>
      <c r="E32" s="103"/>
      <c r="F32" s="104"/>
      <c r="G32" s="104"/>
      <c r="H32" s="105">
        <f t="shared" si="0"/>
        <v>0</v>
      </c>
      <c r="L32" s="106"/>
      <c r="M32" s="106"/>
      <c r="N32" s="106"/>
    </row>
    <row r="33" spans="1:14" ht="14.75" customHeight="1" x14ac:dyDescent="0.4">
      <c r="A33" s="96">
        <v>28</v>
      </c>
      <c r="B33" s="101"/>
      <c r="C33" s="102"/>
      <c r="D33" s="108"/>
      <c r="E33" s="103"/>
      <c r="F33" s="104"/>
      <c r="G33" s="104"/>
      <c r="H33" s="105">
        <f>H32+F33-G33</f>
        <v>0</v>
      </c>
      <c r="J33" s="109"/>
      <c r="L33" s="106"/>
      <c r="M33" s="106"/>
      <c r="N33" s="106"/>
    </row>
    <row r="34" spans="1:14" ht="14.75" customHeight="1" x14ac:dyDescent="0.4">
      <c r="A34" s="96">
        <v>29</v>
      </c>
      <c r="B34" s="101"/>
      <c r="C34" s="102"/>
      <c r="D34" s="108"/>
      <c r="E34" s="103"/>
      <c r="F34" s="104"/>
      <c r="G34" s="104"/>
      <c r="H34" s="105">
        <f t="shared" ref="H34:H97" si="1">H33+F34-G34</f>
        <v>0</v>
      </c>
      <c r="L34" s="106"/>
      <c r="M34" s="106"/>
      <c r="N34" s="106"/>
    </row>
    <row r="35" spans="1:14" ht="14.75" customHeight="1" x14ac:dyDescent="0.4">
      <c r="A35" s="96">
        <v>30</v>
      </c>
      <c r="B35" s="101"/>
      <c r="C35" s="102"/>
      <c r="D35" s="108"/>
      <c r="E35" s="103"/>
      <c r="F35" s="104"/>
      <c r="G35" s="104"/>
      <c r="H35" s="105">
        <f t="shared" si="1"/>
        <v>0</v>
      </c>
      <c r="L35" s="106"/>
      <c r="M35" s="106"/>
      <c r="N35" s="106"/>
    </row>
    <row r="36" spans="1:14" ht="14.75" customHeight="1" x14ac:dyDescent="0.4">
      <c r="A36" s="96">
        <v>31</v>
      </c>
      <c r="B36" s="101"/>
      <c r="C36" s="102"/>
      <c r="D36" s="108"/>
      <c r="E36" s="103"/>
      <c r="F36" s="104"/>
      <c r="G36" s="104"/>
      <c r="H36" s="105">
        <f t="shared" si="1"/>
        <v>0</v>
      </c>
      <c r="L36" s="106"/>
      <c r="M36" s="106"/>
      <c r="N36" s="106"/>
    </row>
    <row r="37" spans="1:14" ht="14.75" customHeight="1" x14ac:dyDescent="0.4">
      <c r="A37" s="96">
        <v>32</v>
      </c>
      <c r="B37" s="101"/>
      <c r="C37" s="102"/>
      <c r="D37" s="103"/>
      <c r="E37" s="103"/>
      <c r="F37" s="104"/>
      <c r="G37" s="104"/>
      <c r="H37" s="105">
        <f t="shared" si="1"/>
        <v>0</v>
      </c>
      <c r="L37" s="106"/>
      <c r="M37" s="106"/>
      <c r="N37" s="106"/>
    </row>
    <row r="38" spans="1:14" ht="14.75" customHeight="1" x14ac:dyDescent="0.4">
      <c r="A38" s="96">
        <v>33</v>
      </c>
      <c r="B38" s="101"/>
      <c r="C38" s="102"/>
      <c r="D38" s="103"/>
      <c r="E38" s="103"/>
      <c r="F38" s="104"/>
      <c r="G38" s="104"/>
      <c r="H38" s="105">
        <f t="shared" si="1"/>
        <v>0</v>
      </c>
      <c r="L38" s="106"/>
      <c r="M38" s="106"/>
      <c r="N38" s="106"/>
    </row>
    <row r="39" spans="1:14" ht="14.75" customHeight="1" x14ac:dyDescent="0.4">
      <c r="A39" s="96">
        <v>34</v>
      </c>
      <c r="B39" s="101"/>
      <c r="C39" s="102"/>
      <c r="D39" s="108"/>
      <c r="E39" s="103"/>
      <c r="F39" s="104"/>
      <c r="G39" s="104"/>
      <c r="H39" s="105">
        <f t="shared" si="1"/>
        <v>0</v>
      </c>
      <c r="L39" s="106"/>
      <c r="M39" s="106"/>
      <c r="N39" s="106"/>
    </row>
    <row r="40" spans="1:14" ht="14.75" customHeight="1" x14ac:dyDescent="0.4">
      <c r="A40" s="96">
        <v>35</v>
      </c>
      <c r="B40" s="101"/>
      <c r="C40" s="102"/>
      <c r="D40" s="103"/>
      <c r="E40" s="103"/>
      <c r="F40" s="104"/>
      <c r="G40" s="104"/>
      <c r="H40" s="105">
        <f t="shared" si="1"/>
        <v>0</v>
      </c>
      <c r="L40" s="106"/>
      <c r="M40" s="106"/>
      <c r="N40" s="106"/>
    </row>
    <row r="41" spans="1:14" ht="14.75" customHeight="1" x14ac:dyDescent="0.4">
      <c r="A41" s="96">
        <v>36</v>
      </c>
      <c r="B41" s="101"/>
      <c r="C41" s="102"/>
      <c r="D41" s="103"/>
      <c r="E41" s="103"/>
      <c r="F41" s="104"/>
      <c r="G41" s="104"/>
      <c r="H41" s="105">
        <f t="shared" si="1"/>
        <v>0</v>
      </c>
      <c r="L41" s="106"/>
      <c r="M41" s="106"/>
      <c r="N41" s="106"/>
    </row>
    <row r="42" spans="1:14" ht="14.75" customHeight="1" x14ac:dyDescent="0.4">
      <c r="A42" s="96">
        <v>37</v>
      </c>
      <c r="B42" s="101"/>
      <c r="C42" s="102"/>
      <c r="D42" s="103"/>
      <c r="E42" s="103"/>
      <c r="F42" s="104"/>
      <c r="G42" s="104"/>
      <c r="H42" s="105">
        <f t="shared" si="1"/>
        <v>0</v>
      </c>
      <c r="L42" s="106"/>
      <c r="M42" s="106"/>
      <c r="N42" s="106"/>
    </row>
    <row r="43" spans="1:14" ht="14.75" customHeight="1" x14ac:dyDescent="0.4">
      <c r="A43" s="96">
        <v>38</v>
      </c>
      <c r="B43" s="101"/>
      <c r="C43" s="102"/>
      <c r="D43" s="103"/>
      <c r="E43" s="103"/>
      <c r="F43" s="104"/>
      <c r="G43" s="104"/>
      <c r="H43" s="105">
        <f t="shared" si="1"/>
        <v>0</v>
      </c>
      <c r="L43" s="106"/>
      <c r="M43" s="106"/>
      <c r="N43" s="106"/>
    </row>
    <row r="44" spans="1:14" ht="14.75" customHeight="1" x14ac:dyDescent="0.4">
      <c r="A44" s="96">
        <v>39</v>
      </c>
      <c r="B44" s="101"/>
      <c r="C44" s="102"/>
      <c r="D44" s="103"/>
      <c r="E44" s="103"/>
      <c r="F44" s="104"/>
      <c r="G44" s="104"/>
      <c r="H44" s="105">
        <f t="shared" si="1"/>
        <v>0</v>
      </c>
      <c r="L44" s="106"/>
      <c r="M44" s="106"/>
      <c r="N44" s="106"/>
    </row>
    <row r="45" spans="1:14" ht="14.75" customHeight="1" x14ac:dyDescent="0.4">
      <c r="A45" s="96">
        <v>40</v>
      </c>
      <c r="B45" s="101"/>
      <c r="C45" s="102"/>
      <c r="D45" s="103"/>
      <c r="E45" s="103"/>
      <c r="F45" s="104"/>
      <c r="G45" s="104"/>
      <c r="H45" s="105">
        <f t="shared" si="1"/>
        <v>0</v>
      </c>
      <c r="L45" s="106"/>
      <c r="M45" s="106"/>
      <c r="N45" s="106"/>
    </row>
    <row r="46" spans="1:14" ht="14.75" customHeight="1" x14ac:dyDescent="0.4">
      <c r="A46" s="96">
        <v>41</v>
      </c>
      <c r="B46" s="101"/>
      <c r="C46" s="102"/>
      <c r="D46" s="103"/>
      <c r="E46" s="103"/>
      <c r="F46" s="104"/>
      <c r="G46" s="104"/>
      <c r="H46" s="105">
        <f t="shared" si="1"/>
        <v>0</v>
      </c>
      <c r="L46" s="106"/>
      <c r="M46" s="106"/>
      <c r="N46" s="106"/>
    </row>
    <row r="47" spans="1:14" ht="14.75" customHeight="1" x14ac:dyDescent="0.4">
      <c r="A47" s="96">
        <v>42</v>
      </c>
      <c r="B47" s="101"/>
      <c r="C47" s="102"/>
      <c r="D47" s="103"/>
      <c r="E47" s="103"/>
      <c r="F47" s="104"/>
      <c r="G47" s="104"/>
      <c r="H47" s="105">
        <f t="shared" si="1"/>
        <v>0</v>
      </c>
      <c r="L47" s="106"/>
      <c r="M47" s="106"/>
      <c r="N47" s="106"/>
    </row>
    <row r="48" spans="1:14" ht="14.75" customHeight="1" x14ac:dyDescent="0.4">
      <c r="A48" s="96">
        <v>43</v>
      </c>
      <c r="B48" s="101"/>
      <c r="C48" s="102"/>
      <c r="D48" s="103"/>
      <c r="E48" s="103"/>
      <c r="F48" s="104"/>
      <c r="G48" s="104"/>
      <c r="H48" s="105">
        <f t="shared" si="1"/>
        <v>0</v>
      </c>
      <c r="L48" s="106"/>
      <c r="M48" s="106"/>
      <c r="N48" s="106"/>
    </row>
    <row r="49" spans="1:14" ht="14.75" customHeight="1" x14ac:dyDescent="0.4">
      <c r="A49" s="96">
        <v>44</v>
      </c>
      <c r="B49" s="101"/>
      <c r="C49" s="102"/>
      <c r="D49" s="103"/>
      <c r="E49" s="103"/>
      <c r="F49" s="104"/>
      <c r="G49" s="110"/>
      <c r="H49" s="105">
        <f t="shared" si="1"/>
        <v>0</v>
      </c>
      <c r="L49" s="106"/>
      <c r="M49" s="106"/>
      <c r="N49" s="106"/>
    </row>
    <row r="50" spans="1:14" ht="14.75" customHeight="1" x14ac:dyDescent="0.4">
      <c r="A50" s="96">
        <v>45</v>
      </c>
      <c r="B50" s="101"/>
      <c r="C50" s="102"/>
      <c r="D50" s="103"/>
      <c r="E50" s="103"/>
      <c r="F50" s="104"/>
      <c r="G50" s="104"/>
      <c r="H50" s="105">
        <f t="shared" si="1"/>
        <v>0</v>
      </c>
      <c r="L50" s="106"/>
      <c r="M50" s="106"/>
      <c r="N50" s="106"/>
    </row>
    <row r="51" spans="1:14" ht="14.75" customHeight="1" x14ac:dyDescent="0.4">
      <c r="A51" s="96">
        <v>46</v>
      </c>
      <c r="B51" s="101"/>
      <c r="C51" s="102"/>
      <c r="D51" s="103"/>
      <c r="E51" s="103"/>
      <c r="F51" s="104"/>
      <c r="G51" s="104"/>
      <c r="H51" s="105">
        <f t="shared" si="1"/>
        <v>0</v>
      </c>
      <c r="L51" s="106"/>
      <c r="M51" s="106"/>
      <c r="N51" s="106"/>
    </row>
    <row r="52" spans="1:14" ht="14.75" customHeight="1" x14ac:dyDescent="0.4">
      <c r="A52" s="96">
        <v>47</v>
      </c>
      <c r="B52" s="101"/>
      <c r="C52" s="102"/>
      <c r="D52" s="103"/>
      <c r="E52" s="103"/>
      <c r="F52" s="104"/>
      <c r="G52" s="104"/>
      <c r="H52" s="105">
        <f t="shared" si="1"/>
        <v>0</v>
      </c>
      <c r="L52" s="106"/>
      <c r="M52" s="106"/>
      <c r="N52" s="106"/>
    </row>
    <row r="53" spans="1:14" ht="14.75" customHeight="1" x14ac:dyDescent="0.4">
      <c r="A53" s="96">
        <v>48</v>
      </c>
      <c r="B53" s="101"/>
      <c r="C53" s="102"/>
      <c r="D53" s="103"/>
      <c r="E53" s="103"/>
      <c r="F53" s="104"/>
      <c r="G53" s="104"/>
      <c r="H53" s="105">
        <f t="shared" si="1"/>
        <v>0</v>
      </c>
      <c r="L53" s="106"/>
      <c r="M53" s="106"/>
      <c r="N53" s="106"/>
    </row>
    <row r="54" spans="1:14" ht="14.75" customHeight="1" x14ac:dyDescent="0.4">
      <c r="A54" s="96">
        <v>49</v>
      </c>
      <c r="B54" s="101"/>
      <c r="C54" s="102"/>
      <c r="D54" s="103"/>
      <c r="E54" s="103"/>
      <c r="F54" s="104"/>
      <c r="G54" s="110"/>
      <c r="H54" s="105">
        <f t="shared" si="1"/>
        <v>0</v>
      </c>
      <c r="L54" s="106"/>
      <c r="M54" s="106"/>
      <c r="N54" s="106"/>
    </row>
    <row r="55" spans="1:14" ht="14.75" customHeight="1" x14ac:dyDescent="0.4">
      <c r="A55" s="96">
        <v>50</v>
      </c>
      <c r="B55" s="101"/>
      <c r="C55" s="102"/>
      <c r="D55" s="103"/>
      <c r="E55" s="103"/>
      <c r="F55" s="104"/>
      <c r="G55" s="104"/>
      <c r="H55" s="105">
        <f t="shared" si="1"/>
        <v>0</v>
      </c>
      <c r="L55" s="106"/>
      <c r="M55" s="106"/>
      <c r="N55" s="106"/>
    </row>
    <row r="56" spans="1:14" ht="14.75" customHeight="1" x14ac:dyDescent="0.4">
      <c r="A56" s="96">
        <v>51</v>
      </c>
      <c r="B56" s="101"/>
      <c r="C56" s="102"/>
      <c r="D56" s="103"/>
      <c r="E56" s="103"/>
      <c r="F56" s="104"/>
      <c r="G56" s="104"/>
      <c r="H56" s="105">
        <f t="shared" si="1"/>
        <v>0</v>
      </c>
      <c r="L56" s="106"/>
      <c r="M56" s="106"/>
      <c r="N56" s="106"/>
    </row>
    <row r="57" spans="1:14" ht="14.75" customHeight="1" x14ac:dyDescent="0.4">
      <c r="A57" s="96">
        <v>52</v>
      </c>
      <c r="B57" s="101"/>
      <c r="C57" s="102"/>
      <c r="D57" s="103"/>
      <c r="E57" s="103"/>
      <c r="F57" s="104"/>
      <c r="G57" s="104"/>
      <c r="H57" s="105">
        <f t="shared" si="1"/>
        <v>0</v>
      </c>
      <c r="L57" s="106"/>
      <c r="M57" s="106"/>
      <c r="N57" s="106"/>
    </row>
    <row r="58" spans="1:14" ht="14.75" customHeight="1" x14ac:dyDescent="0.4">
      <c r="A58" s="96">
        <v>53</v>
      </c>
      <c r="B58" s="101"/>
      <c r="C58" s="102"/>
      <c r="D58" s="103"/>
      <c r="E58" s="103"/>
      <c r="F58" s="104"/>
      <c r="G58" s="104"/>
      <c r="H58" s="105">
        <f t="shared" si="1"/>
        <v>0</v>
      </c>
      <c r="L58" s="106"/>
      <c r="M58" s="106"/>
      <c r="N58" s="106"/>
    </row>
    <row r="59" spans="1:14" ht="14.75" customHeight="1" x14ac:dyDescent="0.4">
      <c r="A59" s="96">
        <v>54</v>
      </c>
      <c r="B59" s="101"/>
      <c r="C59" s="102"/>
      <c r="D59" s="103"/>
      <c r="E59" s="103"/>
      <c r="F59" s="104"/>
      <c r="G59" s="110"/>
      <c r="H59" s="105">
        <f t="shared" si="1"/>
        <v>0</v>
      </c>
      <c r="L59" s="106"/>
      <c r="M59" s="106"/>
      <c r="N59" s="106"/>
    </row>
    <row r="60" spans="1:14" ht="14.75" customHeight="1" x14ac:dyDescent="0.4">
      <c r="A60" s="96">
        <v>55</v>
      </c>
      <c r="B60" s="101"/>
      <c r="C60" s="102"/>
      <c r="D60" s="103"/>
      <c r="E60" s="103"/>
      <c r="F60" s="104"/>
      <c r="G60" s="104"/>
      <c r="H60" s="105">
        <f t="shared" si="1"/>
        <v>0</v>
      </c>
      <c r="L60" s="106"/>
      <c r="M60" s="106"/>
      <c r="N60" s="106"/>
    </row>
    <row r="61" spans="1:14" ht="14.75" customHeight="1" x14ac:dyDescent="0.4">
      <c r="A61" s="96">
        <v>56</v>
      </c>
      <c r="B61" s="101"/>
      <c r="C61" s="102"/>
      <c r="D61" s="103"/>
      <c r="E61" s="103"/>
      <c r="F61" s="104"/>
      <c r="G61" s="104"/>
      <c r="H61" s="105">
        <f t="shared" si="1"/>
        <v>0</v>
      </c>
      <c r="L61" s="106"/>
      <c r="M61" s="106"/>
      <c r="N61" s="106"/>
    </row>
    <row r="62" spans="1:14" ht="14.75" customHeight="1" x14ac:dyDescent="0.4">
      <c r="A62" s="96">
        <v>57</v>
      </c>
      <c r="B62" s="101"/>
      <c r="C62" s="102"/>
      <c r="D62" s="103"/>
      <c r="E62" s="103"/>
      <c r="F62" s="104"/>
      <c r="G62" s="104"/>
      <c r="H62" s="105">
        <f t="shared" si="1"/>
        <v>0</v>
      </c>
      <c r="L62" s="106"/>
      <c r="M62" s="106"/>
      <c r="N62" s="106"/>
    </row>
    <row r="63" spans="1:14" ht="14.75" customHeight="1" x14ac:dyDescent="0.4">
      <c r="A63" s="96">
        <v>58</v>
      </c>
      <c r="B63" s="101"/>
      <c r="C63" s="102"/>
      <c r="D63" s="103"/>
      <c r="E63" s="103"/>
      <c r="F63" s="104"/>
      <c r="G63" s="104"/>
      <c r="H63" s="105">
        <f t="shared" si="1"/>
        <v>0</v>
      </c>
      <c r="L63" s="106"/>
      <c r="M63" s="106"/>
      <c r="N63" s="106"/>
    </row>
    <row r="64" spans="1:14" ht="14.75" customHeight="1" x14ac:dyDescent="0.4">
      <c r="A64" s="96">
        <v>59</v>
      </c>
      <c r="B64" s="101"/>
      <c r="C64" s="102"/>
      <c r="D64" s="103"/>
      <c r="E64" s="103"/>
      <c r="F64" s="104"/>
      <c r="G64" s="110"/>
      <c r="H64" s="105">
        <f t="shared" si="1"/>
        <v>0</v>
      </c>
      <c r="L64" s="106"/>
      <c r="M64" s="106"/>
      <c r="N64" s="106"/>
    </row>
    <row r="65" spans="1:14" ht="14.75" customHeight="1" x14ac:dyDescent="0.4">
      <c r="A65" s="96">
        <v>60</v>
      </c>
      <c r="B65" s="101"/>
      <c r="C65" s="102"/>
      <c r="D65" s="103"/>
      <c r="E65" s="103"/>
      <c r="F65" s="104"/>
      <c r="G65" s="104"/>
      <c r="H65" s="105">
        <f t="shared" si="1"/>
        <v>0</v>
      </c>
      <c r="L65" s="106"/>
      <c r="M65" s="106"/>
      <c r="N65" s="106"/>
    </row>
    <row r="66" spans="1:14" ht="14.75" customHeight="1" x14ac:dyDescent="0.4">
      <c r="A66" s="96">
        <v>61</v>
      </c>
      <c r="B66" s="101"/>
      <c r="C66" s="102"/>
      <c r="D66" s="103"/>
      <c r="E66" s="103"/>
      <c r="F66" s="104"/>
      <c r="G66" s="104"/>
      <c r="H66" s="105">
        <f t="shared" si="1"/>
        <v>0</v>
      </c>
      <c r="L66" s="106"/>
      <c r="M66" s="106"/>
      <c r="N66" s="106"/>
    </row>
    <row r="67" spans="1:14" ht="14.75" customHeight="1" x14ac:dyDescent="0.4">
      <c r="A67" s="96">
        <v>62</v>
      </c>
      <c r="B67" s="101"/>
      <c r="C67" s="102"/>
      <c r="D67" s="103"/>
      <c r="E67" s="103"/>
      <c r="F67" s="104"/>
      <c r="G67" s="104"/>
      <c r="H67" s="105">
        <f t="shared" si="1"/>
        <v>0</v>
      </c>
      <c r="L67" s="106"/>
      <c r="M67" s="106"/>
      <c r="N67" s="106"/>
    </row>
    <row r="68" spans="1:14" ht="14.75" customHeight="1" x14ac:dyDescent="0.4">
      <c r="A68" s="96">
        <v>63</v>
      </c>
      <c r="B68" s="101"/>
      <c r="C68" s="102"/>
      <c r="D68" s="103"/>
      <c r="E68" s="103"/>
      <c r="F68" s="104"/>
      <c r="G68" s="104"/>
      <c r="H68" s="105">
        <f t="shared" si="1"/>
        <v>0</v>
      </c>
      <c r="L68" s="106"/>
      <c r="M68" s="106"/>
      <c r="N68" s="106"/>
    </row>
    <row r="69" spans="1:14" ht="14.75" customHeight="1" x14ac:dyDescent="0.4">
      <c r="A69" s="96">
        <v>64</v>
      </c>
      <c r="B69" s="101"/>
      <c r="C69" s="102"/>
      <c r="D69" s="103"/>
      <c r="E69" s="103"/>
      <c r="F69" s="104"/>
      <c r="G69" s="110"/>
      <c r="H69" s="105">
        <f t="shared" si="1"/>
        <v>0</v>
      </c>
      <c r="L69" s="106"/>
      <c r="M69" s="106"/>
      <c r="N69" s="106"/>
    </row>
    <row r="70" spans="1:14" ht="14.75" customHeight="1" x14ac:dyDescent="0.4">
      <c r="A70" s="96">
        <v>65</v>
      </c>
      <c r="B70" s="101"/>
      <c r="C70" s="102"/>
      <c r="D70" s="103"/>
      <c r="E70" s="103"/>
      <c r="F70" s="104"/>
      <c r="G70" s="104"/>
      <c r="H70" s="105">
        <f t="shared" si="1"/>
        <v>0</v>
      </c>
      <c r="L70" s="106"/>
      <c r="M70" s="106"/>
      <c r="N70" s="106"/>
    </row>
    <row r="71" spans="1:14" ht="14.75" customHeight="1" x14ac:dyDescent="0.4">
      <c r="A71" s="96">
        <v>66</v>
      </c>
      <c r="B71" s="101"/>
      <c r="C71" s="102"/>
      <c r="D71" s="103"/>
      <c r="E71" s="103"/>
      <c r="F71" s="104"/>
      <c r="G71" s="104"/>
      <c r="H71" s="105">
        <f t="shared" si="1"/>
        <v>0</v>
      </c>
      <c r="L71" s="106"/>
      <c r="M71" s="106"/>
      <c r="N71" s="106"/>
    </row>
    <row r="72" spans="1:14" ht="14.75" customHeight="1" x14ac:dyDescent="0.4">
      <c r="A72" s="96">
        <v>67</v>
      </c>
      <c r="B72" s="101"/>
      <c r="C72" s="102"/>
      <c r="D72" s="103"/>
      <c r="E72" s="103"/>
      <c r="F72" s="104"/>
      <c r="G72" s="104"/>
      <c r="H72" s="105">
        <f t="shared" si="1"/>
        <v>0</v>
      </c>
      <c r="L72" s="106"/>
      <c r="M72" s="106"/>
      <c r="N72" s="106"/>
    </row>
    <row r="73" spans="1:14" ht="14.75" customHeight="1" x14ac:dyDescent="0.4">
      <c r="A73" s="96">
        <v>68</v>
      </c>
      <c r="B73" s="101"/>
      <c r="C73" s="102"/>
      <c r="D73" s="103"/>
      <c r="E73" s="103"/>
      <c r="F73" s="104"/>
      <c r="G73" s="104"/>
      <c r="H73" s="105">
        <f t="shared" si="1"/>
        <v>0</v>
      </c>
      <c r="L73" s="106"/>
      <c r="M73" s="106"/>
      <c r="N73" s="106"/>
    </row>
    <row r="74" spans="1:14" ht="14.75" customHeight="1" x14ac:dyDescent="0.4">
      <c r="A74" s="96">
        <v>69</v>
      </c>
      <c r="B74" s="101"/>
      <c r="C74" s="102"/>
      <c r="D74" s="103"/>
      <c r="E74" s="103"/>
      <c r="F74" s="104"/>
      <c r="G74" s="110"/>
      <c r="H74" s="105">
        <f t="shared" si="1"/>
        <v>0</v>
      </c>
      <c r="L74" s="106"/>
      <c r="M74" s="106"/>
      <c r="N74" s="106"/>
    </row>
    <row r="75" spans="1:14" ht="14.75" customHeight="1" x14ac:dyDescent="0.4">
      <c r="A75" s="96">
        <v>70</v>
      </c>
      <c r="B75" s="101"/>
      <c r="C75" s="102"/>
      <c r="D75" s="103"/>
      <c r="E75" s="103"/>
      <c r="F75" s="104"/>
      <c r="G75" s="104"/>
      <c r="H75" s="105">
        <f t="shared" si="1"/>
        <v>0</v>
      </c>
      <c r="L75" s="106"/>
      <c r="M75" s="106"/>
      <c r="N75" s="106"/>
    </row>
    <row r="76" spans="1:14" ht="14.75" customHeight="1" x14ac:dyDescent="0.4">
      <c r="A76" s="96">
        <v>71</v>
      </c>
      <c r="B76" s="101"/>
      <c r="C76" s="102"/>
      <c r="D76" s="103"/>
      <c r="E76" s="103"/>
      <c r="F76" s="104"/>
      <c r="G76" s="104"/>
      <c r="H76" s="105">
        <f t="shared" si="1"/>
        <v>0</v>
      </c>
      <c r="L76" s="106"/>
      <c r="M76" s="106"/>
      <c r="N76" s="106"/>
    </row>
    <row r="77" spans="1:14" ht="14.75" customHeight="1" x14ac:dyDescent="0.4">
      <c r="A77" s="96">
        <v>72</v>
      </c>
      <c r="B77" s="101"/>
      <c r="C77" s="102"/>
      <c r="D77" s="103"/>
      <c r="E77" s="103"/>
      <c r="F77" s="104"/>
      <c r="G77" s="104"/>
      <c r="H77" s="105">
        <f t="shared" si="1"/>
        <v>0</v>
      </c>
      <c r="L77" s="106"/>
      <c r="M77" s="106"/>
      <c r="N77" s="106"/>
    </row>
    <row r="78" spans="1:14" ht="14.75" customHeight="1" x14ac:dyDescent="0.4">
      <c r="A78" s="96">
        <v>73</v>
      </c>
      <c r="B78" s="101"/>
      <c r="C78" s="102"/>
      <c r="D78" s="103"/>
      <c r="E78" s="103"/>
      <c r="F78" s="104"/>
      <c r="G78" s="104"/>
      <c r="H78" s="105">
        <f t="shared" si="1"/>
        <v>0</v>
      </c>
      <c r="L78" s="106"/>
      <c r="M78" s="106"/>
      <c r="N78" s="106"/>
    </row>
    <row r="79" spans="1:14" ht="14.75" customHeight="1" x14ac:dyDescent="0.4">
      <c r="A79" s="96">
        <v>74</v>
      </c>
      <c r="B79" s="101"/>
      <c r="C79" s="102"/>
      <c r="D79" s="103"/>
      <c r="E79" s="103"/>
      <c r="F79" s="104"/>
      <c r="G79" s="110"/>
      <c r="H79" s="105">
        <f t="shared" si="1"/>
        <v>0</v>
      </c>
      <c r="L79" s="106"/>
      <c r="M79" s="106"/>
      <c r="N79" s="106"/>
    </row>
    <row r="80" spans="1:14" ht="14.75" customHeight="1" x14ac:dyDescent="0.4">
      <c r="A80" s="96">
        <v>75</v>
      </c>
      <c r="B80" s="101"/>
      <c r="C80" s="102"/>
      <c r="D80" s="103"/>
      <c r="E80" s="103"/>
      <c r="F80" s="104"/>
      <c r="G80" s="104"/>
      <c r="H80" s="105">
        <f t="shared" si="1"/>
        <v>0</v>
      </c>
      <c r="L80" s="106"/>
      <c r="M80" s="106"/>
      <c r="N80" s="106"/>
    </row>
    <row r="81" spans="1:14" ht="14.75" customHeight="1" x14ac:dyDescent="0.4">
      <c r="A81" s="96">
        <v>76</v>
      </c>
      <c r="B81" s="101"/>
      <c r="C81" s="102"/>
      <c r="D81" s="103"/>
      <c r="E81" s="103"/>
      <c r="F81" s="104"/>
      <c r="G81" s="104"/>
      <c r="H81" s="105">
        <f t="shared" si="1"/>
        <v>0</v>
      </c>
      <c r="L81" s="106"/>
      <c r="M81" s="106"/>
      <c r="N81" s="106"/>
    </row>
    <row r="82" spans="1:14" ht="14.75" customHeight="1" x14ac:dyDescent="0.4">
      <c r="A82" s="96">
        <v>77</v>
      </c>
      <c r="B82" s="101"/>
      <c r="C82" s="102"/>
      <c r="D82" s="103"/>
      <c r="E82" s="103"/>
      <c r="F82" s="104"/>
      <c r="G82" s="104"/>
      <c r="H82" s="105">
        <f t="shared" si="1"/>
        <v>0</v>
      </c>
      <c r="L82" s="106"/>
      <c r="M82" s="106"/>
      <c r="N82" s="106"/>
    </row>
    <row r="83" spans="1:14" ht="14.75" customHeight="1" x14ac:dyDescent="0.4">
      <c r="A83" s="96">
        <v>78</v>
      </c>
      <c r="B83" s="101"/>
      <c r="C83" s="102"/>
      <c r="D83" s="103"/>
      <c r="E83" s="103"/>
      <c r="F83" s="104"/>
      <c r="G83" s="104"/>
      <c r="H83" s="105">
        <f t="shared" si="1"/>
        <v>0</v>
      </c>
      <c r="L83" s="106"/>
      <c r="M83" s="106"/>
      <c r="N83" s="106"/>
    </row>
    <row r="84" spans="1:14" ht="14.75" customHeight="1" x14ac:dyDescent="0.4">
      <c r="A84" s="96">
        <v>79</v>
      </c>
      <c r="B84" s="101"/>
      <c r="C84" s="102"/>
      <c r="D84" s="103"/>
      <c r="E84" s="103"/>
      <c r="F84" s="104"/>
      <c r="G84" s="104"/>
      <c r="H84" s="105">
        <f t="shared" si="1"/>
        <v>0</v>
      </c>
      <c r="L84" s="106"/>
      <c r="M84" s="106"/>
      <c r="N84" s="106"/>
    </row>
    <row r="85" spans="1:14" ht="14.75" customHeight="1" x14ac:dyDescent="0.4">
      <c r="A85" s="96">
        <v>80</v>
      </c>
      <c r="B85" s="101"/>
      <c r="C85" s="102"/>
      <c r="D85" s="103"/>
      <c r="E85" s="103"/>
      <c r="F85" s="104"/>
      <c r="G85" s="104"/>
      <c r="H85" s="105">
        <f t="shared" si="1"/>
        <v>0</v>
      </c>
      <c r="L85" s="106"/>
      <c r="M85" s="106"/>
      <c r="N85" s="106"/>
    </row>
    <row r="86" spans="1:14" ht="14.75" customHeight="1" x14ac:dyDescent="0.4">
      <c r="A86" s="96">
        <v>81</v>
      </c>
      <c r="B86" s="101"/>
      <c r="C86" s="102"/>
      <c r="D86" s="103"/>
      <c r="E86" s="103"/>
      <c r="F86" s="104"/>
      <c r="G86" s="104"/>
      <c r="H86" s="105">
        <f t="shared" si="1"/>
        <v>0</v>
      </c>
      <c r="L86" s="106"/>
      <c r="M86" s="106"/>
      <c r="N86" s="106"/>
    </row>
    <row r="87" spans="1:14" ht="14.75" customHeight="1" x14ac:dyDescent="0.4">
      <c r="A87" s="96">
        <v>82</v>
      </c>
      <c r="B87" s="101"/>
      <c r="C87" s="102"/>
      <c r="D87" s="103"/>
      <c r="E87" s="103"/>
      <c r="F87" s="104"/>
      <c r="G87" s="104"/>
      <c r="H87" s="105">
        <f t="shared" si="1"/>
        <v>0</v>
      </c>
      <c r="L87" s="106"/>
      <c r="M87" s="106"/>
      <c r="N87" s="106"/>
    </row>
    <row r="88" spans="1:14" ht="14.75" customHeight="1" x14ac:dyDescent="0.4">
      <c r="A88" s="96">
        <v>83</v>
      </c>
      <c r="B88" s="101"/>
      <c r="C88" s="102"/>
      <c r="D88" s="103"/>
      <c r="E88" s="103"/>
      <c r="F88" s="104"/>
      <c r="G88" s="104"/>
      <c r="H88" s="105">
        <f t="shared" si="1"/>
        <v>0</v>
      </c>
      <c r="L88" s="106"/>
      <c r="M88" s="106"/>
      <c r="N88" s="106"/>
    </row>
    <row r="89" spans="1:14" ht="14.75" customHeight="1" x14ac:dyDescent="0.4">
      <c r="A89" s="96">
        <v>84</v>
      </c>
      <c r="B89" s="101"/>
      <c r="C89" s="102"/>
      <c r="D89" s="103"/>
      <c r="E89" s="103"/>
      <c r="F89" s="104"/>
      <c r="G89" s="104"/>
      <c r="H89" s="105">
        <f t="shared" si="1"/>
        <v>0</v>
      </c>
      <c r="L89" s="106"/>
      <c r="M89" s="106"/>
      <c r="N89" s="106"/>
    </row>
    <row r="90" spans="1:14" ht="14.75" customHeight="1" x14ac:dyDescent="0.4">
      <c r="A90" s="96">
        <v>85</v>
      </c>
      <c r="B90" s="101"/>
      <c r="C90" s="102"/>
      <c r="D90" s="103"/>
      <c r="E90" s="103"/>
      <c r="F90" s="104"/>
      <c r="G90" s="104"/>
      <c r="H90" s="105">
        <f t="shared" si="1"/>
        <v>0</v>
      </c>
      <c r="L90" s="106"/>
      <c r="M90" s="106"/>
      <c r="N90" s="106"/>
    </row>
    <row r="91" spans="1:14" ht="14.75" customHeight="1" x14ac:dyDescent="0.4">
      <c r="A91" s="96">
        <v>86</v>
      </c>
      <c r="B91" s="101"/>
      <c r="C91" s="102"/>
      <c r="D91" s="103"/>
      <c r="E91" s="103"/>
      <c r="F91" s="104"/>
      <c r="G91" s="104"/>
      <c r="H91" s="105">
        <f t="shared" si="1"/>
        <v>0</v>
      </c>
      <c r="L91" s="106"/>
      <c r="M91" s="106"/>
      <c r="N91" s="106"/>
    </row>
    <row r="92" spans="1:14" ht="14.75" customHeight="1" x14ac:dyDescent="0.4">
      <c r="A92" s="96">
        <v>87</v>
      </c>
      <c r="B92" s="101"/>
      <c r="C92" s="102"/>
      <c r="D92" s="103"/>
      <c r="E92" s="103"/>
      <c r="F92" s="104"/>
      <c r="G92" s="104"/>
      <c r="H92" s="105">
        <f t="shared" si="1"/>
        <v>0</v>
      </c>
      <c r="L92" s="106"/>
      <c r="M92" s="106"/>
      <c r="N92" s="106"/>
    </row>
    <row r="93" spans="1:14" ht="14.75" customHeight="1" x14ac:dyDescent="0.4">
      <c r="A93" s="96">
        <v>88</v>
      </c>
      <c r="B93" s="101"/>
      <c r="C93" s="102"/>
      <c r="D93" s="103"/>
      <c r="E93" s="103"/>
      <c r="F93" s="104"/>
      <c r="G93" s="104"/>
      <c r="H93" s="105">
        <f t="shared" si="1"/>
        <v>0</v>
      </c>
      <c r="L93" s="106"/>
      <c r="M93" s="106"/>
      <c r="N93" s="106"/>
    </row>
    <row r="94" spans="1:14" ht="14.75" customHeight="1" x14ac:dyDescent="0.4">
      <c r="A94" s="96">
        <v>89</v>
      </c>
      <c r="B94" s="101"/>
      <c r="C94" s="102"/>
      <c r="D94" s="103"/>
      <c r="E94" s="103"/>
      <c r="F94" s="104"/>
      <c r="G94" s="104"/>
      <c r="H94" s="105">
        <f t="shared" si="1"/>
        <v>0</v>
      </c>
      <c r="L94" s="106"/>
      <c r="M94" s="106"/>
      <c r="N94" s="106"/>
    </row>
    <row r="95" spans="1:14" ht="14.75" customHeight="1" x14ac:dyDescent="0.4">
      <c r="A95" s="96">
        <v>90</v>
      </c>
      <c r="B95" s="101"/>
      <c r="C95" s="102"/>
      <c r="D95" s="103"/>
      <c r="E95" s="103"/>
      <c r="F95" s="104"/>
      <c r="G95" s="104"/>
      <c r="H95" s="105">
        <f t="shared" si="1"/>
        <v>0</v>
      </c>
      <c r="L95" s="106"/>
      <c r="M95" s="106"/>
      <c r="N95" s="106"/>
    </row>
    <row r="96" spans="1:14" ht="14.75" customHeight="1" x14ac:dyDescent="0.4">
      <c r="A96" s="96">
        <v>91</v>
      </c>
      <c r="B96" s="101"/>
      <c r="C96" s="102"/>
      <c r="D96" s="103"/>
      <c r="E96" s="103"/>
      <c r="F96" s="104"/>
      <c r="G96" s="104"/>
      <c r="H96" s="105">
        <f t="shared" si="1"/>
        <v>0</v>
      </c>
      <c r="L96" s="106"/>
      <c r="M96" s="106"/>
      <c r="N96" s="106"/>
    </row>
    <row r="97" spans="1:14" ht="14.75" customHeight="1" x14ac:dyDescent="0.4">
      <c r="A97" s="96">
        <v>92</v>
      </c>
      <c r="B97" s="101"/>
      <c r="C97" s="102"/>
      <c r="D97" s="103"/>
      <c r="E97" s="103"/>
      <c r="F97" s="104"/>
      <c r="G97" s="104"/>
      <c r="H97" s="105">
        <f t="shared" si="1"/>
        <v>0</v>
      </c>
      <c r="L97" s="106"/>
      <c r="M97" s="106"/>
      <c r="N97" s="106"/>
    </row>
    <row r="98" spans="1:14" ht="14.75" customHeight="1" x14ac:dyDescent="0.4">
      <c r="A98" s="96">
        <v>93</v>
      </c>
      <c r="B98" s="101"/>
      <c r="C98" s="102"/>
      <c r="D98" s="103"/>
      <c r="E98" s="103"/>
      <c r="F98" s="104"/>
      <c r="G98" s="104"/>
      <c r="H98" s="105">
        <f t="shared" ref="H98:H161" si="2">H97+F98-G98</f>
        <v>0</v>
      </c>
      <c r="L98" s="106"/>
      <c r="M98" s="106"/>
      <c r="N98" s="106"/>
    </row>
    <row r="99" spans="1:14" ht="14.75" customHeight="1" x14ac:dyDescent="0.4">
      <c r="A99" s="96">
        <v>94</v>
      </c>
      <c r="B99" s="101"/>
      <c r="C99" s="102"/>
      <c r="D99" s="103"/>
      <c r="E99" s="103"/>
      <c r="F99" s="104"/>
      <c r="G99" s="104"/>
      <c r="H99" s="105">
        <f t="shared" si="2"/>
        <v>0</v>
      </c>
      <c r="L99" s="106"/>
      <c r="M99" s="106"/>
      <c r="N99" s="106"/>
    </row>
    <row r="100" spans="1:14" ht="14.75" customHeight="1" x14ac:dyDescent="0.4">
      <c r="A100" s="96">
        <v>95</v>
      </c>
      <c r="B100" s="101"/>
      <c r="C100" s="102"/>
      <c r="D100" s="103"/>
      <c r="E100" s="103"/>
      <c r="F100" s="104"/>
      <c r="G100" s="104"/>
      <c r="H100" s="105">
        <f t="shared" si="2"/>
        <v>0</v>
      </c>
      <c r="L100" s="106"/>
      <c r="M100" s="106"/>
      <c r="N100" s="106"/>
    </row>
    <row r="101" spans="1:14" ht="14.75" customHeight="1" x14ac:dyDescent="0.4">
      <c r="A101" s="96">
        <v>96</v>
      </c>
      <c r="B101" s="101"/>
      <c r="C101" s="102"/>
      <c r="D101" s="103"/>
      <c r="E101" s="103"/>
      <c r="F101" s="104"/>
      <c r="G101" s="104"/>
      <c r="H101" s="105">
        <f t="shared" si="2"/>
        <v>0</v>
      </c>
      <c r="L101" s="106"/>
      <c r="M101" s="106"/>
      <c r="N101" s="106"/>
    </row>
    <row r="102" spans="1:14" ht="14.75" customHeight="1" x14ac:dyDescent="0.4">
      <c r="A102" s="96">
        <v>97</v>
      </c>
      <c r="B102" s="101"/>
      <c r="C102" s="102"/>
      <c r="D102" s="103"/>
      <c r="E102" s="103"/>
      <c r="F102" s="104"/>
      <c r="G102" s="104"/>
      <c r="H102" s="105">
        <f t="shared" si="2"/>
        <v>0</v>
      </c>
      <c r="L102" s="106"/>
      <c r="M102" s="106"/>
      <c r="N102" s="106"/>
    </row>
    <row r="103" spans="1:14" ht="14.75" customHeight="1" x14ac:dyDescent="0.4">
      <c r="A103" s="96">
        <v>98</v>
      </c>
      <c r="B103" s="101"/>
      <c r="C103" s="102"/>
      <c r="D103" s="103"/>
      <c r="E103" s="103"/>
      <c r="F103" s="104"/>
      <c r="G103" s="104"/>
      <c r="H103" s="105">
        <f t="shared" si="2"/>
        <v>0</v>
      </c>
      <c r="L103" s="106"/>
      <c r="M103" s="106"/>
      <c r="N103" s="106"/>
    </row>
    <row r="104" spans="1:14" ht="14.75" customHeight="1" x14ac:dyDescent="0.4">
      <c r="A104" s="96">
        <v>99</v>
      </c>
      <c r="B104" s="101"/>
      <c r="C104" s="102"/>
      <c r="D104" s="103"/>
      <c r="E104" s="103"/>
      <c r="F104" s="104"/>
      <c r="G104" s="104"/>
      <c r="H104" s="105">
        <f t="shared" si="2"/>
        <v>0</v>
      </c>
      <c r="L104" s="106"/>
      <c r="M104" s="106"/>
      <c r="N104" s="106"/>
    </row>
    <row r="105" spans="1:14" ht="14.75" customHeight="1" x14ac:dyDescent="0.4">
      <c r="A105" s="96">
        <v>100</v>
      </c>
      <c r="B105" s="101"/>
      <c r="C105" s="102"/>
      <c r="D105" s="103"/>
      <c r="E105" s="103"/>
      <c r="F105" s="104"/>
      <c r="G105" s="104"/>
      <c r="H105" s="105">
        <f t="shared" si="2"/>
        <v>0</v>
      </c>
      <c r="L105" s="106"/>
      <c r="M105" s="106"/>
      <c r="N105" s="106"/>
    </row>
    <row r="106" spans="1:14" ht="14.75" customHeight="1" x14ac:dyDescent="0.4">
      <c r="A106" s="96">
        <v>101</v>
      </c>
      <c r="B106" s="101"/>
      <c r="C106" s="102"/>
      <c r="D106" s="103"/>
      <c r="E106" s="103"/>
      <c r="F106" s="104"/>
      <c r="G106" s="104"/>
      <c r="H106" s="105">
        <f t="shared" si="2"/>
        <v>0</v>
      </c>
      <c r="L106" s="106"/>
      <c r="M106" s="106"/>
      <c r="N106" s="106"/>
    </row>
    <row r="107" spans="1:14" ht="14.75" customHeight="1" x14ac:dyDescent="0.4">
      <c r="A107" s="96">
        <v>102</v>
      </c>
      <c r="B107" s="101"/>
      <c r="C107" s="102"/>
      <c r="D107" s="103"/>
      <c r="E107" s="103"/>
      <c r="F107" s="104"/>
      <c r="G107" s="104"/>
      <c r="H107" s="105">
        <f t="shared" si="2"/>
        <v>0</v>
      </c>
      <c r="L107" s="106"/>
      <c r="M107" s="106"/>
      <c r="N107" s="106"/>
    </row>
    <row r="108" spans="1:14" ht="14.75" customHeight="1" x14ac:dyDescent="0.4">
      <c r="A108" s="96">
        <v>103</v>
      </c>
      <c r="B108" s="101"/>
      <c r="C108" s="102"/>
      <c r="D108" s="103"/>
      <c r="E108" s="103"/>
      <c r="F108" s="104"/>
      <c r="G108" s="104"/>
      <c r="H108" s="105">
        <f t="shared" si="2"/>
        <v>0</v>
      </c>
      <c r="L108" s="106"/>
      <c r="M108" s="106"/>
      <c r="N108" s="106"/>
    </row>
    <row r="109" spans="1:14" ht="14.75" customHeight="1" x14ac:dyDescent="0.4">
      <c r="A109" s="96">
        <v>104</v>
      </c>
      <c r="B109" s="101"/>
      <c r="C109" s="102"/>
      <c r="D109" s="103"/>
      <c r="E109" s="103"/>
      <c r="F109" s="104"/>
      <c r="G109" s="104"/>
      <c r="H109" s="105">
        <f t="shared" si="2"/>
        <v>0</v>
      </c>
      <c r="L109" s="106"/>
      <c r="M109" s="106"/>
      <c r="N109" s="106"/>
    </row>
    <row r="110" spans="1:14" ht="14.75" customHeight="1" x14ac:dyDescent="0.4">
      <c r="A110" s="96">
        <v>105</v>
      </c>
      <c r="B110" s="101"/>
      <c r="C110" s="102"/>
      <c r="D110" s="103"/>
      <c r="E110" s="103"/>
      <c r="F110" s="104"/>
      <c r="G110" s="104"/>
      <c r="H110" s="105">
        <f t="shared" si="2"/>
        <v>0</v>
      </c>
      <c r="L110" s="106"/>
      <c r="M110" s="106"/>
      <c r="N110" s="106"/>
    </row>
    <row r="111" spans="1:14" ht="14.75" customHeight="1" x14ac:dyDescent="0.4">
      <c r="A111" s="96">
        <v>106</v>
      </c>
      <c r="B111" s="101"/>
      <c r="C111" s="102"/>
      <c r="D111" s="103"/>
      <c r="E111" s="103"/>
      <c r="F111" s="104"/>
      <c r="G111" s="104"/>
      <c r="H111" s="105">
        <f t="shared" si="2"/>
        <v>0</v>
      </c>
      <c r="L111" s="106"/>
      <c r="M111" s="106"/>
      <c r="N111" s="106"/>
    </row>
    <row r="112" spans="1:14" ht="14.75" customHeight="1" x14ac:dyDescent="0.4">
      <c r="A112" s="96">
        <v>107</v>
      </c>
      <c r="B112" s="101"/>
      <c r="C112" s="102"/>
      <c r="D112" s="103"/>
      <c r="E112" s="103"/>
      <c r="F112" s="104"/>
      <c r="G112" s="104"/>
      <c r="H112" s="105">
        <f t="shared" si="2"/>
        <v>0</v>
      </c>
      <c r="L112" s="106"/>
      <c r="M112" s="106"/>
      <c r="N112" s="106"/>
    </row>
    <row r="113" spans="1:14" ht="14.75" customHeight="1" x14ac:dyDescent="0.4">
      <c r="A113" s="96">
        <v>108</v>
      </c>
      <c r="B113" s="101"/>
      <c r="C113" s="102"/>
      <c r="D113" s="103"/>
      <c r="E113" s="103"/>
      <c r="F113" s="104"/>
      <c r="G113" s="104"/>
      <c r="H113" s="105">
        <f t="shared" si="2"/>
        <v>0</v>
      </c>
      <c r="L113" s="106"/>
      <c r="M113" s="106"/>
      <c r="N113" s="106"/>
    </row>
    <row r="114" spans="1:14" ht="14.75" customHeight="1" x14ac:dyDescent="0.4">
      <c r="A114" s="96">
        <v>109</v>
      </c>
      <c r="B114" s="101"/>
      <c r="C114" s="102"/>
      <c r="D114" s="103"/>
      <c r="E114" s="103"/>
      <c r="F114" s="104"/>
      <c r="G114" s="104"/>
      <c r="H114" s="105">
        <f t="shared" si="2"/>
        <v>0</v>
      </c>
      <c r="L114" s="106"/>
      <c r="M114" s="106"/>
      <c r="N114" s="106"/>
    </row>
    <row r="115" spans="1:14" ht="14.75" customHeight="1" x14ac:dyDescent="0.4">
      <c r="A115" s="96">
        <v>110</v>
      </c>
      <c r="B115" s="101"/>
      <c r="C115" s="102"/>
      <c r="D115" s="103"/>
      <c r="E115" s="103"/>
      <c r="F115" s="104"/>
      <c r="G115" s="104"/>
      <c r="H115" s="105">
        <f t="shared" si="2"/>
        <v>0</v>
      </c>
      <c r="L115" s="106"/>
      <c r="M115" s="106"/>
      <c r="N115" s="106"/>
    </row>
    <row r="116" spans="1:14" ht="14.75" customHeight="1" x14ac:dyDescent="0.4">
      <c r="A116" s="96">
        <v>111</v>
      </c>
      <c r="B116" s="101"/>
      <c r="C116" s="102"/>
      <c r="D116" s="103"/>
      <c r="E116" s="103"/>
      <c r="F116" s="104"/>
      <c r="G116" s="104"/>
      <c r="H116" s="105">
        <f t="shared" si="2"/>
        <v>0</v>
      </c>
      <c r="L116" s="106"/>
      <c r="M116" s="106"/>
      <c r="N116" s="106"/>
    </row>
    <row r="117" spans="1:14" ht="14.75" customHeight="1" x14ac:dyDescent="0.4">
      <c r="A117" s="96">
        <v>112</v>
      </c>
      <c r="B117" s="101"/>
      <c r="C117" s="102"/>
      <c r="D117" s="103"/>
      <c r="E117" s="103"/>
      <c r="F117" s="104"/>
      <c r="G117" s="104"/>
      <c r="H117" s="105">
        <f t="shared" si="2"/>
        <v>0</v>
      </c>
      <c r="L117" s="106"/>
      <c r="M117" s="106"/>
      <c r="N117" s="106"/>
    </row>
    <row r="118" spans="1:14" ht="14.75" customHeight="1" x14ac:dyDescent="0.4">
      <c r="A118" s="96">
        <v>113</v>
      </c>
      <c r="B118" s="101"/>
      <c r="C118" s="102"/>
      <c r="D118" s="103"/>
      <c r="E118" s="103"/>
      <c r="F118" s="104"/>
      <c r="G118" s="104"/>
      <c r="H118" s="105">
        <f t="shared" si="2"/>
        <v>0</v>
      </c>
      <c r="L118" s="106"/>
      <c r="M118" s="106"/>
      <c r="N118" s="106"/>
    </row>
    <row r="119" spans="1:14" ht="14.75" customHeight="1" x14ac:dyDescent="0.4">
      <c r="A119" s="96">
        <v>114</v>
      </c>
      <c r="B119" s="101"/>
      <c r="C119" s="102"/>
      <c r="D119" s="103"/>
      <c r="E119" s="103"/>
      <c r="F119" s="104"/>
      <c r="G119" s="104"/>
      <c r="H119" s="105">
        <f t="shared" si="2"/>
        <v>0</v>
      </c>
      <c r="L119" s="106"/>
      <c r="M119" s="106"/>
      <c r="N119" s="106"/>
    </row>
    <row r="120" spans="1:14" ht="14.75" customHeight="1" x14ac:dyDescent="0.4">
      <c r="A120" s="96">
        <v>115</v>
      </c>
      <c r="B120" s="101"/>
      <c r="C120" s="102"/>
      <c r="D120" s="103"/>
      <c r="E120" s="103"/>
      <c r="F120" s="104"/>
      <c r="G120" s="104"/>
      <c r="H120" s="105">
        <f t="shared" si="2"/>
        <v>0</v>
      </c>
      <c r="L120" s="106"/>
      <c r="M120" s="106"/>
      <c r="N120" s="106"/>
    </row>
    <row r="121" spans="1:14" ht="14.75" customHeight="1" x14ac:dyDescent="0.4">
      <c r="A121" s="96">
        <v>116</v>
      </c>
      <c r="B121" s="101"/>
      <c r="C121" s="102"/>
      <c r="D121" s="103"/>
      <c r="E121" s="103"/>
      <c r="F121" s="104"/>
      <c r="G121" s="104"/>
      <c r="H121" s="105">
        <f t="shared" si="2"/>
        <v>0</v>
      </c>
      <c r="L121" s="106"/>
      <c r="M121" s="106"/>
      <c r="N121" s="106"/>
    </row>
    <row r="122" spans="1:14" ht="14.75" customHeight="1" x14ac:dyDescent="0.4">
      <c r="A122" s="96">
        <v>117</v>
      </c>
      <c r="B122" s="101"/>
      <c r="C122" s="102"/>
      <c r="D122" s="103"/>
      <c r="E122" s="103"/>
      <c r="F122" s="104"/>
      <c r="G122" s="104"/>
      <c r="H122" s="105">
        <f t="shared" si="2"/>
        <v>0</v>
      </c>
      <c r="L122" s="106"/>
      <c r="M122" s="106"/>
      <c r="N122" s="106"/>
    </row>
    <row r="123" spans="1:14" ht="14.75" customHeight="1" x14ac:dyDescent="0.4">
      <c r="A123" s="96">
        <v>118</v>
      </c>
      <c r="B123" s="101"/>
      <c r="C123" s="102"/>
      <c r="D123" s="103"/>
      <c r="E123" s="103"/>
      <c r="F123" s="104"/>
      <c r="G123" s="104"/>
      <c r="H123" s="105">
        <f t="shared" si="2"/>
        <v>0</v>
      </c>
      <c r="L123" s="106"/>
      <c r="M123" s="106"/>
      <c r="N123" s="106"/>
    </row>
    <row r="124" spans="1:14" ht="14.75" customHeight="1" x14ac:dyDescent="0.4">
      <c r="A124" s="96">
        <v>119</v>
      </c>
      <c r="B124" s="101"/>
      <c r="C124" s="102"/>
      <c r="D124" s="103"/>
      <c r="E124" s="103"/>
      <c r="F124" s="104"/>
      <c r="G124" s="104"/>
      <c r="H124" s="105">
        <f t="shared" si="2"/>
        <v>0</v>
      </c>
      <c r="L124" s="106"/>
      <c r="M124" s="106"/>
      <c r="N124" s="106"/>
    </row>
    <row r="125" spans="1:14" ht="14.75" customHeight="1" x14ac:dyDescent="0.4">
      <c r="A125" s="96">
        <v>120</v>
      </c>
      <c r="B125" s="101"/>
      <c r="C125" s="102"/>
      <c r="D125" s="103"/>
      <c r="E125" s="103"/>
      <c r="F125" s="104"/>
      <c r="G125" s="104"/>
      <c r="H125" s="105">
        <f t="shared" si="2"/>
        <v>0</v>
      </c>
      <c r="L125" s="106"/>
      <c r="M125" s="106"/>
      <c r="N125" s="106"/>
    </row>
    <row r="126" spans="1:14" ht="14.75" customHeight="1" x14ac:dyDescent="0.4">
      <c r="A126" s="96">
        <v>121</v>
      </c>
      <c r="B126" s="101"/>
      <c r="C126" s="102"/>
      <c r="D126" s="103"/>
      <c r="E126" s="103"/>
      <c r="F126" s="104"/>
      <c r="G126" s="104"/>
      <c r="H126" s="105">
        <f t="shared" si="2"/>
        <v>0</v>
      </c>
      <c r="L126" s="106"/>
      <c r="M126" s="106"/>
      <c r="N126" s="106"/>
    </row>
    <row r="127" spans="1:14" ht="14.75" customHeight="1" x14ac:dyDescent="0.4">
      <c r="A127" s="96">
        <v>122</v>
      </c>
      <c r="B127" s="101"/>
      <c r="C127" s="102"/>
      <c r="D127" s="103"/>
      <c r="E127" s="103"/>
      <c r="F127" s="104"/>
      <c r="G127" s="104"/>
      <c r="H127" s="105">
        <f t="shared" si="2"/>
        <v>0</v>
      </c>
      <c r="L127" s="106"/>
      <c r="M127" s="106"/>
      <c r="N127" s="106"/>
    </row>
    <row r="128" spans="1:14" ht="14.75" customHeight="1" x14ac:dyDescent="0.4">
      <c r="A128" s="96">
        <v>123</v>
      </c>
      <c r="B128" s="101"/>
      <c r="C128" s="102"/>
      <c r="D128" s="103"/>
      <c r="E128" s="103"/>
      <c r="F128" s="104"/>
      <c r="G128" s="104"/>
      <c r="H128" s="105">
        <f t="shared" si="2"/>
        <v>0</v>
      </c>
      <c r="L128" s="106"/>
      <c r="M128" s="106"/>
      <c r="N128" s="106"/>
    </row>
    <row r="129" spans="1:14" ht="14.75" customHeight="1" x14ac:dyDescent="0.4">
      <c r="A129" s="96">
        <v>124</v>
      </c>
      <c r="B129" s="101"/>
      <c r="C129" s="102"/>
      <c r="D129" s="103"/>
      <c r="E129" s="103"/>
      <c r="F129" s="104"/>
      <c r="G129" s="104"/>
      <c r="H129" s="105">
        <f t="shared" si="2"/>
        <v>0</v>
      </c>
      <c r="L129" s="106"/>
      <c r="M129" s="106"/>
      <c r="N129" s="106"/>
    </row>
    <row r="130" spans="1:14" ht="14.75" customHeight="1" x14ac:dyDescent="0.4">
      <c r="A130" s="96"/>
      <c r="B130" s="101"/>
      <c r="C130" s="102"/>
      <c r="D130" s="103"/>
      <c r="E130" s="103"/>
      <c r="F130" s="104"/>
      <c r="G130" s="104"/>
      <c r="H130" s="105">
        <f t="shared" si="2"/>
        <v>0</v>
      </c>
      <c r="L130" s="106"/>
      <c r="M130" s="106"/>
      <c r="N130" s="106"/>
    </row>
    <row r="131" spans="1:14" ht="14.75" customHeight="1" x14ac:dyDescent="0.4">
      <c r="A131" s="96"/>
      <c r="B131" s="101"/>
      <c r="C131" s="102"/>
      <c r="D131" s="103"/>
      <c r="E131" s="103"/>
      <c r="F131" s="104"/>
      <c r="G131" s="104"/>
      <c r="H131" s="105">
        <f t="shared" si="2"/>
        <v>0</v>
      </c>
      <c r="L131" s="106"/>
      <c r="M131" s="106"/>
      <c r="N131" s="106"/>
    </row>
    <row r="132" spans="1:14" ht="14.75" customHeight="1" x14ac:dyDescent="0.4">
      <c r="A132" s="96"/>
      <c r="B132" s="101"/>
      <c r="C132" s="102"/>
      <c r="D132" s="103"/>
      <c r="E132" s="103"/>
      <c r="F132" s="104"/>
      <c r="G132" s="104"/>
      <c r="H132" s="105">
        <f t="shared" si="2"/>
        <v>0</v>
      </c>
      <c r="L132" s="106"/>
      <c r="M132" s="106"/>
      <c r="N132" s="106"/>
    </row>
    <row r="133" spans="1:14" ht="14.75" customHeight="1" x14ac:dyDescent="0.4">
      <c r="A133" s="96"/>
      <c r="B133" s="101"/>
      <c r="C133" s="102"/>
      <c r="D133" s="103"/>
      <c r="E133" s="103"/>
      <c r="F133" s="104"/>
      <c r="G133" s="104"/>
      <c r="H133" s="105">
        <f t="shared" si="2"/>
        <v>0</v>
      </c>
      <c r="L133" s="106"/>
      <c r="M133" s="106"/>
      <c r="N133" s="106"/>
    </row>
    <row r="134" spans="1:14" ht="14.75" customHeight="1" x14ac:dyDescent="0.4">
      <c r="A134" s="96"/>
      <c r="B134" s="101"/>
      <c r="C134" s="102"/>
      <c r="D134" s="103"/>
      <c r="E134" s="103"/>
      <c r="F134" s="104"/>
      <c r="G134" s="104"/>
      <c r="H134" s="105">
        <f t="shared" si="2"/>
        <v>0</v>
      </c>
      <c r="L134" s="106"/>
      <c r="M134" s="106"/>
      <c r="N134" s="106"/>
    </row>
    <row r="135" spans="1:14" ht="14.75" customHeight="1" x14ac:dyDescent="0.4">
      <c r="A135" s="96"/>
      <c r="B135" s="101"/>
      <c r="C135" s="102"/>
      <c r="D135" s="103"/>
      <c r="E135" s="103"/>
      <c r="F135" s="104"/>
      <c r="G135" s="104"/>
      <c r="H135" s="105">
        <f t="shared" si="2"/>
        <v>0</v>
      </c>
      <c r="L135" s="106"/>
      <c r="M135" s="106"/>
      <c r="N135" s="106"/>
    </row>
    <row r="136" spans="1:14" ht="14.75" customHeight="1" x14ac:dyDescent="0.4">
      <c r="A136" s="96"/>
      <c r="B136" s="101"/>
      <c r="C136" s="102"/>
      <c r="D136" s="103"/>
      <c r="E136" s="103"/>
      <c r="F136" s="104"/>
      <c r="G136" s="104"/>
      <c r="H136" s="105">
        <f t="shared" si="2"/>
        <v>0</v>
      </c>
      <c r="L136" s="106"/>
      <c r="M136" s="106"/>
      <c r="N136" s="106"/>
    </row>
    <row r="137" spans="1:14" ht="14.75" customHeight="1" x14ac:dyDescent="0.4">
      <c r="A137" s="96"/>
      <c r="B137" s="101"/>
      <c r="C137" s="102"/>
      <c r="D137" s="103"/>
      <c r="E137" s="103"/>
      <c r="F137" s="104"/>
      <c r="G137" s="104"/>
      <c r="H137" s="105">
        <f t="shared" si="2"/>
        <v>0</v>
      </c>
      <c r="L137" s="106"/>
      <c r="M137" s="106"/>
      <c r="N137" s="106"/>
    </row>
    <row r="138" spans="1:14" ht="14.75" customHeight="1" x14ac:dyDescent="0.4">
      <c r="A138" s="96"/>
      <c r="B138" s="101"/>
      <c r="C138" s="102"/>
      <c r="D138" s="103"/>
      <c r="E138" s="103"/>
      <c r="F138" s="104"/>
      <c r="G138" s="104"/>
      <c r="H138" s="105">
        <f t="shared" si="2"/>
        <v>0</v>
      </c>
      <c r="L138" s="106"/>
      <c r="M138" s="106"/>
      <c r="N138" s="106"/>
    </row>
    <row r="139" spans="1:14" ht="14.75" customHeight="1" x14ac:dyDescent="0.4">
      <c r="A139" s="96"/>
      <c r="B139" s="101"/>
      <c r="C139" s="102"/>
      <c r="D139" s="103"/>
      <c r="E139" s="103"/>
      <c r="F139" s="104"/>
      <c r="G139" s="104"/>
      <c r="H139" s="105">
        <f t="shared" si="2"/>
        <v>0</v>
      </c>
      <c r="L139" s="106"/>
      <c r="M139" s="106"/>
      <c r="N139" s="106"/>
    </row>
    <row r="140" spans="1:14" ht="14.75" customHeight="1" x14ac:dyDescent="0.4">
      <c r="A140" s="96"/>
      <c r="B140" s="101"/>
      <c r="C140" s="102"/>
      <c r="D140" s="103"/>
      <c r="E140" s="103"/>
      <c r="F140" s="104"/>
      <c r="G140" s="104"/>
      <c r="H140" s="105">
        <f t="shared" si="2"/>
        <v>0</v>
      </c>
      <c r="L140" s="106"/>
      <c r="M140" s="106"/>
      <c r="N140" s="106"/>
    </row>
    <row r="141" spans="1:14" ht="14.75" customHeight="1" x14ac:dyDescent="0.4">
      <c r="A141" s="96"/>
      <c r="B141" s="101"/>
      <c r="C141" s="102"/>
      <c r="D141" s="103"/>
      <c r="E141" s="103"/>
      <c r="F141" s="104"/>
      <c r="G141" s="104"/>
      <c r="H141" s="105">
        <f t="shared" si="2"/>
        <v>0</v>
      </c>
      <c r="L141" s="106"/>
      <c r="M141" s="106"/>
      <c r="N141" s="106"/>
    </row>
    <row r="142" spans="1:14" ht="14.75" customHeight="1" x14ac:dyDescent="0.4">
      <c r="A142" s="96"/>
      <c r="B142" s="101"/>
      <c r="C142" s="102"/>
      <c r="D142" s="103"/>
      <c r="E142" s="103"/>
      <c r="F142" s="104"/>
      <c r="G142" s="104"/>
      <c r="H142" s="105">
        <f t="shared" si="2"/>
        <v>0</v>
      </c>
      <c r="L142" s="106"/>
      <c r="M142" s="106"/>
      <c r="N142" s="106"/>
    </row>
    <row r="143" spans="1:14" ht="14.75" customHeight="1" x14ac:dyDescent="0.4">
      <c r="A143" s="96"/>
      <c r="B143" s="101"/>
      <c r="C143" s="102"/>
      <c r="D143" s="103"/>
      <c r="E143" s="103"/>
      <c r="F143" s="104"/>
      <c r="G143" s="104"/>
      <c r="H143" s="105">
        <f t="shared" si="2"/>
        <v>0</v>
      </c>
      <c r="L143" s="106"/>
      <c r="M143" s="106"/>
      <c r="N143" s="106"/>
    </row>
    <row r="144" spans="1:14" ht="14.75" customHeight="1" x14ac:dyDescent="0.4">
      <c r="A144" s="96"/>
      <c r="B144" s="101"/>
      <c r="C144" s="102"/>
      <c r="D144" s="103"/>
      <c r="E144" s="103"/>
      <c r="F144" s="104"/>
      <c r="G144" s="104"/>
      <c r="H144" s="105">
        <f t="shared" si="2"/>
        <v>0</v>
      </c>
      <c r="L144" s="106"/>
      <c r="M144" s="106"/>
      <c r="N144" s="106"/>
    </row>
    <row r="145" spans="1:14" ht="14.75" customHeight="1" x14ac:dyDescent="0.4">
      <c r="A145" s="96"/>
      <c r="B145" s="101"/>
      <c r="C145" s="102"/>
      <c r="D145" s="103"/>
      <c r="E145" s="103"/>
      <c r="F145" s="104"/>
      <c r="G145" s="104"/>
      <c r="H145" s="105">
        <f t="shared" si="2"/>
        <v>0</v>
      </c>
      <c r="L145" s="106"/>
      <c r="M145" s="106"/>
      <c r="N145" s="106"/>
    </row>
    <row r="146" spans="1:14" ht="14.75" customHeight="1" x14ac:dyDescent="0.4">
      <c r="A146" s="96"/>
      <c r="B146" s="101"/>
      <c r="C146" s="102"/>
      <c r="D146" s="103"/>
      <c r="E146" s="103"/>
      <c r="F146" s="104"/>
      <c r="G146" s="104"/>
      <c r="H146" s="105">
        <f t="shared" si="2"/>
        <v>0</v>
      </c>
      <c r="L146" s="106"/>
      <c r="M146" s="106"/>
      <c r="N146" s="106"/>
    </row>
    <row r="147" spans="1:14" ht="14.75" customHeight="1" x14ac:dyDescent="0.4">
      <c r="A147" s="96"/>
      <c r="B147" s="101"/>
      <c r="C147" s="102"/>
      <c r="D147" s="103"/>
      <c r="E147" s="103"/>
      <c r="F147" s="104"/>
      <c r="G147" s="104"/>
      <c r="H147" s="105">
        <f t="shared" si="2"/>
        <v>0</v>
      </c>
      <c r="L147" s="106"/>
      <c r="M147" s="106"/>
      <c r="N147" s="106"/>
    </row>
    <row r="148" spans="1:14" ht="14.75" customHeight="1" x14ac:dyDescent="0.4">
      <c r="A148" s="96"/>
      <c r="B148" s="101"/>
      <c r="C148" s="102"/>
      <c r="D148" s="103"/>
      <c r="E148" s="103"/>
      <c r="F148" s="104"/>
      <c r="G148" s="104"/>
      <c r="H148" s="105">
        <f t="shared" si="2"/>
        <v>0</v>
      </c>
      <c r="L148" s="106"/>
      <c r="M148" s="106"/>
      <c r="N148" s="106"/>
    </row>
    <row r="149" spans="1:14" ht="14.75" customHeight="1" x14ac:dyDescent="0.4">
      <c r="A149" s="96"/>
      <c r="B149" s="101"/>
      <c r="C149" s="102"/>
      <c r="D149" s="103"/>
      <c r="E149" s="103"/>
      <c r="F149" s="104"/>
      <c r="G149" s="104"/>
      <c r="H149" s="105">
        <f t="shared" si="2"/>
        <v>0</v>
      </c>
      <c r="L149" s="106"/>
      <c r="M149" s="106"/>
      <c r="N149" s="106"/>
    </row>
    <row r="150" spans="1:14" ht="14.75" customHeight="1" x14ac:dyDescent="0.4">
      <c r="A150" s="96"/>
      <c r="B150" s="101"/>
      <c r="C150" s="102"/>
      <c r="D150" s="103"/>
      <c r="E150" s="103"/>
      <c r="F150" s="104"/>
      <c r="G150" s="104"/>
      <c r="H150" s="105">
        <f t="shared" si="2"/>
        <v>0</v>
      </c>
      <c r="L150" s="106"/>
      <c r="M150" s="106"/>
      <c r="N150" s="106"/>
    </row>
    <row r="151" spans="1:14" ht="14.75" customHeight="1" x14ac:dyDescent="0.4">
      <c r="A151" s="96"/>
      <c r="B151" s="101"/>
      <c r="C151" s="102"/>
      <c r="D151" s="103"/>
      <c r="E151" s="103"/>
      <c r="F151" s="104"/>
      <c r="G151" s="104"/>
      <c r="H151" s="105">
        <f t="shared" si="2"/>
        <v>0</v>
      </c>
      <c r="L151" s="106"/>
      <c r="M151" s="106"/>
      <c r="N151" s="106"/>
    </row>
    <row r="152" spans="1:14" ht="14.75" customHeight="1" x14ac:dyDescent="0.4">
      <c r="A152" s="96"/>
      <c r="B152" s="101"/>
      <c r="C152" s="102"/>
      <c r="D152" s="103"/>
      <c r="E152" s="103"/>
      <c r="F152" s="104"/>
      <c r="G152" s="104"/>
      <c r="H152" s="105">
        <f t="shared" si="2"/>
        <v>0</v>
      </c>
      <c r="L152" s="106"/>
      <c r="M152" s="106"/>
      <c r="N152" s="106"/>
    </row>
    <row r="153" spans="1:14" ht="14.75" customHeight="1" x14ac:dyDescent="0.4">
      <c r="A153" s="96"/>
      <c r="B153" s="101"/>
      <c r="C153" s="102"/>
      <c r="D153" s="103"/>
      <c r="E153" s="103"/>
      <c r="F153" s="104"/>
      <c r="G153" s="104"/>
      <c r="H153" s="105">
        <f t="shared" si="2"/>
        <v>0</v>
      </c>
      <c r="L153" s="106"/>
      <c r="M153" s="106"/>
      <c r="N153" s="106"/>
    </row>
    <row r="154" spans="1:14" ht="14.75" customHeight="1" x14ac:dyDescent="0.4">
      <c r="A154" s="96"/>
      <c r="B154" s="101"/>
      <c r="C154" s="102"/>
      <c r="D154" s="103"/>
      <c r="E154" s="103"/>
      <c r="F154" s="104"/>
      <c r="G154" s="104"/>
      <c r="H154" s="105">
        <f t="shared" si="2"/>
        <v>0</v>
      </c>
      <c r="L154" s="106"/>
      <c r="M154" s="106"/>
      <c r="N154" s="106"/>
    </row>
    <row r="155" spans="1:14" ht="14.75" customHeight="1" x14ac:dyDescent="0.4">
      <c r="A155" s="96"/>
      <c r="B155" s="101"/>
      <c r="C155" s="102"/>
      <c r="D155" s="103"/>
      <c r="E155" s="103"/>
      <c r="F155" s="104"/>
      <c r="G155" s="104"/>
      <c r="H155" s="105">
        <f t="shared" si="2"/>
        <v>0</v>
      </c>
      <c r="L155" s="106"/>
      <c r="M155" s="106"/>
      <c r="N155" s="106"/>
    </row>
    <row r="156" spans="1:14" ht="14.75" customHeight="1" x14ac:dyDescent="0.4">
      <c r="A156" s="96"/>
      <c r="B156" s="101"/>
      <c r="C156" s="102"/>
      <c r="D156" s="103"/>
      <c r="E156" s="103"/>
      <c r="F156" s="104"/>
      <c r="G156" s="104"/>
      <c r="H156" s="105">
        <f t="shared" si="2"/>
        <v>0</v>
      </c>
      <c r="L156" s="106"/>
      <c r="M156" s="106"/>
      <c r="N156" s="106"/>
    </row>
    <row r="157" spans="1:14" ht="14.75" customHeight="1" x14ac:dyDescent="0.4">
      <c r="A157" s="96"/>
      <c r="B157" s="101"/>
      <c r="C157" s="102"/>
      <c r="D157" s="103"/>
      <c r="E157" s="103"/>
      <c r="F157" s="104"/>
      <c r="G157" s="104"/>
      <c r="H157" s="105">
        <f t="shared" si="2"/>
        <v>0</v>
      </c>
      <c r="L157" s="106"/>
      <c r="M157" s="106"/>
      <c r="N157" s="106"/>
    </row>
    <row r="158" spans="1:14" ht="14.75" customHeight="1" x14ac:dyDescent="0.4">
      <c r="A158" s="96"/>
      <c r="B158" s="101"/>
      <c r="C158" s="102"/>
      <c r="D158" s="103"/>
      <c r="E158" s="103"/>
      <c r="F158" s="104"/>
      <c r="G158" s="104"/>
      <c r="H158" s="105">
        <f t="shared" si="2"/>
        <v>0</v>
      </c>
      <c r="L158" s="106"/>
      <c r="M158" s="106"/>
      <c r="N158" s="106"/>
    </row>
    <row r="159" spans="1:14" ht="14.75" customHeight="1" x14ac:dyDescent="0.4">
      <c r="A159" s="96"/>
      <c r="B159" s="101"/>
      <c r="C159" s="102"/>
      <c r="D159" s="103"/>
      <c r="E159" s="103"/>
      <c r="F159" s="104"/>
      <c r="G159" s="104"/>
      <c r="H159" s="105">
        <f t="shared" si="2"/>
        <v>0</v>
      </c>
      <c r="L159" s="106"/>
      <c r="M159" s="106"/>
      <c r="N159" s="106"/>
    </row>
    <row r="160" spans="1:14" ht="14.75" customHeight="1" x14ac:dyDescent="0.4">
      <c r="A160" s="96"/>
      <c r="B160" s="101"/>
      <c r="C160" s="102"/>
      <c r="D160" s="103"/>
      <c r="E160" s="103"/>
      <c r="F160" s="104"/>
      <c r="G160" s="104"/>
      <c r="H160" s="105">
        <f t="shared" si="2"/>
        <v>0</v>
      </c>
      <c r="L160" s="106"/>
      <c r="M160" s="106"/>
      <c r="N160" s="106"/>
    </row>
    <row r="161" spans="1:14" ht="14.75" customHeight="1" x14ac:dyDescent="0.4">
      <c r="A161" s="96"/>
      <c r="B161" s="101"/>
      <c r="C161" s="102"/>
      <c r="D161" s="103"/>
      <c r="E161" s="103"/>
      <c r="F161" s="104"/>
      <c r="G161" s="104"/>
      <c r="H161" s="105">
        <f t="shared" si="2"/>
        <v>0</v>
      </c>
      <c r="L161" s="106"/>
      <c r="M161" s="106"/>
      <c r="N161" s="106"/>
    </row>
    <row r="162" spans="1:14" ht="14.75" customHeight="1" x14ac:dyDescent="0.4">
      <c r="A162" s="96"/>
      <c r="B162" s="101"/>
      <c r="C162" s="102"/>
      <c r="D162" s="103"/>
      <c r="E162" s="103"/>
      <c r="F162" s="104"/>
      <c r="G162" s="104"/>
      <c r="H162" s="105">
        <f t="shared" ref="H162:H225" si="3">H161+F162-G162</f>
        <v>0</v>
      </c>
      <c r="L162" s="106"/>
      <c r="M162" s="106"/>
      <c r="N162" s="106"/>
    </row>
    <row r="163" spans="1:14" ht="14.75" customHeight="1" x14ac:dyDescent="0.4">
      <c r="A163" s="96"/>
      <c r="B163" s="101"/>
      <c r="C163" s="102"/>
      <c r="D163" s="103"/>
      <c r="E163" s="103"/>
      <c r="F163" s="104"/>
      <c r="G163" s="104"/>
      <c r="H163" s="105">
        <f t="shared" si="3"/>
        <v>0</v>
      </c>
      <c r="L163" s="106"/>
      <c r="M163" s="106"/>
      <c r="N163" s="106"/>
    </row>
    <row r="164" spans="1:14" ht="14.75" customHeight="1" x14ac:dyDescent="0.4">
      <c r="A164" s="96"/>
      <c r="B164" s="101"/>
      <c r="C164" s="102"/>
      <c r="D164" s="103"/>
      <c r="E164" s="103"/>
      <c r="F164" s="104"/>
      <c r="G164" s="104"/>
      <c r="H164" s="105">
        <f t="shared" si="3"/>
        <v>0</v>
      </c>
      <c r="L164" s="106"/>
      <c r="M164" s="106"/>
      <c r="N164" s="106"/>
    </row>
    <row r="165" spans="1:14" ht="14.75" customHeight="1" x14ac:dyDescent="0.4">
      <c r="A165" s="96"/>
      <c r="B165" s="101"/>
      <c r="C165" s="102"/>
      <c r="D165" s="103"/>
      <c r="E165" s="103"/>
      <c r="F165" s="104"/>
      <c r="G165" s="104"/>
      <c r="H165" s="105">
        <f t="shared" si="3"/>
        <v>0</v>
      </c>
      <c r="L165" s="106"/>
      <c r="M165" s="106"/>
      <c r="N165" s="106"/>
    </row>
    <row r="166" spans="1:14" ht="14.75" customHeight="1" x14ac:dyDescent="0.4">
      <c r="A166" s="96"/>
      <c r="B166" s="101"/>
      <c r="C166" s="102"/>
      <c r="D166" s="103"/>
      <c r="E166" s="103"/>
      <c r="F166" s="104"/>
      <c r="G166" s="104"/>
      <c r="H166" s="105">
        <f t="shared" si="3"/>
        <v>0</v>
      </c>
      <c r="L166" s="106"/>
      <c r="M166" s="106"/>
      <c r="N166" s="106"/>
    </row>
    <row r="167" spans="1:14" ht="14.75" customHeight="1" x14ac:dyDescent="0.4">
      <c r="A167" s="96"/>
      <c r="B167" s="101"/>
      <c r="C167" s="102"/>
      <c r="D167" s="103"/>
      <c r="E167" s="103"/>
      <c r="F167" s="104"/>
      <c r="G167" s="104"/>
      <c r="H167" s="105">
        <f t="shared" si="3"/>
        <v>0</v>
      </c>
      <c r="L167" s="106"/>
      <c r="M167" s="106"/>
      <c r="N167" s="106"/>
    </row>
    <row r="168" spans="1:14" ht="14.75" customHeight="1" x14ac:dyDescent="0.4">
      <c r="A168" s="96"/>
      <c r="B168" s="101"/>
      <c r="C168" s="102"/>
      <c r="D168" s="103"/>
      <c r="E168" s="103"/>
      <c r="F168" s="104"/>
      <c r="G168" s="104"/>
      <c r="H168" s="105">
        <f t="shared" si="3"/>
        <v>0</v>
      </c>
      <c r="L168" s="106"/>
      <c r="M168" s="106"/>
      <c r="N168" s="106"/>
    </row>
    <row r="169" spans="1:14" ht="14.75" customHeight="1" x14ac:dyDescent="0.4">
      <c r="A169" s="96"/>
      <c r="B169" s="101"/>
      <c r="C169" s="102"/>
      <c r="D169" s="103"/>
      <c r="E169" s="103"/>
      <c r="F169" s="104"/>
      <c r="G169" s="104"/>
      <c r="H169" s="105">
        <f t="shared" si="3"/>
        <v>0</v>
      </c>
      <c r="L169" s="106"/>
      <c r="M169" s="106"/>
      <c r="N169" s="106"/>
    </row>
    <row r="170" spans="1:14" ht="14.75" customHeight="1" x14ac:dyDescent="0.4">
      <c r="A170" s="96"/>
      <c r="B170" s="101"/>
      <c r="C170" s="102"/>
      <c r="D170" s="103"/>
      <c r="E170" s="103"/>
      <c r="F170" s="104"/>
      <c r="G170" s="104"/>
      <c r="H170" s="105">
        <f t="shared" si="3"/>
        <v>0</v>
      </c>
      <c r="L170" s="106"/>
      <c r="M170" s="106"/>
      <c r="N170" s="106"/>
    </row>
    <row r="171" spans="1:14" ht="14.75" customHeight="1" x14ac:dyDescent="0.4">
      <c r="A171" s="96"/>
      <c r="B171" s="101"/>
      <c r="C171" s="102"/>
      <c r="D171" s="103"/>
      <c r="E171" s="103"/>
      <c r="F171" s="104"/>
      <c r="G171" s="104"/>
      <c r="H171" s="105">
        <f t="shared" si="3"/>
        <v>0</v>
      </c>
      <c r="L171" s="106"/>
      <c r="M171" s="106"/>
      <c r="N171" s="106"/>
    </row>
    <row r="172" spans="1:14" ht="14.75" customHeight="1" x14ac:dyDescent="0.4">
      <c r="A172" s="96"/>
      <c r="B172" s="101"/>
      <c r="C172" s="102"/>
      <c r="D172" s="103"/>
      <c r="E172" s="103"/>
      <c r="F172" s="104"/>
      <c r="G172" s="104"/>
      <c r="H172" s="105">
        <f t="shared" si="3"/>
        <v>0</v>
      </c>
      <c r="L172" s="106"/>
      <c r="M172" s="106"/>
      <c r="N172" s="106"/>
    </row>
    <row r="173" spans="1:14" ht="14.75" customHeight="1" x14ac:dyDescent="0.4">
      <c r="A173" s="96"/>
      <c r="B173" s="101"/>
      <c r="C173" s="102"/>
      <c r="D173" s="103"/>
      <c r="E173" s="103"/>
      <c r="F173" s="104"/>
      <c r="G173" s="104"/>
      <c r="H173" s="105">
        <f t="shared" si="3"/>
        <v>0</v>
      </c>
      <c r="L173" s="106"/>
      <c r="M173" s="106"/>
      <c r="N173" s="106"/>
    </row>
    <row r="174" spans="1:14" ht="14.75" customHeight="1" x14ac:dyDescent="0.4">
      <c r="A174" s="96"/>
      <c r="B174" s="101"/>
      <c r="C174" s="102"/>
      <c r="D174" s="103"/>
      <c r="E174" s="103"/>
      <c r="F174" s="104"/>
      <c r="G174" s="104"/>
      <c r="H174" s="105">
        <f t="shared" si="3"/>
        <v>0</v>
      </c>
      <c r="L174" s="106"/>
      <c r="M174" s="106"/>
      <c r="N174" s="106"/>
    </row>
    <row r="175" spans="1:14" ht="14.75" customHeight="1" x14ac:dyDescent="0.4">
      <c r="A175" s="96"/>
      <c r="B175" s="101"/>
      <c r="C175" s="102"/>
      <c r="D175" s="103"/>
      <c r="E175" s="103"/>
      <c r="F175" s="104"/>
      <c r="G175" s="104"/>
      <c r="H175" s="105">
        <f t="shared" si="3"/>
        <v>0</v>
      </c>
      <c r="L175" s="106"/>
      <c r="M175" s="106"/>
      <c r="N175" s="106"/>
    </row>
    <row r="176" spans="1:14" ht="14.75" customHeight="1" x14ac:dyDescent="0.4">
      <c r="A176" s="96"/>
      <c r="B176" s="101"/>
      <c r="C176" s="102"/>
      <c r="D176" s="103"/>
      <c r="E176" s="103"/>
      <c r="F176" s="104"/>
      <c r="G176" s="104"/>
      <c r="H176" s="105">
        <f t="shared" si="3"/>
        <v>0</v>
      </c>
      <c r="L176" s="106"/>
      <c r="M176" s="106"/>
      <c r="N176" s="106"/>
    </row>
    <row r="177" spans="1:14" ht="14.75" customHeight="1" x14ac:dyDescent="0.4">
      <c r="A177" s="96"/>
      <c r="B177" s="101"/>
      <c r="C177" s="102"/>
      <c r="D177" s="103"/>
      <c r="E177" s="103"/>
      <c r="F177" s="104"/>
      <c r="G177" s="104"/>
      <c r="H177" s="105">
        <f t="shared" si="3"/>
        <v>0</v>
      </c>
      <c r="L177" s="106"/>
      <c r="M177" s="106"/>
      <c r="N177" s="106"/>
    </row>
    <row r="178" spans="1:14" ht="14.75" customHeight="1" x14ac:dyDescent="0.4">
      <c r="A178" s="96"/>
      <c r="B178" s="101"/>
      <c r="C178" s="102"/>
      <c r="D178" s="103"/>
      <c r="E178" s="103"/>
      <c r="F178" s="104"/>
      <c r="G178" s="104"/>
      <c r="H178" s="105">
        <f t="shared" si="3"/>
        <v>0</v>
      </c>
      <c r="L178" s="106"/>
      <c r="M178" s="106"/>
      <c r="N178" s="106"/>
    </row>
    <row r="179" spans="1:14" ht="14.75" customHeight="1" x14ac:dyDescent="0.4">
      <c r="A179" s="96"/>
      <c r="B179" s="101"/>
      <c r="C179" s="102"/>
      <c r="D179" s="103"/>
      <c r="E179" s="103"/>
      <c r="F179" s="104"/>
      <c r="G179" s="104"/>
      <c r="H179" s="105">
        <f t="shared" si="3"/>
        <v>0</v>
      </c>
      <c r="L179" s="106"/>
      <c r="M179" s="106"/>
      <c r="N179" s="106"/>
    </row>
    <row r="180" spans="1:14" ht="14.75" customHeight="1" x14ac:dyDescent="0.4">
      <c r="A180" s="96"/>
      <c r="B180" s="101"/>
      <c r="C180" s="102"/>
      <c r="D180" s="103"/>
      <c r="E180" s="103"/>
      <c r="F180" s="104"/>
      <c r="G180" s="104"/>
      <c r="H180" s="105">
        <f t="shared" si="3"/>
        <v>0</v>
      </c>
      <c r="L180" s="106"/>
      <c r="M180" s="106"/>
      <c r="N180" s="106"/>
    </row>
    <row r="181" spans="1:14" ht="14.75" customHeight="1" x14ac:dyDescent="0.4">
      <c r="A181" s="96"/>
      <c r="B181" s="101"/>
      <c r="C181" s="102"/>
      <c r="D181" s="103"/>
      <c r="E181" s="103"/>
      <c r="F181" s="104"/>
      <c r="G181" s="104"/>
      <c r="H181" s="105">
        <f t="shared" si="3"/>
        <v>0</v>
      </c>
      <c r="L181" s="106"/>
      <c r="M181" s="106"/>
      <c r="N181" s="106"/>
    </row>
    <row r="182" spans="1:14" ht="14.75" customHeight="1" x14ac:dyDescent="0.4">
      <c r="A182" s="96"/>
      <c r="B182" s="101"/>
      <c r="C182" s="102"/>
      <c r="D182" s="103"/>
      <c r="E182" s="103"/>
      <c r="F182" s="104"/>
      <c r="G182" s="104"/>
      <c r="H182" s="105">
        <f t="shared" si="3"/>
        <v>0</v>
      </c>
      <c r="L182" s="106"/>
      <c r="M182" s="106"/>
      <c r="N182" s="106"/>
    </row>
    <row r="183" spans="1:14" ht="14.75" customHeight="1" x14ac:dyDescent="0.4">
      <c r="A183" s="96"/>
      <c r="B183" s="101"/>
      <c r="C183" s="102"/>
      <c r="D183" s="103"/>
      <c r="E183" s="103"/>
      <c r="F183" s="104"/>
      <c r="G183" s="104"/>
      <c r="H183" s="105">
        <f t="shared" si="3"/>
        <v>0</v>
      </c>
      <c r="L183" s="106"/>
      <c r="M183" s="106"/>
      <c r="N183" s="106"/>
    </row>
    <row r="184" spans="1:14" ht="14.75" customHeight="1" x14ac:dyDescent="0.4">
      <c r="A184" s="96"/>
      <c r="B184" s="101"/>
      <c r="C184" s="102"/>
      <c r="D184" s="103"/>
      <c r="E184" s="103"/>
      <c r="F184" s="104"/>
      <c r="G184" s="104"/>
      <c r="H184" s="105">
        <f t="shared" si="3"/>
        <v>0</v>
      </c>
      <c r="L184" s="106"/>
      <c r="M184" s="106"/>
      <c r="N184" s="106"/>
    </row>
    <row r="185" spans="1:14" ht="14.75" customHeight="1" x14ac:dyDescent="0.4">
      <c r="A185" s="96"/>
      <c r="B185" s="101"/>
      <c r="C185" s="102"/>
      <c r="D185" s="103"/>
      <c r="E185" s="103"/>
      <c r="F185" s="104"/>
      <c r="G185" s="104"/>
      <c r="H185" s="105">
        <f t="shared" si="3"/>
        <v>0</v>
      </c>
      <c r="L185" s="106"/>
      <c r="M185" s="106"/>
      <c r="N185" s="106"/>
    </row>
    <row r="186" spans="1:14" ht="14.75" customHeight="1" x14ac:dyDescent="0.4">
      <c r="A186" s="96"/>
      <c r="B186" s="101"/>
      <c r="C186" s="102"/>
      <c r="D186" s="103"/>
      <c r="E186" s="103"/>
      <c r="F186" s="104"/>
      <c r="G186" s="104"/>
      <c r="H186" s="105">
        <f t="shared" si="3"/>
        <v>0</v>
      </c>
      <c r="L186" s="106"/>
      <c r="M186" s="106"/>
      <c r="N186" s="106"/>
    </row>
    <row r="187" spans="1:14" ht="14.75" customHeight="1" x14ac:dyDescent="0.4">
      <c r="A187" s="96"/>
      <c r="B187" s="101"/>
      <c r="C187" s="102"/>
      <c r="D187" s="103"/>
      <c r="E187" s="103"/>
      <c r="F187" s="104"/>
      <c r="G187" s="104"/>
      <c r="H187" s="105">
        <f t="shared" si="3"/>
        <v>0</v>
      </c>
      <c r="L187" s="106"/>
      <c r="M187" s="106"/>
      <c r="N187" s="106"/>
    </row>
    <row r="188" spans="1:14" ht="14.75" customHeight="1" x14ac:dyDescent="0.4">
      <c r="A188" s="96"/>
      <c r="B188" s="101"/>
      <c r="C188" s="102"/>
      <c r="D188" s="103"/>
      <c r="E188" s="103"/>
      <c r="F188" s="104"/>
      <c r="G188" s="104"/>
      <c r="H188" s="105">
        <f t="shared" si="3"/>
        <v>0</v>
      </c>
      <c r="L188" s="106"/>
      <c r="M188" s="106"/>
      <c r="N188" s="106"/>
    </row>
    <row r="189" spans="1:14" ht="14.75" customHeight="1" x14ac:dyDescent="0.4">
      <c r="A189" s="96"/>
      <c r="B189" s="101"/>
      <c r="C189" s="102"/>
      <c r="D189" s="103"/>
      <c r="E189" s="103"/>
      <c r="F189" s="104"/>
      <c r="G189" s="104"/>
      <c r="H189" s="105">
        <f t="shared" si="3"/>
        <v>0</v>
      </c>
      <c r="L189" s="106"/>
      <c r="M189" s="106"/>
      <c r="N189" s="106"/>
    </row>
    <row r="190" spans="1:14" ht="14.75" customHeight="1" x14ac:dyDescent="0.4">
      <c r="A190" s="96"/>
      <c r="B190" s="101"/>
      <c r="C190" s="102"/>
      <c r="D190" s="103"/>
      <c r="E190" s="103"/>
      <c r="F190" s="104"/>
      <c r="G190" s="104"/>
      <c r="H190" s="105">
        <f t="shared" si="3"/>
        <v>0</v>
      </c>
      <c r="L190" s="106"/>
      <c r="M190" s="106"/>
      <c r="N190" s="106"/>
    </row>
    <row r="191" spans="1:14" ht="14.75" customHeight="1" x14ac:dyDescent="0.4">
      <c r="A191" s="96"/>
      <c r="B191" s="101"/>
      <c r="C191" s="102"/>
      <c r="D191" s="103"/>
      <c r="E191" s="103"/>
      <c r="F191" s="104"/>
      <c r="G191" s="104"/>
      <c r="H191" s="105">
        <f t="shared" si="3"/>
        <v>0</v>
      </c>
      <c r="L191" s="106"/>
      <c r="M191" s="106"/>
      <c r="N191" s="106"/>
    </row>
    <row r="192" spans="1:14" ht="14.75" customHeight="1" x14ac:dyDescent="0.4">
      <c r="A192" s="96"/>
      <c r="B192" s="101"/>
      <c r="C192" s="102"/>
      <c r="D192" s="103"/>
      <c r="E192" s="103"/>
      <c r="F192" s="104"/>
      <c r="G192" s="104"/>
      <c r="H192" s="105">
        <f t="shared" si="3"/>
        <v>0</v>
      </c>
      <c r="L192" s="106"/>
      <c r="M192" s="106"/>
      <c r="N192" s="106"/>
    </row>
    <row r="193" spans="1:14" ht="14.75" customHeight="1" x14ac:dyDescent="0.4">
      <c r="A193" s="96"/>
      <c r="B193" s="101"/>
      <c r="C193" s="102"/>
      <c r="D193" s="103"/>
      <c r="E193" s="103"/>
      <c r="F193" s="104"/>
      <c r="G193" s="104"/>
      <c r="H193" s="105">
        <f t="shared" si="3"/>
        <v>0</v>
      </c>
      <c r="L193" s="106"/>
      <c r="M193" s="106"/>
      <c r="N193" s="106"/>
    </row>
    <row r="194" spans="1:14" ht="14.75" customHeight="1" x14ac:dyDescent="0.4">
      <c r="A194" s="96"/>
      <c r="B194" s="101"/>
      <c r="C194" s="102"/>
      <c r="D194" s="103"/>
      <c r="E194" s="103"/>
      <c r="F194" s="104"/>
      <c r="G194" s="104"/>
      <c r="H194" s="105">
        <f t="shared" si="3"/>
        <v>0</v>
      </c>
      <c r="L194" s="106"/>
      <c r="M194" s="106"/>
      <c r="N194" s="106"/>
    </row>
    <row r="195" spans="1:14" ht="14.75" customHeight="1" x14ac:dyDescent="0.4">
      <c r="A195" s="96"/>
      <c r="B195" s="101"/>
      <c r="C195" s="102"/>
      <c r="D195" s="103"/>
      <c r="E195" s="103"/>
      <c r="F195" s="104"/>
      <c r="G195" s="104"/>
      <c r="H195" s="105">
        <f t="shared" si="3"/>
        <v>0</v>
      </c>
      <c r="L195" s="106"/>
      <c r="M195" s="106"/>
      <c r="N195" s="106"/>
    </row>
    <row r="196" spans="1:14" ht="14.75" customHeight="1" x14ac:dyDescent="0.4">
      <c r="A196" s="96"/>
      <c r="B196" s="101"/>
      <c r="C196" s="102"/>
      <c r="D196" s="103"/>
      <c r="E196" s="103"/>
      <c r="F196" s="104"/>
      <c r="G196" s="104"/>
      <c r="H196" s="105">
        <f t="shared" si="3"/>
        <v>0</v>
      </c>
      <c r="L196" s="106"/>
      <c r="M196" s="106"/>
      <c r="N196" s="106"/>
    </row>
    <row r="197" spans="1:14" ht="14.75" customHeight="1" x14ac:dyDescent="0.4">
      <c r="A197" s="96"/>
      <c r="B197" s="101"/>
      <c r="C197" s="102"/>
      <c r="D197" s="103"/>
      <c r="E197" s="103"/>
      <c r="F197" s="104"/>
      <c r="G197" s="104"/>
      <c r="H197" s="105">
        <f t="shared" si="3"/>
        <v>0</v>
      </c>
      <c r="L197" s="106"/>
      <c r="M197" s="106"/>
      <c r="N197" s="106"/>
    </row>
    <row r="198" spans="1:14" ht="14.75" customHeight="1" x14ac:dyDescent="0.4">
      <c r="A198" s="96"/>
      <c r="B198" s="101"/>
      <c r="C198" s="102"/>
      <c r="D198" s="103"/>
      <c r="E198" s="103"/>
      <c r="F198" s="104"/>
      <c r="G198" s="104"/>
      <c r="H198" s="105">
        <f t="shared" si="3"/>
        <v>0</v>
      </c>
      <c r="L198" s="106"/>
      <c r="M198" s="106"/>
      <c r="N198" s="106"/>
    </row>
    <row r="199" spans="1:14" ht="14.75" customHeight="1" x14ac:dyDescent="0.4">
      <c r="A199" s="96"/>
      <c r="B199" s="101"/>
      <c r="C199" s="102"/>
      <c r="D199" s="103"/>
      <c r="E199" s="103"/>
      <c r="F199" s="104"/>
      <c r="G199" s="104"/>
      <c r="H199" s="105">
        <f t="shared" si="3"/>
        <v>0</v>
      </c>
      <c r="L199" s="106"/>
      <c r="M199" s="106"/>
      <c r="N199" s="106"/>
    </row>
    <row r="200" spans="1:14" ht="14.75" customHeight="1" x14ac:dyDescent="0.4">
      <c r="A200" s="96"/>
      <c r="B200" s="101"/>
      <c r="C200" s="102"/>
      <c r="D200" s="103"/>
      <c r="E200" s="103"/>
      <c r="F200" s="104"/>
      <c r="G200" s="104"/>
      <c r="H200" s="105">
        <f t="shared" si="3"/>
        <v>0</v>
      </c>
      <c r="L200" s="106"/>
      <c r="M200" s="106"/>
      <c r="N200" s="106"/>
    </row>
    <row r="201" spans="1:14" ht="14.75" customHeight="1" x14ac:dyDescent="0.4">
      <c r="A201" s="96"/>
      <c r="B201" s="101"/>
      <c r="C201" s="102"/>
      <c r="D201" s="103"/>
      <c r="E201" s="103"/>
      <c r="F201" s="104"/>
      <c r="G201" s="104"/>
      <c r="H201" s="105">
        <f t="shared" si="3"/>
        <v>0</v>
      </c>
      <c r="L201" s="106"/>
      <c r="M201" s="106"/>
      <c r="N201" s="106"/>
    </row>
    <row r="202" spans="1:14" ht="14.75" customHeight="1" x14ac:dyDescent="0.4">
      <c r="A202" s="96"/>
      <c r="B202" s="101"/>
      <c r="C202" s="102"/>
      <c r="D202" s="103"/>
      <c r="E202" s="103"/>
      <c r="F202" s="104"/>
      <c r="G202" s="104"/>
      <c r="H202" s="105">
        <f t="shared" si="3"/>
        <v>0</v>
      </c>
      <c r="L202" s="106"/>
      <c r="M202" s="106"/>
      <c r="N202" s="106"/>
    </row>
    <row r="203" spans="1:14" ht="14.75" customHeight="1" x14ac:dyDescent="0.4">
      <c r="A203" s="96"/>
      <c r="B203" s="101"/>
      <c r="C203" s="102"/>
      <c r="D203" s="111"/>
      <c r="E203" s="111"/>
      <c r="F203" s="104"/>
      <c r="G203" s="104"/>
      <c r="H203" s="114">
        <f t="shared" si="3"/>
        <v>0</v>
      </c>
    </row>
    <row r="204" spans="1:14" ht="14.75" customHeight="1" x14ac:dyDescent="0.4">
      <c r="A204" s="96"/>
      <c r="B204" s="101"/>
      <c r="C204" s="102"/>
      <c r="D204" s="111"/>
      <c r="E204" s="111"/>
      <c r="F204" s="104"/>
      <c r="G204" s="104"/>
      <c r="H204" s="114">
        <f t="shared" si="3"/>
        <v>0</v>
      </c>
    </row>
    <row r="205" spans="1:14" ht="14.75" customHeight="1" x14ac:dyDescent="0.4">
      <c r="A205" s="96"/>
      <c r="B205" s="101"/>
      <c r="C205" s="102"/>
      <c r="D205" s="111"/>
      <c r="E205" s="111"/>
      <c r="F205" s="104"/>
      <c r="G205" s="104"/>
      <c r="H205" s="114">
        <f t="shared" si="3"/>
        <v>0</v>
      </c>
    </row>
    <row r="206" spans="1:14" ht="14.75" customHeight="1" x14ac:dyDescent="0.4">
      <c r="A206" s="96"/>
      <c r="B206" s="101"/>
      <c r="C206" s="102"/>
      <c r="D206" s="111"/>
      <c r="E206" s="111"/>
      <c r="F206" s="104"/>
      <c r="G206" s="104"/>
      <c r="H206" s="114">
        <f t="shared" si="3"/>
        <v>0</v>
      </c>
    </row>
    <row r="207" spans="1:14" ht="14.75" customHeight="1" x14ac:dyDescent="0.4">
      <c r="A207" s="96"/>
      <c r="B207" s="101"/>
      <c r="C207" s="102"/>
      <c r="D207" s="111"/>
      <c r="E207" s="111"/>
      <c r="F207" s="104"/>
      <c r="G207" s="104"/>
      <c r="H207" s="114">
        <f t="shared" si="3"/>
        <v>0</v>
      </c>
    </row>
    <row r="208" spans="1:14" ht="14.75" customHeight="1" x14ac:dyDescent="0.4">
      <c r="A208" s="96"/>
      <c r="B208" s="101"/>
      <c r="C208" s="102"/>
      <c r="D208" s="111"/>
      <c r="E208" s="111"/>
      <c r="F208" s="104"/>
      <c r="G208" s="104"/>
      <c r="H208" s="114">
        <f t="shared" si="3"/>
        <v>0</v>
      </c>
    </row>
    <row r="209" spans="1:8" ht="14.75" customHeight="1" x14ac:dyDescent="0.4">
      <c r="A209" s="96"/>
      <c r="B209" s="101"/>
      <c r="C209" s="102"/>
      <c r="D209" s="111"/>
      <c r="E209" s="111"/>
      <c r="F209" s="104"/>
      <c r="G209" s="104"/>
      <c r="H209" s="114">
        <f t="shared" si="3"/>
        <v>0</v>
      </c>
    </row>
    <row r="210" spans="1:8" ht="14.75" customHeight="1" x14ac:dyDescent="0.4">
      <c r="A210" s="96"/>
      <c r="B210" s="101"/>
      <c r="C210" s="102"/>
      <c r="D210" s="111"/>
      <c r="E210" s="111"/>
      <c r="F210" s="104"/>
      <c r="G210" s="104"/>
      <c r="H210" s="114">
        <f t="shared" si="3"/>
        <v>0</v>
      </c>
    </row>
    <row r="211" spans="1:8" ht="14.75" customHeight="1" x14ac:dyDescent="0.4">
      <c r="A211" s="96"/>
      <c r="B211" s="101"/>
      <c r="C211" s="102"/>
      <c r="D211" s="111"/>
      <c r="E211" s="111"/>
      <c r="F211" s="104"/>
      <c r="G211" s="104"/>
      <c r="H211" s="114">
        <f t="shared" si="3"/>
        <v>0</v>
      </c>
    </row>
    <row r="212" spans="1:8" ht="14.75" customHeight="1" x14ac:dyDescent="0.4">
      <c r="A212" s="96"/>
      <c r="B212" s="101"/>
      <c r="C212" s="102"/>
      <c r="D212" s="111"/>
      <c r="E212" s="111"/>
      <c r="F212" s="104"/>
      <c r="G212" s="104"/>
      <c r="H212" s="114">
        <f t="shared" si="3"/>
        <v>0</v>
      </c>
    </row>
    <row r="213" spans="1:8" ht="14.75" customHeight="1" x14ac:dyDescent="0.4">
      <c r="A213" s="96"/>
      <c r="B213" s="101"/>
      <c r="C213" s="102"/>
      <c r="D213" s="111"/>
      <c r="E213" s="111"/>
      <c r="F213" s="104"/>
      <c r="G213" s="104"/>
      <c r="H213" s="114">
        <f t="shared" si="3"/>
        <v>0</v>
      </c>
    </row>
    <row r="214" spans="1:8" ht="14.75" customHeight="1" x14ac:dyDescent="0.4">
      <c r="A214" s="96"/>
      <c r="B214" s="101"/>
      <c r="C214" s="102"/>
      <c r="D214" s="111"/>
      <c r="E214" s="111"/>
      <c r="F214" s="104"/>
      <c r="G214" s="104"/>
      <c r="H214" s="114">
        <f t="shared" si="3"/>
        <v>0</v>
      </c>
    </row>
    <row r="215" spans="1:8" ht="14.75" customHeight="1" x14ac:dyDescent="0.4">
      <c r="A215" s="96"/>
      <c r="B215" s="101"/>
      <c r="C215" s="102"/>
      <c r="D215" s="111"/>
      <c r="E215" s="111"/>
      <c r="F215" s="104"/>
      <c r="G215" s="104"/>
      <c r="H215" s="114">
        <f t="shared" si="3"/>
        <v>0</v>
      </c>
    </row>
    <row r="216" spans="1:8" ht="14.75" customHeight="1" x14ac:dyDescent="0.4">
      <c r="A216" s="96"/>
      <c r="B216" s="101"/>
      <c r="C216" s="102"/>
      <c r="D216" s="111"/>
      <c r="E216" s="111"/>
      <c r="F216" s="104"/>
      <c r="G216" s="104"/>
      <c r="H216" s="114">
        <f t="shared" si="3"/>
        <v>0</v>
      </c>
    </row>
    <row r="217" spans="1:8" ht="14.75" customHeight="1" x14ac:dyDescent="0.4">
      <c r="A217" s="96"/>
      <c r="B217" s="101"/>
      <c r="C217" s="102"/>
      <c r="D217" s="111"/>
      <c r="E217" s="111"/>
      <c r="F217" s="104"/>
      <c r="G217" s="104"/>
      <c r="H217" s="114">
        <f t="shared" si="3"/>
        <v>0</v>
      </c>
    </row>
    <row r="218" spans="1:8" ht="14.75" customHeight="1" x14ac:dyDescent="0.4">
      <c r="A218" s="96"/>
      <c r="B218" s="101"/>
      <c r="C218" s="102"/>
      <c r="D218" s="111"/>
      <c r="E218" s="111"/>
      <c r="F218" s="104"/>
      <c r="G218" s="104"/>
      <c r="H218" s="114">
        <f t="shared" si="3"/>
        <v>0</v>
      </c>
    </row>
    <row r="219" spans="1:8" ht="14.75" customHeight="1" x14ac:dyDescent="0.4">
      <c r="A219" s="96"/>
      <c r="B219" s="101"/>
      <c r="C219" s="102"/>
      <c r="D219" s="111"/>
      <c r="E219" s="111"/>
      <c r="F219" s="104"/>
      <c r="G219" s="104"/>
      <c r="H219" s="114">
        <f t="shared" si="3"/>
        <v>0</v>
      </c>
    </row>
    <row r="220" spans="1:8" ht="14.75" customHeight="1" x14ac:dyDescent="0.4">
      <c r="A220" s="96"/>
      <c r="B220" s="101"/>
      <c r="C220" s="102"/>
      <c r="D220" s="111"/>
      <c r="E220" s="111"/>
      <c r="F220" s="104"/>
      <c r="G220" s="104"/>
      <c r="H220" s="114">
        <f t="shared" si="3"/>
        <v>0</v>
      </c>
    </row>
    <row r="221" spans="1:8" ht="14.75" customHeight="1" x14ac:dyDescent="0.4">
      <c r="A221" s="96"/>
      <c r="B221" s="101"/>
      <c r="C221" s="102"/>
      <c r="D221" s="111"/>
      <c r="E221" s="111"/>
      <c r="F221" s="104"/>
      <c r="G221" s="104"/>
      <c r="H221" s="114">
        <f t="shared" si="3"/>
        <v>0</v>
      </c>
    </row>
    <row r="222" spans="1:8" ht="14.75" customHeight="1" x14ac:dyDescent="0.4">
      <c r="A222" s="96"/>
      <c r="B222" s="101"/>
      <c r="C222" s="102"/>
      <c r="D222" s="111"/>
      <c r="E222" s="111"/>
      <c r="F222" s="104"/>
      <c r="G222" s="104"/>
      <c r="H222" s="114">
        <f t="shared" si="3"/>
        <v>0</v>
      </c>
    </row>
    <row r="223" spans="1:8" ht="14.75" customHeight="1" x14ac:dyDescent="0.4">
      <c r="A223" s="96"/>
      <c r="B223" s="101"/>
      <c r="C223" s="102"/>
      <c r="D223" s="111"/>
      <c r="E223" s="111"/>
      <c r="F223" s="104"/>
      <c r="G223" s="104"/>
      <c r="H223" s="114">
        <f t="shared" si="3"/>
        <v>0</v>
      </c>
    </row>
    <row r="224" spans="1:8" ht="14.75" customHeight="1" x14ac:dyDescent="0.4">
      <c r="A224" s="96"/>
      <c r="B224" s="101"/>
      <c r="C224" s="102"/>
      <c r="D224" s="111"/>
      <c r="E224" s="111"/>
      <c r="F224" s="104"/>
      <c r="G224" s="104"/>
      <c r="H224" s="114">
        <f t="shared" si="3"/>
        <v>0</v>
      </c>
    </row>
    <row r="225" spans="1:8" ht="14.75" customHeight="1" x14ac:dyDescent="0.4">
      <c r="A225" s="96"/>
      <c r="B225" s="101"/>
      <c r="C225" s="102"/>
      <c r="D225" s="111"/>
      <c r="E225" s="111"/>
      <c r="F225" s="104"/>
      <c r="G225" s="104"/>
      <c r="H225" s="114">
        <f t="shared" si="3"/>
        <v>0</v>
      </c>
    </row>
    <row r="226" spans="1:8" ht="14.75" customHeight="1" x14ac:dyDescent="0.4">
      <c r="A226" s="96"/>
      <c r="B226" s="101"/>
      <c r="C226" s="102"/>
      <c r="D226" s="111"/>
      <c r="E226" s="111"/>
      <c r="F226" s="104"/>
      <c r="G226" s="104"/>
      <c r="H226" s="114">
        <f t="shared" ref="H226:H289" si="4">H225+F226-G226</f>
        <v>0</v>
      </c>
    </row>
    <row r="227" spans="1:8" ht="14.75" customHeight="1" x14ac:dyDescent="0.4">
      <c r="A227" s="96"/>
      <c r="B227" s="101"/>
      <c r="C227" s="102"/>
      <c r="D227" s="111"/>
      <c r="E227" s="111"/>
      <c r="F227" s="104"/>
      <c r="G227" s="104"/>
      <c r="H227" s="114">
        <f t="shared" si="4"/>
        <v>0</v>
      </c>
    </row>
    <row r="228" spans="1:8" ht="14.75" customHeight="1" x14ac:dyDescent="0.4">
      <c r="A228" s="96"/>
      <c r="B228" s="101"/>
      <c r="C228" s="102"/>
      <c r="D228" s="111"/>
      <c r="E228" s="111"/>
      <c r="F228" s="104"/>
      <c r="G228" s="104"/>
      <c r="H228" s="114">
        <f t="shared" si="4"/>
        <v>0</v>
      </c>
    </row>
    <row r="229" spans="1:8" ht="14.75" customHeight="1" x14ac:dyDescent="0.4">
      <c r="A229" s="96"/>
      <c r="B229" s="101"/>
      <c r="C229" s="102"/>
      <c r="D229" s="111"/>
      <c r="E229" s="111"/>
      <c r="F229" s="104"/>
      <c r="G229" s="104"/>
      <c r="H229" s="114">
        <f t="shared" si="4"/>
        <v>0</v>
      </c>
    </row>
    <row r="230" spans="1:8" ht="14.75" customHeight="1" x14ac:dyDescent="0.4">
      <c r="A230" s="96"/>
      <c r="B230" s="101"/>
      <c r="C230" s="102"/>
      <c r="D230" s="111"/>
      <c r="E230" s="111"/>
      <c r="F230" s="104"/>
      <c r="G230" s="104"/>
      <c r="H230" s="114">
        <f t="shared" si="4"/>
        <v>0</v>
      </c>
    </row>
    <row r="231" spans="1:8" ht="14.75" customHeight="1" x14ac:dyDescent="0.4">
      <c r="A231" s="96"/>
      <c r="B231" s="101"/>
      <c r="C231" s="102"/>
      <c r="D231" s="111"/>
      <c r="E231" s="111"/>
      <c r="F231" s="104"/>
      <c r="G231" s="104"/>
      <c r="H231" s="114">
        <f t="shared" si="4"/>
        <v>0</v>
      </c>
    </row>
    <row r="232" spans="1:8" ht="14.75" customHeight="1" x14ac:dyDescent="0.4">
      <c r="A232" s="96"/>
      <c r="B232" s="101"/>
      <c r="C232" s="102"/>
      <c r="D232" s="111"/>
      <c r="E232" s="111"/>
      <c r="F232" s="104"/>
      <c r="G232" s="104"/>
      <c r="H232" s="114">
        <f t="shared" si="4"/>
        <v>0</v>
      </c>
    </row>
    <row r="233" spans="1:8" ht="14.75" customHeight="1" x14ac:dyDescent="0.4">
      <c r="A233" s="96"/>
      <c r="B233" s="101"/>
      <c r="C233" s="102"/>
      <c r="D233" s="111"/>
      <c r="E233" s="111"/>
      <c r="F233" s="104"/>
      <c r="G233" s="104"/>
      <c r="H233" s="114">
        <f t="shared" si="4"/>
        <v>0</v>
      </c>
    </row>
    <row r="234" spans="1:8" ht="14.75" customHeight="1" x14ac:dyDescent="0.4">
      <c r="A234" s="96"/>
      <c r="B234" s="101"/>
      <c r="C234" s="102"/>
      <c r="D234" s="111"/>
      <c r="E234" s="111"/>
      <c r="F234" s="104"/>
      <c r="G234" s="104"/>
      <c r="H234" s="114">
        <f t="shared" si="4"/>
        <v>0</v>
      </c>
    </row>
    <row r="235" spans="1:8" ht="14.75" customHeight="1" x14ac:dyDescent="0.4">
      <c r="A235" s="96"/>
      <c r="B235" s="101"/>
      <c r="C235" s="102"/>
      <c r="D235" s="111"/>
      <c r="E235" s="111"/>
      <c r="F235" s="104"/>
      <c r="G235" s="104"/>
      <c r="H235" s="114">
        <f t="shared" si="4"/>
        <v>0</v>
      </c>
    </row>
    <row r="236" spans="1:8" ht="14.75" customHeight="1" x14ac:dyDescent="0.4">
      <c r="A236" s="96"/>
      <c r="B236" s="101"/>
      <c r="C236" s="102"/>
      <c r="D236" s="111"/>
      <c r="E236" s="111"/>
      <c r="F236" s="104"/>
      <c r="G236" s="104"/>
      <c r="H236" s="114">
        <f t="shared" si="4"/>
        <v>0</v>
      </c>
    </row>
    <row r="237" spans="1:8" ht="14.75" customHeight="1" x14ac:dyDescent="0.4">
      <c r="A237" s="96"/>
      <c r="B237" s="101"/>
      <c r="C237" s="102"/>
      <c r="D237" s="111"/>
      <c r="E237" s="111"/>
      <c r="F237" s="104"/>
      <c r="G237" s="104"/>
      <c r="H237" s="114">
        <f t="shared" si="4"/>
        <v>0</v>
      </c>
    </row>
    <row r="238" spans="1:8" ht="14.75" customHeight="1" x14ac:dyDescent="0.4">
      <c r="A238" s="96"/>
      <c r="B238" s="101"/>
      <c r="C238" s="102"/>
      <c r="D238" s="111"/>
      <c r="E238" s="111"/>
      <c r="F238" s="104"/>
      <c r="G238" s="104"/>
      <c r="H238" s="114">
        <f t="shared" si="4"/>
        <v>0</v>
      </c>
    </row>
    <row r="239" spans="1:8" ht="14.75" customHeight="1" x14ac:dyDescent="0.4">
      <c r="A239" s="96"/>
      <c r="B239" s="101"/>
      <c r="C239" s="102"/>
      <c r="D239" s="111"/>
      <c r="E239" s="111"/>
      <c r="F239" s="104"/>
      <c r="G239" s="104"/>
      <c r="H239" s="114">
        <f t="shared" si="4"/>
        <v>0</v>
      </c>
    </row>
    <row r="240" spans="1:8" ht="14.75" customHeight="1" x14ac:dyDescent="0.4">
      <c r="A240" s="96"/>
      <c r="B240" s="101"/>
      <c r="C240" s="102"/>
      <c r="D240" s="111"/>
      <c r="E240" s="111"/>
      <c r="F240" s="104"/>
      <c r="G240" s="104"/>
      <c r="H240" s="114">
        <f t="shared" si="4"/>
        <v>0</v>
      </c>
    </row>
    <row r="241" spans="1:8" ht="14.75" customHeight="1" x14ac:dyDescent="0.4">
      <c r="A241" s="96"/>
      <c r="B241" s="101"/>
      <c r="C241" s="102"/>
      <c r="D241" s="111"/>
      <c r="E241" s="111"/>
      <c r="F241" s="104"/>
      <c r="G241" s="104"/>
      <c r="H241" s="114">
        <f t="shared" si="4"/>
        <v>0</v>
      </c>
    </row>
    <row r="242" spans="1:8" ht="14.75" customHeight="1" x14ac:dyDescent="0.4">
      <c r="A242" s="96"/>
      <c r="B242" s="101"/>
      <c r="C242" s="102"/>
      <c r="D242" s="111"/>
      <c r="E242" s="111"/>
      <c r="F242" s="104"/>
      <c r="G242" s="104"/>
      <c r="H242" s="114">
        <f t="shared" si="4"/>
        <v>0</v>
      </c>
    </row>
    <row r="243" spans="1:8" ht="14.75" customHeight="1" x14ac:dyDescent="0.4">
      <c r="A243" s="96"/>
      <c r="B243" s="101"/>
      <c r="C243" s="102"/>
      <c r="D243" s="111"/>
      <c r="E243" s="111"/>
      <c r="F243" s="104"/>
      <c r="G243" s="104"/>
      <c r="H243" s="114">
        <f t="shared" si="4"/>
        <v>0</v>
      </c>
    </row>
    <row r="244" spans="1:8" ht="14.75" customHeight="1" x14ac:dyDescent="0.4">
      <c r="A244" s="96"/>
      <c r="B244" s="101"/>
      <c r="C244" s="102"/>
      <c r="D244" s="111"/>
      <c r="E244" s="111"/>
      <c r="F244" s="104"/>
      <c r="G244" s="104"/>
      <c r="H244" s="114">
        <f t="shared" si="4"/>
        <v>0</v>
      </c>
    </row>
    <row r="245" spans="1:8" ht="14.75" customHeight="1" x14ac:dyDescent="0.4">
      <c r="A245" s="96"/>
      <c r="B245" s="101"/>
      <c r="C245" s="102"/>
      <c r="D245" s="111"/>
      <c r="E245" s="111"/>
      <c r="F245" s="104"/>
      <c r="G245" s="104"/>
      <c r="H245" s="114">
        <f t="shared" si="4"/>
        <v>0</v>
      </c>
    </row>
    <row r="246" spans="1:8" ht="14.75" customHeight="1" x14ac:dyDescent="0.4">
      <c r="A246" s="96"/>
      <c r="B246" s="101"/>
      <c r="C246" s="102"/>
      <c r="D246" s="111"/>
      <c r="E246" s="111"/>
      <c r="F246" s="104"/>
      <c r="G246" s="104"/>
      <c r="H246" s="114">
        <f t="shared" si="4"/>
        <v>0</v>
      </c>
    </row>
    <row r="247" spans="1:8" ht="14.75" customHeight="1" x14ac:dyDescent="0.4">
      <c r="A247" s="96"/>
      <c r="B247" s="101"/>
      <c r="C247" s="102"/>
      <c r="D247" s="111"/>
      <c r="E247" s="111"/>
      <c r="F247" s="104"/>
      <c r="G247" s="104"/>
      <c r="H247" s="114">
        <f t="shared" si="4"/>
        <v>0</v>
      </c>
    </row>
    <row r="248" spans="1:8" ht="14.75" customHeight="1" x14ac:dyDescent="0.4">
      <c r="A248" s="96"/>
      <c r="B248" s="101"/>
      <c r="C248" s="102"/>
      <c r="D248" s="111"/>
      <c r="E248" s="111"/>
      <c r="F248" s="104"/>
      <c r="G248" s="104"/>
      <c r="H248" s="114">
        <f t="shared" si="4"/>
        <v>0</v>
      </c>
    </row>
    <row r="249" spans="1:8" ht="14.75" customHeight="1" x14ac:dyDescent="0.4">
      <c r="A249" s="96"/>
      <c r="B249" s="101"/>
      <c r="C249" s="102"/>
      <c r="D249" s="111"/>
      <c r="E249" s="111"/>
      <c r="F249" s="104"/>
      <c r="G249" s="104"/>
      <c r="H249" s="114">
        <f t="shared" si="4"/>
        <v>0</v>
      </c>
    </row>
    <row r="250" spans="1:8" ht="14.75" customHeight="1" x14ac:dyDescent="0.4">
      <c r="A250" s="96"/>
      <c r="B250" s="101"/>
      <c r="C250" s="102"/>
      <c r="D250" s="111"/>
      <c r="E250" s="111"/>
      <c r="F250" s="104"/>
      <c r="G250" s="104"/>
      <c r="H250" s="114">
        <f t="shared" si="4"/>
        <v>0</v>
      </c>
    </row>
    <row r="251" spans="1:8" ht="14.75" customHeight="1" x14ac:dyDescent="0.4">
      <c r="A251" s="96"/>
      <c r="B251" s="101"/>
      <c r="C251" s="102"/>
      <c r="D251" s="111"/>
      <c r="E251" s="111"/>
      <c r="F251" s="104"/>
      <c r="G251" s="104"/>
      <c r="H251" s="114">
        <f t="shared" si="4"/>
        <v>0</v>
      </c>
    </row>
    <row r="252" spans="1:8" ht="14.75" customHeight="1" x14ac:dyDescent="0.4">
      <c r="A252" s="96"/>
      <c r="B252" s="101"/>
      <c r="C252" s="102"/>
      <c r="D252" s="111"/>
      <c r="E252" s="111"/>
      <c r="F252" s="104"/>
      <c r="G252" s="104"/>
      <c r="H252" s="114">
        <f t="shared" si="4"/>
        <v>0</v>
      </c>
    </row>
    <row r="253" spans="1:8" ht="14.75" customHeight="1" x14ac:dyDescent="0.4">
      <c r="A253" s="96"/>
      <c r="B253" s="101"/>
      <c r="C253" s="102"/>
      <c r="D253" s="111"/>
      <c r="E253" s="111"/>
      <c r="F253" s="104"/>
      <c r="G253" s="104"/>
      <c r="H253" s="114">
        <f t="shared" si="4"/>
        <v>0</v>
      </c>
    </row>
    <row r="254" spans="1:8" ht="14.75" customHeight="1" x14ac:dyDescent="0.4">
      <c r="A254" s="96"/>
      <c r="B254" s="101"/>
      <c r="C254" s="102"/>
      <c r="D254" s="111"/>
      <c r="E254" s="111"/>
      <c r="F254" s="104"/>
      <c r="G254" s="104"/>
      <c r="H254" s="114">
        <f t="shared" si="4"/>
        <v>0</v>
      </c>
    </row>
    <row r="255" spans="1:8" ht="14.75" customHeight="1" x14ac:dyDescent="0.4">
      <c r="A255" s="96"/>
      <c r="B255" s="101"/>
      <c r="C255" s="102"/>
      <c r="D255" s="111"/>
      <c r="E255" s="111"/>
      <c r="F255" s="104"/>
      <c r="G255" s="104"/>
      <c r="H255" s="114">
        <f t="shared" si="4"/>
        <v>0</v>
      </c>
    </row>
    <row r="256" spans="1:8" ht="14.75" customHeight="1" x14ac:dyDescent="0.4">
      <c r="A256" s="96"/>
      <c r="B256" s="101"/>
      <c r="C256" s="102"/>
      <c r="D256" s="111"/>
      <c r="E256" s="111"/>
      <c r="F256" s="104"/>
      <c r="G256" s="104"/>
      <c r="H256" s="114">
        <f t="shared" si="4"/>
        <v>0</v>
      </c>
    </row>
    <row r="257" spans="1:8" ht="14.75" customHeight="1" x14ac:dyDescent="0.4">
      <c r="A257" s="96"/>
      <c r="B257" s="101"/>
      <c r="C257" s="102"/>
      <c r="D257" s="111"/>
      <c r="E257" s="111"/>
      <c r="F257" s="104"/>
      <c r="G257" s="104"/>
      <c r="H257" s="114">
        <f t="shared" si="4"/>
        <v>0</v>
      </c>
    </row>
    <row r="258" spans="1:8" ht="14.75" customHeight="1" x14ac:dyDescent="0.4">
      <c r="A258" s="96"/>
      <c r="B258" s="101"/>
      <c r="C258" s="102"/>
      <c r="D258" s="111"/>
      <c r="E258" s="111"/>
      <c r="F258" s="104"/>
      <c r="G258" s="104"/>
      <c r="H258" s="114">
        <f t="shared" si="4"/>
        <v>0</v>
      </c>
    </row>
    <row r="259" spans="1:8" ht="14.75" customHeight="1" x14ac:dyDescent="0.4">
      <c r="A259" s="96"/>
      <c r="B259" s="101"/>
      <c r="C259" s="102"/>
      <c r="D259" s="111"/>
      <c r="E259" s="111"/>
      <c r="F259" s="104"/>
      <c r="G259" s="104"/>
      <c r="H259" s="114">
        <f t="shared" si="4"/>
        <v>0</v>
      </c>
    </row>
    <row r="260" spans="1:8" ht="14.75" customHeight="1" x14ac:dyDescent="0.4">
      <c r="A260" s="96"/>
      <c r="B260" s="101"/>
      <c r="C260" s="102"/>
      <c r="D260" s="111"/>
      <c r="E260" s="111"/>
      <c r="F260" s="104"/>
      <c r="G260" s="104"/>
      <c r="H260" s="114">
        <f t="shared" si="4"/>
        <v>0</v>
      </c>
    </row>
    <row r="261" spans="1:8" ht="14.75" customHeight="1" x14ac:dyDescent="0.4">
      <c r="A261" s="96"/>
      <c r="B261" s="101"/>
      <c r="C261" s="102"/>
      <c r="D261" s="111"/>
      <c r="E261" s="111"/>
      <c r="F261" s="104"/>
      <c r="G261" s="104"/>
      <c r="H261" s="114">
        <f t="shared" si="4"/>
        <v>0</v>
      </c>
    </row>
    <row r="262" spans="1:8" ht="14.75" customHeight="1" x14ac:dyDescent="0.4">
      <c r="A262" s="96"/>
      <c r="B262" s="101"/>
      <c r="C262" s="102"/>
      <c r="D262" s="111"/>
      <c r="E262" s="111"/>
      <c r="F262" s="104"/>
      <c r="G262" s="104"/>
      <c r="H262" s="114">
        <f t="shared" si="4"/>
        <v>0</v>
      </c>
    </row>
    <row r="263" spans="1:8" ht="14.75" customHeight="1" x14ac:dyDescent="0.4">
      <c r="A263" s="96"/>
      <c r="B263" s="101"/>
      <c r="C263" s="102"/>
      <c r="D263" s="111"/>
      <c r="E263" s="111"/>
      <c r="F263" s="104"/>
      <c r="G263" s="104"/>
      <c r="H263" s="114">
        <f t="shared" si="4"/>
        <v>0</v>
      </c>
    </row>
    <row r="264" spans="1:8" ht="14.75" customHeight="1" x14ac:dyDescent="0.4">
      <c r="A264" s="96"/>
      <c r="B264" s="101"/>
      <c r="C264" s="102"/>
      <c r="D264" s="111"/>
      <c r="E264" s="111"/>
      <c r="F264" s="104"/>
      <c r="G264" s="104"/>
      <c r="H264" s="114">
        <f t="shared" si="4"/>
        <v>0</v>
      </c>
    </row>
    <row r="265" spans="1:8" ht="14.75" customHeight="1" x14ac:dyDescent="0.4">
      <c r="A265" s="96"/>
      <c r="B265" s="101"/>
      <c r="C265" s="102"/>
      <c r="D265" s="111"/>
      <c r="E265" s="111"/>
      <c r="F265" s="104"/>
      <c r="G265" s="104"/>
      <c r="H265" s="114">
        <f t="shared" si="4"/>
        <v>0</v>
      </c>
    </row>
    <row r="266" spans="1:8" ht="14.75" customHeight="1" x14ac:dyDescent="0.4">
      <c r="A266" s="96"/>
      <c r="B266" s="101"/>
      <c r="C266" s="102"/>
      <c r="D266" s="111"/>
      <c r="E266" s="111"/>
      <c r="F266" s="104"/>
      <c r="G266" s="104"/>
      <c r="H266" s="114">
        <f t="shared" si="4"/>
        <v>0</v>
      </c>
    </row>
    <row r="267" spans="1:8" ht="14.75" customHeight="1" x14ac:dyDescent="0.4">
      <c r="A267" s="96"/>
      <c r="B267" s="101"/>
      <c r="C267" s="102"/>
      <c r="D267" s="111"/>
      <c r="E267" s="111"/>
      <c r="F267" s="104"/>
      <c r="G267" s="104"/>
      <c r="H267" s="114">
        <f t="shared" si="4"/>
        <v>0</v>
      </c>
    </row>
    <row r="268" spans="1:8" ht="14.75" customHeight="1" x14ac:dyDescent="0.4">
      <c r="A268" s="96"/>
      <c r="B268" s="101"/>
      <c r="C268" s="102"/>
      <c r="D268" s="111"/>
      <c r="E268" s="111"/>
      <c r="F268" s="104"/>
      <c r="G268" s="104"/>
      <c r="H268" s="114">
        <f t="shared" si="4"/>
        <v>0</v>
      </c>
    </row>
    <row r="269" spans="1:8" ht="14.75" customHeight="1" x14ac:dyDescent="0.4">
      <c r="A269" s="96"/>
      <c r="B269" s="101"/>
      <c r="C269" s="102"/>
      <c r="D269" s="111"/>
      <c r="E269" s="111"/>
      <c r="F269" s="104"/>
      <c r="G269" s="104"/>
      <c r="H269" s="114">
        <f t="shared" si="4"/>
        <v>0</v>
      </c>
    </row>
    <row r="270" spans="1:8" ht="14.75" customHeight="1" x14ac:dyDescent="0.4">
      <c r="A270" s="96"/>
      <c r="B270" s="101"/>
      <c r="C270" s="102"/>
      <c r="D270" s="111"/>
      <c r="E270" s="111"/>
      <c r="F270" s="104"/>
      <c r="G270" s="104"/>
      <c r="H270" s="114">
        <f t="shared" si="4"/>
        <v>0</v>
      </c>
    </row>
    <row r="271" spans="1:8" ht="14.75" customHeight="1" x14ac:dyDescent="0.4">
      <c r="A271" s="96"/>
      <c r="B271" s="101"/>
      <c r="C271" s="102"/>
      <c r="D271" s="111"/>
      <c r="E271" s="111"/>
      <c r="F271" s="104"/>
      <c r="G271" s="104"/>
      <c r="H271" s="114">
        <f t="shared" si="4"/>
        <v>0</v>
      </c>
    </row>
    <row r="272" spans="1:8" ht="14.75" customHeight="1" x14ac:dyDescent="0.4">
      <c r="A272" s="96"/>
      <c r="B272" s="101"/>
      <c r="C272" s="102"/>
      <c r="D272" s="111"/>
      <c r="E272" s="111"/>
      <c r="F272" s="104"/>
      <c r="G272" s="104"/>
      <c r="H272" s="114">
        <f t="shared" si="4"/>
        <v>0</v>
      </c>
    </row>
    <row r="273" spans="1:8" ht="14.75" customHeight="1" x14ac:dyDescent="0.4">
      <c r="A273" s="96"/>
      <c r="B273" s="101"/>
      <c r="C273" s="102"/>
      <c r="D273" s="111"/>
      <c r="E273" s="111"/>
      <c r="F273" s="104"/>
      <c r="G273" s="104"/>
      <c r="H273" s="114">
        <f t="shared" si="4"/>
        <v>0</v>
      </c>
    </row>
    <row r="274" spans="1:8" ht="14.75" customHeight="1" x14ac:dyDescent="0.4">
      <c r="A274" s="96"/>
      <c r="B274" s="101"/>
      <c r="C274" s="102"/>
      <c r="D274" s="111"/>
      <c r="E274" s="111"/>
      <c r="F274" s="104"/>
      <c r="G274" s="104"/>
      <c r="H274" s="114">
        <f t="shared" si="4"/>
        <v>0</v>
      </c>
    </row>
    <row r="275" spans="1:8" ht="14.75" customHeight="1" x14ac:dyDescent="0.4">
      <c r="A275" s="96"/>
      <c r="B275" s="101"/>
      <c r="C275" s="102"/>
      <c r="D275" s="111"/>
      <c r="E275" s="111"/>
      <c r="F275" s="104"/>
      <c r="G275" s="104"/>
      <c r="H275" s="114">
        <f t="shared" si="4"/>
        <v>0</v>
      </c>
    </row>
    <row r="276" spans="1:8" ht="14.75" customHeight="1" x14ac:dyDescent="0.4">
      <c r="A276" s="96"/>
      <c r="B276" s="101"/>
      <c r="C276" s="102"/>
      <c r="D276" s="111"/>
      <c r="E276" s="111"/>
      <c r="F276" s="104"/>
      <c r="G276" s="104"/>
      <c r="H276" s="114">
        <f t="shared" si="4"/>
        <v>0</v>
      </c>
    </row>
    <row r="277" spans="1:8" ht="14.75" customHeight="1" x14ac:dyDescent="0.4">
      <c r="A277" s="96"/>
      <c r="B277" s="101"/>
      <c r="C277" s="102"/>
      <c r="D277" s="111"/>
      <c r="E277" s="111"/>
      <c r="F277" s="104"/>
      <c r="G277" s="104"/>
      <c r="H277" s="114">
        <f t="shared" si="4"/>
        <v>0</v>
      </c>
    </row>
    <row r="278" spans="1:8" ht="14.75" customHeight="1" x14ac:dyDescent="0.4">
      <c r="A278" s="96"/>
      <c r="B278" s="101"/>
      <c r="C278" s="102"/>
      <c r="D278" s="111"/>
      <c r="E278" s="111"/>
      <c r="F278" s="104"/>
      <c r="G278" s="104"/>
      <c r="H278" s="114">
        <f t="shared" si="4"/>
        <v>0</v>
      </c>
    </row>
    <row r="279" spans="1:8" ht="14.75" customHeight="1" x14ac:dyDescent="0.4">
      <c r="A279" s="96"/>
      <c r="B279" s="101"/>
      <c r="C279" s="102"/>
      <c r="D279" s="111"/>
      <c r="E279" s="111"/>
      <c r="F279" s="104"/>
      <c r="G279" s="104"/>
      <c r="H279" s="114">
        <f t="shared" si="4"/>
        <v>0</v>
      </c>
    </row>
    <row r="280" spans="1:8" ht="14.75" customHeight="1" x14ac:dyDescent="0.4">
      <c r="A280" s="96"/>
      <c r="B280" s="101"/>
      <c r="C280" s="102"/>
      <c r="D280" s="111"/>
      <c r="E280" s="111"/>
      <c r="F280" s="104"/>
      <c r="G280" s="104"/>
      <c r="H280" s="114">
        <f t="shared" si="4"/>
        <v>0</v>
      </c>
    </row>
    <row r="281" spans="1:8" ht="14.75" customHeight="1" x14ac:dyDescent="0.4">
      <c r="A281" s="96"/>
      <c r="B281" s="101"/>
      <c r="C281" s="102"/>
      <c r="D281" s="111"/>
      <c r="E281" s="111"/>
      <c r="F281" s="104"/>
      <c r="G281" s="104"/>
      <c r="H281" s="114">
        <f t="shared" si="4"/>
        <v>0</v>
      </c>
    </row>
    <row r="282" spans="1:8" ht="14.75" customHeight="1" x14ac:dyDescent="0.4">
      <c r="A282" s="96"/>
      <c r="B282" s="101"/>
      <c r="C282" s="102"/>
      <c r="D282" s="111"/>
      <c r="E282" s="111"/>
      <c r="F282" s="104"/>
      <c r="G282" s="104"/>
      <c r="H282" s="114">
        <f t="shared" si="4"/>
        <v>0</v>
      </c>
    </row>
    <row r="283" spans="1:8" ht="14.75" customHeight="1" x14ac:dyDescent="0.4">
      <c r="A283" s="96"/>
      <c r="B283" s="101"/>
      <c r="C283" s="102"/>
      <c r="D283" s="111"/>
      <c r="E283" s="111"/>
      <c r="F283" s="104"/>
      <c r="G283" s="104"/>
      <c r="H283" s="114">
        <f t="shared" si="4"/>
        <v>0</v>
      </c>
    </row>
    <row r="284" spans="1:8" ht="14.75" customHeight="1" x14ac:dyDescent="0.4">
      <c r="A284" s="96"/>
      <c r="B284" s="101"/>
      <c r="C284" s="102"/>
      <c r="D284" s="111"/>
      <c r="E284" s="111"/>
      <c r="F284" s="104"/>
      <c r="G284" s="104"/>
      <c r="H284" s="114">
        <f t="shared" si="4"/>
        <v>0</v>
      </c>
    </row>
    <row r="285" spans="1:8" ht="14.75" customHeight="1" x14ac:dyDescent="0.4">
      <c r="A285" s="96"/>
      <c r="B285" s="101"/>
      <c r="C285" s="102"/>
      <c r="D285" s="111"/>
      <c r="E285" s="111"/>
      <c r="F285" s="104"/>
      <c r="G285" s="104"/>
      <c r="H285" s="114">
        <f t="shared" si="4"/>
        <v>0</v>
      </c>
    </row>
    <row r="286" spans="1:8" ht="14.75" customHeight="1" x14ac:dyDescent="0.4">
      <c r="A286" s="96"/>
      <c r="B286" s="101"/>
      <c r="C286" s="102"/>
      <c r="D286" s="111"/>
      <c r="E286" s="111"/>
      <c r="F286" s="104"/>
      <c r="G286" s="104"/>
      <c r="H286" s="114">
        <f t="shared" si="4"/>
        <v>0</v>
      </c>
    </row>
    <row r="287" spans="1:8" ht="14.75" customHeight="1" x14ac:dyDescent="0.4">
      <c r="A287" s="96"/>
      <c r="B287" s="101"/>
      <c r="C287" s="102"/>
      <c r="D287" s="111"/>
      <c r="E287" s="111"/>
      <c r="F287" s="104"/>
      <c r="G287" s="104"/>
      <c r="H287" s="114">
        <f t="shared" si="4"/>
        <v>0</v>
      </c>
    </row>
    <row r="288" spans="1:8" ht="14.75" customHeight="1" x14ac:dyDescent="0.4">
      <c r="A288" s="96"/>
      <c r="B288" s="101"/>
      <c r="C288" s="102"/>
      <c r="D288" s="111"/>
      <c r="E288" s="111"/>
      <c r="F288" s="104"/>
      <c r="G288" s="104"/>
      <c r="H288" s="114">
        <f t="shared" si="4"/>
        <v>0</v>
      </c>
    </row>
    <row r="289" spans="1:8" ht="14.75" customHeight="1" x14ac:dyDescent="0.4">
      <c r="A289" s="96"/>
      <c r="B289" s="101"/>
      <c r="C289" s="102"/>
      <c r="D289" s="111"/>
      <c r="E289" s="111"/>
      <c r="F289" s="104"/>
      <c r="G289" s="104"/>
      <c r="H289" s="114">
        <f t="shared" si="4"/>
        <v>0</v>
      </c>
    </row>
    <row r="290" spans="1:8" ht="14.75" customHeight="1" x14ac:dyDescent="0.4">
      <c r="A290" s="96"/>
      <c r="B290" s="101"/>
      <c r="C290" s="102"/>
      <c r="D290" s="111"/>
      <c r="E290" s="111"/>
      <c r="F290" s="104"/>
      <c r="G290" s="104"/>
      <c r="H290" s="114">
        <f t="shared" ref="H290:H353" si="5">H289+F290-G290</f>
        <v>0</v>
      </c>
    </row>
    <row r="291" spans="1:8" ht="14.75" customHeight="1" x14ac:dyDescent="0.4">
      <c r="A291" s="96"/>
      <c r="B291" s="101"/>
      <c r="C291" s="102"/>
      <c r="D291" s="111"/>
      <c r="E291" s="111"/>
      <c r="F291" s="104"/>
      <c r="G291" s="104"/>
      <c r="H291" s="114">
        <f t="shared" si="5"/>
        <v>0</v>
      </c>
    </row>
    <row r="292" spans="1:8" ht="14.75" customHeight="1" x14ac:dyDescent="0.4">
      <c r="A292" s="96"/>
      <c r="B292" s="101"/>
      <c r="C292" s="102"/>
      <c r="D292" s="111"/>
      <c r="E292" s="111"/>
      <c r="F292" s="104"/>
      <c r="G292" s="104"/>
      <c r="H292" s="114">
        <f t="shared" si="5"/>
        <v>0</v>
      </c>
    </row>
    <row r="293" spans="1:8" ht="14.75" customHeight="1" x14ac:dyDescent="0.4">
      <c r="A293" s="96"/>
      <c r="B293" s="101"/>
      <c r="C293" s="102"/>
      <c r="D293" s="111"/>
      <c r="E293" s="111"/>
      <c r="F293" s="104"/>
      <c r="G293" s="104"/>
      <c r="H293" s="114">
        <f t="shared" si="5"/>
        <v>0</v>
      </c>
    </row>
    <row r="294" spans="1:8" ht="14.75" customHeight="1" x14ac:dyDescent="0.4">
      <c r="A294" s="96"/>
      <c r="B294" s="101"/>
      <c r="C294" s="102"/>
      <c r="D294" s="111"/>
      <c r="E294" s="111"/>
      <c r="F294" s="104"/>
      <c r="G294" s="104"/>
      <c r="H294" s="114">
        <f t="shared" si="5"/>
        <v>0</v>
      </c>
    </row>
    <row r="295" spans="1:8" ht="14.75" customHeight="1" x14ac:dyDescent="0.4">
      <c r="A295" s="96"/>
      <c r="B295" s="101"/>
      <c r="C295" s="102"/>
      <c r="D295" s="111"/>
      <c r="E295" s="111"/>
      <c r="F295" s="104"/>
      <c r="G295" s="104"/>
      <c r="H295" s="114">
        <f t="shared" si="5"/>
        <v>0</v>
      </c>
    </row>
    <row r="296" spans="1:8" ht="14.75" customHeight="1" x14ac:dyDescent="0.4">
      <c r="A296" s="96"/>
      <c r="B296" s="101"/>
      <c r="C296" s="102"/>
      <c r="D296" s="111"/>
      <c r="E296" s="111"/>
      <c r="F296" s="104"/>
      <c r="G296" s="104"/>
      <c r="H296" s="114">
        <f t="shared" si="5"/>
        <v>0</v>
      </c>
    </row>
    <row r="297" spans="1:8" ht="14.75" customHeight="1" x14ac:dyDescent="0.4">
      <c r="A297" s="96"/>
      <c r="B297" s="101"/>
      <c r="C297" s="102"/>
      <c r="D297" s="111"/>
      <c r="E297" s="111"/>
      <c r="F297" s="104"/>
      <c r="G297" s="104"/>
      <c r="H297" s="114">
        <f t="shared" si="5"/>
        <v>0</v>
      </c>
    </row>
    <row r="298" spans="1:8" ht="14.75" customHeight="1" x14ac:dyDescent="0.4">
      <c r="A298" s="96"/>
      <c r="B298" s="101"/>
      <c r="C298" s="102"/>
      <c r="D298" s="111"/>
      <c r="E298" s="111"/>
      <c r="F298" s="104"/>
      <c r="G298" s="104"/>
      <c r="H298" s="114">
        <f t="shared" si="5"/>
        <v>0</v>
      </c>
    </row>
    <row r="299" spans="1:8" ht="14.75" customHeight="1" x14ac:dyDescent="0.4">
      <c r="A299" s="96"/>
      <c r="B299" s="101"/>
      <c r="C299" s="102"/>
      <c r="D299" s="111"/>
      <c r="E299" s="111"/>
      <c r="F299" s="104"/>
      <c r="G299" s="104"/>
      <c r="H299" s="114">
        <f t="shared" si="5"/>
        <v>0</v>
      </c>
    </row>
    <row r="300" spans="1:8" ht="14.75" customHeight="1" x14ac:dyDescent="0.4">
      <c r="A300" s="96"/>
      <c r="B300" s="101"/>
      <c r="C300" s="102"/>
      <c r="D300" s="111"/>
      <c r="E300" s="111"/>
      <c r="F300" s="104"/>
      <c r="G300" s="104"/>
      <c r="H300" s="114">
        <f t="shared" si="5"/>
        <v>0</v>
      </c>
    </row>
    <row r="301" spans="1:8" ht="14.75" customHeight="1" x14ac:dyDescent="0.4">
      <c r="A301" s="96"/>
      <c r="B301" s="101"/>
      <c r="C301" s="102"/>
      <c r="D301" s="111"/>
      <c r="E301" s="111"/>
      <c r="F301" s="104"/>
      <c r="G301" s="104"/>
      <c r="H301" s="114">
        <f t="shared" si="5"/>
        <v>0</v>
      </c>
    </row>
    <row r="302" spans="1:8" ht="14.75" customHeight="1" x14ac:dyDescent="0.4">
      <c r="A302" s="96"/>
      <c r="B302" s="101"/>
      <c r="C302" s="102"/>
      <c r="D302" s="111"/>
      <c r="E302" s="111"/>
      <c r="F302" s="104"/>
      <c r="G302" s="104"/>
      <c r="H302" s="114">
        <f t="shared" si="5"/>
        <v>0</v>
      </c>
    </row>
    <row r="303" spans="1:8" ht="14.75" customHeight="1" x14ac:dyDescent="0.4">
      <c r="A303" s="96"/>
      <c r="B303" s="101"/>
      <c r="C303" s="102"/>
      <c r="D303" s="111"/>
      <c r="E303" s="111"/>
      <c r="F303" s="104"/>
      <c r="G303" s="104"/>
      <c r="H303" s="114">
        <f t="shared" si="5"/>
        <v>0</v>
      </c>
    </row>
    <row r="304" spans="1:8" ht="14.75" customHeight="1" x14ac:dyDescent="0.4">
      <c r="A304" s="96"/>
      <c r="B304" s="101"/>
      <c r="C304" s="102"/>
      <c r="D304" s="111"/>
      <c r="E304" s="111"/>
      <c r="F304" s="104"/>
      <c r="G304" s="104"/>
      <c r="H304" s="114">
        <f t="shared" si="5"/>
        <v>0</v>
      </c>
    </row>
    <row r="305" spans="1:8" ht="14.75" customHeight="1" x14ac:dyDescent="0.4">
      <c r="A305" s="96"/>
      <c r="B305" s="101"/>
      <c r="C305" s="102"/>
      <c r="D305" s="111"/>
      <c r="E305" s="111"/>
      <c r="F305" s="104"/>
      <c r="G305" s="104"/>
      <c r="H305" s="114">
        <f t="shared" si="5"/>
        <v>0</v>
      </c>
    </row>
    <row r="306" spans="1:8" ht="14.75" customHeight="1" x14ac:dyDescent="0.4">
      <c r="A306" s="96"/>
      <c r="B306" s="101"/>
      <c r="C306" s="102"/>
      <c r="D306" s="111"/>
      <c r="E306" s="111"/>
      <c r="F306" s="104"/>
      <c r="G306" s="104"/>
      <c r="H306" s="114">
        <f t="shared" si="5"/>
        <v>0</v>
      </c>
    </row>
    <row r="307" spans="1:8" ht="14.75" customHeight="1" x14ac:dyDescent="0.4">
      <c r="A307" s="96"/>
      <c r="B307" s="101"/>
      <c r="C307" s="102"/>
      <c r="D307" s="111"/>
      <c r="E307" s="111"/>
      <c r="F307" s="104"/>
      <c r="G307" s="104"/>
      <c r="H307" s="114">
        <f t="shared" si="5"/>
        <v>0</v>
      </c>
    </row>
    <row r="308" spans="1:8" ht="14.75" customHeight="1" x14ac:dyDescent="0.4">
      <c r="A308" s="96"/>
      <c r="B308" s="101"/>
      <c r="C308" s="102"/>
      <c r="D308" s="111"/>
      <c r="E308" s="111"/>
      <c r="F308" s="104"/>
      <c r="G308" s="104"/>
      <c r="H308" s="114">
        <f t="shared" si="5"/>
        <v>0</v>
      </c>
    </row>
    <row r="309" spans="1:8" ht="14.75" customHeight="1" x14ac:dyDescent="0.4">
      <c r="A309" s="96"/>
      <c r="B309" s="101"/>
      <c r="C309" s="102"/>
      <c r="D309" s="111"/>
      <c r="E309" s="111"/>
      <c r="F309" s="104"/>
      <c r="G309" s="104"/>
      <c r="H309" s="114">
        <f t="shared" si="5"/>
        <v>0</v>
      </c>
    </row>
    <row r="310" spans="1:8" ht="14.75" customHeight="1" x14ac:dyDescent="0.4">
      <c r="A310" s="96"/>
      <c r="B310" s="101"/>
      <c r="C310" s="102"/>
      <c r="D310" s="111"/>
      <c r="E310" s="111"/>
      <c r="F310" s="104"/>
      <c r="G310" s="104"/>
      <c r="H310" s="114">
        <f t="shared" si="5"/>
        <v>0</v>
      </c>
    </row>
    <row r="311" spans="1:8" ht="14.75" customHeight="1" x14ac:dyDescent="0.4">
      <c r="A311" s="96"/>
      <c r="B311" s="101"/>
      <c r="C311" s="102"/>
      <c r="D311" s="111"/>
      <c r="E311" s="111"/>
      <c r="F311" s="104"/>
      <c r="G311" s="104"/>
      <c r="H311" s="114">
        <f t="shared" si="5"/>
        <v>0</v>
      </c>
    </row>
    <row r="312" spans="1:8" ht="14.75" customHeight="1" x14ac:dyDescent="0.4">
      <c r="A312" s="96"/>
      <c r="B312" s="101"/>
      <c r="C312" s="102"/>
      <c r="D312" s="111"/>
      <c r="E312" s="111"/>
      <c r="F312" s="104"/>
      <c r="G312" s="104"/>
      <c r="H312" s="114">
        <f t="shared" si="5"/>
        <v>0</v>
      </c>
    </row>
    <row r="313" spans="1:8" ht="14.75" customHeight="1" x14ac:dyDescent="0.4">
      <c r="A313" s="96"/>
      <c r="B313" s="101"/>
      <c r="C313" s="102"/>
      <c r="D313" s="111"/>
      <c r="E313" s="111"/>
      <c r="F313" s="104"/>
      <c r="G313" s="104"/>
      <c r="H313" s="114">
        <f t="shared" si="5"/>
        <v>0</v>
      </c>
    </row>
    <row r="314" spans="1:8" ht="14.75" customHeight="1" x14ac:dyDescent="0.4">
      <c r="A314" s="96"/>
      <c r="B314" s="101"/>
      <c r="C314" s="102"/>
      <c r="D314" s="111"/>
      <c r="E314" s="111"/>
      <c r="F314" s="104"/>
      <c r="G314" s="104"/>
      <c r="H314" s="114">
        <f t="shared" si="5"/>
        <v>0</v>
      </c>
    </row>
    <row r="315" spans="1:8" ht="14.75" customHeight="1" x14ac:dyDescent="0.4">
      <c r="A315" s="96"/>
      <c r="B315" s="101"/>
      <c r="C315" s="102"/>
      <c r="D315" s="111"/>
      <c r="E315" s="111"/>
      <c r="F315" s="104"/>
      <c r="G315" s="104"/>
      <c r="H315" s="114">
        <f t="shared" si="5"/>
        <v>0</v>
      </c>
    </row>
    <row r="316" spans="1:8" ht="14.75" customHeight="1" x14ac:dyDescent="0.4">
      <c r="A316" s="96"/>
      <c r="B316" s="101"/>
      <c r="C316" s="102"/>
      <c r="D316" s="111"/>
      <c r="E316" s="111"/>
      <c r="F316" s="104"/>
      <c r="G316" s="104"/>
      <c r="H316" s="114">
        <f t="shared" si="5"/>
        <v>0</v>
      </c>
    </row>
    <row r="317" spans="1:8" ht="14.75" customHeight="1" x14ac:dyDescent="0.4">
      <c r="A317" s="96"/>
      <c r="B317" s="101"/>
      <c r="C317" s="102"/>
      <c r="D317" s="111"/>
      <c r="E317" s="111"/>
      <c r="F317" s="104"/>
      <c r="G317" s="104"/>
      <c r="H317" s="114">
        <f t="shared" si="5"/>
        <v>0</v>
      </c>
    </row>
    <row r="318" spans="1:8" ht="14.75" customHeight="1" x14ac:dyDescent="0.4">
      <c r="A318" s="96"/>
      <c r="B318" s="101"/>
      <c r="C318" s="102"/>
      <c r="D318" s="111"/>
      <c r="E318" s="111"/>
      <c r="F318" s="104"/>
      <c r="G318" s="104"/>
      <c r="H318" s="114">
        <f t="shared" si="5"/>
        <v>0</v>
      </c>
    </row>
    <row r="319" spans="1:8" ht="14.75" customHeight="1" x14ac:dyDescent="0.4">
      <c r="A319" s="96"/>
      <c r="B319" s="101"/>
      <c r="C319" s="102"/>
      <c r="D319" s="111"/>
      <c r="E319" s="111"/>
      <c r="F319" s="104"/>
      <c r="G319" s="104"/>
      <c r="H319" s="114">
        <f t="shared" si="5"/>
        <v>0</v>
      </c>
    </row>
    <row r="320" spans="1:8" ht="14.75" customHeight="1" x14ac:dyDescent="0.4">
      <c r="A320" s="96"/>
      <c r="B320" s="101"/>
      <c r="C320" s="102"/>
      <c r="D320" s="111"/>
      <c r="E320" s="111"/>
      <c r="F320" s="104"/>
      <c r="G320" s="104"/>
      <c r="H320" s="114">
        <f t="shared" si="5"/>
        <v>0</v>
      </c>
    </row>
    <row r="321" spans="1:8" ht="14.75" customHeight="1" x14ac:dyDescent="0.4">
      <c r="A321" s="96"/>
      <c r="B321" s="101"/>
      <c r="C321" s="102"/>
      <c r="D321" s="111"/>
      <c r="E321" s="111"/>
      <c r="F321" s="104"/>
      <c r="G321" s="104"/>
      <c r="H321" s="114">
        <f t="shared" si="5"/>
        <v>0</v>
      </c>
    </row>
    <row r="322" spans="1:8" ht="14.75" customHeight="1" x14ac:dyDescent="0.4">
      <c r="A322" s="96"/>
      <c r="B322" s="101"/>
      <c r="C322" s="102"/>
      <c r="D322" s="111"/>
      <c r="E322" s="111"/>
      <c r="F322" s="104"/>
      <c r="G322" s="104"/>
      <c r="H322" s="114">
        <f t="shared" si="5"/>
        <v>0</v>
      </c>
    </row>
    <row r="323" spans="1:8" ht="14.75" customHeight="1" x14ac:dyDescent="0.4">
      <c r="A323" s="96"/>
      <c r="B323" s="101"/>
      <c r="C323" s="102"/>
      <c r="D323" s="111"/>
      <c r="E323" s="111"/>
      <c r="F323" s="104"/>
      <c r="G323" s="104"/>
      <c r="H323" s="114">
        <f t="shared" si="5"/>
        <v>0</v>
      </c>
    </row>
    <row r="324" spans="1:8" ht="14.75" customHeight="1" x14ac:dyDescent="0.4">
      <c r="A324" s="96"/>
      <c r="B324" s="101"/>
      <c r="C324" s="102"/>
      <c r="D324" s="111"/>
      <c r="E324" s="111"/>
      <c r="F324" s="104"/>
      <c r="G324" s="104"/>
      <c r="H324" s="114">
        <f t="shared" si="5"/>
        <v>0</v>
      </c>
    </row>
    <row r="325" spans="1:8" ht="14.75" customHeight="1" x14ac:dyDescent="0.4">
      <c r="A325" s="96"/>
      <c r="B325" s="101"/>
      <c r="C325" s="102"/>
      <c r="D325" s="111"/>
      <c r="E325" s="111"/>
      <c r="F325" s="104"/>
      <c r="G325" s="104"/>
      <c r="H325" s="114">
        <f t="shared" si="5"/>
        <v>0</v>
      </c>
    </row>
    <row r="326" spans="1:8" ht="14.75" customHeight="1" x14ac:dyDescent="0.4">
      <c r="A326" s="96"/>
      <c r="B326" s="101"/>
      <c r="C326" s="102"/>
      <c r="D326" s="111"/>
      <c r="E326" s="111"/>
      <c r="F326" s="104"/>
      <c r="G326" s="104"/>
      <c r="H326" s="114">
        <f t="shared" si="5"/>
        <v>0</v>
      </c>
    </row>
    <row r="327" spans="1:8" ht="14.75" customHeight="1" x14ac:dyDescent="0.4">
      <c r="A327" s="96"/>
      <c r="B327" s="101"/>
      <c r="C327" s="102"/>
      <c r="D327" s="111"/>
      <c r="E327" s="111"/>
      <c r="F327" s="104"/>
      <c r="G327" s="104"/>
      <c r="H327" s="114">
        <f t="shared" si="5"/>
        <v>0</v>
      </c>
    </row>
    <row r="328" spans="1:8" ht="14.75" customHeight="1" x14ac:dyDescent="0.4">
      <c r="A328" s="96"/>
      <c r="B328" s="101"/>
      <c r="C328" s="102"/>
      <c r="D328" s="111"/>
      <c r="E328" s="111"/>
      <c r="F328" s="104"/>
      <c r="G328" s="104"/>
      <c r="H328" s="114">
        <f t="shared" si="5"/>
        <v>0</v>
      </c>
    </row>
    <row r="329" spans="1:8" ht="14.75" customHeight="1" x14ac:dyDescent="0.4">
      <c r="A329" s="96"/>
      <c r="B329" s="101"/>
      <c r="C329" s="102"/>
      <c r="D329" s="111"/>
      <c r="E329" s="111"/>
      <c r="F329" s="104"/>
      <c r="G329" s="104"/>
      <c r="H329" s="114">
        <f t="shared" si="5"/>
        <v>0</v>
      </c>
    </row>
    <row r="330" spans="1:8" ht="14.75" customHeight="1" x14ac:dyDescent="0.4">
      <c r="A330" s="96"/>
      <c r="B330" s="101"/>
      <c r="C330" s="102"/>
      <c r="D330" s="111"/>
      <c r="E330" s="111"/>
      <c r="F330" s="104"/>
      <c r="G330" s="104"/>
      <c r="H330" s="114">
        <f t="shared" si="5"/>
        <v>0</v>
      </c>
    </row>
    <row r="331" spans="1:8" ht="14.75" customHeight="1" x14ac:dyDescent="0.4">
      <c r="A331" s="96"/>
      <c r="B331" s="101"/>
      <c r="C331" s="102"/>
      <c r="D331" s="111"/>
      <c r="E331" s="111"/>
      <c r="F331" s="104"/>
      <c r="G331" s="104"/>
      <c r="H331" s="114">
        <f t="shared" si="5"/>
        <v>0</v>
      </c>
    </row>
    <row r="332" spans="1:8" ht="14.75" customHeight="1" x14ac:dyDescent="0.4">
      <c r="A332" s="96"/>
      <c r="B332" s="101"/>
      <c r="C332" s="102"/>
      <c r="D332" s="111"/>
      <c r="E332" s="111"/>
      <c r="F332" s="104"/>
      <c r="G332" s="104"/>
      <c r="H332" s="114">
        <f t="shared" si="5"/>
        <v>0</v>
      </c>
    </row>
    <row r="333" spans="1:8" ht="14.75" customHeight="1" x14ac:dyDescent="0.4">
      <c r="A333" s="96"/>
      <c r="B333" s="101"/>
      <c r="C333" s="102"/>
      <c r="D333" s="111"/>
      <c r="E333" s="111"/>
      <c r="F333" s="104"/>
      <c r="G333" s="104"/>
      <c r="H333" s="114">
        <f t="shared" si="5"/>
        <v>0</v>
      </c>
    </row>
    <row r="334" spans="1:8" ht="14.75" customHeight="1" x14ac:dyDescent="0.4">
      <c r="A334" s="96"/>
      <c r="B334" s="101"/>
      <c r="C334" s="102"/>
      <c r="D334" s="111"/>
      <c r="E334" s="111"/>
      <c r="F334" s="104"/>
      <c r="G334" s="104"/>
      <c r="H334" s="114">
        <f t="shared" si="5"/>
        <v>0</v>
      </c>
    </row>
    <row r="335" spans="1:8" ht="14.75" customHeight="1" x14ac:dyDescent="0.4">
      <c r="A335" s="96"/>
      <c r="B335" s="101"/>
      <c r="C335" s="102"/>
      <c r="D335" s="111"/>
      <c r="E335" s="111"/>
      <c r="F335" s="104"/>
      <c r="G335" s="104"/>
      <c r="H335" s="114">
        <f t="shared" si="5"/>
        <v>0</v>
      </c>
    </row>
    <row r="336" spans="1:8" ht="14.75" customHeight="1" x14ac:dyDescent="0.4">
      <c r="A336" s="96"/>
      <c r="B336" s="101"/>
      <c r="C336" s="102"/>
      <c r="D336" s="111"/>
      <c r="E336" s="111"/>
      <c r="F336" s="104"/>
      <c r="G336" s="104"/>
      <c r="H336" s="114">
        <f t="shared" si="5"/>
        <v>0</v>
      </c>
    </row>
    <row r="337" spans="1:8" ht="14.75" customHeight="1" x14ac:dyDescent="0.4">
      <c r="A337" s="96"/>
      <c r="B337" s="101"/>
      <c r="C337" s="102"/>
      <c r="D337" s="111"/>
      <c r="E337" s="111"/>
      <c r="F337" s="104"/>
      <c r="G337" s="104"/>
      <c r="H337" s="114">
        <f t="shared" si="5"/>
        <v>0</v>
      </c>
    </row>
    <row r="338" spans="1:8" ht="14.75" customHeight="1" x14ac:dyDescent="0.4">
      <c r="A338" s="96"/>
      <c r="B338" s="101"/>
      <c r="C338" s="102"/>
      <c r="D338" s="111"/>
      <c r="E338" s="111"/>
      <c r="F338" s="104"/>
      <c r="G338" s="104"/>
      <c r="H338" s="114">
        <f t="shared" si="5"/>
        <v>0</v>
      </c>
    </row>
    <row r="339" spans="1:8" ht="14.75" customHeight="1" x14ac:dyDescent="0.4">
      <c r="A339" s="96"/>
      <c r="B339" s="101"/>
      <c r="C339" s="102"/>
      <c r="D339" s="111"/>
      <c r="E339" s="111"/>
      <c r="F339" s="104"/>
      <c r="G339" s="104"/>
      <c r="H339" s="114">
        <f t="shared" si="5"/>
        <v>0</v>
      </c>
    </row>
    <row r="340" spans="1:8" ht="14.75" customHeight="1" x14ac:dyDescent="0.4">
      <c r="A340" s="96"/>
      <c r="B340" s="101"/>
      <c r="C340" s="102"/>
      <c r="D340" s="111"/>
      <c r="E340" s="111"/>
      <c r="F340" s="104"/>
      <c r="G340" s="104"/>
      <c r="H340" s="114">
        <f t="shared" si="5"/>
        <v>0</v>
      </c>
    </row>
    <row r="341" spans="1:8" ht="14.75" customHeight="1" x14ac:dyDescent="0.4">
      <c r="A341" s="96"/>
      <c r="B341" s="101"/>
      <c r="C341" s="102"/>
      <c r="D341" s="111"/>
      <c r="E341" s="111"/>
      <c r="F341" s="104"/>
      <c r="G341" s="104"/>
      <c r="H341" s="114">
        <f t="shared" si="5"/>
        <v>0</v>
      </c>
    </row>
    <row r="342" spans="1:8" ht="14.75" customHeight="1" x14ac:dyDescent="0.4">
      <c r="A342" s="96"/>
      <c r="B342" s="101"/>
      <c r="C342" s="102"/>
      <c r="D342" s="111"/>
      <c r="E342" s="111"/>
      <c r="F342" s="104"/>
      <c r="G342" s="104"/>
      <c r="H342" s="114">
        <f t="shared" si="5"/>
        <v>0</v>
      </c>
    </row>
    <row r="343" spans="1:8" ht="14.75" customHeight="1" x14ac:dyDescent="0.4">
      <c r="A343" s="96"/>
      <c r="B343" s="101"/>
      <c r="C343" s="102"/>
      <c r="D343" s="111"/>
      <c r="E343" s="111"/>
      <c r="F343" s="104"/>
      <c r="G343" s="104"/>
      <c r="H343" s="114">
        <f t="shared" si="5"/>
        <v>0</v>
      </c>
    </row>
    <row r="344" spans="1:8" ht="14.75" customHeight="1" x14ac:dyDescent="0.4">
      <c r="A344" s="96"/>
      <c r="B344" s="101"/>
      <c r="C344" s="102"/>
      <c r="D344" s="111"/>
      <c r="E344" s="111"/>
      <c r="F344" s="104"/>
      <c r="G344" s="104"/>
      <c r="H344" s="114">
        <f t="shared" si="5"/>
        <v>0</v>
      </c>
    </row>
    <row r="345" spans="1:8" ht="14.75" customHeight="1" x14ac:dyDescent="0.4">
      <c r="A345" s="96"/>
      <c r="B345" s="101"/>
      <c r="C345" s="102"/>
      <c r="D345" s="111"/>
      <c r="E345" s="111"/>
      <c r="F345" s="104"/>
      <c r="G345" s="104"/>
      <c r="H345" s="114">
        <f t="shared" si="5"/>
        <v>0</v>
      </c>
    </row>
    <row r="346" spans="1:8" ht="14.75" customHeight="1" x14ac:dyDescent="0.4">
      <c r="A346" s="96"/>
      <c r="B346" s="101"/>
      <c r="C346" s="102"/>
      <c r="D346" s="111"/>
      <c r="E346" s="111"/>
      <c r="F346" s="104"/>
      <c r="G346" s="104"/>
      <c r="H346" s="114">
        <f t="shared" si="5"/>
        <v>0</v>
      </c>
    </row>
    <row r="347" spans="1:8" ht="14.75" customHeight="1" x14ac:dyDescent="0.4">
      <c r="A347" s="96"/>
      <c r="B347" s="101"/>
      <c r="C347" s="102"/>
      <c r="D347" s="111"/>
      <c r="E347" s="111"/>
      <c r="F347" s="104"/>
      <c r="G347" s="104"/>
      <c r="H347" s="114">
        <f t="shared" si="5"/>
        <v>0</v>
      </c>
    </row>
    <row r="348" spans="1:8" ht="14.75" customHeight="1" x14ac:dyDescent="0.4">
      <c r="A348" s="96"/>
      <c r="B348" s="101"/>
      <c r="C348" s="102"/>
      <c r="D348" s="111"/>
      <c r="E348" s="111"/>
      <c r="F348" s="104"/>
      <c r="G348" s="104"/>
      <c r="H348" s="114">
        <f t="shared" si="5"/>
        <v>0</v>
      </c>
    </row>
    <row r="349" spans="1:8" ht="14.75" customHeight="1" x14ac:dyDescent="0.4">
      <c r="A349" s="96"/>
      <c r="B349" s="101"/>
      <c r="C349" s="102"/>
      <c r="D349" s="111"/>
      <c r="E349" s="111"/>
      <c r="F349" s="104"/>
      <c r="G349" s="104"/>
      <c r="H349" s="114">
        <f t="shared" si="5"/>
        <v>0</v>
      </c>
    </row>
    <row r="350" spans="1:8" ht="14.75" customHeight="1" x14ac:dyDescent="0.4">
      <c r="A350" s="96"/>
      <c r="B350" s="101"/>
      <c r="C350" s="102"/>
      <c r="D350" s="111"/>
      <c r="E350" s="111"/>
      <c r="F350" s="104"/>
      <c r="G350" s="104"/>
      <c r="H350" s="114">
        <f t="shared" si="5"/>
        <v>0</v>
      </c>
    </row>
    <row r="351" spans="1:8" ht="14.75" customHeight="1" x14ac:dyDescent="0.4">
      <c r="A351" s="96"/>
      <c r="B351" s="101"/>
      <c r="C351" s="102"/>
      <c r="D351" s="111"/>
      <c r="E351" s="111"/>
      <c r="F351" s="104"/>
      <c r="G351" s="104"/>
      <c r="H351" s="114">
        <f t="shared" si="5"/>
        <v>0</v>
      </c>
    </row>
    <row r="352" spans="1:8" ht="14.75" customHeight="1" x14ac:dyDescent="0.4">
      <c r="A352" s="96"/>
      <c r="B352" s="101"/>
      <c r="C352" s="102"/>
      <c r="D352" s="111"/>
      <c r="E352" s="111"/>
      <c r="F352" s="104"/>
      <c r="G352" s="104"/>
      <c r="H352" s="114">
        <f t="shared" si="5"/>
        <v>0</v>
      </c>
    </row>
    <row r="353" spans="1:8" ht="14.75" customHeight="1" x14ac:dyDescent="0.4">
      <c r="A353" s="96"/>
      <c r="B353" s="101"/>
      <c r="C353" s="102"/>
      <c r="D353" s="111"/>
      <c r="E353" s="111"/>
      <c r="F353" s="104"/>
      <c r="G353" s="104"/>
      <c r="H353" s="114">
        <f t="shared" si="5"/>
        <v>0</v>
      </c>
    </row>
    <row r="354" spans="1:8" ht="14.75" customHeight="1" x14ac:dyDescent="0.4">
      <c r="A354" s="96"/>
      <c r="B354" s="101"/>
      <c r="C354" s="102"/>
      <c r="D354" s="111"/>
      <c r="E354" s="111"/>
      <c r="F354" s="104"/>
      <c r="G354" s="104"/>
      <c r="H354" s="114">
        <f t="shared" ref="H354:H417" si="6">H353+F354-G354</f>
        <v>0</v>
      </c>
    </row>
    <row r="355" spans="1:8" ht="14.75" customHeight="1" x14ac:dyDescent="0.4">
      <c r="A355" s="96"/>
      <c r="B355" s="101"/>
      <c r="C355" s="102"/>
      <c r="D355" s="111"/>
      <c r="E355" s="111"/>
      <c r="F355" s="104"/>
      <c r="G355" s="104"/>
      <c r="H355" s="114">
        <f t="shared" si="6"/>
        <v>0</v>
      </c>
    </row>
    <row r="356" spans="1:8" ht="14.75" customHeight="1" x14ac:dyDescent="0.4">
      <c r="A356" s="96"/>
      <c r="B356" s="101"/>
      <c r="C356" s="102"/>
      <c r="D356" s="111"/>
      <c r="E356" s="111"/>
      <c r="F356" s="104"/>
      <c r="G356" s="104"/>
      <c r="H356" s="114">
        <f t="shared" si="6"/>
        <v>0</v>
      </c>
    </row>
    <row r="357" spans="1:8" ht="14.75" customHeight="1" x14ac:dyDescent="0.4">
      <c r="A357" s="96"/>
      <c r="B357" s="101"/>
      <c r="C357" s="102"/>
      <c r="D357" s="111"/>
      <c r="E357" s="111"/>
      <c r="F357" s="104"/>
      <c r="G357" s="104"/>
      <c r="H357" s="114">
        <f t="shared" si="6"/>
        <v>0</v>
      </c>
    </row>
    <row r="358" spans="1:8" ht="14.75" customHeight="1" x14ac:dyDescent="0.4">
      <c r="A358" s="96"/>
      <c r="B358" s="101"/>
      <c r="C358" s="102"/>
      <c r="D358" s="111"/>
      <c r="E358" s="111"/>
      <c r="F358" s="104"/>
      <c r="G358" s="104"/>
      <c r="H358" s="114">
        <f t="shared" si="6"/>
        <v>0</v>
      </c>
    </row>
    <row r="359" spans="1:8" ht="14.75" customHeight="1" x14ac:dyDescent="0.4">
      <c r="A359" s="96"/>
      <c r="B359" s="101"/>
      <c r="C359" s="102"/>
      <c r="D359" s="111"/>
      <c r="E359" s="111"/>
      <c r="F359" s="104"/>
      <c r="G359" s="104"/>
      <c r="H359" s="114">
        <f t="shared" si="6"/>
        <v>0</v>
      </c>
    </row>
    <row r="360" spans="1:8" ht="14.75" customHeight="1" x14ac:dyDescent="0.4">
      <c r="A360" s="96"/>
      <c r="B360" s="101"/>
      <c r="C360" s="102"/>
      <c r="D360" s="111"/>
      <c r="E360" s="111"/>
      <c r="F360" s="104"/>
      <c r="G360" s="104"/>
      <c r="H360" s="114">
        <f t="shared" si="6"/>
        <v>0</v>
      </c>
    </row>
    <row r="361" spans="1:8" ht="14.75" customHeight="1" x14ac:dyDescent="0.4">
      <c r="A361" s="96"/>
      <c r="B361" s="101"/>
      <c r="C361" s="102"/>
      <c r="D361" s="111"/>
      <c r="E361" s="111"/>
      <c r="F361" s="104"/>
      <c r="G361" s="104"/>
      <c r="H361" s="114">
        <f t="shared" si="6"/>
        <v>0</v>
      </c>
    </row>
    <row r="362" spans="1:8" ht="14.75" customHeight="1" x14ac:dyDescent="0.4">
      <c r="A362" s="96"/>
      <c r="B362" s="101"/>
      <c r="C362" s="102"/>
      <c r="D362" s="111"/>
      <c r="E362" s="111"/>
      <c r="F362" s="104"/>
      <c r="G362" s="104"/>
      <c r="H362" s="114">
        <f t="shared" si="6"/>
        <v>0</v>
      </c>
    </row>
    <row r="363" spans="1:8" ht="14.75" customHeight="1" x14ac:dyDescent="0.4">
      <c r="A363" s="96"/>
      <c r="B363" s="101"/>
      <c r="C363" s="102"/>
      <c r="D363" s="111"/>
      <c r="E363" s="111"/>
      <c r="F363" s="104"/>
      <c r="G363" s="104"/>
      <c r="H363" s="114">
        <f t="shared" si="6"/>
        <v>0</v>
      </c>
    </row>
    <row r="364" spans="1:8" ht="14.75" customHeight="1" x14ac:dyDescent="0.4">
      <c r="A364" s="96"/>
      <c r="B364" s="101"/>
      <c r="C364" s="102"/>
      <c r="D364" s="111"/>
      <c r="E364" s="111"/>
      <c r="F364" s="104"/>
      <c r="G364" s="104"/>
      <c r="H364" s="114">
        <f t="shared" si="6"/>
        <v>0</v>
      </c>
    </row>
    <row r="365" spans="1:8" ht="14.75" customHeight="1" x14ac:dyDescent="0.4">
      <c r="A365" s="96"/>
      <c r="B365" s="101"/>
      <c r="C365" s="102"/>
      <c r="D365" s="111"/>
      <c r="E365" s="111"/>
      <c r="F365" s="104"/>
      <c r="G365" s="104"/>
      <c r="H365" s="114">
        <f t="shared" si="6"/>
        <v>0</v>
      </c>
    </row>
    <row r="366" spans="1:8" ht="14.75" customHeight="1" x14ac:dyDescent="0.4">
      <c r="A366" s="96"/>
      <c r="B366" s="101"/>
      <c r="C366" s="102"/>
      <c r="D366" s="111"/>
      <c r="E366" s="111"/>
      <c r="F366" s="104"/>
      <c r="G366" s="104"/>
      <c r="H366" s="114">
        <f t="shared" si="6"/>
        <v>0</v>
      </c>
    </row>
    <row r="367" spans="1:8" ht="14.75" customHeight="1" x14ac:dyDescent="0.4">
      <c r="A367" s="96"/>
      <c r="B367" s="101"/>
      <c r="C367" s="102"/>
      <c r="D367" s="111"/>
      <c r="E367" s="111"/>
      <c r="F367" s="104"/>
      <c r="G367" s="104"/>
      <c r="H367" s="114">
        <f t="shared" si="6"/>
        <v>0</v>
      </c>
    </row>
    <row r="368" spans="1:8" ht="14.75" customHeight="1" x14ac:dyDescent="0.4">
      <c r="A368" s="96"/>
      <c r="B368" s="101"/>
      <c r="C368" s="102"/>
      <c r="D368" s="111"/>
      <c r="E368" s="111"/>
      <c r="F368" s="104"/>
      <c r="G368" s="104"/>
      <c r="H368" s="114">
        <f t="shared" si="6"/>
        <v>0</v>
      </c>
    </row>
    <row r="369" spans="1:8" ht="14.75" customHeight="1" x14ac:dyDescent="0.4">
      <c r="A369" s="96"/>
      <c r="B369" s="101"/>
      <c r="C369" s="102"/>
      <c r="D369" s="111"/>
      <c r="E369" s="111"/>
      <c r="F369" s="104"/>
      <c r="G369" s="104"/>
      <c r="H369" s="114">
        <f t="shared" si="6"/>
        <v>0</v>
      </c>
    </row>
    <row r="370" spans="1:8" ht="14.75" customHeight="1" x14ac:dyDescent="0.4">
      <c r="A370" s="96"/>
      <c r="B370" s="101"/>
      <c r="C370" s="102"/>
      <c r="D370" s="111"/>
      <c r="E370" s="111"/>
      <c r="F370" s="104"/>
      <c r="G370" s="104"/>
      <c r="H370" s="114">
        <f t="shared" si="6"/>
        <v>0</v>
      </c>
    </row>
    <row r="371" spans="1:8" ht="14.75" customHeight="1" x14ac:dyDescent="0.4">
      <c r="A371" s="96"/>
      <c r="B371" s="101"/>
      <c r="C371" s="102"/>
      <c r="D371" s="111"/>
      <c r="E371" s="111"/>
      <c r="F371" s="104"/>
      <c r="G371" s="104"/>
      <c r="H371" s="114">
        <f t="shared" si="6"/>
        <v>0</v>
      </c>
    </row>
    <row r="372" spans="1:8" ht="14.75" customHeight="1" x14ac:dyDescent="0.4">
      <c r="A372" s="96"/>
      <c r="B372" s="101"/>
      <c r="C372" s="102"/>
      <c r="D372" s="111"/>
      <c r="E372" s="111"/>
      <c r="F372" s="104"/>
      <c r="G372" s="104"/>
      <c r="H372" s="114">
        <f t="shared" si="6"/>
        <v>0</v>
      </c>
    </row>
    <row r="373" spans="1:8" ht="14.75" customHeight="1" x14ac:dyDescent="0.4">
      <c r="A373" s="96"/>
      <c r="B373" s="101"/>
      <c r="C373" s="102"/>
      <c r="D373" s="111"/>
      <c r="E373" s="111"/>
      <c r="F373" s="104"/>
      <c r="G373" s="104"/>
      <c r="H373" s="114">
        <f t="shared" si="6"/>
        <v>0</v>
      </c>
    </row>
    <row r="374" spans="1:8" ht="14.75" customHeight="1" x14ac:dyDescent="0.4">
      <c r="A374" s="96"/>
      <c r="B374" s="101"/>
      <c r="C374" s="102"/>
      <c r="D374" s="111"/>
      <c r="E374" s="111"/>
      <c r="F374" s="104"/>
      <c r="G374" s="104"/>
      <c r="H374" s="114">
        <f t="shared" si="6"/>
        <v>0</v>
      </c>
    </row>
    <row r="375" spans="1:8" ht="14.75" customHeight="1" x14ac:dyDescent="0.4">
      <c r="A375" s="96"/>
      <c r="B375" s="101"/>
      <c r="C375" s="102"/>
      <c r="D375" s="111"/>
      <c r="E375" s="111"/>
      <c r="F375" s="104"/>
      <c r="G375" s="104"/>
      <c r="H375" s="114">
        <f t="shared" si="6"/>
        <v>0</v>
      </c>
    </row>
    <row r="376" spans="1:8" ht="14.75" customHeight="1" x14ac:dyDescent="0.4">
      <c r="A376" s="96"/>
      <c r="B376" s="101"/>
      <c r="C376" s="102"/>
      <c r="D376" s="111"/>
      <c r="E376" s="111"/>
      <c r="F376" s="104"/>
      <c r="G376" s="104"/>
      <c r="H376" s="114">
        <f t="shared" si="6"/>
        <v>0</v>
      </c>
    </row>
    <row r="377" spans="1:8" ht="14.75" customHeight="1" x14ac:dyDescent="0.4">
      <c r="A377" s="96"/>
      <c r="B377" s="101"/>
      <c r="C377" s="102"/>
      <c r="D377" s="111"/>
      <c r="E377" s="111"/>
      <c r="F377" s="104"/>
      <c r="G377" s="104"/>
      <c r="H377" s="114">
        <f t="shared" si="6"/>
        <v>0</v>
      </c>
    </row>
    <row r="378" spans="1:8" ht="14.75" customHeight="1" x14ac:dyDescent="0.4">
      <c r="A378" s="96"/>
      <c r="B378" s="101"/>
      <c r="C378" s="102"/>
      <c r="D378" s="111"/>
      <c r="E378" s="111"/>
      <c r="F378" s="104"/>
      <c r="G378" s="104"/>
      <c r="H378" s="114">
        <f t="shared" si="6"/>
        <v>0</v>
      </c>
    </row>
    <row r="379" spans="1:8" ht="14.75" customHeight="1" x14ac:dyDescent="0.4">
      <c r="A379" s="96"/>
      <c r="B379" s="101"/>
      <c r="C379" s="102"/>
      <c r="D379" s="111"/>
      <c r="E379" s="111"/>
      <c r="F379" s="104"/>
      <c r="G379" s="104"/>
      <c r="H379" s="114">
        <f t="shared" si="6"/>
        <v>0</v>
      </c>
    </row>
    <row r="380" spans="1:8" ht="14.75" customHeight="1" x14ac:dyDescent="0.4">
      <c r="A380" s="96"/>
      <c r="B380" s="101"/>
      <c r="C380" s="102"/>
      <c r="D380" s="111"/>
      <c r="E380" s="111"/>
      <c r="F380" s="104"/>
      <c r="G380" s="104"/>
      <c r="H380" s="114">
        <f t="shared" si="6"/>
        <v>0</v>
      </c>
    </row>
    <row r="381" spans="1:8" ht="14.75" customHeight="1" x14ac:dyDescent="0.4">
      <c r="A381" s="96"/>
      <c r="B381" s="101"/>
      <c r="C381" s="102"/>
      <c r="D381" s="111"/>
      <c r="E381" s="111"/>
      <c r="F381" s="104"/>
      <c r="G381" s="104"/>
      <c r="H381" s="114">
        <f t="shared" si="6"/>
        <v>0</v>
      </c>
    </row>
    <row r="382" spans="1:8" ht="14.75" customHeight="1" x14ac:dyDescent="0.4">
      <c r="A382" s="96"/>
      <c r="B382" s="101"/>
      <c r="C382" s="102"/>
      <c r="D382" s="111"/>
      <c r="E382" s="111"/>
      <c r="F382" s="104"/>
      <c r="G382" s="104"/>
      <c r="H382" s="114">
        <f t="shared" si="6"/>
        <v>0</v>
      </c>
    </row>
    <row r="383" spans="1:8" ht="14.75" customHeight="1" x14ac:dyDescent="0.4">
      <c r="A383" s="96"/>
      <c r="B383" s="101"/>
      <c r="C383" s="102"/>
      <c r="D383" s="111"/>
      <c r="E383" s="111"/>
      <c r="F383" s="104"/>
      <c r="G383" s="104"/>
      <c r="H383" s="114">
        <f t="shared" si="6"/>
        <v>0</v>
      </c>
    </row>
    <row r="384" spans="1:8" ht="14.75" customHeight="1" x14ac:dyDescent="0.4">
      <c r="A384" s="96"/>
      <c r="B384" s="101"/>
      <c r="C384" s="102"/>
      <c r="D384" s="111"/>
      <c r="E384" s="111"/>
      <c r="F384" s="104"/>
      <c r="G384" s="104"/>
      <c r="H384" s="114">
        <f t="shared" si="6"/>
        <v>0</v>
      </c>
    </row>
    <row r="385" spans="1:8" ht="14.75" customHeight="1" x14ac:dyDescent="0.4">
      <c r="A385" s="96"/>
      <c r="B385" s="101"/>
      <c r="C385" s="102"/>
      <c r="D385" s="111"/>
      <c r="E385" s="111"/>
      <c r="F385" s="104"/>
      <c r="G385" s="104"/>
      <c r="H385" s="114">
        <f t="shared" si="6"/>
        <v>0</v>
      </c>
    </row>
    <row r="386" spans="1:8" ht="14.75" customHeight="1" x14ac:dyDescent="0.4">
      <c r="A386" s="96"/>
      <c r="B386" s="101"/>
      <c r="C386" s="102"/>
      <c r="D386" s="111"/>
      <c r="E386" s="111"/>
      <c r="F386" s="104"/>
      <c r="G386" s="104"/>
      <c r="H386" s="114">
        <f t="shared" si="6"/>
        <v>0</v>
      </c>
    </row>
    <row r="387" spans="1:8" ht="14.75" customHeight="1" x14ac:dyDescent="0.4">
      <c r="A387" s="96"/>
      <c r="B387" s="101"/>
      <c r="C387" s="102"/>
      <c r="D387" s="111"/>
      <c r="E387" s="111"/>
      <c r="F387" s="104"/>
      <c r="G387" s="104"/>
      <c r="H387" s="114">
        <f t="shared" si="6"/>
        <v>0</v>
      </c>
    </row>
    <row r="388" spans="1:8" ht="14.75" customHeight="1" x14ac:dyDescent="0.4">
      <c r="A388" s="96"/>
      <c r="B388" s="101"/>
      <c r="C388" s="102"/>
      <c r="D388" s="111"/>
      <c r="E388" s="111"/>
      <c r="F388" s="104"/>
      <c r="G388" s="104"/>
      <c r="H388" s="114">
        <f t="shared" si="6"/>
        <v>0</v>
      </c>
    </row>
    <row r="389" spans="1:8" ht="14.75" customHeight="1" x14ac:dyDescent="0.4">
      <c r="A389" s="96"/>
      <c r="B389" s="101"/>
      <c r="C389" s="102"/>
      <c r="D389" s="111"/>
      <c r="E389" s="111"/>
      <c r="F389" s="104"/>
      <c r="G389" s="104"/>
      <c r="H389" s="114">
        <f t="shared" si="6"/>
        <v>0</v>
      </c>
    </row>
    <row r="390" spans="1:8" ht="14.75" customHeight="1" x14ac:dyDescent="0.4">
      <c r="A390" s="96"/>
      <c r="B390" s="101"/>
      <c r="C390" s="102"/>
      <c r="D390" s="111"/>
      <c r="E390" s="111"/>
      <c r="F390" s="104"/>
      <c r="G390" s="104"/>
      <c r="H390" s="114">
        <f t="shared" si="6"/>
        <v>0</v>
      </c>
    </row>
    <row r="391" spans="1:8" ht="14.75" customHeight="1" x14ac:dyDescent="0.4">
      <c r="A391" s="96"/>
      <c r="B391" s="101"/>
      <c r="C391" s="102"/>
      <c r="D391" s="111"/>
      <c r="E391" s="111"/>
      <c r="F391" s="104"/>
      <c r="G391" s="104"/>
      <c r="H391" s="114">
        <f t="shared" si="6"/>
        <v>0</v>
      </c>
    </row>
    <row r="392" spans="1:8" ht="14.75" customHeight="1" x14ac:dyDescent="0.4">
      <c r="A392" s="96"/>
      <c r="B392" s="101"/>
      <c r="C392" s="102"/>
      <c r="D392" s="111"/>
      <c r="E392" s="111"/>
      <c r="F392" s="104"/>
      <c r="G392" s="104"/>
      <c r="H392" s="114">
        <f t="shared" si="6"/>
        <v>0</v>
      </c>
    </row>
    <row r="393" spans="1:8" ht="14.75" customHeight="1" x14ac:dyDescent="0.4">
      <c r="A393" s="96"/>
      <c r="B393" s="101"/>
      <c r="C393" s="102"/>
      <c r="D393" s="111"/>
      <c r="E393" s="111"/>
      <c r="F393" s="104"/>
      <c r="G393" s="104"/>
      <c r="H393" s="114">
        <f t="shared" si="6"/>
        <v>0</v>
      </c>
    </row>
    <row r="394" spans="1:8" ht="14.75" customHeight="1" x14ac:dyDescent="0.4">
      <c r="A394" s="96"/>
      <c r="B394" s="101"/>
      <c r="C394" s="102"/>
      <c r="D394" s="111"/>
      <c r="E394" s="111"/>
      <c r="F394" s="104"/>
      <c r="G394" s="104"/>
      <c r="H394" s="114">
        <f t="shared" si="6"/>
        <v>0</v>
      </c>
    </row>
    <row r="395" spans="1:8" ht="14.75" customHeight="1" x14ac:dyDescent="0.4">
      <c r="A395" s="96"/>
      <c r="B395" s="101"/>
      <c r="C395" s="102"/>
      <c r="D395" s="111"/>
      <c r="E395" s="111"/>
      <c r="F395" s="104"/>
      <c r="G395" s="104"/>
      <c r="H395" s="114">
        <f t="shared" si="6"/>
        <v>0</v>
      </c>
    </row>
    <row r="396" spans="1:8" ht="14.75" customHeight="1" x14ac:dyDescent="0.4">
      <c r="A396" s="96"/>
      <c r="B396" s="101"/>
      <c r="C396" s="102"/>
      <c r="D396" s="111"/>
      <c r="E396" s="111"/>
      <c r="F396" s="104"/>
      <c r="G396" s="104"/>
      <c r="H396" s="114">
        <f t="shared" si="6"/>
        <v>0</v>
      </c>
    </row>
    <row r="397" spans="1:8" ht="14.75" customHeight="1" x14ac:dyDescent="0.4">
      <c r="A397" s="96"/>
      <c r="B397" s="101"/>
      <c r="C397" s="102"/>
      <c r="D397" s="111"/>
      <c r="E397" s="111"/>
      <c r="F397" s="104"/>
      <c r="G397" s="104"/>
      <c r="H397" s="114">
        <f t="shared" si="6"/>
        <v>0</v>
      </c>
    </row>
    <row r="398" spans="1:8" ht="14.75" customHeight="1" x14ac:dyDescent="0.4">
      <c r="A398" s="96"/>
      <c r="B398" s="101"/>
      <c r="C398" s="102"/>
      <c r="D398" s="111"/>
      <c r="E398" s="111"/>
      <c r="F398" s="104"/>
      <c r="G398" s="104"/>
      <c r="H398" s="114">
        <f t="shared" si="6"/>
        <v>0</v>
      </c>
    </row>
    <row r="399" spans="1:8" ht="14.75" customHeight="1" x14ac:dyDescent="0.4">
      <c r="A399" s="96"/>
      <c r="B399" s="101"/>
      <c r="C399" s="102"/>
      <c r="D399" s="111"/>
      <c r="E399" s="111"/>
      <c r="F399" s="104"/>
      <c r="G399" s="104"/>
      <c r="H399" s="114">
        <f t="shared" si="6"/>
        <v>0</v>
      </c>
    </row>
    <row r="400" spans="1:8" ht="14.75" customHeight="1" x14ac:dyDescent="0.4">
      <c r="A400" s="96"/>
      <c r="B400" s="101"/>
      <c r="C400" s="102"/>
      <c r="D400" s="111"/>
      <c r="E400" s="111"/>
      <c r="F400" s="104"/>
      <c r="G400" s="104"/>
      <c r="H400" s="114">
        <f t="shared" si="6"/>
        <v>0</v>
      </c>
    </row>
    <row r="401" spans="1:8" ht="14.75" customHeight="1" x14ac:dyDescent="0.4">
      <c r="A401" s="96"/>
      <c r="B401" s="101"/>
      <c r="C401" s="102"/>
      <c r="D401" s="111"/>
      <c r="E401" s="111"/>
      <c r="F401" s="104"/>
      <c r="G401" s="104"/>
      <c r="H401" s="114">
        <f t="shared" si="6"/>
        <v>0</v>
      </c>
    </row>
    <row r="402" spans="1:8" ht="14.75" customHeight="1" x14ac:dyDescent="0.4">
      <c r="A402" s="96"/>
      <c r="B402" s="101"/>
      <c r="C402" s="102"/>
      <c r="D402" s="111"/>
      <c r="E402" s="111"/>
      <c r="F402" s="104"/>
      <c r="G402" s="104"/>
      <c r="H402" s="114">
        <f t="shared" si="6"/>
        <v>0</v>
      </c>
    </row>
    <row r="403" spans="1:8" ht="14.75" customHeight="1" x14ac:dyDescent="0.4">
      <c r="A403" s="96"/>
      <c r="B403" s="101"/>
      <c r="C403" s="102"/>
      <c r="D403" s="111"/>
      <c r="E403" s="111"/>
      <c r="F403" s="104"/>
      <c r="G403" s="104"/>
      <c r="H403" s="114">
        <f t="shared" si="6"/>
        <v>0</v>
      </c>
    </row>
    <row r="404" spans="1:8" ht="14.75" customHeight="1" x14ac:dyDescent="0.4">
      <c r="A404" s="96"/>
      <c r="B404" s="101"/>
      <c r="C404" s="102"/>
      <c r="D404" s="111"/>
      <c r="E404" s="111"/>
      <c r="F404" s="104"/>
      <c r="G404" s="104"/>
      <c r="H404" s="114">
        <f t="shared" si="6"/>
        <v>0</v>
      </c>
    </row>
    <row r="405" spans="1:8" ht="14.75" customHeight="1" x14ac:dyDescent="0.4">
      <c r="A405" s="96"/>
      <c r="B405" s="101"/>
      <c r="C405" s="102"/>
      <c r="D405" s="111"/>
      <c r="E405" s="111"/>
      <c r="F405" s="104"/>
      <c r="G405" s="104"/>
      <c r="H405" s="114">
        <f t="shared" si="6"/>
        <v>0</v>
      </c>
    </row>
    <row r="406" spans="1:8" ht="14.75" customHeight="1" x14ac:dyDescent="0.4">
      <c r="A406" s="96"/>
      <c r="B406" s="101"/>
      <c r="C406" s="102"/>
      <c r="D406" s="111"/>
      <c r="E406" s="111"/>
      <c r="F406" s="104"/>
      <c r="G406" s="104"/>
      <c r="H406" s="114">
        <f t="shared" si="6"/>
        <v>0</v>
      </c>
    </row>
    <row r="407" spans="1:8" ht="14.75" customHeight="1" x14ac:dyDescent="0.4">
      <c r="A407" s="96"/>
      <c r="B407" s="101"/>
      <c r="C407" s="102"/>
      <c r="D407" s="111"/>
      <c r="E407" s="111"/>
      <c r="F407" s="104"/>
      <c r="G407" s="104"/>
      <c r="H407" s="114">
        <f t="shared" si="6"/>
        <v>0</v>
      </c>
    </row>
    <row r="408" spans="1:8" ht="14.75" customHeight="1" x14ac:dyDescent="0.4">
      <c r="A408" s="96"/>
      <c r="B408" s="101"/>
      <c r="C408" s="102"/>
      <c r="D408" s="111"/>
      <c r="E408" s="111"/>
      <c r="F408" s="104"/>
      <c r="G408" s="104"/>
      <c r="H408" s="114">
        <f t="shared" si="6"/>
        <v>0</v>
      </c>
    </row>
    <row r="409" spans="1:8" ht="14.75" customHeight="1" x14ac:dyDescent="0.4">
      <c r="A409" s="96"/>
      <c r="B409" s="101"/>
      <c r="C409" s="102"/>
      <c r="D409" s="111"/>
      <c r="E409" s="111"/>
      <c r="F409" s="104"/>
      <c r="G409" s="104"/>
      <c r="H409" s="114">
        <f t="shared" si="6"/>
        <v>0</v>
      </c>
    </row>
    <row r="410" spans="1:8" ht="14.75" customHeight="1" x14ac:dyDescent="0.4">
      <c r="A410" s="96"/>
      <c r="B410" s="101"/>
      <c r="C410" s="102"/>
      <c r="D410" s="111"/>
      <c r="E410" s="111"/>
      <c r="F410" s="104"/>
      <c r="G410" s="104"/>
      <c r="H410" s="114">
        <f t="shared" si="6"/>
        <v>0</v>
      </c>
    </row>
    <row r="411" spans="1:8" ht="14.75" customHeight="1" x14ac:dyDescent="0.4">
      <c r="A411" s="96"/>
      <c r="B411" s="101"/>
      <c r="C411" s="102"/>
      <c r="D411" s="111"/>
      <c r="E411" s="111"/>
      <c r="F411" s="104"/>
      <c r="G411" s="104"/>
      <c r="H411" s="114">
        <f t="shared" si="6"/>
        <v>0</v>
      </c>
    </row>
    <row r="412" spans="1:8" ht="14.75" customHeight="1" x14ac:dyDescent="0.4">
      <c r="A412" s="96">
        <v>26</v>
      </c>
      <c r="B412" s="101"/>
      <c r="C412" s="102"/>
      <c r="D412" s="111"/>
      <c r="E412" s="111"/>
      <c r="F412" s="110"/>
      <c r="G412" s="112"/>
      <c r="H412" s="114">
        <f t="shared" si="6"/>
        <v>0</v>
      </c>
    </row>
    <row r="413" spans="1:8" ht="14.75" customHeight="1" x14ac:dyDescent="0.4">
      <c r="A413" s="96">
        <v>27</v>
      </c>
      <c r="B413" s="101"/>
      <c r="C413" s="102"/>
      <c r="D413" s="111"/>
      <c r="E413" s="111"/>
      <c r="F413" s="110"/>
      <c r="G413" s="112"/>
      <c r="H413" s="114">
        <f t="shared" si="6"/>
        <v>0</v>
      </c>
    </row>
    <row r="414" spans="1:8" ht="14.75" customHeight="1" x14ac:dyDescent="0.4">
      <c r="A414" s="96">
        <v>28</v>
      </c>
      <c r="B414" s="101"/>
      <c r="C414" s="102"/>
      <c r="D414" s="111"/>
      <c r="E414" s="111"/>
      <c r="F414" s="110"/>
      <c r="G414" s="112"/>
      <c r="H414" s="114">
        <f t="shared" si="6"/>
        <v>0</v>
      </c>
    </row>
    <row r="415" spans="1:8" ht="14.75" customHeight="1" x14ac:dyDescent="0.4">
      <c r="A415" s="96">
        <v>29</v>
      </c>
      <c r="B415" s="101"/>
      <c r="C415" s="102"/>
      <c r="D415" s="111"/>
      <c r="E415" s="111"/>
      <c r="F415" s="110"/>
      <c r="G415" s="112"/>
      <c r="H415" s="114">
        <f t="shared" si="6"/>
        <v>0</v>
      </c>
    </row>
    <row r="416" spans="1:8" ht="14.75" customHeight="1" x14ac:dyDescent="0.4">
      <c r="A416" s="96">
        <v>30</v>
      </c>
      <c r="B416" s="101"/>
      <c r="C416" s="102"/>
      <c r="D416" s="111"/>
      <c r="E416" s="111"/>
      <c r="F416" s="110"/>
      <c r="G416" s="112"/>
      <c r="H416" s="114">
        <f t="shared" si="6"/>
        <v>0</v>
      </c>
    </row>
    <row r="417" spans="1:8" ht="14.75" customHeight="1" x14ac:dyDescent="0.4">
      <c r="A417" s="96">
        <v>31</v>
      </c>
      <c r="B417" s="101"/>
      <c r="C417" s="102"/>
      <c r="D417" s="111"/>
      <c r="E417" s="111"/>
      <c r="F417" s="110"/>
      <c r="G417" s="112"/>
      <c r="H417" s="114">
        <f t="shared" si="6"/>
        <v>0</v>
      </c>
    </row>
    <row r="418" spans="1:8" ht="14.75" customHeight="1" x14ac:dyDescent="0.4">
      <c r="A418" s="96">
        <v>32</v>
      </c>
      <c r="B418" s="101"/>
      <c r="C418" s="102"/>
      <c r="D418" s="111"/>
      <c r="E418" s="103"/>
      <c r="F418" s="104"/>
      <c r="G418" s="104"/>
      <c r="H418" s="114">
        <f t="shared" ref="H418:H481" si="7">H417+F418-G418</f>
        <v>0</v>
      </c>
    </row>
    <row r="419" spans="1:8" ht="14.75" customHeight="1" x14ac:dyDescent="0.4">
      <c r="A419" s="96">
        <v>33</v>
      </c>
      <c r="B419" s="101"/>
      <c r="C419" s="102"/>
      <c r="D419" s="103"/>
      <c r="E419" s="103"/>
      <c r="F419" s="104"/>
      <c r="G419" s="104"/>
      <c r="H419" s="114">
        <f t="shared" si="7"/>
        <v>0</v>
      </c>
    </row>
    <row r="420" spans="1:8" ht="14.75" customHeight="1" x14ac:dyDescent="0.4">
      <c r="A420" s="96">
        <v>34</v>
      </c>
      <c r="B420" s="101"/>
      <c r="C420" s="102"/>
      <c r="D420" s="103"/>
      <c r="E420" s="103"/>
      <c r="F420" s="104"/>
      <c r="G420" s="104"/>
      <c r="H420" s="114">
        <f t="shared" si="7"/>
        <v>0</v>
      </c>
    </row>
    <row r="421" spans="1:8" ht="14.75" customHeight="1" x14ac:dyDescent="0.4">
      <c r="A421" s="96">
        <v>35</v>
      </c>
      <c r="B421" s="101"/>
      <c r="C421" s="102"/>
      <c r="D421" s="103"/>
      <c r="E421" s="111"/>
      <c r="F421" s="110"/>
      <c r="G421" s="112"/>
      <c r="H421" s="114">
        <f t="shared" si="7"/>
        <v>0</v>
      </c>
    </row>
    <row r="422" spans="1:8" ht="14.75" customHeight="1" x14ac:dyDescent="0.4">
      <c r="A422" s="96">
        <v>36</v>
      </c>
      <c r="B422" s="101"/>
      <c r="C422" s="102"/>
      <c r="D422" s="111"/>
      <c r="E422" s="111"/>
      <c r="F422" s="110"/>
      <c r="G422" s="112"/>
      <c r="H422" s="114">
        <f t="shared" si="7"/>
        <v>0</v>
      </c>
    </row>
    <row r="423" spans="1:8" ht="14.75" customHeight="1" x14ac:dyDescent="0.4">
      <c r="A423" s="96">
        <v>37</v>
      </c>
      <c r="B423" s="101"/>
      <c r="C423" s="102"/>
      <c r="D423" s="111"/>
      <c r="E423" s="111"/>
      <c r="F423" s="110"/>
      <c r="G423" s="112"/>
      <c r="H423" s="114">
        <f t="shared" si="7"/>
        <v>0</v>
      </c>
    </row>
    <row r="424" spans="1:8" ht="14.75" customHeight="1" x14ac:dyDescent="0.4">
      <c r="A424" s="96">
        <v>38</v>
      </c>
      <c r="B424" s="101"/>
      <c r="C424" s="102"/>
      <c r="D424" s="111"/>
      <c r="E424" s="111"/>
      <c r="F424" s="110"/>
      <c r="G424" s="112"/>
      <c r="H424" s="114">
        <f t="shared" si="7"/>
        <v>0</v>
      </c>
    </row>
    <row r="425" spans="1:8" ht="14.75" customHeight="1" x14ac:dyDescent="0.4">
      <c r="A425" s="96">
        <v>39</v>
      </c>
      <c r="B425" s="101"/>
      <c r="C425" s="102"/>
      <c r="D425" s="111"/>
      <c r="E425" s="111"/>
      <c r="F425" s="110"/>
      <c r="G425" s="112"/>
      <c r="H425" s="114">
        <f t="shared" si="7"/>
        <v>0</v>
      </c>
    </row>
    <row r="426" spans="1:8" ht="14.75" customHeight="1" x14ac:dyDescent="0.4">
      <c r="A426" s="96">
        <v>40</v>
      </c>
      <c r="B426" s="101"/>
      <c r="C426" s="102"/>
      <c r="D426" s="111"/>
      <c r="E426" s="111"/>
      <c r="F426" s="110"/>
      <c r="G426" s="112"/>
      <c r="H426" s="114">
        <f t="shared" si="7"/>
        <v>0</v>
      </c>
    </row>
    <row r="427" spans="1:8" ht="14.75" customHeight="1" x14ac:dyDescent="0.4">
      <c r="A427" s="96">
        <v>41</v>
      </c>
      <c r="B427" s="101"/>
      <c r="C427" s="102"/>
      <c r="D427" s="111"/>
      <c r="E427" s="111"/>
      <c r="F427" s="110"/>
      <c r="G427" s="112"/>
      <c r="H427" s="114">
        <f t="shared" si="7"/>
        <v>0</v>
      </c>
    </row>
    <row r="428" spans="1:8" ht="14.75" customHeight="1" x14ac:dyDescent="0.4">
      <c r="A428" s="96">
        <v>42</v>
      </c>
      <c r="B428" s="101"/>
      <c r="C428" s="102"/>
      <c r="D428" s="111"/>
      <c r="E428" s="111"/>
      <c r="F428" s="110"/>
      <c r="G428" s="112"/>
      <c r="H428" s="114">
        <f t="shared" si="7"/>
        <v>0</v>
      </c>
    </row>
    <row r="429" spans="1:8" ht="14.75" customHeight="1" x14ac:dyDescent="0.4">
      <c r="A429" s="96">
        <v>43</v>
      </c>
      <c r="B429" s="101"/>
      <c r="C429" s="102"/>
      <c r="D429" s="111"/>
      <c r="E429" s="111"/>
      <c r="F429" s="110"/>
      <c r="G429" s="112"/>
      <c r="H429" s="114">
        <f t="shared" si="7"/>
        <v>0</v>
      </c>
    </row>
    <row r="430" spans="1:8" ht="14.75" customHeight="1" x14ac:dyDescent="0.4">
      <c r="A430" s="96">
        <v>44</v>
      </c>
      <c r="B430" s="101"/>
      <c r="C430" s="102"/>
      <c r="D430" s="111"/>
      <c r="E430" s="111"/>
      <c r="F430" s="110"/>
      <c r="G430" s="112"/>
      <c r="H430" s="114">
        <f t="shared" si="7"/>
        <v>0</v>
      </c>
    </row>
    <row r="431" spans="1:8" ht="14.75" customHeight="1" x14ac:dyDescent="0.4">
      <c r="A431" s="96">
        <v>45</v>
      </c>
      <c r="B431" s="101"/>
      <c r="C431" s="102"/>
      <c r="D431" s="103"/>
      <c r="E431" s="103"/>
      <c r="F431" s="104"/>
      <c r="G431" s="104"/>
      <c r="H431" s="114">
        <f t="shared" si="7"/>
        <v>0</v>
      </c>
    </row>
    <row r="432" spans="1:8" ht="14.75" customHeight="1" x14ac:dyDescent="0.4">
      <c r="A432" s="96">
        <v>46</v>
      </c>
      <c r="B432" s="101"/>
      <c r="C432" s="102"/>
      <c r="D432" s="103"/>
      <c r="E432" s="103"/>
      <c r="F432" s="104"/>
      <c r="G432" s="104"/>
      <c r="H432" s="114">
        <f t="shared" si="7"/>
        <v>0</v>
      </c>
    </row>
    <row r="433" spans="1:8" ht="14.75" customHeight="1" x14ac:dyDescent="0.4">
      <c r="A433" s="96">
        <v>47</v>
      </c>
      <c r="B433" s="101"/>
      <c r="C433" s="102"/>
      <c r="D433" s="103"/>
      <c r="E433" s="103"/>
      <c r="F433" s="104"/>
      <c r="G433" s="104"/>
      <c r="H433" s="114">
        <f t="shared" si="7"/>
        <v>0</v>
      </c>
    </row>
    <row r="434" spans="1:8" ht="14.75" customHeight="1" x14ac:dyDescent="0.4">
      <c r="A434" s="96">
        <v>48</v>
      </c>
      <c r="B434" s="101"/>
      <c r="C434" s="102"/>
      <c r="D434" s="103"/>
      <c r="E434" s="103"/>
      <c r="F434" s="104"/>
      <c r="G434" s="104"/>
      <c r="H434" s="114">
        <f t="shared" si="7"/>
        <v>0</v>
      </c>
    </row>
    <row r="435" spans="1:8" ht="14.75" customHeight="1" x14ac:dyDescent="0.4">
      <c r="A435" s="96">
        <v>49</v>
      </c>
      <c r="B435" s="101"/>
      <c r="C435" s="102"/>
      <c r="D435" s="103"/>
      <c r="E435" s="103"/>
      <c r="F435" s="113"/>
      <c r="G435" s="113"/>
      <c r="H435" s="114">
        <f t="shared" si="7"/>
        <v>0</v>
      </c>
    </row>
    <row r="436" spans="1:8" ht="14.75" customHeight="1" x14ac:dyDescent="0.4">
      <c r="A436" s="96">
        <v>50</v>
      </c>
      <c r="B436" s="101"/>
      <c r="C436" s="102"/>
      <c r="D436" s="103"/>
      <c r="E436" s="103"/>
      <c r="F436" s="113"/>
      <c r="G436" s="113"/>
      <c r="H436" s="114">
        <f t="shared" si="7"/>
        <v>0</v>
      </c>
    </row>
    <row r="437" spans="1:8" ht="14.75" customHeight="1" x14ac:dyDescent="0.4">
      <c r="A437" s="96">
        <v>51</v>
      </c>
      <c r="B437" s="101"/>
      <c r="C437" s="102"/>
      <c r="D437" s="103"/>
      <c r="E437" s="103"/>
      <c r="F437" s="113"/>
      <c r="G437" s="113"/>
      <c r="H437" s="114">
        <f t="shared" si="7"/>
        <v>0</v>
      </c>
    </row>
    <row r="438" spans="1:8" ht="14.75" customHeight="1" x14ac:dyDescent="0.4">
      <c r="A438" s="96">
        <v>52</v>
      </c>
      <c r="B438" s="101"/>
      <c r="C438" s="102"/>
      <c r="D438" s="111"/>
      <c r="E438" s="111"/>
      <c r="F438" s="110"/>
      <c r="G438" s="112"/>
      <c r="H438" s="114">
        <f t="shared" si="7"/>
        <v>0</v>
      </c>
    </row>
    <row r="439" spans="1:8" ht="14.75" customHeight="1" x14ac:dyDescent="0.4">
      <c r="A439" s="96">
        <v>53</v>
      </c>
      <c r="B439" s="101"/>
      <c r="C439" s="102"/>
      <c r="D439" s="111"/>
      <c r="E439" s="111"/>
      <c r="F439" s="110"/>
      <c r="G439" s="112"/>
      <c r="H439" s="114">
        <f t="shared" si="7"/>
        <v>0</v>
      </c>
    </row>
    <row r="440" spans="1:8" ht="14.75" customHeight="1" x14ac:dyDescent="0.4">
      <c r="A440" s="96">
        <v>54</v>
      </c>
      <c r="B440" s="101"/>
      <c r="C440" s="102"/>
      <c r="D440" s="103"/>
      <c r="E440" s="103"/>
      <c r="F440" s="113"/>
      <c r="G440" s="104"/>
      <c r="H440" s="114">
        <f t="shared" si="7"/>
        <v>0</v>
      </c>
    </row>
    <row r="441" spans="1:8" ht="14.75" customHeight="1" x14ac:dyDescent="0.4">
      <c r="A441" s="96">
        <v>55</v>
      </c>
      <c r="B441" s="101"/>
      <c r="C441" s="102"/>
      <c r="D441" s="111"/>
      <c r="E441" s="111"/>
      <c r="F441" s="110"/>
      <c r="G441" s="112"/>
      <c r="H441" s="114">
        <f t="shared" si="7"/>
        <v>0</v>
      </c>
    </row>
    <row r="442" spans="1:8" ht="14.75" customHeight="1" x14ac:dyDescent="0.4">
      <c r="A442" s="96">
        <v>56</v>
      </c>
      <c r="B442" s="101"/>
      <c r="C442" s="102"/>
      <c r="D442" s="111"/>
      <c r="E442" s="111"/>
      <c r="F442" s="110"/>
      <c r="G442" s="112"/>
      <c r="H442" s="114">
        <f t="shared" si="7"/>
        <v>0</v>
      </c>
    </row>
    <row r="443" spans="1:8" ht="14.75" customHeight="1" x14ac:dyDescent="0.4">
      <c r="A443" s="96">
        <v>57</v>
      </c>
      <c r="B443" s="101"/>
      <c r="C443" s="102"/>
      <c r="D443" s="111"/>
      <c r="E443" s="111"/>
      <c r="F443" s="110"/>
      <c r="G443" s="112"/>
      <c r="H443" s="114">
        <f t="shared" si="7"/>
        <v>0</v>
      </c>
    </row>
    <row r="444" spans="1:8" ht="14.75" customHeight="1" x14ac:dyDescent="0.4">
      <c r="A444" s="96">
        <v>58</v>
      </c>
      <c r="B444" s="101"/>
      <c r="C444" s="102"/>
      <c r="D444" s="111"/>
      <c r="E444" s="111"/>
      <c r="F444" s="110"/>
      <c r="G444" s="112"/>
      <c r="H444" s="114">
        <f t="shared" si="7"/>
        <v>0</v>
      </c>
    </row>
    <row r="445" spans="1:8" ht="14.75" customHeight="1" x14ac:dyDescent="0.4">
      <c r="A445" s="96">
        <v>59</v>
      </c>
      <c r="B445" s="101"/>
      <c r="C445" s="102"/>
      <c r="D445" s="111"/>
      <c r="E445" s="111"/>
      <c r="F445" s="110"/>
      <c r="G445" s="112"/>
      <c r="H445" s="114">
        <f t="shared" si="7"/>
        <v>0</v>
      </c>
    </row>
    <row r="446" spans="1:8" ht="14.75" customHeight="1" x14ac:dyDescent="0.4">
      <c r="A446" s="96">
        <v>60</v>
      </c>
      <c r="B446" s="101"/>
      <c r="C446" s="102"/>
      <c r="D446" s="111"/>
      <c r="E446" s="111"/>
      <c r="F446" s="110"/>
      <c r="G446" s="112"/>
      <c r="H446" s="114">
        <f t="shared" si="7"/>
        <v>0</v>
      </c>
    </row>
    <row r="447" spans="1:8" ht="14.75" customHeight="1" x14ac:dyDescent="0.4">
      <c r="A447" s="96">
        <v>61</v>
      </c>
      <c r="B447" s="101"/>
      <c r="C447" s="102"/>
      <c r="D447" s="111"/>
      <c r="E447" s="111"/>
      <c r="F447" s="110"/>
      <c r="G447" s="112"/>
      <c r="H447" s="114">
        <f t="shared" si="7"/>
        <v>0</v>
      </c>
    </row>
    <row r="448" spans="1:8" ht="14.75" customHeight="1" x14ac:dyDescent="0.4">
      <c r="A448" s="96">
        <v>62</v>
      </c>
      <c r="B448" s="101"/>
      <c r="C448" s="102"/>
      <c r="D448" s="111"/>
      <c r="E448" s="111"/>
      <c r="F448" s="110"/>
      <c r="G448" s="112"/>
      <c r="H448" s="114">
        <f t="shared" si="7"/>
        <v>0</v>
      </c>
    </row>
    <row r="449" spans="1:8" ht="14.75" customHeight="1" x14ac:dyDescent="0.4">
      <c r="A449" s="96">
        <v>63</v>
      </c>
      <c r="B449" s="101"/>
      <c r="C449" s="102"/>
      <c r="D449" s="111"/>
      <c r="E449" s="111"/>
      <c r="F449" s="110"/>
      <c r="G449" s="112"/>
      <c r="H449" s="114">
        <f t="shared" si="7"/>
        <v>0</v>
      </c>
    </row>
    <row r="450" spans="1:8" ht="14.75" customHeight="1" x14ac:dyDescent="0.4">
      <c r="A450" s="96">
        <v>64</v>
      </c>
      <c r="B450" s="101"/>
      <c r="C450" s="102"/>
      <c r="D450" s="111"/>
      <c r="E450" s="111"/>
      <c r="F450" s="110"/>
      <c r="G450" s="112"/>
      <c r="H450" s="114">
        <f t="shared" si="7"/>
        <v>0</v>
      </c>
    </row>
    <row r="451" spans="1:8" ht="14.75" customHeight="1" x14ac:dyDescent="0.4">
      <c r="A451" s="96">
        <v>65</v>
      </c>
      <c r="B451" s="101"/>
      <c r="C451" s="102"/>
      <c r="D451" s="111"/>
      <c r="E451" s="111"/>
      <c r="F451" s="110"/>
      <c r="G451" s="112"/>
      <c r="H451" s="114">
        <f t="shared" si="7"/>
        <v>0</v>
      </c>
    </row>
    <row r="452" spans="1:8" ht="14.75" customHeight="1" x14ac:dyDescent="0.4">
      <c r="A452" s="96">
        <v>66</v>
      </c>
      <c r="B452" s="101"/>
      <c r="C452" s="102"/>
      <c r="D452" s="111"/>
      <c r="E452" s="111"/>
      <c r="F452" s="110"/>
      <c r="G452" s="112"/>
      <c r="H452" s="114">
        <f t="shared" si="7"/>
        <v>0</v>
      </c>
    </row>
    <row r="453" spans="1:8" ht="14.75" customHeight="1" x14ac:dyDescent="0.4">
      <c r="A453" s="96">
        <v>67</v>
      </c>
      <c r="B453" s="101"/>
      <c r="C453" s="102"/>
      <c r="D453" s="111"/>
      <c r="E453" s="111"/>
      <c r="F453" s="110"/>
      <c r="G453" s="112"/>
      <c r="H453" s="114">
        <f t="shared" si="7"/>
        <v>0</v>
      </c>
    </row>
    <row r="454" spans="1:8" ht="14.75" customHeight="1" x14ac:dyDescent="0.4">
      <c r="A454" s="96">
        <v>68</v>
      </c>
      <c r="B454" s="101"/>
      <c r="C454" s="102"/>
      <c r="D454" s="111"/>
      <c r="E454" s="111"/>
      <c r="F454" s="110"/>
      <c r="G454" s="112"/>
      <c r="H454" s="114">
        <f t="shared" si="7"/>
        <v>0</v>
      </c>
    </row>
    <row r="455" spans="1:8" ht="14.75" customHeight="1" x14ac:dyDescent="0.4">
      <c r="A455" s="96">
        <v>69</v>
      </c>
      <c r="B455" s="101"/>
      <c r="C455" s="102"/>
      <c r="D455" s="111"/>
      <c r="E455" s="111"/>
      <c r="F455" s="110"/>
      <c r="G455" s="112"/>
      <c r="H455" s="114">
        <f t="shared" si="7"/>
        <v>0</v>
      </c>
    </row>
    <row r="456" spans="1:8" ht="14.75" customHeight="1" x14ac:dyDescent="0.4">
      <c r="A456" s="96">
        <v>70</v>
      </c>
      <c r="B456" s="101"/>
      <c r="C456" s="102"/>
      <c r="D456" s="111"/>
      <c r="E456" s="111"/>
      <c r="F456" s="110"/>
      <c r="G456" s="112"/>
      <c r="H456" s="114">
        <f t="shared" si="7"/>
        <v>0</v>
      </c>
    </row>
    <row r="457" spans="1:8" ht="14.75" customHeight="1" x14ac:dyDescent="0.4">
      <c r="A457" s="96">
        <v>71</v>
      </c>
      <c r="B457" s="101"/>
      <c r="C457" s="102"/>
      <c r="D457" s="111"/>
      <c r="E457" s="111"/>
      <c r="F457" s="110"/>
      <c r="G457" s="112"/>
      <c r="H457" s="114">
        <f t="shared" si="7"/>
        <v>0</v>
      </c>
    </row>
    <row r="458" spans="1:8" ht="14.75" customHeight="1" x14ac:dyDescent="0.4">
      <c r="A458" s="96">
        <v>72</v>
      </c>
      <c r="B458" s="101"/>
      <c r="C458" s="102"/>
      <c r="D458" s="111"/>
      <c r="E458" s="111"/>
      <c r="F458" s="110"/>
      <c r="G458" s="112"/>
      <c r="H458" s="114">
        <f t="shared" si="7"/>
        <v>0</v>
      </c>
    </row>
    <row r="459" spans="1:8" ht="14.75" customHeight="1" x14ac:dyDescent="0.4">
      <c r="A459" s="96">
        <v>73</v>
      </c>
      <c r="B459" s="101"/>
      <c r="C459" s="102"/>
      <c r="D459" s="111"/>
      <c r="E459" s="111"/>
      <c r="F459" s="110"/>
      <c r="G459" s="112"/>
      <c r="H459" s="114">
        <f t="shared" si="7"/>
        <v>0</v>
      </c>
    </row>
    <row r="460" spans="1:8" ht="14.75" customHeight="1" x14ac:dyDescent="0.4">
      <c r="A460" s="96">
        <v>74</v>
      </c>
      <c r="B460" s="101"/>
      <c r="C460" s="102"/>
      <c r="D460" s="111"/>
      <c r="E460" s="111"/>
      <c r="F460" s="110"/>
      <c r="G460" s="112"/>
      <c r="H460" s="114">
        <f t="shared" si="7"/>
        <v>0</v>
      </c>
    </row>
    <row r="461" spans="1:8" ht="14.75" customHeight="1" x14ac:dyDescent="0.4">
      <c r="A461" s="96">
        <v>75</v>
      </c>
      <c r="B461" s="101"/>
      <c r="C461" s="102"/>
      <c r="D461" s="111"/>
      <c r="E461" s="111"/>
      <c r="F461" s="110"/>
      <c r="G461" s="112"/>
      <c r="H461" s="114">
        <f t="shared" si="7"/>
        <v>0</v>
      </c>
    </row>
    <row r="462" spans="1:8" ht="14.75" customHeight="1" x14ac:dyDescent="0.4">
      <c r="A462" s="96">
        <v>76</v>
      </c>
      <c r="B462" s="101"/>
      <c r="C462" s="102"/>
      <c r="D462" s="111"/>
      <c r="E462" s="111"/>
      <c r="F462" s="110"/>
      <c r="G462" s="112"/>
      <c r="H462" s="114">
        <f t="shared" si="7"/>
        <v>0</v>
      </c>
    </row>
    <row r="463" spans="1:8" ht="14.75" customHeight="1" x14ac:dyDescent="0.4">
      <c r="A463" s="96">
        <v>77</v>
      </c>
      <c r="B463" s="101"/>
      <c r="C463" s="102"/>
      <c r="D463" s="111"/>
      <c r="E463" s="111"/>
      <c r="F463" s="110"/>
      <c r="G463" s="112"/>
      <c r="H463" s="114">
        <f t="shared" si="7"/>
        <v>0</v>
      </c>
    </row>
    <row r="464" spans="1:8" ht="14.75" customHeight="1" x14ac:dyDescent="0.4">
      <c r="A464" s="96">
        <v>78</v>
      </c>
      <c r="B464" s="101"/>
      <c r="C464" s="102"/>
      <c r="D464" s="111"/>
      <c r="E464" s="111"/>
      <c r="F464" s="110"/>
      <c r="G464" s="112"/>
      <c r="H464" s="114">
        <f t="shared" si="7"/>
        <v>0</v>
      </c>
    </row>
    <row r="465" spans="1:8" ht="14.75" customHeight="1" x14ac:dyDescent="0.4">
      <c r="A465" s="96">
        <v>79</v>
      </c>
      <c r="B465" s="101"/>
      <c r="C465" s="102"/>
      <c r="D465" s="111"/>
      <c r="E465" s="111"/>
      <c r="F465" s="110"/>
      <c r="G465" s="112"/>
      <c r="H465" s="114">
        <f t="shared" si="7"/>
        <v>0</v>
      </c>
    </row>
    <row r="466" spans="1:8" ht="14.75" customHeight="1" x14ac:dyDescent="0.4">
      <c r="A466" s="96">
        <v>80</v>
      </c>
      <c r="B466" s="101"/>
      <c r="C466" s="102"/>
      <c r="D466" s="111"/>
      <c r="E466" s="111"/>
      <c r="F466" s="110"/>
      <c r="G466" s="112"/>
      <c r="H466" s="114">
        <f t="shared" si="7"/>
        <v>0</v>
      </c>
    </row>
    <row r="467" spans="1:8" ht="14.75" customHeight="1" x14ac:dyDescent="0.4">
      <c r="A467" s="96">
        <v>81</v>
      </c>
      <c r="B467" s="101"/>
      <c r="C467" s="102"/>
      <c r="D467" s="111"/>
      <c r="E467" s="111"/>
      <c r="F467" s="110"/>
      <c r="G467" s="112"/>
      <c r="H467" s="114">
        <f t="shared" si="7"/>
        <v>0</v>
      </c>
    </row>
    <row r="468" spans="1:8" ht="14.75" customHeight="1" x14ac:dyDescent="0.4">
      <c r="A468" s="96">
        <v>82</v>
      </c>
      <c r="B468" s="101"/>
      <c r="C468" s="102"/>
      <c r="D468" s="111"/>
      <c r="E468" s="111"/>
      <c r="F468" s="110"/>
      <c r="G468" s="112"/>
      <c r="H468" s="114">
        <f t="shared" si="7"/>
        <v>0</v>
      </c>
    </row>
    <row r="469" spans="1:8" ht="14.75" customHeight="1" x14ac:dyDescent="0.4">
      <c r="A469" s="96">
        <v>83</v>
      </c>
      <c r="B469" s="101"/>
      <c r="C469" s="102"/>
      <c r="D469" s="111"/>
      <c r="E469" s="111"/>
      <c r="F469" s="110"/>
      <c r="G469" s="112"/>
      <c r="H469" s="114">
        <f t="shared" si="7"/>
        <v>0</v>
      </c>
    </row>
    <row r="470" spans="1:8" ht="14.75" customHeight="1" x14ac:dyDescent="0.4">
      <c r="A470" s="96">
        <v>84</v>
      </c>
      <c r="B470" s="101"/>
      <c r="C470" s="102"/>
      <c r="D470" s="111"/>
      <c r="E470" s="111"/>
      <c r="F470" s="110"/>
      <c r="G470" s="112"/>
      <c r="H470" s="114">
        <f t="shared" si="7"/>
        <v>0</v>
      </c>
    </row>
    <row r="471" spans="1:8" ht="14.75" customHeight="1" x14ac:dyDescent="0.4">
      <c r="A471" s="96">
        <v>85</v>
      </c>
      <c r="B471" s="101"/>
      <c r="C471" s="102"/>
      <c r="D471" s="111"/>
      <c r="E471" s="111"/>
      <c r="F471" s="110"/>
      <c r="G471" s="112"/>
      <c r="H471" s="114">
        <f t="shared" si="7"/>
        <v>0</v>
      </c>
    </row>
    <row r="472" spans="1:8" ht="14.75" customHeight="1" x14ac:dyDescent="0.4">
      <c r="A472" s="96">
        <v>86</v>
      </c>
      <c r="B472" s="101"/>
      <c r="C472" s="102"/>
      <c r="D472" s="111"/>
      <c r="E472" s="111"/>
      <c r="F472" s="110"/>
      <c r="G472" s="112"/>
      <c r="H472" s="114">
        <f t="shared" si="7"/>
        <v>0</v>
      </c>
    </row>
    <row r="473" spans="1:8" ht="14.75" customHeight="1" x14ac:dyDescent="0.4">
      <c r="A473" s="96">
        <v>87</v>
      </c>
      <c r="B473" s="101"/>
      <c r="C473" s="102"/>
      <c r="D473" s="111"/>
      <c r="E473" s="111"/>
      <c r="F473" s="110"/>
      <c r="G473" s="112"/>
      <c r="H473" s="114">
        <f t="shared" si="7"/>
        <v>0</v>
      </c>
    </row>
    <row r="474" spans="1:8" ht="14.75" customHeight="1" x14ac:dyDescent="0.4">
      <c r="A474" s="96">
        <v>88</v>
      </c>
      <c r="B474" s="101"/>
      <c r="C474" s="102"/>
      <c r="D474" s="111"/>
      <c r="E474" s="111"/>
      <c r="F474" s="110"/>
      <c r="G474" s="112"/>
      <c r="H474" s="114">
        <f t="shared" si="7"/>
        <v>0</v>
      </c>
    </row>
    <row r="475" spans="1:8" ht="14.75" customHeight="1" x14ac:dyDescent="0.4">
      <c r="A475" s="96">
        <v>89</v>
      </c>
      <c r="B475" s="101"/>
      <c r="C475" s="102"/>
      <c r="D475" s="111"/>
      <c r="E475" s="111"/>
      <c r="F475" s="110"/>
      <c r="G475" s="112"/>
      <c r="H475" s="114">
        <f t="shared" si="7"/>
        <v>0</v>
      </c>
    </row>
    <row r="476" spans="1:8" ht="14.75" customHeight="1" x14ac:dyDescent="0.4">
      <c r="A476" s="96">
        <v>90</v>
      </c>
      <c r="B476" s="101"/>
      <c r="C476" s="102"/>
      <c r="D476" s="111"/>
      <c r="E476" s="111"/>
      <c r="F476" s="110"/>
      <c r="G476" s="112"/>
      <c r="H476" s="114">
        <f t="shared" si="7"/>
        <v>0</v>
      </c>
    </row>
    <row r="477" spans="1:8" ht="14.75" customHeight="1" x14ac:dyDescent="0.4">
      <c r="A477" s="96">
        <v>91</v>
      </c>
      <c r="B477" s="101"/>
      <c r="C477" s="102"/>
      <c r="D477" s="111"/>
      <c r="E477" s="111"/>
      <c r="F477" s="110"/>
      <c r="G477" s="112"/>
      <c r="H477" s="114">
        <f t="shared" si="7"/>
        <v>0</v>
      </c>
    </row>
    <row r="478" spans="1:8" ht="14.75" customHeight="1" x14ac:dyDescent="0.4">
      <c r="A478" s="96">
        <v>92</v>
      </c>
      <c r="B478" s="101"/>
      <c r="C478" s="102"/>
      <c r="D478" s="111"/>
      <c r="E478" s="111"/>
      <c r="F478" s="110"/>
      <c r="G478" s="112"/>
      <c r="H478" s="114">
        <f t="shared" si="7"/>
        <v>0</v>
      </c>
    </row>
    <row r="479" spans="1:8" ht="14.75" customHeight="1" x14ac:dyDescent="0.4">
      <c r="A479" s="96">
        <v>93</v>
      </c>
      <c r="B479" s="101"/>
      <c r="C479" s="102"/>
      <c r="D479" s="111"/>
      <c r="E479" s="111"/>
      <c r="F479" s="110"/>
      <c r="G479" s="112"/>
      <c r="H479" s="114">
        <f t="shared" si="7"/>
        <v>0</v>
      </c>
    </row>
    <row r="480" spans="1:8" ht="14.75" customHeight="1" x14ac:dyDescent="0.4">
      <c r="A480" s="96">
        <v>94</v>
      </c>
      <c r="B480" s="101"/>
      <c r="C480" s="102"/>
      <c r="D480" s="111"/>
      <c r="E480" s="111"/>
      <c r="F480" s="110"/>
      <c r="G480" s="112"/>
      <c r="H480" s="114">
        <f t="shared" si="7"/>
        <v>0</v>
      </c>
    </row>
    <row r="481" spans="1:8" ht="14.75" customHeight="1" x14ac:dyDescent="0.4">
      <c r="A481" s="96">
        <v>95</v>
      </c>
      <c r="B481" s="101"/>
      <c r="C481" s="102"/>
      <c r="D481" s="111"/>
      <c r="E481" s="111"/>
      <c r="F481" s="110"/>
      <c r="G481" s="112"/>
      <c r="H481" s="114">
        <f t="shared" si="7"/>
        <v>0</v>
      </c>
    </row>
    <row r="482" spans="1:8" ht="14.75" customHeight="1" x14ac:dyDescent="0.4">
      <c r="A482" s="96">
        <v>96</v>
      </c>
      <c r="B482" s="101"/>
      <c r="C482" s="102"/>
      <c r="D482" s="111"/>
      <c r="E482" s="111"/>
      <c r="F482" s="110"/>
      <c r="G482" s="112"/>
      <c r="H482" s="114">
        <f t="shared" ref="H482:H545" si="8">H481+F482-G482</f>
        <v>0</v>
      </c>
    </row>
    <row r="483" spans="1:8" ht="14.75" customHeight="1" x14ac:dyDescent="0.4">
      <c r="A483" s="96">
        <v>97</v>
      </c>
      <c r="B483" s="101"/>
      <c r="C483" s="102"/>
      <c r="D483" s="111"/>
      <c r="E483" s="111"/>
      <c r="F483" s="110"/>
      <c r="G483" s="112"/>
      <c r="H483" s="114">
        <f t="shared" si="8"/>
        <v>0</v>
      </c>
    </row>
    <row r="484" spans="1:8" ht="14.75" customHeight="1" x14ac:dyDescent="0.4">
      <c r="A484" s="96">
        <v>98</v>
      </c>
      <c r="B484" s="101"/>
      <c r="C484" s="102"/>
      <c r="D484" s="111"/>
      <c r="E484" s="111"/>
      <c r="F484" s="110"/>
      <c r="G484" s="112"/>
      <c r="H484" s="114">
        <f t="shared" si="8"/>
        <v>0</v>
      </c>
    </row>
    <row r="485" spans="1:8" ht="14.75" customHeight="1" x14ac:dyDescent="0.4">
      <c r="A485" s="96">
        <v>99</v>
      </c>
      <c r="B485" s="101"/>
      <c r="C485" s="102"/>
      <c r="D485" s="111"/>
      <c r="E485" s="111"/>
      <c r="F485" s="110"/>
      <c r="G485" s="112"/>
      <c r="H485" s="114">
        <f t="shared" si="8"/>
        <v>0</v>
      </c>
    </row>
    <row r="486" spans="1:8" ht="14.75" customHeight="1" x14ac:dyDescent="0.4">
      <c r="A486" s="96">
        <v>100</v>
      </c>
      <c r="B486" s="101"/>
      <c r="C486" s="102"/>
      <c r="D486" s="111"/>
      <c r="E486" s="111"/>
      <c r="F486" s="110"/>
      <c r="G486" s="112"/>
      <c r="H486" s="114">
        <f t="shared" si="8"/>
        <v>0</v>
      </c>
    </row>
    <row r="487" spans="1:8" ht="14.75" customHeight="1" x14ac:dyDescent="0.4">
      <c r="A487" s="96">
        <v>101</v>
      </c>
      <c r="B487" s="101"/>
      <c r="C487" s="102"/>
      <c r="D487" s="111"/>
      <c r="E487" s="111"/>
      <c r="F487" s="110"/>
      <c r="G487" s="112"/>
      <c r="H487" s="114">
        <f t="shared" si="8"/>
        <v>0</v>
      </c>
    </row>
    <row r="488" spans="1:8" ht="14.75" customHeight="1" x14ac:dyDescent="0.4">
      <c r="A488" s="96">
        <v>102</v>
      </c>
      <c r="B488" s="101"/>
      <c r="C488" s="102"/>
      <c r="D488" s="111"/>
      <c r="E488" s="111"/>
      <c r="F488" s="110"/>
      <c r="G488" s="112"/>
      <c r="H488" s="114">
        <f t="shared" si="8"/>
        <v>0</v>
      </c>
    </row>
    <row r="489" spans="1:8" ht="14.75" customHeight="1" x14ac:dyDescent="0.4">
      <c r="A489" s="96">
        <v>103</v>
      </c>
      <c r="B489" s="101"/>
      <c r="C489" s="102"/>
      <c r="D489" s="111"/>
      <c r="E489" s="111"/>
      <c r="F489" s="110"/>
      <c r="G489" s="112"/>
      <c r="H489" s="114">
        <f t="shared" si="8"/>
        <v>0</v>
      </c>
    </row>
    <row r="490" spans="1:8" ht="14.75" customHeight="1" x14ac:dyDescent="0.4">
      <c r="A490" s="96">
        <v>104</v>
      </c>
      <c r="B490" s="101"/>
      <c r="C490" s="102"/>
      <c r="D490" s="111"/>
      <c r="E490" s="111"/>
      <c r="F490" s="110"/>
      <c r="G490" s="112"/>
      <c r="H490" s="114">
        <f t="shared" si="8"/>
        <v>0</v>
      </c>
    </row>
    <row r="491" spans="1:8" ht="14.75" customHeight="1" x14ac:dyDescent="0.4">
      <c r="A491" s="96">
        <v>105</v>
      </c>
      <c r="B491" s="101"/>
      <c r="C491" s="102"/>
      <c r="D491" s="111"/>
      <c r="E491" s="111"/>
      <c r="F491" s="110"/>
      <c r="G491" s="112"/>
      <c r="H491" s="114">
        <f t="shared" si="8"/>
        <v>0</v>
      </c>
    </row>
    <row r="492" spans="1:8" ht="14.75" customHeight="1" x14ac:dyDescent="0.4">
      <c r="A492" s="96">
        <v>106</v>
      </c>
      <c r="B492" s="101"/>
      <c r="C492" s="102"/>
      <c r="D492" s="111"/>
      <c r="E492" s="111"/>
      <c r="F492" s="110"/>
      <c r="G492" s="112"/>
      <c r="H492" s="114">
        <f t="shared" si="8"/>
        <v>0</v>
      </c>
    </row>
    <row r="493" spans="1:8" ht="14.75" customHeight="1" x14ac:dyDescent="0.4">
      <c r="A493" s="96">
        <v>107</v>
      </c>
      <c r="B493" s="101"/>
      <c r="C493" s="102"/>
      <c r="D493" s="111"/>
      <c r="E493" s="111"/>
      <c r="F493" s="110"/>
      <c r="G493" s="112"/>
      <c r="H493" s="114">
        <f t="shared" si="8"/>
        <v>0</v>
      </c>
    </row>
    <row r="494" spans="1:8" ht="14.75" customHeight="1" x14ac:dyDescent="0.4">
      <c r="A494" s="96">
        <v>108</v>
      </c>
      <c r="B494" s="101"/>
      <c r="C494" s="102"/>
      <c r="D494" s="111"/>
      <c r="E494" s="111"/>
      <c r="F494" s="110"/>
      <c r="G494" s="112"/>
      <c r="H494" s="114">
        <f t="shared" si="8"/>
        <v>0</v>
      </c>
    </row>
    <row r="495" spans="1:8" ht="14.75" customHeight="1" x14ac:dyDescent="0.4">
      <c r="A495" s="96">
        <v>109</v>
      </c>
      <c r="B495" s="101"/>
      <c r="C495" s="102"/>
      <c r="D495" s="111"/>
      <c r="E495" s="111"/>
      <c r="F495" s="110"/>
      <c r="G495" s="112"/>
      <c r="H495" s="114">
        <f t="shared" si="8"/>
        <v>0</v>
      </c>
    </row>
    <row r="496" spans="1:8" ht="14.75" customHeight="1" x14ac:dyDescent="0.4">
      <c r="A496" s="96">
        <v>110</v>
      </c>
      <c r="B496" s="101"/>
      <c r="C496" s="102"/>
      <c r="D496" s="111"/>
      <c r="E496" s="111"/>
      <c r="F496" s="110"/>
      <c r="G496" s="112"/>
      <c r="H496" s="114">
        <f t="shared" si="8"/>
        <v>0</v>
      </c>
    </row>
    <row r="497" spans="1:8" ht="14.75" customHeight="1" x14ac:dyDescent="0.4">
      <c r="A497" s="96">
        <v>111</v>
      </c>
      <c r="B497" s="101"/>
      <c r="C497" s="102"/>
      <c r="D497" s="111"/>
      <c r="E497" s="111"/>
      <c r="F497" s="110"/>
      <c r="G497" s="112"/>
      <c r="H497" s="114">
        <f t="shared" si="8"/>
        <v>0</v>
      </c>
    </row>
    <row r="498" spans="1:8" ht="14.75" customHeight="1" x14ac:dyDescent="0.4">
      <c r="A498" s="96">
        <v>112</v>
      </c>
      <c r="B498" s="101"/>
      <c r="C498" s="102"/>
      <c r="D498" s="111"/>
      <c r="E498" s="111"/>
      <c r="F498" s="110"/>
      <c r="G498" s="112"/>
      <c r="H498" s="114">
        <f t="shared" si="8"/>
        <v>0</v>
      </c>
    </row>
    <row r="499" spans="1:8" ht="14.75" customHeight="1" x14ac:dyDescent="0.4">
      <c r="A499" s="96">
        <v>113</v>
      </c>
      <c r="B499" s="101"/>
      <c r="C499" s="102"/>
      <c r="D499" s="111"/>
      <c r="E499" s="111"/>
      <c r="F499" s="110"/>
      <c r="G499" s="112"/>
      <c r="H499" s="114">
        <f t="shared" si="8"/>
        <v>0</v>
      </c>
    </row>
    <row r="500" spans="1:8" ht="14.75" customHeight="1" x14ac:dyDescent="0.4">
      <c r="A500" s="96">
        <v>114</v>
      </c>
      <c r="B500" s="101"/>
      <c r="C500" s="102"/>
      <c r="D500" s="111"/>
      <c r="E500" s="111"/>
      <c r="F500" s="110"/>
      <c r="G500" s="112"/>
      <c r="H500" s="114">
        <f t="shared" si="8"/>
        <v>0</v>
      </c>
    </row>
    <row r="501" spans="1:8" ht="14.75" customHeight="1" x14ac:dyDescent="0.4">
      <c r="A501" s="96">
        <v>115</v>
      </c>
      <c r="B501" s="101"/>
      <c r="C501" s="102"/>
      <c r="D501" s="111"/>
      <c r="E501" s="111"/>
      <c r="F501" s="110"/>
      <c r="G501" s="112"/>
      <c r="H501" s="114">
        <f t="shared" si="8"/>
        <v>0</v>
      </c>
    </row>
    <row r="502" spans="1:8" ht="14.75" customHeight="1" x14ac:dyDescent="0.4">
      <c r="A502" s="96">
        <v>116</v>
      </c>
      <c r="B502" s="101"/>
      <c r="C502" s="102"/>
      <c r="D502" s="111"/>
      <c r="E502" s="111"/>
      <c r="F502" s="110"/>
      <c r="G502" s="112"/>
      <c r="H502" s="114">
        <f t="shared" si="8"/>
        <v>0</v>
      </c>
    </row>
    <row r="503" spans="1:8" ht="14.75" customHeight="1" x14ac:dyDescent="0.4">
      <c r="A503" s="96">
        <v>117</v>
      </c>
      <c r="B503" s="101"/>
      <c r="C503" s="102"/>
      <c r="D503" s="111"/>
      <c r="E503" s="111"/>
      <c r="F503" s="110"/>
      <c r="G503" s="112"/>
      <c r="H503" s="114">
        <f t="shared" si="8"/>
        <v>0</v>
      </c>
    </row>
    <row r="504" spans="1:8" ht="14.75" customHeight="1" x14ac:dyDescent="0.4">
      <c r="A504" s="96">
        <v>118</v>
      </c>
      <c r="B504" s="101"/>
      <c r="C504" s="102"/>
      <c r="D504" s="111"/>
      <c r="E504" s="111"/>
      <c r="F504" s="110"/>
      <c r="G504" s="112"/>
      <c r="H504" s="114">
        <f t="shared" si="8"/>
        <v>0</v>
      </c>
    </row>
    <row r="505" spans="1:8" ht="14.75" customHeight="1" x14ac:dyDescent="0.4">
      <c r="A505" s="96">
        <v>119</v>
      </c>
      <c r="B505" s="101"/>
      <c r="C505" s="102"/>
      <c r="D505" s="111"/>
      <c r="E505" s="111"/>
      <c r="F505" s="110"/>
      <c r="G505" s="112"/>
      <c r="H505" s="114">
        <f t="shared" si="8"/>
        <v>0</v>
      </c>
    </row>
    <row r="506" spans="1:8" ht="14.75" customHeight="1" x14ac:dyDescent="0.4">
      <c r="A506" s="96">
        <v>120</v>
      </c>
      <c r="B506" s="101"/>
      <c r="C506" s="102"/>
      <c r="D506" s="111"/>
      <c r="E506" s="111"/>
      <c r="F506" s="110"/>
      <c r="G506" s="112"/>
      <c r="H506" s="114">
        <f t="shared" si="8"/>
        <v>0</v>
      </c>
    </row>
    <row r="507" spans="1:8" ht="14.75" customHeight="1" x14ac:dyDescent="0.4">
      <c r="A507" s="96">
        <v>121</v>
      </c>
      <c r="B507" s="101"/>
      <c r="C507" s="102"/>
      <c r="D507" s="111"/>
      <c r="E507" s="111"/>
      <c r="F507" s="110"/>
      <c r="G507" s="112"/>
      <c r="H507" s="114">
        <f t="shared" si="8"/>
        <v>0</v>
      </c>
    </row>
    <row r="508" spans="1:8" ht="14.75" customHeight="1" x14ac:dyDescent="0.4">
      <c r="A508" s="96">
        <v>122</v>
      </c>
      <c r="B508" s="101"/>
      <c r="C508" s="102"/>
      <c r="D508" s="111"/>
      <c r="E508" s="111"/>
      <c r="F508" s="110"/>
      <c r="G508" s="112"/>
      <c r="H508" s="114">
        <f t="shared" si="8"/>
        <v>0</v>
      </c>
    </row>
    <row r="509" spans="1:8" ht="14.75" customHeight="1" x14ac:dyDescent="0.4">
      <c r="A509" s="96">
        <v>123</v>
      </c>
      <c r="B509" s="101"/>
      <c r="C509" s="102"/>
      <c r="D509" s="111"/>
      <c r="E509" s="111"/>
      <c r="F509" s="110"/>
      <c r="G509" s="112"/>
      <c r="H509" s="114">
        <f t="shared" si="8"/>
        <v>0</v>
      </c>
    </row>
    <row r="510" spans="1:8" ht="14.75" customHeight="1" x14ac:dyDescent="0.4">
      <c r="A510" s="96">
        <v>124</v>
      </c>
      <c r="B510" s="101"/>
      <c r="C510" s="102"/>
      <c r="D510" s="111"/>
      <c r="E510" s="111"/>
      <c r="F510" s="110"/>
      <c r="G510" s="112"/>
      <c r="H510" s="114">
        <f t="shared" si="8"/>
        <v>0</v>
      </c>
    </row>
    <row r="511" spans="1:8" ht="14.75" customHeight="1" x14ac:dyDescent="0.4">
      <c r="A511" s="96">
        <v>125</v>
      </c>
      <c r="B511" s="101"/>
      <c r="C511" s="102"/>
      <c r="D511" s="111"/>
      <c r="E511" s="111"/>
      <c r="F511" s="110"/>
      <c r="G511" s="112"/>
      <c r="H511" s="114">
        <f t="shared" si="8"/>
        <v>0</v>
      </c>
    </row>
    <row r="512" spans="1:8" ht="14.75" customHeight="1" x14ac:dyDescent="0.4">
      <c r="A512" s="96">
        <v>126</v>
      </c>
      <c r="B512" s="101"/>
      <c r="C512" s="102"/>
      <c r="D512" s="111"/>
      <c r="E512" s="111"/>
      <c r="F512" s="110"/>
      <c r="G512" s="112"/>
      <c r="H512" s="114">
        <f t="shared" si="8"/>
        <v>0</v>
      </c>
    </row>
    <row r="513" spans="1:8" ht="14.75" customHeight="1" x14ac:dyDescent="0.4">
      <c r="A513" s="96">
        <v>127</v>
      </c>
      <c r="B513" s="101"/>
      <c r="C513" s="102"/>
      <c r="D513" s="111"/>
      <c r="E513" s="111"/>
      <c r="F513" s="110"/>
      <c r="G513" s="112"/>
      <c r="H513" s="114">
        <f t="shared" si="8"/>
        <v>0</v>
      </c>
    </row>
    <row r="514" spans="1:8" ht="14.75" customHeight="1" x14ac:dyDescent="0.4">
      <c r="A514" s="96">
        <v>128</v>
      </c>
      <c r="B514" s="101"/>
      <c r="C514" s="102"/>
      <c r="D514" s="111"/>
      <c r="E514" s="111"/>
      <c r="F514" s="110"/>
      <c r="G514" s="112"/>
      <c r="H514" s="114">
        <f t="shared" si="8"/>
        <v>0</v>
      </c>
    </row>
    <row r="515" spans="1:8" ht="14.75" customHeight="1" x14ac:dyDescent="0.4">
      <c r="A515" s="96">
        <v>129</v>
      </c>
      <c r="B515" s="101"/>
      <c r="C515" s="102"/>
      <c r="D515" s="111"/>
      <c r="E515" s="111"/>
      <c r="F515" s="110"/>
      <c r="G515" s="112"/>
      <c r="H515" s="114">
        <f t="shared" si="8"/>
        <v>0</v>
      </c>
    </row>
    <row r="516" spans="1:8" ht="14.75" customHeight="1" x14ac:dyDescent="0.4">
      <c r="A516" s="96">
        <v>130</v>
      </c>
      <c r="B516" s="101"/>
      <c r="C516" s="102"/>
      <c r="D516" s="111"/>
      <c r="E516" s="111"/>
      <c r="F516" s="110"/>
      <c r="G516" s="112"/>
      <c r="H516" s="114">
        <f t="shared" si="8"/>
        <v>0</v>
      </c>
    </row>
    <row r="517" spans="1:8" ht="14.75" customHeight="1" x14ac:dyDescent="0.4">
      <c r="A517" s="96">
        <v>131</v>
      </c>
      <c r="B517" s="101"/>
      <c r="C517" s="102"/>
      <c r="D517" s="111"/>
      <c r="E517" s="111"/>
      <c r="F517" s="110"/>
      <c r="G517" s="112"/>
      <c r="H517" s="114">
        <f t="shared" si="8"/>
        <v>0</v>
      </c>
    </row>
    <row r="518" spans="1:8" ht="14.75" customHeight="1" x14ac:dyDescent="0.4">
      <c r="A518" s="96">
        <v>132</v>
      </c>
      <c r="B518" s="101"/>
      <c r="C518" s="102"/>
      <c r="D518" s="111"/>
      <c r="E518" s="111"/>
      <c r="F518" s="110"/>
      <c r="G518" s="112"/>
      <c r="H518" s="114">
        <f t="shared" si="8"/>
        <v>0</v>
      </c>
    </row>
    <row r="519" spans="1:8" ht="14.75" customHeight="1" x14ac:dyDescent="0.4">
      <c r="A519" s="96">
        <v>133</v>
      </c>
      <c r="B519" s="101"/>
      <c r="C519" s="102"/>
      <c r="D519" s="111"/>
      <c r="E519" s="111"/>
      <c r="F519" s="110"/>
      <c r="G519" s="112"/>
      <c r="H519" s="114">
        <f t="shared" si="8"/>
        <v>0</v>
      </c>
    </row>
    <row r="520" spans="1:8" ht="14.75" customHeight="1" x14ac:dyDescent="0.4">
      <c r="A520" s="96">
        <v>134</v>
      </c>
      <c r="B520" s="101"/>
      <c r="C520" s="102"/>
      <c r="D520" s="111"/>
      <c r="E520" s="111"/>
      <c r="F520" s="110"/>
      <c r="G520" s="112"/>
      <c r="H520" s="114">
        <f t="shared" si="8"/>
        <v>0</v>
      </c>
    </row>
    <row r="521" spans="1:8" ht="14.75" customHeight="1" x14ac:dyDescent="0.4">
      <c r="A521" s="96">
        <v>135</v>
      </c>
      <c r="B521" s="101"/>
      <c r="C521" s="102"/>
      <c r="D521" s="111"/>
      <c r="E521" s="111"/>
      <c r="F521" s="110"/>
      <c r="G521" s="112"/>
      <c r="H521" s="114">
        <f t="shared" si="8"/>
        <v>0</v>
      </c>
    </row>
    <row r="522" spans="1:8" ht="14.75" customHeight="1" x14ac:dyDescent="0.4">
      <c r="A522" s="96">
        <v>136</v>
      </c>
      <c r="B522" s="101"/>
      <c r="C522" s="102"/>
      <c r="D522" s="111"/>
      <c r="E522" s="111"/>
      <c r="F522" s="110"/>
      <c r="G522" s="112"/>
      <c r="H522" s="114">
        <f t="shared" si="8"/>
        <v>0</v>
      </c>
    </row>
    <row r="523" spans="1:8" ht="14.75" customHeight="1" x14ac:dyDescent="0.4">
      <c r="A523" s="96">
        <v>137</v>
      </c>
      <c r="B523" s="101"/>
      <c r="C523" s="102"/>
      <c r="D523" s="111"/>
      <c r="E523" s="111"/>
      <c r="F523" s="110"/>
      <c r="G523" s="112"/>
      <c r="H523" s="114">
        <f t="shared" si="8"/>
        <v>0</v>
      </c>
    </row>
    <row r="524" spans="1:8" ht="14.75" customHeight="1" x14ac:dyDescent="0.4">
      <c r="A524" s="96">
        <v>138</v>
      </c>
      <c r="B524" s="101"/>
      <c r="C524" s="102"/>
      <c r="D524" s="111"/>
      <c r="E524" s="111"/>
      <c r="F524" s="110"/>
      <c r="G524" s="112"/>
      <c r="H524" s="114">
        <f t="shared" si="8"/>
        <v>0</v>
      </c>
    </row>
    <row r="525" spans="1:8" ht="14.75" customHeight="1" x14ac:dyDescent="0.4">
      <c r="A525" s="96">
        <v>139</v>
      </c>
      <c r="B525" s="101"/>
      <c r="C525" s="102"/>
      <c r="D525" s="111"/>
      <c r="E525" s="111"/>
      <c r="F525" s="110"/>
      <c r="G525" s="112"/>
      <c r="H525" s="114">
        <f t="shared" si="8"/>
        <v>0</v>
      </c>
    </row>
    <row r="526" spans="1:8" ht="14.75" customHeight="1" x14ac:dyDescent="0.4">
      <c r="A526" s="96">
        <v>140</v>
      </c>
      <c r="B526" s="101"/>
      <c r="C526" s="102"/>
      <c r="D526" s="111"/>
      <c r="E526" s="111"/>
      <c r="F526" s="110"/>
      <c r="G526" s="112"/>
      <c r="H526" s="114">
        <f t="shared" si="8"/>
        <v>0</v>
      </c>
    </row>
    <row r="527" spans="1:8" ht="14.75" customHeight="1" x14ac:dyDescent="0.4">
      <c r="A527" s="96">
        <v>141</v>
      </c>
      <c r="B527" s="101"/>
      <c r="C527" s="102"/>
      <c r="D527" s="111"/>
      <c r="E527" s="111"/>
      <c r="F527" s="110"/>
      <c r="G527" s="112"/>
      <c r="H527" s="114">
        <f t="shared" si="8"/>
        <v>0</v>
      </c>
    </row>
    <row r="528" spans="1:8" ht="14.75" customHeight="1" x14ac:dyDescent="0.4">
      <c r="A528" s="96">
        <v>142</v>
      </c>
      <c r="B528" s="101"/>
      <c r="C528" s="102"/>
      <c r="D528" s="111"/>
      <c r="E528" s="111"/>
      <c r="F528" s="110"/>
      <c r="G528" s="112"/>
      <c r="H528" s="114">
        <f t="shared" si="8"/>
        <v>0</v>
      </c>
    </row>
    <row r="529" spans="1:8" ht="14.75" customHeight="1" x14ac:dyDescent="0.4">
      <c r="A529" s="96">
        <v>143</v>
      </c>
      <c r="B529" s="101"/>
      <c r="C529" s="102"/>
      <c r="D529" s="111"/>
      <c r="E529" s="111"/>
      <c r="F529" s="110"/>
      <c r="G529" s="112"/>
      <c r="H529" s="114">
        <f t="shared" si="8"/>
        <v>0</v>
      </c>
    </row>
    <row r="530" spans="1:8" ht="14.75" customHeight="1" x14ac:dyDescent="0.4">
      <c r="A530" s="96">
        <v>144</v>
      </c>
      <c r="B530" s="101"/>
      <c r="C530" s="102"/>
      <c r="D530" s="111"/>
      <c r="E530" s="111"/>
      <c r="F530" s="110"/>
      <c r="G530" s="112"/>
      <c r="H530" s="114">
        <f t="shared" si="8"/>
        <v>0</v>
      </c>
    </row>
    <row r="531" spans="1:8" ht="14.75" customHeight="1" x14ac:dyDescent="0.4">
      <c r="A531" s="96">
        <v>145</v>
      </c>
      <c r="B531" s="101"/>
      <c r="C531" s="102"/>
      <c r="D531" s="111"/>
      <c r="E531" s="111"/>
      <c r="F531" s="110"/>
      <c r="G531" s="112"/>
      <c r="H531" s="114">
        <f t="shared" si="8"/>
        <v>0</v>
      </c>
    </row>
    <row r="532" spans="1:8" ht="14.75" customHeight="1" x14ac:dyDescent="0.4">
      <c r="A532" s="96">
        <v>146</v>
      </c>
      <c r="B532" s="101"/>
      <c r="C532" s="102"/>
      <c r="D532" s="111"/>
      <c r="E532" s="111"/>
      <c r="F532" s="110"/>
      <c r="G532" s="112"/>
      <c r="H532" s="114">
        <f t="shared" si="8"/>
        <v>0</v>
      </c>
    </row>
    <row r="533" spans="1:8" ht="14.75" customHeight="1" x14ac:dyDescent="0.4">
      <c r="A533" s="96">
        <v>147</v>
      </c>
      <c r="B533" s="101"/>
      <c r="C533" s="102"/>
      <c r="D533" s="111"/>
      <c r="E533" s="111"/>
      <c r="F533" s="110"/>
      <c r="G533" s="112"/>
      <c r="H533" s="114">
        <f t="shared" si="8"/>
        <v>0</v>
      </c>
    </row>
    <row r="534" spans="1:8" ht="14.75" customHeight="1" x14ac:dyDescent="0.4">
      <c r="A534" s="96">
        <v>148</v>
      </c>
      <c r="B534" s="101"/>
      <c r="C534" s="102"/>
      <c r="D534" s="111"/>
      <c r="E534" s="111"/>
      <c r="F534" s="110"/>
      <c r="G534" s="112"/>
      <c r="H534" s="114">
        <f t="shared" si="8"/>
        <v>0</v>
      </c>
    </row>
    <row r="535" spans="1:8" ht="14.75" customHeight="1" x14ac:dyDescent="0.4">
      <c r="A535" s="96">
        <v>149</v>
      </c>
      <c r="B535" s="101"/>
      <c r="C535" s="102"/>
      <c r="D535" s="111"/>
      <c r="E535" s="111"/>
      <c r="F535" s="110"/>
      <c r="G535" s="112"/>
      <c r="H535" s="114">
        <f t="shared" si="8"/>
        <v>0</v>
      </c>
    </row>
    <row r="536" spans="1:8" ht="14.75" customHeight="1" x14ac:dyDescent="0.4">
      <c r="A536" s="96">
        <v>150</v>
      </c>
      <c r="B536" s="101"/>
      <c r="C536" s="102"/>
      <c r="D536" s="111"/>
      <c r="E536" s="111"/>
      <c r="F536" s="110"/>
      <c r="G536" s="112"/>
      <c r="H536" s="114">
        <f t="shared" si="8"/>
        <v>0</v>
      </c>
    </row>
    <row r="537" spans="1:8" ht="14.75" customHeight="1" x14ac:dyDescent="0.4">
      <c r="A537" s="96">
        <v>151</v>
      </c>
      <c r="B537" s="101"/>
      <c r="C537" s="102"/>
      <c r="D537" s="111"/>
      <c r="E537" s="111"/>
      <c r="F537" s="110"/>
      <c r="G537" s="112"/>
      <c r="H537" s="114">
        <f t="shared" si="8"/>
        <v>0</v>
      </c>
    </row>
    <row r="538" spans="1:8" ht="14.75" customHeight="1" x14ac:dyDescent="0.4">
      <c r="A538" s="96">
        <v>152</v>
      </c>
      <c r="B538" s="101"/>
      <c r="C538" s="102"/>
      <c r="D538" s="111"/>
      <c r="E538" s="111"/>
      <c r="F538" s="110"/>
      <c r="G538" s="112"/>
      <c r="H538" s="114">
        <f t="shared" si="8"/>
        <v>0</v>
      </c>
    </row>
    <row r="539" spans="1:8" ht="14.75" customHeight="1" x14ac:dyDescent="0.4">
      <c r="A539" s="96">
        <v>153</v>
      </c>
      <c r="B539" s="101"/>
      <c r="C539" s="102"/>
      <c r="D539" s="111"/>
      <c r="E539" s="111"/>
      <c r="F539" s="110"/>
      <c r="G539" s="112"/>
      <c r="H539" s="114">
        <f t="shared" si="8"/>
        <v>0</v>
      </c>
    </row>
    <row r="540" spans="1:8" ht="14.75" customHeight="1" x14ac:dyDescent="0.4">
      <c r="A540" s="96">
        <v>154</v>
      </c>
      <c r="B540" s="101"/>
      <c r="C540" s="102"/>
      <c r="D540" s="111"/>
      <c r="E540" s="111"/>
      <c r="F540" s="110"/>
      <c r="G540" s="112"/>
      <c r="H540" s="114">
        <f t="shared" si="8"/>
        <v>0</v>
      </c>
    </row>
    <row r="541" spans="1:8" ht="14.75" customHeight="1" x14ac:dyDescent="0.4">
      <c r="A541" s="96">
        <v>155</v>
      </c>
      <c r="B541" s="101"/>
      <c r="C541" s="102"/>
      <c r="D541" s="111"/>
      <c r="E541" s="111"/>
      <c r="F541" s="110"/>
      <c r="G541" s="112"/>
      <c r="H541" s="114">
        <f t="shared" si="8"/>
        <v>0</v>
      </c>
    </row>
    <row r="542" spans="1:8" ht="14.75" customHeight="1" x14ac:dyDescent="0.4">
      <c r="A542" s="96">
        <v>156</v>
      </c>
      <c r="B542" s="101"/>
      <c r="C542" s="102"/>
      <c r="D542" s="111"/>
      <c r="E542" s="111"/>
      <c r="F542" s="110"/>
      <c r="G542" s="112"/>
      <c r="H542" s="114">
        <f t="shared" si="8"/>
        <v>0</v>
      </c>
    </row>
    <row r="543" spans="1:8" ht="14.75" customHeight="1" x14ac:dyDescent="0.4">
      <c r="A543" s="96">
        <v>157</v>
      </c>
      <c r="B543" s="101"/>
      <c r="C543" s="102"/>
      <c r="D543" s="111"/>
      <c r="E543" s="111"/>
      <c r="F543" s="110"/>
      <c r="G543" s="112"/>
      <c r="H543" s="114">
        <f t="shared" si="8"/>
        <v>0</v>
      </c>
    </row>
    <row r="544" spans="1:8" ht="14.75" customHeight="1" x14ac:dyDescent="0.4">
      <c r="A544" s="96">
        <v>158</v>
      </c>
      <c r="B544" s="101"/>
      <c r="C544" s="102"/>
      <c r="D544" s="111"/>
      <c r="E544" s="111"/>
      <c r="F544" s="110"/>
      <c r="G544" s="112"/>
      <c r="H544" s="114">
        <f t="shared" si="8"/>
        <v>0</v>
      </c>
    </row>
    <row r="545" spans="1:8" ht="14.75" customHeight="1" x14ac:dyDescent="0.4">
      <c r="A545" s="96">
        <v>159</v>
      </c>
      <c r="B545" s="101"/>
      <c r="C545" s="102"/>
      <c r="D545" s="111"/>
      <c r="E545" s="111"/>
      <c r="F545" s="110"/>
      <c r="G545" s="112"/>
      <c r="H545" s="114">
        <f t="shared" si="8"/>
        <v>0</v>
      </c>
    </row>
    <row r="546" spans="1:8" ht="14.75" customHeight="1" x14ac:dyDescent="0.4">
      <c r="A546" s="96">
        <v>160</v>
      </c>
      <c r="B546" s="101"/>
      <c r="C546" s="102"/>
      <c r="D546" s="111"/>
      <c r="E546" s="111"/>
      <c r="F546" s="110"/>
      <c r="G546" s="112"/>
      <c r="H546" s="114">
        <f t="shared" ref="H546:H609" si="9">H545+F546-G546</f>
        <v>0</v>
      </c>
    </row>
    <row r="547" spans="1:8" ht="14.75" customHeight="1" x14ac:dyDescent="0.4">
      <c r="A547" s="96">
        <v>161</v>
      </c>
      <c r="B547" s="101"/>
      <c r="C547" s="102"/>
      <c r="D547" s="111"/>
      <c r="E547" s="111"/>
      <c r="F547" s="110"/>
      <c r="G547" s="112"/>
      <c r="H547" s="114">
        <f t="shared" si="9"/>
        <v>0</v>
      </c>
    </row>
    <row r="548" spans="1:8" ht="14.75" customHeight="1" x14ac:dyDescent="0.4">
      <c r="A548" s="96">
        <v>162</v>
      </c>
      <c r="B548" s="101"/>
      <c r="C548" s="102"/>
      <c r="D548" s="111"/>
      <c r="E548" s="111"/>
      <c r="F548" s="110"/>
      <c r="G548" s="112"/>
      <c r="H548" s="114">
        <f t="shared" si="9"/>
        <v>0</v>
      </c>
    </row>
    <row r="549" spans="1:8" ht="14.75" customHeight="1" x14ac:dyDescent="0.4">
      <c r="A549" s="96">
        <v>163</v>
      </c>
      <c r="B549" s="101"/>
      <c r="C549" s="102"/>
      <c r="D549" s="111"/>
      <c r="E549" s="111"/>
      <c r="F549" s="110"/>
      <c r="G549" s="112"/>
      <c r="H549" s="114">
        <f t="shared" si="9"/>
        <v>0</v>
      </c>
    </row>
    <row r="550" spans="1:8" ht="14.75" customHeight="1" x14ac:dyDescent="0.4">
      <c r="A550" s="96">
        <v>164</v>
      </c>
      <c r="B550" s="101"/>
      <c r="C550" s="102"/>
      <c r="D550" s="111"/>
      <c r="E550" s="111"/>
      <c r="F550" s="110"/>
      <c r="G550" s="112"/>
      <c r="H550" s="114">
        <f t="shared" si="9"/>
        <v>0</v>
      </c>
    </row>
    <row r="551" spans="1:8" ht="14.75" customHeight="1" x14ac:dyDescent="0.4">
      <c r="A551" s="96">
        <v>165</v>
      </c>
      <c r="B551" s="101"/>
      <c r="C551" s="102"/>
      <c r="D551" s="111"/>
      <c r="E551" s="111"/>
      <c r="F551" s="110"/>
      <c r="G551" s="112"/>
      <c r="H551" s="114">
        <f t="shared" si="9"/>
        <v>0</v>
      </c>
    </row>
    <row r="552" spans="1:8" ht="14.75" customHeight="1" x14ac:dyDescent="0.4">
      <c r="A552" s="96">
        <v>166</v>
      </c>
      <c r="B552" s="101"/>
      <c r="C552" s="102"/>
      <c r="D552" s="111"/>
      <c r="E552" s="111"/>
      <c r="F552" s="110"/>
      <c r="G552" s="112"/>
      <c r="H552" s="114">
        <f t="shared" si="9"/>
        <v>0</v>
      </c>
    </row>
    <row r="553" spans="1:8" ht="14.75" customHeight="1" x14ac:dyDescent="0.4">
      <c r="A553" s="96">
        <v>167</v>
      </c>
      <c r="B553" s="101"/>
      <c r="C553" s="102"/>
      <c r="D553" s="111"/>
      <c r="E553" s="111"/>
      <c r="F553" s="110"/>
      <c r="G553" s="112"/>
      <c r="H553" s="114">
        <f t="shared" si="9"/>
        <v>0</v>
      </c>
    </row>
    <row r="554" spans="1:8" ht="14.75" customHeight="1" x14ac:dyDescent="0.4">
      <c r="A554" s="96">
        <v>168</v>
      </c>
      <c r="B554" s="101"/>
      <c r="C554" s="102"/>
      <c r="D554" s="111"/>
      <c r="E554" s="111"/>
      <c r="F554" s="110"/>
      <c r="G554" s="112"/>
      <c r="H554" s="114">
        <f t="shared" si="9"/>
        <v>0</v>
      </c>
    </row>
    <row r="555" spans="1:8" ht="14.75" customHeight="1" x14ac:dyDescent="0.4">
      <c r="A555" s="96">
        <v>169</v>
      </c>
      <c r="B555" s="101"/>
      <c r="C555" s="102"/>
      <c r="D555" s="111"/>
      <c r="E555" s="111"/>
      <c r="F555" s="110"/>
      <c r="G555" s="112"/>
      <c r="H555" s="114">
        <f t="shared" si="9"/>
        <v>0</v>
      </c>
    </row>
    <row r="556" spans="1:8" ht="14.75" customHeight="1" x14ac:dyDescent="0.4">
      <c r="A556" s="96">
        <v>170</v>
      </c>
      <c r="B556" s="101"/>
      <c r="C556" s="102"/>
      <c r="D556" s="111"/>
      <c r="E556" s="111"/>
      <c r="F556" s="110"/>
      <c r="G556" s="112"/>
      <c r="H556" s="114">
        <f t="shared" si="9"/>
        <v>0</v>
      </c>
    </row>
    <row r="557" spans="1:8" ht="14.75" customHeight="1" x14ac:dyDescent="0.4">
      <c r="A557" s="96">
        <v>171</v>
      </c>
      <c r="B557" s="101"/>
      <c r="C557" s="102"/>
      <c r="D557" s="111"/>
      <c r="E557" s="111"/>
      <c r="F557" s="110"/>
      <c r="G557" s="112"/>
      <c r="H557" s="114">
        <f t="shared" si="9"/>
        <v>0</v>
      </c>
    </row>
    <row r="558" spans="1:8" ht="14.75" customHeight="1" x14ac:dyDescent="0.4">
      <c r="A558" s="96">
        <v>172</v>
      </c>
      <c r="B558" s="101"/>
      <c r="C558" s="102"/>
      <c r="D558" s="111"/>
      <c r="E558" s="111"/>
      <c r="F558" s="110"/>
      <c r="G558" s="112"/>
      <c r="H558" s="114">
        <f t="shared" si="9"/>
        <v>0</v>
      </c>
    </row>
    <row r="559" spans="1:8" ht="14.75" customHeight="1" x14ac:dyDescent="0.4">
      <c r="A559" s="96">
        <v>173</v>
      </c>
      <c r="B559" s="101"/>
      <c r="C559" s="102"/>
      <c r="D559" s="111"/>
      <c r="E559" s="111"/>
      <c r="F559" s="110"/>
      <c r="G559" s="112"/>
      <c r="H559" s="114">
        <f t="shared" si="9"/>
        <v>0</v>
      </c>
    </row>
    <row r="560" spans="1:8" ht="14.75" customHeight="1" x14ac:dyDescent="0.4">
      <c r="A560" s="96">
        <v>174</v>
      </c>
      <c r="B560" s="101"/>
      <c r="C560" s="102"/>
      <c r="D560" s="111"/>
      <c r="E560" s="111"/>
      <c r="F560" s="110"/>
      <c r="G560" s="112"/>
      <c r="H560" s="114">
        <f t="shared" si="9"/>
        <v>0</v>
      </c>
    </row>
    <row r="561" spans="1:8" ht="14.75" customHeight="1" x14ac:dyDescent="0.4">
      <c r="A561" s="96">
        <v>175</v>
      </c>
      <c r="B561" s="101"/>
      <c r="C561" s="102"/>
      <c r="D561" s="111"/>
      <c r="E561" s="111"/>
      <c r="F561" s="110"/>
      <c r="G561" s="112"/>
      <c r="H561" s="114">
        <f t="shared" si="9"/>
        <v>0</v>
      </c>
    </row>
    <row r="562" spans="1:8" ht="14.75" customHeight="1" x14ac:dyDescent="0.4">
      <c r="A562" s="96">
        <v>176</v>
      </c>
      <c r="B562" s="101"/>
      <c r="C562" s="102"/>
      <c r="D562" s="111"/>
      <c r="E562" s="111"/>
      <c r="F562" s="110"/>
      <c r="G562" s="112"/>
      <c r="H562" s="114">
        <f t="shared" si="9"/>
        <v>0</v>
      </c>
    </row>
    <row r="563" spans="1:8" ht="14.75" customHeight="1" x14ac:dyDescent="0.4">
      <c r="A563" s="96">
        <v>177</v>
      </c>
      <c r="B563" s="101"/>
      <c r="C563" s="102"/>
      <c r="D563" s="111"/>
      <c r="E563" s="111"/>
      <c r="F563" s="110"/>
      <c r="G563" s="112"/>
      <c r="H563" s="114">
        <f t="shared" si="9"/>
        <v>0</v>
      </c>
    </row>
    <row r="564" spans="1:8" ht="14.75" customHeight="1" x14ac:dyDescent="0.4">
      <c r="A564" s="96">
        <v>178</v>
      </c>
      <c r="B564" s="101"/>
      <c r="C564" s="102"/>
      <c r="D564" s="111"/>
      <c r="E564" s="111"/>
      <c r="F564" s="110"/>
      <c r="G564" s="112"/>
      <c r="H564" s="114">
        <f t="shared" si="9"/>
        <v>0</v>
      </c>
    </row>
    <row r="565" spans="1:8" ht="14.75" customHeight="1" x14ac:dyDescent="0.4">
      <c r="A565" s="96">
        <v>179</v>
      </c>
      <c r="B565" s="101"/>
      <c r="C565" s="102"/>
      <c r="D565" s="111"/>
      <c r="E565" s="111"/>
      <c r="F565" s="110"/>
      <c r="G565" s="112"/>
      <c r="H565" s="114">
        <f t="shared" si="9"/>
        <v>0</v>
      </c>
    </row>
    <row r="566" spans="1:8" ht="14.75" customHeight="1" x14ac:dyDescent="0.4">
      <c r="A566" s="96">
        <v>180</v>
      </c>
      <c r="B566" s="101"/>
      <c r="C566" s="102"/>
      <c r="D566" s="111"/>
      <c r="E566" s="111"/>
      <c r="F566" s="110"/>
      <c r="G566" s="112"/>
      <c r="H566" s="114">
        <f t="shared" si="9"/>
        <v>0</v>
      </c>
    </row>
    <row r="567" spans="1:8" ht="14.75" customHeight="1" x14ac:dyDescent="0.4">
      <c r="A567" s="96">
        <v>181</v>
      </c>
      <c r="B567" s="101"/>
      <c r="C567" s="102"/>
      <c r="D567" s="111"/>
      <c r="E567" s="111"/>
      <c r="F567" s="110"/>
      <c r="G567" s="112"/>
      <c r="H567" s="114">
        <f t="shared" si="9"/>
        <v>0</v>
      </c>
    </row>
    <row r="568" spans="1:8" ht="14.75" customHeight="1" x14ac:dyDescent="0.4">
      <c r="A568" s="96">
        <v>182</v>
      </c>
      <c r="B568" s="101"/>
      <c r="C568" s="102"/>
      <c r="D568" s="111"/>
      <c r="E568" s="111"/>
      <c r="F568" s="110"/>
      <c r="G568" s="112"/>
      <c r="H568" s="114">
        <f t="shared" si="9"/>
        <v>0</v>
      </c>
    </row>
    <row r="569" spans="1:8" ht="14.75" customHeight="1" x14ac:dyDescent="0.4">
      <c r="A569" s="96">
        <v>183</v>
      </c>
      <c r="B569" s="101"/>
      <c r="C569" s="102"/>
      <c r="D569" s="111"/>
      <c r="E569" s="111"/>
      <c r="F569" s="110"/>
      <c r="G569" s="112"/>
      <c r="H569" s="114">
        <f t="shared" si="9"/>
        <v>0</v>
      </c>
    </row>
    <row r="570" spans="1:8" ht="14.75" customHeight="1" x14ac:dyDescent="0.4">
      <c r="A570" s="96">
        <v>184</v>
      </c>
      <c r="B570" s="101"/>
      <c r="C570" s="102"/>
      <c r="D570" s="111"/>
      <c r="E570" s="111"/>
      <c r="F570" s="110"/>
      <c r="G570" s="112"/>
      <c r="H570" s="114">
        <f t="shared" si="9"/>
        <v>0</v>
      </c>
    </row>
    <row r="571" spans="1:8" ht="14.75" customHeight="1" x14ac:dyDescent="0.4">
      <c r="A571" s="96">
        <v>185</v>
      </c>
      <c r="B571" s="101"/>
      <c r="C571" s="102"/>
      <c r="D571" s="111"/>
      <c r="E571" s="111"/>
      <c r="F571" s="110"/>
      <c r="G571" s="112"/>
      <c r="H571" s="114">
        <f t="shared" si="9"/>
        <v>0</v>
      </c>
    </row>
    <row r="572" spans="1:8" ht="14.75" customHeight="1" x14ac:dyDescent="0.4">
      <c r="A572" s="96">
        <v>186</v>
      </c>
      <c r="B572" s="101"/>
      <c r="C572" s="102"/>
      <c r="D572" s="111"/>
      <c r="E572" s="111"/>
      <c r="F572" s="110"/>
      <c r="G572" s="112"/>
      <c r="H572" s="114">
        <f t="shared" si="9"/>
        <v>0</v>
      </c>
    </row>
    <row r="573" spans="1:8" ht="14.75" customHeight="1" x14ac:dyDescent="0.4">
      <c r="A573" s="96">
        <v>187</v>
      </c>
      <c r="B573" s="101"/>
      <c r="C573" s="102"/>
      <c r="D573" s="111"/>
      <c r="E573" s="111"/>
      <c r="F573" s="110"/>
      <c r="G573" s="112"/>
      <c r="H573" s="114">
        <f t="shared" si="9"/>
        <v>0</v>
      </c>
    </row>
    <row r="574" spans="1:8" ht="14.75" customHeight="1" x14ac:dyDescent="0.4">
      <c r="A574" s="96">
        <v>188</v>
      </c>
      <c r="B574" s="101"/>
      <c r="C574" s="102"/>
      <c r="D574" s="111"/>
      <c r="E574" s="111"/>
      <c r="F574" s="110"/>
      <c r="G574" s="112"/>
      <c r="H574" s="114">
        <f t="shared" si="9"/>
        <v>0</v>
      </c>
    </row>
    <row r="575" spans="1:8" ht="14.75" customHeight="1" x14ac:dyDescent="0.4">
      <c r="A575" s="96">
        <v>189</v>
      </c>
      <c r="B575" s="101"/>
      <c r="C575" s="102"/>
      <c r="D575" s="111"/>
      <c r="E575" s="111"/>
      <c r="F575" s="110"/>
      <c r="G575" s="112"/>
      <c r="H575" s="114">
        <f t="shared" si="9"/>
        <v>0</v>
      </c>
    </row>
    <row r="576" spans="1:8" ht="14.75" customHeight="1" x14ac:dyDescent="0.4">
      <c r="A576" s="96">
        <v>190</v>
      </c>
      <c r="B576" s="101"/>
      <c r="C576" s="102"/>
      <c r="D576" s="111"/>
      <c r="E576" s="111"/>
      <c r="F576" s="110"/>
      <c r="G576" s="112"/>
      <c r="H576" s="114">
        <f t="shared" si="9"/>
        <v>0</v>
      </c>
    </row>
    <row r="577" spans="1:8" ht="14.75" customHeight="1" x14ac:dyDescent="0.4">
      <c r="A577" s="96">
        <v>191</v>
      </c>
      <c r="B577" s="101"/>
      <c r="C577" s="102"/>
      <c r="D577" s="111"/>
      <c r="E577" s="111"/>
      <c r="F577" s="110"/>
      <c r="G577" s="112"/>
      <c r="H577" s="114">
        <f t="shared" si="9"/>
        <v>0</v>
      </c>
    </row>
    <row r="578" spans="1:8" ht="14.75" customHeight="1" x14ac:dyDescent="0.4">
      <c r="A578" s="96">
        <v>192</v>
      </c>
      <c r="B578" s="101"/>
      <c r="C578" s="102"/>
      <c r="D578" s="111"/>
      <c r="E578" s="111"/>
      <c r="F578" s="110"/>
      <c r="G578" s="112"/>
      <c r="H578" s="114">
        <f t="shared" si="9"/>
        <v>0</v>
      </c>
    </row>
    <row r="579" spans="1:8" ht="14.75" customHeight="1" x14ac:dyDescent="0.4">
      <c r="A579" s="96">
        <v>193</v>
      </c>
      <c r="B579" s="101"/>
      <c r="C579" s="102"/>
      <c r="D579" s="111"/>
      <c r="E579" s="111"/>
      <c r="F579" s="110"/>
      <c r="G579" s="112"/>
      <c r="H579" s="114">
        <f t="shared" si="9"/>
        <v>0</v>
      </c>
    </row>
    <row r="580" spans="1:8" ht="14.75" customHeight="1" x14ac:dyDescent="0.4">
      <c r="A580" s="96">
        <v>194</v>
      </c>
      <c r="B580" s="101"/>
      <c r="C580" s="102"/>
      <c r="D580" s="111"/>
      <c r="E580" s="111"/>
      <c r="F580" s="110"/>
      <c r="G580" s="112"/>
      <c r="H580" s="114">
        <f t="shared" si="9"/>
        <v>0</v>
      </c>
    </row>
    <row r="581" spans="1:8" ht="14.75" customHeight="1" x14ac:dyDescent="0.4">
      <c r="A581" s="96">
        <v>195</v>
      </c>
      <c r="B581" s="101"/>
      <c r="C581" s="102"/>
      <c r="D581" s="111"/>
      <c r="E581" s="111"/>
      <c r="F581" s="110"/>
      <c r="G581" s="112"/>
      <c r="H581" s="114">
        <f t="shared" si="9"/>
        <v>0</v>
      </c>
    </row>
    <row r="582" spans="1:8" ht="14.75" customHeight="1" x14ac:dyDescent="0.4">
      <c r="A582" s="96">
        <v>196</v>
      </c>
      <c r="B582" s="101"/>
      <c r="C582" s="102"/>
      <c r="D582" s="111"/>
      <c r="E582" s="111"/>
      <c r="F582" s="110"/>
      <c r="G582" s="112"/>
      <c r="H582" s="114">
        <f t="shared" si="9"/>
        <v>0</v>
      </c>
    </row>
    <row r="583" spans="1:8" ht="14.75" customHeight="1" x14ac:dyDescent="0.4">
      <c r="A583" s="96">
        <v>197</v>
      </c>
      <c r="B583" s="101"/>
      <c r="C583" s="102"/>
      <c r="D583" s="111"/>
      <c r="E583" s="111"/>
      <c r="F583" s="110"/>
      <c r="G583" s="112"/>
      <c r="H583" s="114">
        <f t="shared" si="9"/>
        <v>0</v>
      </c>
    </row>
    <row r="584" spans="1:8" ht="14.75" customHeight="1" x14ac:dyDescent="0.4">
      <c r="A584" s="96">
        <v>198</v>
      </c>
      <c r="B584" s="101"/>
      <c r="C584" s="102"/>
      <c r="D584" s="111"/>
      <c r="E584" s="111"/>
      <c r="F584" s="110"/>
      <c r="G584" s="112"/>
      <c r="H584" s="114">
        <f t="shared" si="9"/>
        <v>0</v>
      </c>
    </row>
    <row r="585" spans="1:8" ht="14.75" customHeight="1" x14ac:dyDescent="0.4">
      <c r="A585" s="96">
        <v>199</v>
      </c>
      <c r="B585" s="101"/>
      <c r="C585" s="102"/>
      <c r="D585" s="111"/>
      <c r="E585" s="111"/>
      <c r="F585" s="110"/>
      <c r="G585" s="112"/>
      <c r="H585" s="114">
        <f t="shared" si="9"/>
        <v>0</v>
      </c>
    </row>
    <row r="586" spans="1:8" ht="14.75" customHeight="1" x14ac:dyDescent="0.4">
      <c r="A586" s="96">
        <v>200</v>
      </c>
      <c r="B586" s="101"/>
      <c r="C586" s="102"/>
      <c r="D586" s="111"/>
      <c r="E586" s="111"/>
      <c r="F586" s="110"/>
      <c r="G586" s="112"/>
      <c r="H586" s="114">
        <f t="shared" si="9"/>
        <v>0</v>
      </c>
    </row>
    <row r="587" spans="1:8" ht="14.75" customHeight="1" x14ac:dyDescent="0.4">
      <c r="A587" s="96">
        <v>201</v>
      </c>
      <c r="B587" s="101"/>
      <c r="C587" s="102"/>
      <c r="D587" s="111"/>
      <c r="E587" s="111"/>
      <c r="F587" s="110"/>
      <c r="G587" s="112"/>
      <c r="H587" s="114">
        <f t="shared" si="9"/>
        <v>0</v>
      </c>
    </row>
    <row r="588" spans="1:8" ht="14.75" customHeight="1" x14ac:dyDescent="0.4">
      <c r="A588" s="96">
        <v>202</v>
      </c>
      <c r="B588" s="101"/>
      <c r="C588" s="102"/>
      <c r="D588" s="111"/>
      <c r="E588" s="111"/>
      <c r="F588" s="110"/>
      <c r="G588" s="112"/>
      <c r="H588" s="114">
        <f t="shared" si="9"/>
        <v>0</v>
      </c>
    </row>
    <row r="589" spans="1:8" ht="14.75" customHeight="1" x14ac:dyDescent="0.4">
      <c r="A589" s="96">
        <v>203</v>
      </c>
      <c r="B589" s="101"/>
      <c r="C589" s="102"/>
      <c r="D589" s="111"/>
      <c r="E589" s="111"/>
      <c r="F589" s="110"/>
      <c r="G589" s="112"/>
      <c r="H589" s="114">
        <f t="shared" si="9"/>
        <v>0</v>
      </c>
    </row>
    <row r="590" spans="1:8" ht="14.75" customHeight="1" x14ac:dyDescent="0.4">
      <c r="A590" s="96">
        <v>204</v>
      </c>
      <c r="B590" s="101"/>
      <c r="C590" s="102"/>
      <c r="D590" s="111"/>
      <c r="E590" s="111"/>
      <c r="F590" s="110"/>
      <c r="G590" s="112"/>
      <c r="H590" s="114">
        <f t="shared" si="9"/>
        <v>0</v>
      </c>
    </row>
    <row r="591" spans="1:8" ht="14.75" customHeight="1" x14ac:dyDescent="0.4">
      <c r="A591" s="96">
        <v>205</v>
      </c>
      <c r="B591" s="101"/>
      <c r="C591" s="102"/>
      <c r="D591" s="111"/>
      <c r="E591" s="111"/>
      <c r="F591" s="110"/>
      <c r="G591" s="112"/>
      <c r="H591" s="114">
        <f t="shared" si="9"/>
        <v>0</v>
      </c>
    </row>
    <row r="592" spans="1:8" ht="14.75" customHeight="1" x14ac:dyDescent="0.4">
      <c r="A592" s="96">
        <v>206</v>
      </c>
      <c r="B592" s="101"/>
      <c r="C592" s="102"/>
      <c r="D592" s="111"/>
      <c r="E592" s="111"/>
      <c r="F592" s="110"/>
      <c r="G592" s="112"/>
      <c r="H592" s="114">
        <f t="shared" si="9"/>
        <v>0</v>
      </c>
    </row>
    <row r="593" spans="1:8" ht="14.75" customHeight="1" x14ac:dyDescent="0.4">
      <c r="A593" s="96">
        <v>207</v>
      </c>
      <c r="B593" s="101"/>
      <c r="C593" s="102"/>
      <c r="D593" s="111"/>
      <c r="E593" s="111"/>
      <c r="F593" s="110"/>
      <c r="G593" s="112"/>
      <c r="H593" s="114">
        <f t="shared" si="9"/>
        <v>0</v>
      </c>
    </row>
    <row r="594" spans="1:8" ht="14.75" customHeight="1" x14ac:dyDescent="0.4">
      <c r="A594" s="96">
        <v>208</v>
      </c>
      <c r="B594" s="101"/>
      <c r="C594" s="102"/>
      <c r="D594" s="111"/>
      <c r="E594" s="111"/>
      <c r="F594" s="110"/>
      <c r="G594" s="112"/>
      <c r="H594" s="114">
        <f t="shared" si="9"/>
        <v>0</v>
      </c>
    </row>
    <row r="595" spans="1:8" ht="14.75" customHeight="1" x14ac:dyDescent="0.4">
      <c r="A595" s="96">
        <v>209</v>
      </c>
      <c r="B595" s="101"/>
      <c r="C595" s="102"/>
      <c r="D595" s="111"/>
      <c r="E595" s="111"/>
      <c r="F595" s="110"/>
      <c r="G595" s="112"/>
      <c r="H595" s="114">
        <f t="shared" si="9"/>
        <v>0</v>
      </c>
    </row>
    <row r="596" spans="1:8" ht="14.75" customHeight="1" x14ac:dyDescent="0.4">
      <c r="A596" s="96">
        <v>210</v>
      </c>
      <c r="B596" s="101"/>
      <c r="C596" s="102"/>
      <c r="D596" s="111"/>
      <c r="E596" s="111"/>
      <c r="F596" s="110"/>
      <c r="G596" s="112"/>
      <c r="H596" s="114">
        <f t="shared" si="9"/>
        <v>0</v>
      </c>
    </row>
    <row r="597" spans="1:8" ht="14.75" customHeight="1" x14ac:dyDescent="0.4">
      <c r="A597" s="96">
        <v>211</v>
      </c>
      <c r="B597" s="101"/>
      <c r="C597" s="102"/>
      <c r="D597" s="111"/>
      <c r="E597" s="111"/>
      <c r="F597" s="110"/>
      <c r="G597" s="112"/>
      <c r="H597" s="114">
        <f t="shared" si="9"/>
        <v>0</v>
      </c>
    </row>
    <row r="598" spans="1:8" ht="14.75" customHeight="1" x14ac:dyDescent="0.4">
      <c r="A598" s="96">
        <v>212</v>
      </c>
      <c r="B598" s="101"/>
      <c r="C598" s="102"/>
      <c r="D598" s="111"/>
      <c r="E598" s="111"/>
      <c r="F598" s="110"/>
      <c r="G598" s="112"/>
      <c r="H598" s="114">
        <f t="shared" si="9"/>
        <v>0</v>
      </c>
    </row>
    <row r="599" spans="1:8" ht="14.75" customHeight="1" x14ac:dyDescent="0.4">
      <c r="A599" s="96">
        <v>213</v>
      </c>
      <c r="B599" s="101"/>
      <c r="C599" s="102"/>
      <c r="D599" s="111"/>
      <c r="E599" s="111"/>
      <c r="F599" s="110"/>
      <c r="G599" s="112"/>
      <c r="H599" s="114">
        <f t="shared" si="9"/>
        <v>0</v>
      </c>
    </row>
    <row r="600" spans="1:8" ht="14.75" customHeight="1" x14ac:dyDescent="0.4">
      <c r="A600" s="96">
        <v>214</v>
      </c>
      <c r="B600" s="101"/>
      <c r="C600" s="102"/>
      <c r="D600" s="111"/>
      <c r="E600" s="111"/>
      <c r="F600" s="110"/>
      <c r="G600" s="112"/>
      <c r="H600" s="114">
        <f t="shared" si="9"/>
        <v>0</v>
      </c>
    </row>
    <row r="601" spans="1:8" ht="14.75" customHeight="1" x14ac:dyDescent="0.4">
      <c r="A601" s="96">
        <v>215</v>
      </c>
      <c r="B601" s="101"/>
      <c r="C601" s="102"/>
      <c r="D601" s="111"/>
      <c r="E601" s="111"/>
      <c r="F601" s="110"/>
      <c r="G601" s="112"/>
      <c r="H601" s="114">
        <f t="shared" si="9"/>
        <v>0</v>
      </c>
    </row>
    <row r="602" spans="1:8" ht="14.75" customHeight="1" x14ac:dyDescent="0.4">
      <c r="A602" s="96">
        <v>216</v>
      </c>
      <c r="B602" s="101"/>
      <c r="C602" s="102"/>
      <c r="D602" s="111"/>
      <c r="E602" s="111"/>
      <c r="F602" s="110"/>
      <c r="G602" s="112"/>
      <c r="H602" s="114">
        <f t="shared" si="9"/>
        <v>0</v>
      </c>
    </row>
    <row r="603" spans="1:8" ht="14.75" customHeight="1" x14ac:dyDescent="0.4">
      <c r="A603" s="96">
        <v>217</v>
      </c>
      <c r="B603" s="101"/>
      <c r="C603" s="102"/>
      <c r="D603" s="111"/>
      <c r="E603" s="111"/>
      <c r="F603" s="110"/>
      <c r="G603" s="112"/>
      <c r="H603" s="114">
        <f t="shared" si="9"/>
        <v>0</v>
      </c>
    </row>
    <row r="604" spans="1:8" ht="14.75" customHeight="1" x14ac:dyDescent="0.4">
      <c r="A604" s="96">
        <v>218</v>
      </c>
      <c r="B604" s="101"/>
      <c r="C604" s="102"/>
      <c r="D604" s="111"/>
      <c r="E604" s="111"/>
      <c r="F604" s="110"/>
      <c r="G604" s="112"/>
      <c r="H604" s="114">
        <f t="shared" si="9"/>
        <v>0</v>
      </c>
    </row>
    <row r="605" spans="1:8" ht="14.75" customHeight="1" x14ac:dyDescent="0.4">
      <c r="A605" s="96">
        <v>219</v>
      </c>
      <c r="B605" s="101"/>
      <c r="C605" s="102"/>
      <c r="D605" s="111"/>
      <c r="E605" s="111"/>
      <c r="F605" s="110"/>
      <c r="G605" s="112"/>
      <c r="H605" s="114">
        <f t="shared" si="9"/>
        <v>0</v>
      </c>
    </row>
    <row r="606" spans="1:8" ht="14.75" customHeight="1" x14ac:dyDescent="0.4">
      <c r="A606" s="96">
        <v>220</v>
      </c>
      <c r="B606" s="101"/>
      <c r="C606" s="102"/>
      <c r="D606" s="111"/>
      <c r="E606" s="111"/>
      <c r="F606" s="110"/>
      <c r="G606" s="112"/>
      <c r="H606" s="114">
        <f t="shared" si="9"/>
        <v>0</v>
      </c>
    </row>
    <row r="607" spans="1:8" ht="14.75" customHeight="1" x14ac:dyDescent="0.4">
      <c r="A607" s="96">
        <v>221</v>
      </c>
      <c r="B607" s="101"/>
      <c r="C607" s="102"/>
      <c r="D607" s="111"/>
      <c r="E607" s="111"/>
      <c r="F607" s="110"/>
      <c r="G607" s="112"/>
      <c r="H607" s="114">
        <f t="shared" si="9"/>
        <v>0</v>
      </c>
    </row>
    <row r="608" spans="1:8" ht="14.75" customHeight="1" x14ac:dyDescent="0.4">
      <c r="A608" s="96">
        <v>222</v>
      </c>
      <c r="B608" s="101"/>
      <c r="C608" s="102"/>
      <c r="D608" s="111"/>
      <c r="E608" s="111"/>
      <c r="F608" s="110"/>
      <c r="G608" s="112"/>
      <c r="H608" s="114">
        <f t="shared" si="9"/>
        <v>0</v>
      </c>
    </row>
    <row r="609" spans="1:8" ht="14.75" customHeight="1" x14ac:dyDescent="0.4">
      <c r="A609" s="96">
        <v>223</v>
      </c>
      <c r="B609" s="101"/>
      <c r="C609" s="102"/>
      <c r="D609" s="111"/>
      <c r="E609" s="111"/>
      <c r="F609" s="110"/>
      <c r="G609" s="112"/>
      <c r="H609" s="114">
        <f t="shared" si="9"/>
        <v>0</v>
      </c>
    </row>
    <row r="610" spans="1:8" ht="14.75" customHeight="1" x14ac:dyDescent="0.4">
      <c r="A610" s="96">
        <v>224</v>
      </c>
      <c r="B610" s="101"/>
      <c r="C610" s="102"/>
      <c r="D610" s="111"/>
      <c r="E610" s="111"/>
      <c r="F610" s="110"/>
      <c r="G610" s="112"/>
      <c r="H610" s="114">
        <f t="shared" ref="H610:H673" si="10">H609+F610-G610</f>
        <v>0</v>
      </c>
    </row>
    <row r="611" spans="1:8" ht="14.75" customHeight="1" x14ac:dyDescent="0.4">
      <c r="A611" s="96">
        <v>225</v>
      </c>
      <c r="B611" s="101"/>
      <c r="C611" s="102"/>
      <c r="D611" s="111"/>
      <c r="E611" s="111"/>
      <c r="F611" s="110"/>
      <c r="G611" s="112"/>
      <c r="H611" s="114">
        <f t="shared" si="10"/>
        <v>0</v>
      </c>
    </row>
    <row r="612" spans="1:8" ht="14.75" customHeight="1" x14ac:dyDescent="0.4">
      <c r="A612" s="96">
        <v>226</v>
      </c>
      <c r="B612" s="101"/>
      <c r="C612" s="102"/>
      <c r="D612" s="111"/>
      <c r="E612" s="111"/>
      <c r="F612" s="110"/>
      <c r="G612" s="112"/>
      <c r="H612" s="114">
        <f t="shared" si="10"/>
        <v>0</v>
      </c>
    </row>
    <row r="613" spans="1:8" ht="14.75" customHeight="1" x14ac:dyDescent="0.4">
      <c r="A613" s="96">
        <v>227</v>
      </c>
      <c r="B613" s="101"/>
      <c r="C613" s="102"/>
      <c r="D613" s="111"/>
      <c r="E613" s="111"/>
      <c r="F613" s="110"/>
      <c r="G613" s="112"/>
      <c r="H613" s="114">
        <f t="shared" si="10"/>
        <v>0</v>
      </c>
    </row>
    <row r="614" spans="1:8" ht="14.75" customHeight="1" x14ac:dyDescent="0.4">
      <c r="A614" s="96">
        <v>228</v>
      </c>
      <c r="B614" s="101"/>
      <c r="C614" s="102"/>
      <c r="D614" s="111"/>
      <c r="E614" s="111"/>
      <c r="F614" s="110"/>
      <c r="G614" s="112"/>
      <c r="H614" s="114">
        <f t="shared" si="10"/>
        <v>0</v>
      </c>
    </row>
    <row r="615" spans="1:8" ht="14.75" customHeight="1" x14ac:dyDescent="0.4">
      <c r="A615" s="96">
        <v>229</v>
      </c>
      <c r="B615" s="101"/>
      <c r="C615" s="102"/>
      <c r="D615" s="111"/>
      <c r="E615" s="111"/>
      <c r="F615" s="110"/>
      <c r="G615" s="112"/>
      <c r="H615" s="114">
        <f t="shared" si="10"/>
        <v>0</v>
      </c>
    </row>
    <row r="616" spans="1:8" ht="14.75" customHeight="1" x14ac:dyDescent="0.4">
      <c r="A616" s="96">
        <v>230</v>
      </c>
      <c r="B616" s="101"/>
      <c r="C616" s="102"/>
      <c r="D616" s="111"/>
      <c r="E616" s="111"/>
      <c r="F616" s="110"/>
      <c r="G616" s="112"/>
      <c r="H616" s="114">
        <f t="shared" si="10"/>
        <v>0</v>
      </c>
    </row>
    <row r="617" spans="1:8" ht="14.75" customHeight="1" x14ac:dyDescent="0.4">
      <c r="A617" s="96">
        <v>231</v>
      </c>
      <c r="B617" s="101"/>
      <c r="C617" s="102"/>
      <c r="D617" s="111"/>
      <c r="E617" s="111"/>
      <c r="F617" s="110"/>
      <c r="G617" s="112"/>
      <c r="H617" s="114">
        <f t="shared" si="10"/>
        <v>0</v>
      </c>
    </row>
    <row r="618" spans="1:8" ht="14.75" customHeight="1" x14ac:dyDescent="0.4">
      <c r="A618" s="96">
        <v>232</v>
      </c>
      <c r="B618" s="101"/>
      <c r="C618" s="102"/>
      <c r="D618" s="111"/>
      <c r="E618" s="111"/>
      <c r="F618" s="110"/>
      <c r="G618" s="112"/>
      <c r="H618" s="114">
        <f t="shared" si="10"/>
        <v>0</v>
      </c>
    </row>
    <row r="619" spans="1:8" ht="14.75" customHeight="1" x14ac:dyDescent="0.4">
      <c r="A619" s="96">
        <v>233</v>
      </c>
      <c r="B619" s="101"/>
      <c r="C619" s="102"/>
      <c r="D619" s="111"/>
      <c r="E619" s="111"/>
      <c r="F619" s="110"/>
      <c r="G619" s="112"/>
      <c r="H619" s="114">
        <f t="shared" si="10"/>
        <v>0</v>
      </c>
    </row>
    <row r="620" spans="1:8" ht="14.75" customHeight="1" x14ac:dyDescent="0.4">
      <c r="A620" s="96">
        <v>234</v>
      </c>
      <c r="B620" s="101"/>
      <c r="C620" s="102"/>
      <c r="D620" s="111"/>
      <c r="E620" s="111"/>
      <c r="F620" s="110"/>
      <c r="G620" s="112"/>
      <c r="H620" s="114">
        <f t="shared" si="10"/>
        <v>0</v>
      </c>
    </row>
    <row r="621" spans="1:8" ht="14.75" customHeight="1" x14ac:dyDescent="0.4">
      <c r="A621" s="96">
        <v>235</v>
      </c>
      <c r="B621" s="101"/>
      <c r="C621" s="102"/>
      <c r="D621" s="111"/>
      <c r="E621" s="111"/>
      <c r="F621" s="110"/>
      <c r="G621" s="112"/>
      <c r="H621" s="114">
        <f t="shared" si="10"/>
        <v>0</v>
      </c>
    </row>
    <row r="622" spans="1:8" ht="14.75" customHeight="1" x14ac:dyDescent="0.4">
      <c r="A622" s="96">
        <v>236</v>
      </c>
      <c r="B622" s="101"/>
      <c r="C622" s="102"/>
      <c r="D622" s="111"/>
      <c r="E622" s="111"/>
      <c r="F622" s="110"/>
      <c r="G622" s="112"/>
      <c r="H622" s="114">
        <f t="shared" si="10"/>
        <v>0</v>
      </c>
    </row>
    <row r="623" spans="1:8" ht="14.75" customHeight="1" x14ac:dyDescent="0.4">
      <c r="A623" s="96">
        <v>237</v>
      </c>
      <c r="B623" s="101"/>
      <c r="C623" s="102"/>
      <c r="D623" s="111"/>
      <c r="E623" s="111"/>
      <c r="F623" s="110"/>
      <c r="G623" s="112"/>
      <c r="H623" s="114">
        <f t="shared" si="10"/>
        <v>0</v>
      </c>
    </row>
    <row r="624" spans="1:8" ht="14.75" customHeight="1" x14ac:dyDescent="0.4">
      <c r="A624" s="96">
        <v>238</v>
      </c>
      <c r="B624" s="101"/>
      <c r="C624" s="102"/>
      <c r="D624" s="111"/>
      <c r="E624" s="111"/>
      <c r="F624" s="110"/>
      <c r="G624" s="112"/>
      <c r="H624" s="114">
        <f t="shared" si="10"/>
        <v>0</v>
      </c>
    </row>
    <row r="625" spans="1:8" ht="14.75" customHeight="1" x14ac:dyDescent="0.4">
      <c r="A625" s="96">
        <v>239</v>
      </c>
      <c r="B625" s="101"/>
      <c r="C625" s="102"/>
      <c r="D625" s="111"/>
      <c r="E625" s="111"/>
      <c r="F625" s="110"/>
      <c r="G625" s="112"/>
      <c r="H625" s="114">
        <f t="shared" si="10"/>
        <v>0</v>
      </c>
    </row>
    <row r="626" spans="1:8" ht="14.75" customHeight="1" x14ac:dyDescent="0.4">
      <c r="A626" s="96">
        <v>240</v>
      </c>
      <c r="B626" s="101"/>
      <c r="C626" s="102"/>
      <c r="D626" s="111"/>
      <c r="E626" s="111"/>
      <c r="F626" s="110"/>
      <c r="G626" s="112"/>
      <c r="H626" s="114">
        <f t="shared" si="10"/>
        <v>0</v>
      </c>
    </row>
    <row r="627" spans="1:8" ht="14.75" customHeight="1" x14ac:dyDescent="0.4">
      <c r="A627" s="96">
        <v>241</v>
      </c>
      <c r="B627" s="101"/>
      <c r="C627" s="102"/>
      <c r="D627" s="111"/>
      <c r="E627" s="111"/>
      <c r="F627" s="110"/>
      <c r="G627" s="112"/>
      <c r="H627" s="114">
        <f t="shared" si="10"/>
        <v>0</v>
      </c>
    </row>
    <row r="628" spans="1:8" ht="14.75" customHeight="1" x14ac:dyDescent="0.4">
      <c r="A628" s="96">
        <v>242</v>
      </c>
      <c r="B628" s="101"/>
      <c r="C628" s="102"/>
      <c r="D628" s="111"/>
      <c r="E628" s="111"/>
      <c r="F628" s="110"/>
      <c r="G628" s="112"/>
      <c r="H628" s="114">
        <f t="shared" si="10"/>
        <v>0</v>
      </c>
    </row>
    <row r="629" spans="1:8" ht="14.75" customHeight="1" x14ac:dyDescent="0.4">
      <c r="A629" s="96">
        <v>243</v>
      </c>
      <c r="B629" s="101"/>
      <c r="C629" s="102"/>
      <c r="D629" s="111"/>
      <c r="E629" s="111"/>
      <c r="F629" s="110"/>
      <c r="G629" s="112"/>
      <c r="H629" s="114">
        <f t="shared" si="10"/>
        <v>0</v>
      </c>
    </row>
    <row r="630" spans="1:8" ht="14.75" customHeight="1" x14ac:dyDescent="0.4">
      <c r="A630" s="96">
        <v>244</v>
      </c>
      <c r="B630" s="101"/>
      <c r="C630" s="102"/>
      <c r="D630" s="111"/>
      <c r="E630" s="111"/>
      <c r="F630" s="110"/>
      <c r="G630" s="112"/>
      <c r="H630" s="114">
        <f t="shared" si="10"/>
        <v>0</v>
      </c>
    </row>
    <row r="631" spans="1:8" ht="14.75" customHeight="1" x14ac:dyDescent="0.4">
      <c r="A631" s="96">
        <v>245</v>
      </c>
      <c r="B631" s="101"/>
      <c r="C631" s="102"/>
      <c r="D631" s="111"/>
      <c r="E631" s="111"/>
      <c r="F631" s="110"/>
      <c r="G631" s="112"/>
      <c r="H631" s="114">
        <f t="shared" si="10"/>
        <v>0</v>
      </c>
    </row>
    <row r="632" spans="1:8" ht="14.75" customHeight="1" x14ac:dyDescent="0.4">
      <c r="A632" s="96">
        <v>246</v>
      </c>
      <c r="B632" s="101"/>
      <c r="C632" s="102"/>
      <c r="D632" s="111"/>
      <c r="E632" s="111"/>
      <c r="F632" s="110"/>
      <c r="G632" s="112"/>
      <c r="H632" s="114">
        <f t="shared" si="10"/>
        <v>0</v>
      </c>
    </row>
    <row r="633" spans="1:8" ht="14.75" customHeight="1" x14ac:dyDescent="0.4">
      <c r="A633" s="96">
        <v>247</v>
      </c>
      <c r="B633" s="101"/>
      <c r="C633" s="102"/>
      <c r="D633" s="111"/>
      <c r="E633" s="111"/>
      <c r="F633" s="110"/>
      <c r="G633" s="112"/>
      <c r="H633" s="114">
        <f t="shared" si="10"/>
        <v>0</v>
      </c>
    </row>
    <row r="634" spans="1:8" ht="14.75" customHeight="1" x14ac:dyDescent="0.4">
      <c r="A634" s="96">
        <v>248</v>
      </c>
      <c r="B634" s="101"/>
      <c r="C634" s="102"/>
      <c r="D634" s="111"/>
      <c r="E634" s="111"/>
      <c r="F634" s="110"/>
      <c r="G634" s="112"/>
      <c r="H634" s="114">
        <f t="shared" si="10"/>
        <v>0</v>
      </c>
    </row>
    <row r="635" spans="1:8" ht="14.75" customHeight="1" x14ac:dyDescent="0.4">
      <c r="A635" s="96">
        <v>249</v>
      </c>
      <c r="B635" s="101"/>
      <c r="C635" s="102"/>
      <c r="D635" s="111"/>
      <c r="E635" s="111"/>
      <c r="F635" s="110"/>
      <c r="G635" s="112"/>
      <c r="H635" s="114">
        <f t="shared" si="10"/>
        <v>0</v>
      </c>
    </row>
    <row r="636" spans="1:8" ht="14.75" customHeight="1" x14ac:dyDescent="0.4">
      <c r="A636" s="96">
        <v>250</v>
      </c>
      <c r="B636" s="101"/>
      <c r="C636" s="102"/>
      <c r="D636" s="111"/>
      <c r="E636" s="111"/>
      <c r="F636" s="110"/>
      <c r="G636" s="112"/>
      <c r="H636" s="114">
        <f t="shared" si="10"/>
        <v>0</v>
      </c>
    </row>
    <row r="637" spans="1:8" ht="14.75" customHeight="1" x14ac:dyDescent="0.4">
      <c r="A637" s="96">
        <v>251</v>
      </c>
      <c r="B637" s="101"/>
      <c r="C637" s="102"/>
      <c r="D637" s="111"/>
      <c r="E637" s="111"/>
      <c r="F637" s="110"/>
      <c r="G637" s="112"/>
      <c r="H637" s="114">
        <f t="shared" si="10"/>
        <v>0</v>
      </c>
    </row>
    <row r="638" spans="1:8" ht="14.75" customHeight="1" x14ac:dyDescent="0.4">
      <c r="A638" s="96">
        <v>252</v>
      </c>
      <c r="B638" s="101"/>
      <c r="C638" s="102"/>
      <c r="D638" s="111"/>
      <c r="E638" s="111"/>
      <c r="F638" s="110"/>
      <c r="G638" s="112"/>
      <c r="H638" s="114">
        <f t="shared" si="10"/>
        <v>0</v>
      </c>
    </row>
    <row r="639" spans="1:8" ht="14.75" customHeight="1" x14ac:dyDescent="0.4">
      <c r="A639" s="96">
        <v>253</v>
      </c>
      <c r="B639" s="101"/>
      <c r="C639" s="102"/>
      <c r="D639" s="111"/>
      <c r="E639" s="111"/>
      <c r="F639" s="110"/>
      <c r="G639" s="112"/>
      <c r="H639" s="114">
        <f t="shared" si="10"/>
        <v>0</v>
      </c>
    </row>
    <row r="640" spans="1:8" ht="14.75" customHeight="1" x14ac:dyDescent="0.4">
      <c r="A640" s="96">
        <v>254</v>
      </c>
      <c r="B640" s="101"/>
      <c r="C640" s="102"/>
      <c r="D640" s="111"/>
      <c r="E640" s="111"/>
      <c r="F640" s="110"/>
      <c r="G640" s="112"/>
      <c r="H640" s="114">
        <f t="shared" si="10"/>
        <v>0</v>
      </c>
    </row>
    <row r="641" spans="1:8" ht="14.75" customHeight="1" x14ac:dyDescent="0.4">
      <c r="A641" s="96">
        <v>255</v>
      </c>
      <c r="B641" s="101"/>
      <c r="C641" s="102"/>
      <c r="D641" s="111"/>
      <c r="E641" s="111"/>
      <c r="F641" s="110"/>
      <c r="G641" s="112"/>
      <c r="H641" s="114">
        <f t="shared" si="10"/>
        <v>0</v>
      </c>
    </row>
    <row r="642" spans="1:8" ht="14.75" customHeight="1" x14ac:dyDescent="0.4">
      <c r="A642" s="96">
        <v>256</v>
      </c>
      <c r="B642" s="101"/>
      <c r="C642" s="102"/>
      <c r="D642" s="111"/>
      <c r="E642" s="111"/>
      <c r="F642" s="110"/>
      <c r="G642" s="112"/>
      <c r="H642" s="114">
        <f t="shared" si="10"/>
        <v>0</v>
      </c>
    </row>
    <row r="643" spans="1:8" ht="14.75" customHeight="1" x14ac:dyDescent="0.4">
      <c r="A643" s="96">
        <v>257</v>
      </c>
      <c r="B643" s="101"/>
      <c r="C643" s="102"/>
      <c r="D643" s="111"/>
      <c r="E643" s="111"/>
      <c r="F643" s="110"/>
      <c r="G643" s="112"/>
      <c r="H643" s="114">
        <f t="shared" si="10"/>
        <v>0</v>
      </c>
    </row>
    <row r="644" spans="1:8" ht="14.75" customHeight="1" x14ac:dyDescent="0.4">
      <c r="A644" s="96">
        <v>258</v>
      </c>
      <c r="B644" s="101"/>
      <c r="C644" s="102"/>
      <c r="D644" s="111"/>
      <c r="E644" s="111"/>
      <c r="F644" s="110"/>
      <c r="G644" s="112"/>
      <c r="H644" s="114">
        <f t="shared" si="10"/>
        <v>0</v>
      </c>
    </row>
    <row r="645" spans="1:8" ht="14.75" customHeight="1" x14ac:dyDescent="0.4">
      <c r="A645" s="96">
        <v>259</v>
      </c>
      <c r="B645" s="101"/>
      <c r="C645" s="102"/>
      <c r="D645" s="111"/>
      <c r="E645" s="111"/>
      <c r="F645" s="110"/>
      <c r="G645" s="112"/>
      <c r="H645" s="114">
        <f t="shared" si="10"/>
        <v>0</v>
      </c>
    </row>
    <row r="646" spans="1:8" ht="14.75" customHeight="1" x14ac:dyDescent="0.4">
      <c r="A646" s="96">
        <v>260</v>
      </c>
      <c r="B646" s="101"/>
      <c r="C646" s="102"/>
      <c r="D646" s="111"/>
      <c r="E646" s="111"/>
      <c r="F646" s="110"/>
      <c r="G646" s="112"/>
      <c r="H646" s="114">
        <f t="shared" si="10"/>
        <v>0</v>
      </c>
    </row>
    <row r="647" spans="1:8" ht="14.75" customHeight="1" x14ac:dyDescent="0.4">
      <c r="A647" s="96">
        <v>261</v>
      </c>
      <c r="B647" s="101"/>
      <c r="C647" s="102"/>
      <c r="D647" s="111"/>
      <c r="E647" s="111"/>
      <c r="F647" s="110"/>
      <c r="G647" s="112"/>
      <c r="H647" s="114">
        <f t="shared" si="10"/>
        <v>0</v>
      </c>
    </row>
    <row r="648" spans="1:8" ht="14.75" customHeight="1" x14ac:dyDescent="0.4">
      <c r="A648" s="96">
        <v>262</v>
      </c>
      <c r="B648" s="101"/>
      <c r="C648" s="102"/>
      <c r="D648" s="111"/>
      <c r="E648" s="111"/>
      <c r="F648" s="110"/>
      <c r="G648" s="112"/>
      <c r="H648" s="114">
        <f t="shared" si="10"/>
        <v>0</v>
      </c>
    </row>
    <row r="649" spans="1:8" ht="14.75" customHeight="1" x14ac:dyDescent="0.4">
      <c r="A649" s="96">
        <v>263</v>
      </c>
      <c r="B649" s="101"/>
      <c r="C649" s="102"/>
      <c r="D649" s="111"/>
      <c r="E649" s="111"/>
      <c r="F649" s="110"/>
      <c r="G649" s="112"/>
      <c r="H649" s="114">
        <f t="shared" si="10"/>
        <v>0</v>
      </c>
    </row>
    <row r="650" spans="1:8" ht="14.75" customHeight="1" x14ac:dyDescent="0.4">
      <c r="A650" s="96">
        <v>264</v>
      </c>
      <c r="B650" s="101"/>
      <c r="C650" s="102"/>
      <c r="D650" s="111"/>
      <c r="E650" s="111"/>
      <c r="F650" s="110"/>
      <c r="G650" s="112"/>
      <c r="H650" s="114">
        <f t="shared" si="10"/>
        <v>0</v>
      </c>
    </row>
    <row r="651" spans="1:8" ht="14.75" customHeight="1" x14ac:dyDescent="0.4">
      <c r="A651" s="96">
        <v>265</v>
      </c>
      <c r="B651" s="101"/>
      <c r="C651" s="102"/>
      <c r="D651" s="111"/>
      <c r="E651" s="111"/>
      <c r="F651" s="110"/>
      <c r="G651" s="112"/>
      <c r="H651" s="114">
        <f t="shared" si="10"/>
        <v>0</v>
      </c>
    </row>
    <row r="652" spans="1:8" ht="14.75" customHeight="1" x14ac:dyDescent="0.4">
      <c r="A652" s="96">
        <v>266</v>
      </c>
      <c r="B652" s="101"/>
      <c r="C652" s="102"/>
      <c r="D652" s="111"/>
      <c r="E652" s="111"/>
      <c r="F652" s="110"/>
      <c r="G652" s="112"/>
      <c r="H652" s="114">
        <f t="shared" si="10"/>
        <v>0</v>
      </c>
    </row>
    <row r="653" spans="1:8" ht="14.75" customHeight="1" x14ac:dyDescent="0.4">
      <c r="A653" s="96">
        <v>267</v>
      </c>
      <c r="B653" s="101"/>
      <c r="C653" s="102"/>
      <c r="D653" s="111"/>
      <c r="E653" s="111"/>
      <c r="F653" s="110"/>
      <c r="G653" s="112"/>
      <c r="H653" s="114">
        <f t="shared" si="10"/>
        <v>0</v>
      </c>
    </row>
    <row r="654" spans="1:8" ht="14.75" customHeight="1" x14ac:dyDescent="0.4">
      <c r="A654" s="96">
        <v>268</v>
      </c>
      <c r="B654" s="101"/>
      <c r="C654" s="102"/>
      <c r="D654" s="111"/>
      <c r="E654" s="111"/>
      <c r="F654" s="110"/>
      <c r="G654" s="112"/>
      <c r="H654" s="114">
        <f t="shared" si="10"/>
        <v>0</v>
      </c>
    </row>
    <row r="655" spans="1:8" ht="14.75" customHeight="1" x14ac:dyDescent="0.4">
      <c r="A655" s="96">
        <v>269</v>
      </c>
      <c r="B655" s="101"/>
      <c r="C655" s="102"/>
      <c r="D655" s="111"/>
      <c r="E655" s="111"/>
      <c r="F655" s="110"/>
      <c r="G655" s="112"/>
      <c r="H655" s="114">
        <f t="shared" si="10"/>
        <v>0</v>
      </c>
    </row>
    <row r="656" spans="1:8" ht="14.75" customHeight="1" x14ac:dyDescent="0.4">
      <c r="A656" s="96">
        <v>270</v>
      </c>
      <c r="B656" s="101"/>
      <c r="C656" s="102"/>
      <c r="D656" s="111"/>
      <c r="E656" s="111"/>
      <c r="F656" s="110"/>
      <c r="G656" s="112"/>
      <c r="H656" s="114">
        <f t="shared" si="10"/>
        <v>0</v>
      </c>
    </row>
    <row r="657" spans="1:8" ht="14.75" customHeight="1" x14ac:dyDescent="0.4">
      <c r="A657" s="96">
        <v>271</v>
      </c>
      <c r="B657" s="101"/>
      <c r="C657" s="102"/>
      <c r="D657" s="111"/>
      <c r="E657" s="111"/>
      <c r="F657" s="110"/>
      <c r="G657" s="112"/>
      <c r="H657" s="114">
        <f t="shared" si="10"/>
        <v>0</v>
      </c>
    </row>
    <row r="658" spans="1:8" ht="14.75" customHeight="1" x14ac:dyDescent="0.4">
      <c r="A658" s="96">
        <v>272</v>
      </c>
      <c r="B658" s="101"/>
      <c r="C658" s="102"/>
      <c r="D658" s="111"/>
      <c r="E658" s="111"/>
      <c r="F658" s="110"/>
      <c r="G658" s="112"/>
      <c r="H658" s="114">
        <f t="shared" si="10"/>
        <v>0</v>
      </c>
    </row>
    <row r="659" spans="1:8" ht="14.75" customHeight="1" x14ac:dyDescent="0.4">
      <c r="A659" s="96">
        <v>273</v>
      </c>
      <c r="B659" s="101"/>
      <c r="C659" s="102"/>
      <c r="D659" s="111"/>
      <c r="E659" s="111"/>
      <c r="F659" s="110"/>
      <c r="G659" s="112"/>
      <c r="H659" s="114">
        <f t="shared" si="10"/>
        <v>0</v>
      </c>
    </row>
    <row r="660" spans="1:8" ht="14.75" customHeight="1" x14ac:dyDescent="0.4">
      <c r="A660" s="96">
        <v>274</v>
      </c>
      <c r="B660" s="101"/>
      <c r="C660" s="102"/>
      <c r="D660" s="111"/>
      <c r="E660" s="111"/>
      <c r="F660" s="110"/>
      <c r="G660" s="112"/>
      <c r="H660" s="114">
        <f t="shared" si="10"/>
        <v>0</v>
      </c>
    </row>
    <row r="661" spans="1:8" ht="14.75" customHeight="1" x14ac:dyDescent="0.4">
      <c r="A661" s="96">
        <v>275</v>
      </c>
      <c r="B661" s="101"/>
      <c r="C661" s="102"/>
      <c r="D661" s="111"/>
      <c r="E661" s="111"/>
      <c r="F661" s="110"/>
      <c r="G661" s="112"/>
      <c r="H661" s="114">
        <f t="shared" si="10"/>
        <v>0</v>
      </c>
    </row>
    <row r="662" spans="1:8" ht="14.75" customHeight="1" x14ac:dyDescent="0.4">
      <c r="A662" s="96">
        <v>276</v>
      </c>
      <c r="B662" s="101"/>
      <c r="C662" s="102"/>
      <c r="D662" s="111"/>
      <c r="E662" s="111"/>
      <c r="F662" s="110"/>
      <c r="G662" s="112"/>
      <c r="H662" s="114">
        <f t="shared" si="10"/>
        <v>0</v>
      </c>
    </row>
    <row r="663" spans="1:8" ht="14.75" customHeight="1" x14ac:dyDescent="0.4">
      <c r="A663" s="96">
        <v>277</v>
      </c>
      <c r="B663" s="101"/>
      <c r="C663" s="102"/>
      <c r="D663" s="111"/>
      <c r="E663" s="111"/>
      <c r="F663" s="110"/>
      <c r="G663" s="112"/>
      <c r="H663" s="114">
        <f t="shared" si="10"/>
        <v>0</v>
      </c>
    </row>
    <row r="664" spans="1:8" ht="14.75" customHeight="1" x14ac:dyDescent="0.4">
      <c r="A664" s="96">
        <v>278</v>
      </c>
      <c r="B664" s="101"/>
      <c r="C664" s="102"/>
      <c r="D664" s="111"/>
      <c r="E664" s="111"/>
      <c r="F664" s="110"/>
      <c r="G664" s="112"/>
      <c r="H664" s="114">
        <f t="shared" si="10"/>
        <v>0</v>
      </c>
    </row>
    <row r="665" spans="1:8" ht="14.75" customHeight="1" x14ac:dyDescent="0.4">
      <c r="A665" s="96">
        <v>279</v>
      </c>
      <c r="B665" s="101"/>
      <c r="C665" s="102"/>
      <c r="D665" s="111"/>
      <c r="E665" s="111"/>
      <c r="F665" s="110"/>
      <c r="G665" s="112"/>
      <c r="H665" s="114">
        <f t="shared" si="10"/>
        <v>0</v>
      </c>
    </row>
    <row r="666" spans="1:8" ht="14.75" customHeight="1" x14ac:dyDescent="0.4">
      <c r="A666" s="96">
        <v>280</v>
      </c>
      <c r="B666" s="101"/>
      <c r="C666" s="102"/>
      <c r="D666" s="111"/>
      <c r="E666" s="111"/>
      <c r="F666" s="110"/>
      <c r="G666" s="112"/>
      <c r="H666" s="114">
        <f t="shared" si="10"/>
        <v>0</v>
      </c>
    </row>
    <row r="667" spans="1:8" ht="14.75" customHeight="1" x14ac:dyDescent="0.4">
      <c r="A667" s="96">
        <v>281</v>
      </c>
      <c r="B667" s="101"/>
      <c r="C667" s="102"/>
      <c r="D667" s="111"/>
      <c r="E667" s="111"/>
      <c r="F667" s="110"/>
      <c r="G667" s="112"/>
      <c r="H667" s="114">
        <f t="shared" si="10"/>
        <v>0</v>
      </c>
    </row>
    <row r="668" spans="1:8" ht="14.75" customHeight="1" x14ac:dyDescent="0.4">
      <c r="A668" s="96">
        <v>282</v>
      </c>
      <c r="B668" s="101"/>
      <c r="C668" s="102"/>
      <c r="D668" s="111"/>
      <c r="E668" s="111"/>
      <c r="F668" s="110"/>
      <c r="G668" s="112"/>
      <c r="H668" s="114">
        <f t="shared" si="10"/>
        <v>0</v>
      </c>
    </row>
    <row r="669" spans="1:8" ht="14.75" customHeight="1" x14ac:dyDescent="0.4">
      <c r="A669" s="96">
        <v>283</v>
      </c>
      <c r="B669" s="101"/>
      <c r="C669" s="102"/>
      <c r="D669" s="111"/>
      <c r="E669" s="111"/>
      <c r="F669" s="110"/>
      <c r="G669" s="112"/>
      <c r="H669" s="114">
        <f t="shared" si="10"/>
        <v>0</v>
      </c>
    </row>
    <row r="670" spans="1:8" ht="14.75" customHeight="1" x14ac:dyDescent="0.4">
      <c r="A670" s="96">
        <v>284</v>
      </c>
      <c r="B670" s="101"/>
      <c r="C670" s="102"/>
      <c r="D670" s="111"/>
      <c r="E670" s="111"/>
      <c r="F670" s="110"/>
      <c r="G670" s="112"/>
      <c r="H670" s="114">
        <f t="shared" si="10"/>
        <v>0</v>
      </c>
    </row>
    <row r="671" spans="1:8" ht="14.75" customHeight="1" x14ac:dyDescent="0.4">
      <c r="A671" s="96">
        <v>285</v>
      </c>
      <c r="B671" s="101"/>
      <c r="C671" s="102"/>
      <c r="D671" s="111"/>
      <c r="E671" s="111"/>
      <c r="F671" s="110"/>
      <c r="G671" s="112"/>
      <c r="H671" s="114">
        <f t="shared" si="10"/>
        <v>0</v>
      </c>
    </row>
    <row r="672" spans="1:8" ht="14.75" customHeight="1" x14ac:dyDescent="0.4">
      <c r="A672" s="96">
        <v>286</v>
      </c>
      <c r="B672" s="101"/>
      <c r="C672" s="102"/>
      <c r="D672" s="111"/>
      <c r="E672" s="111"/>
      <c r="F672" s="110"/>
      <c r="G672" s="112"/>
      <c r="H672" s="114">
        <f t="shared" si="10"/>
        <v>0</v>
      </c>
    </row>
    <row r="673" spans="1:8" ht="14.75" customHeight="1" x14ac:dyDescent="0.4">
      <c r="A673" s="96">
        <v>287</v>
      </c>
      <c r="B673" s="101"/>
      <c r="C673" s="102"/>
      <c r="D673" s="111"/>
      <c r="E673" s="111"/>
      <c r="F673" s="110"/>
      <c r="G673" s="112"/>
      <c r="H673" s="114">
        <f t="shared" si="10"/>
        <v>0</v>
      </c>
    </row>
    <row r="674" spans="1:8" ht="14.75" customHeight="1" x14ac:dyDescent="0.4">
      <c r="A674" s="96">
        <v>288</v>
      </c>
      <c r="B674" s="101"/>
      <c r="C674" s="102"/>
      <c r="D674" s="111"/>
      <c r="E674" s="111"/>
      <c r="F674" s="110"/>
      <c r="G674" s="112"/>
      <c r="H674" s="114">
        <f t="shared" ref="H674:H737" si="11">H673+F674-G674</f>
        <v>0</v>
      </c>
    </row>
    <row r="675" spans="1:8" ht="14.75" customHeight="1" x14ac:dyDescent="0.4">
      <c r="A675" s="96">
        <v>289</v>
      </c>
      <c r="B675" s="101"/>
      <c r="C675" s="102"/>
      <c r="D675" s="111"/>
      <c r="E675" s="111"/>
      <c r="F675" s="110"/>
      <c r="G675" s="112"/>
      <c r="H675" s="114">
        <f t="shared" si="11"/>
        <v>0</v>
      </c>
    </row>
    <row r="676" spans="1:8" ht="14.75" customHeight="1" x14ac:dyDescent="0.4">
      <c r="A676" s="96">
        <v>290</v>
      </c>
      <c r="B676" s="101"/>
      <c r="C676" s="102"/>
      <c r="D676" s="111"/>
      <c r="E676" s="111"/>
      <c r="F676" s="110"/>
      <c r="G676" s="112"/>
      <c r="H676" s="114">
        <f t="shared" si="11"/>
        <v>0</v>
      </c>
    </row>
    <row r="677" spans="1:8" ht="14.75" customHeight="1" x14ac:dyDescent="0.4">
      <c r="A677" s="96">
        <v>291</v>
      </c>
      <c r="B677" s="101"/>
      <c r="C677" s="102"/>
      <c r="D677" s="111"/>
      <c r="E677" s="111"/>
      <c r="F677" s="110"/>
      <c r="G677" s="112"/>
      <c r="H677" s="114">
        <f t="shared" si="11"/>
        <v>0</v>
      </c>
    </row>
    <row r="678" spans="1:8" ht="14.75" customHeight="1" x14ac:dyDescent="0.4">
      <c r="A678" s="96">
        <v>292</v>
      </c>
      <c r="B678" s="101"/>
      <c r="C678" s="102"/>
      <c r="D678" s="111"/>
      <c r="E678" s="111"/>
      <c r="F678" s="110"/>
      <c r="G678" s="112"/>
      <c r="H678" s="114">
        <f t="shared" si="11"/>
        <v>0</v>
      </c>
    </row>
    <row r="679" spans="1:8" ht="14.75" customHeight="1" x14ac:dyDescent="0.4">
      <c r="A679" s="96">
        <v>293</v>
      </c>
      <c r="B679" s="101"/>
      <c r="C679" s="102"/>
      <c r="D679" s="111"/>
      <c r="E679" s="111"/>
      <c r="F679" s="110"/>
      <c r="G679" s="112"/>
      <c r="H679" s="114">
        <f t="shared" si="11"/>
        <v>0</v>
      </c>
    </row>
    <row r="680" spans="1:8" ht="14.75" customHeight="1" x14ac:dyDescent="0.4">
      <c r="A680" s="96">
        <v>294</v>
      </c>
      <c r="B680" s="101"/>
      <c r="C680" s="102"/>
      <c r="D680" s="111"/>
      <c r="E680" s="111"/>
      <c r="F680" s="110"/>
      <c r="G680" s="112"/>
      <c r="H680" s="114">
        <f t="shared" si="11"/>
        <v>0</v>
      </c>
    </row>
    <row r="681" spans="1:8" ht="14.75" customHeight="1" x14ac:dyDescent="0.4">
      <c r="A681" s="96">
        <v>295</v>
      </c>
      <c r="B681" s="101"/>
      <c r="C681" s="102"/>
      <c r="D681" s="111"/>
      <c r="E681" s="111"/>
      <c r="F681" s="110"/>
      <c r="G681" s="112"/>
      <c r="H681" s="114">
        <f t="shared" si="11"/>
        <v>0</v>
      </c>
    </row>
    <row r="682" spans="1:8" ht="14.75" customHeight="1" x14ac:dyDescent="0.4">
      <c r="A682" s="96">
        <v>296</v>
      </c>
      <c r="B682" s="101"/>
      <c r="C682" s="102"/>
      <c r="D682" s="111"/>
      <c r="E682" s="111"/>
      <c r="F682" s="110"/>
      <c r="G682" s="112"/>
      <c r="H682" s="114">
        <f t="shared" si="11"/>
        <v>0</v>
      </c>
    </row>
    <row r="683" spans="1:8" ht="14.75" customHeight="1" x14ac:dyDescent="0.4">
      <c r="A683" s="96">
        <v>297</v>
      </c>
      <c r="B683" s="101"/>
      <c r="C683" s="102"/>
      <c r="D683" s="111"/>
      <c r="E683" s="111"/>
      <c r="F683" s="110"/>
      <c r="G683" s="112"/>
      <c r="H683" s="114">
        <f t="shared" si="11"/>
        <v>0</v>
      </c>
    </row>
    <row r="684" spans="1:8" ht="14.75" customHeight="1" x14ac:dyDescent="0.4">
      <c r="A684" s="96">
        <v>298</v>
      </c>
      <c r="B684" s="101"/>
      <c r="C684" s="102"/>
      <c r="D684" s="111"/>
      <c r="E684" s="111"/>
      <c r="F684" s="110"/>
      <c r="G684" s="112"/>
      <c r="H684" s="114">
        <f t="shared" si="11"/>
        <v>0</v>
      </c>
    </row>
    <row r="685" spans="1:8" ht="14.75" customHeight="1" x14ac:dyDescent="0.4">
      <c r="A685" s="96">
        <v>299</v>
      </c>
      <c r="B685" s="101"/>
      <c r="C685" s="102"/>
      <c r="D685" s="111"/>
      <c r="E685" s="111"/>
      <c r="F685" s="110"/>
      <c r="G685" s="112"/>
      <c r="H685" s="114">
        <f t="shared" si="11"/>
        <v>0</v>
      </c>
    </row>
    <row r="686" spans="1:8" ht="14.75" customHeight="1" x14ac:dyDescent="0.4">
      <c r="A686" s="96">
        <v>300</v>
      </c>
      <c r="B686" s="101"/>
      <c r="C686" s="102"/>
      <c r="D686" s="111"/>
      <c r="E686" s="111"/>
      <c r="F686" s="110"/>
      <c r="G686" s="112"/>
      <c r="H686" s="114">
        <f t="shared" si="11"/>
        <v>0</v>
      </c>
    </row>
    <row r="687" spans="1:8" ht="14.75" customHeight="1" x14ac:dyDescent="0.4">
      <c r="A687" s="96">
        <v>301</v>
      </c>
      <c r="B687" s="101"/>
      <c r="C687" s="102"/>
      <c r="D687" s="111"/>
      <c r="E687" s="111"/>
      <c r="F687" s="110"/>
      <c r="G687" s="112"/>
      <c r="H687" s="114">
        <f t="shared" si="11"/>
        <v>0</v>
      </c>
    </row>
    <row r="688" spans="1:8" ht="14.75" customHeight="1" x14ac:dyDescent="0.4">
      <c r="A688" s="96">
        <v>302</v>
      </c>
      <c r="B688" s="101"/>
      <c r="C688" s="102"/>
      <c r="D688" s="111"/>
      <c r="E688" s="111"/>
      <c r="F688" s="110"/>
      <c r="G688" s="112"/>
      <c r="H688" s="114">
        <f t="shared" si="11"/>
        <v>0</v>
      </c>
    </row>
    <row r="689" spans="1:8" ht="14.75" customHeight="1" x14ac:dyDescent="0.4">
      <c r="A689" s="96">
        <v>303</v>
      </c>
      <c r="B689" s="101"/>
      <c r="C689" s="102"/>
      <c r="D689" s="111"/>
      <c r="E689" s="111"/>
      <c r="F689" s="110"/>
      <c r="G689" s="112"/>
      <c r="H689" s="114">
        <f t="shared" si="11"/>
        <v>0</v>
      </c>
    </row>
    <row r="690" spans="1:8" ht="14.75" customHeight="1" x14ac:dyDescent="0.4">
      <c r="A690" s="96">
        <v>304</v>
      </c>
      <c r="B690" s="101"/>
      <c r="C690" s="102"/>
      <c r="D690" s="111"/>
      <c r="E690" s="111"/>
      <c r="F690" s="110"/>
      <c r="G690" s="112"/>
      <c r="H690" s="114">
        <f t="shared" si="11"/>
        <v>0</v>
      </c>
    </row>
    <row r="691" spans="1:8" ht="14.75" customHeight="1" x14ac:dyDescent="0.4">
      <c r="A691" s="96">
        <v>305</v>
      </c>
      <c r="B691" s="101"/>
      <c r="C691" s="102"/>
      <c r="D691" s="111"/>
      <c r="E691" s="111"/>
      <c r="F691" s="110"/>
      <c r="G691" s="112"/>
      <c r="H691" s="114">
        <f t="shared" si="11"/>
        <v>0</v>
      </c>
    </row>
    <row r="692" spans="1:8" ht="14.75" customHeight="1" x14ac:dyDescent="0.4">
      <c r="A692" s="96">
        <v>306</v>
      </c>
      <c r="B692" s="101"/>
      <c r="C692" s="102"/>
      <c r="D692" s="111"/>
      <c r="E692" s="111"/>
      <c r="F692" s="110"/>
      <c r="G692" s="112"/>
      <c r="H692" s="114">
        <f t="shared" si="11"/>
        <v>0</v>
      </c>
    </row>
    <row r="693" spans="1:8" ht="14.75" customHeight="1" x14ac:dyDescent="0.4">
      <c r="A693" s="96">
        <v>307</v>
      </c>
      <c r="B693" s="101"/>
      <c r="C693" s="102"/>
      <c r="D693" s="111"/>
      <c r="E693" s="111"/>
      <c r="F693" s="110"/>
      <c r="G693" s="112"/>
      <c r="H693" s="114">
        <f t="shared" si="11"/>
        <v>0</v>
      </c>
    </row>
    <row r="694" spans="1:8" ht="14.75" customHeight="1" x14ac:dyDescent="0.4">
      <c r="A694" s="96">
        <v>308</v>
      </c>
      <c r="B694" s="101"/>
      <c r="C694" s="102"/>
      <c r="D694" s="111"/>
      <c r="E694" s="111"/>
      <c r="F694" s="110"/>
      <c r="G694" s="112"/>
      <c r="H694" s="114">
        <f t="shared" si="11"/>
        <v>0</v>
      </c>
    </row>
    <row r="695" spans="1:8" ht="14.75" customHeight="1" x14ac:dyDescent="0.4">
      <c r="A695" s="96">
        <v>309</v>
      </c>
      <c r="B695" s="101"/>
      <c r="C695" s="102"/>
      <c r="D695" s="111"/>
      <c r="E695" s="111"/>
      <c r="F695" s="110"/>
      <c r="G695" s="112"/>
      <c r="H695" s="114">
        <f t="shared" si="11"/>
        <v>0</v>
      </c>
    </row>
    <row r="696" spans="1:8" ht="14.75" customHeight="1" x14ac:dyDescent="0.4">
      <c r="A696" s="96">
        <v>310</v>
      </c>
      <c r="B696" s="101"/>
      <c r="C696" s="102"/>
      <c r="D696" s="111"/>
      <c r="E696" s="111"/>
      <c r="F696" s="110"/>
      <c r="G696" s="112"/>
      <c r="H696" s="114">
        <f t="shared" si="11"/>
        <v>0</v>
      </c>
    </row>
    <row r="697" spans="1:8" ht="14.75" customHeight="1" x14ac:dyDescent="0.4">
      <c r="A697" s="96">
        <v>311</v>
      </c>
      <c r="B697" s="101"/>
      <c r="C697" s="102"/>
      <c r="D697" s="111"/>
      <c r="E697" s="111"/>
      <c r="F697" s="110"/>
      <c r="G697" s="112"/>
      <c r="H697" s="114">
        <f t="shared" si="11"/>
        <v>0</v>
      </c>
    </row>
    <row r="698" spans="1:8" ht="14.75" customHeight="1" x14ac:dyDescent="0.4">
      <c r="A698" s="96">
        <v>312</v>
      </c>
      <c r="B698" s="101"/>
      <c r="C698" s="102"/>
      <c r="D698" s="111"/>
      <c r="E698" s="111"/>
      <c r="F698" s="110"/>
      <c r="G698" s="112"/>
      <c r="H698" s="114">
        <f t="shared" si="11"/>
        <v>0</v>
      </c>
    </row>
    <row r="699" spans="1:8" ht="14.75" customHeight="1" x14ac:dyDescent="0.4">
      <c r="A699" s="96">
        <v>313</v>
      </c>
      <c r="B699" s="101"/>
      <c r="C699" s="102"/>
      <c r="D699" s="111"/>
      <c r="E699" s="111"/>
      <c r="F699" s="110"/>
      <c r="G699" s="112"/>
      <c r="H699" s="114">
        <f t="shared" si="11"/>
        <v>0</v>
      </c>
    </row>
    <row r="700" spans="1:8" ht="14.75" customHeight="1" x14ac:dyDescent="0.4">
      <c r="A700" s="96">
        <v>314</v>
      </c>
      <c r="B700" s="101"/>
      <c r="C700" s="102"/>
      <c r="D700" s="111"/>
      <c r="E700" s="111"/>
      <c r="F700" s="110"/>
      <c r="G700" s="112"/>
      <c r="H700" s="114">
        <f t="shared" si="11"/>
        <v>0</v>
      </c>
    </row>
    <row r="701" spans="1:8" ht="14.75" customHeight="1" x14ac:dyDescent="0.4">
      <c r="A701" s="96">
        <v>315</v>
      </c>
      <c r="B701" s="101"/>
      <c r="C701" s="102"/>
      <c r="D701" s="111"/>
      <c r="E701" s="111"/>
      <c r="F701" s="110"/>
      <c r="G701" s="112"/>
      <c r="H701" s="114">
        <f t="shared" si="11"/>
        <v>0</v>
      </c>
    </row>
    <row r="702" spans="1:8" ht="14.75" customHeight="1" x14ac:dyDescent="0.4">
      <c r="A702" s="96">
        <v>316</v>
      </c>
      <c r="B702" s="101"/>
      <c r="C702" s="102"/>
      <c r="D702" s="111"/>
      <c r="E702" s="111"/>
      <c r="F702" s="110"/>
      <c r="G702" s="112"/>
      <c r="H702" s="114">
        <f t="shared" si="11"/>
        <v>0</v>
      </c>
    </row>
    <row r="703" spans="1:8" ht="14.75" customHeight="1" x14ac:dyDescent="0.4">
      <c r="A703" s="96">
        <v>317</v>
      </c>
      <c r="B703" s="101"/>
      <c r="C703" s="102"/>
      <c r="D703" s="111"/>
      <c r="E703" s="111"/>
      <c r="F703" s="110"/>
      <c r="G703" s="112"/>
      <c r="H703" s="114">
        <f t="shared" si="11"/>
        <v>0</v>
      </c>
    </row>
    <row r="704" spans="1:8" ht="14.75" customHeight="1" x14ac:dyDescent="0.4">
      <c r="A704" s="96">
        <v>318</v>
      </c>
      <c r="B704" s="101"/>
      <c r="C704" s="102"/>
      <c r="D704" s="111"/>
      <c r="E704" s="111"/>
      <c r="F704" s="110"/>
      <c r="G704" s="112"/>
      <c r="H704" s="114">
        <f t="shared" si="11"/>
        <v>0</v>
      </c>
    </row>
    <row r="705" spans="1:8" ht="14.75" customHeight="1" x14ac:dyDescent="0.4">
      <c r="A705" s="96">
        <v>319</v>
      </c>
      <c r="B705" s="101"/>
      <c r="C705" s="102"/>
      <c r="D705" s="111"/>
      <c r="E705" s="111"/>
      <c r="F705" s="110"/>
      <c r="G705" s="112"/>
      <c r="H705" s="114">
        <f t="shared" si="11"/>
        <v>0</v>
      </c>
    </row>
    <row r="706" spans="1:8" ht="14.75" customHeight="1" x14ac:dyDescent="0.4">
      <c r="A706" s="96">
        <v>320</v>
      </c>
      <c r="B706" s="101"/>
      <c r="C706" s="102"/>
      <c r="D706" s="111"/>
      <c r="E706" s="111"/>
      <c r="F706" s="110"/>
      <c r="G706" s="112"/>
      <c r="H706" s="114">
        <f t="shared" si="11"/>
        <v>0</v>
      </c>
    </row>
    <row r="707" spans="1:8" ht="14.75" customHeight="1" x14ac:dyDescent="0.4">
      <c r="A707" s="96">
        <v>321</v>
      </c>
      <c r="B707" s="101"/>
      <c r="C707" s="102"/>
      <c r="D707" s="111"/>
      <c r="E707" s="111"/>
      <c r="F707" s="110"/>
      <c r="G707" s="112"/>
      <c r="H707" s="114">
        <f t="shared" si="11"/>
        <v>0</v>
      </c>
    </row>
    <row r="708" spans="1:8" ht="14.75" customHeight="1" x14ac:dyDescent="0.4">
      <c r="A708" s="96">
        <v>322</v>
      </c>
      <c r="B708" s="101"/>
      <c r="C708" s="102"/>
      <c r="D708" s="111"/>
      <c r="E708" s="111"/>
      <c r="F708" s="110"/>
      <c r="G708" s="112"/>
      <c r="H708" s="114">
        <f t="shared" si="11"/>
        <v>0</v>
      </c>
    </row>
    <row r="709" spans="1:8" ht="14.75" customHeight="1" x14ac:dyDescent="0.4">
      <c r="A709" s="96">
        <v>323</v>
      </c>
      <c r="B709" s="101"/>
      <c r="C709" s="102"/>
      <c r="D709" s="111"/>
      <c r="E709" s="111"/>
      <c r="F709" s="110"/>
      <c r="G709" s="112"/>
      <c r="H709" s="114">
        <f t="shared" si="11"/>
        <v>0</v>
      </c>
    </row>
    <row r="710" spans="1:8" ht="14.75" customHeight="1" x14ac:dyDescent="0.4">
      <c r="A710" s="96">
        <v>324</v>
      </c>
      <c r="B710" s="101"/>
      <c r="C710" s="102"/>
      <c r="D710" s="111"/>
      <c r="E710" s="111"/>
      <c r="F710" s="110"/>
      <c r="G710" s="112"/>
      <c r="H710" s="114">
        <f t="shared" si="11"/>
        <v>0</v>
      </c>
    </row>
    <row r="711" spans="1:8" ht="14.75" customHeight="1" x14ac:dyDescent="0.4">
      <c r="A711" s="96">
        <v>325</v>
      </c>
      <c r="B711" s="101"/>
      <c r="C711" s="102"/>
      <c r="D711" s="111"/>
      <c r="E711" s="111"/>
      <c r="F711" s="110"/>
      <c r="G711" s="112"/>
      <c r="H711" s="114">
        <f t="shared" si="11"/>
        <v>0</v>
      </c>
    </row>
    <row r="712" spans="1:8" ht="14.75" customHeight="1" x14ac:dyDescent="0.4">
      <c r="A712" s="96">
        <v>326</v>
      </c>
      <c r="B712" s="101"/>
      <c r="C712" s="102"/>
      <c r="D712" s="111"/>
      <c r="E712" s="111"/>
      <c r="F712" s="110"/>
      <c r="G712" s="112"/>
      <c r="H712" s="114">
        <f t="shared" si="11"/>
        <v>0</v>
      </c>
    </row>
    <row r="713" spans="1:8" ht="14.75" customHeight="1" x14ac:dyDescent="0.4">
      <c r="A713" s="96">
        <v>327</v>
      </c>
      <c r="B713" s="101"/>
      <c r="C713" s="102"/>
      <c r="D713" s="111"/>
      <c r="E713" s="111"/>
      <c r="F713" s="110"/>
      <c r="G713" s="112"/>
      <c r="H713" s="114">
        <f t="shared" si="11"/>
        <v>0</v>
      </c>
    </row>
    <row r="714" spans="1:8" ht="14.75" customHeight="1" x14ac:dyDescent="0.4">
      <c r="A714" s="96">
        <v>328</v>
      </c>
      <c r="B714" s="101"/>
      <c r="C714" s="102"/>
      <c r="D714" s="111"/>
      <c r="E714" s="111"/>
      <c r="F714" s="110"/>
      <c r="G714" s="112"/>
      <c r="H714" s="114">
        <f t="shared" si="11"/>
        <v>0</v>
      </c>
    </row>
    <row r="715" spans="1:8" ht="14.75" customHeight="1" x14ac:dyDescent="0.4">
      <c r="A715" s="96">
        <v>329</v>
      </c>
      <c r="B715" s="101"/>
      <c r="C715" s="102"/>
      <c r="D715" s="111"/>
      <c r="E715" s="111"/>
      <c r="F715" s="110"/>
      <c r="G715" s="112"/>
      <c r="H715" s="114">
        <f t="shared" si="11"/>
        <v>0</v>
      </c>
    </row>
    <row r="716" spans="1:8" ht="14.75" customHeight="1" x14ac:dyDescent="0.4">
      <c r="A716" s="96">
        <v>330</v>
      </c>
      <c r="B716" s="101"/>
      <c r="C716" s="102"/>
      <c r="D716" s="111"/>
      <c r="E716" s="111"/>
      <c r="F716" s="110"/>
      <c r="G716" s="112"/>
      <c r="H716" s="114">
        <f t="shared" si="11"/>
        <v>0</v>
      </c>
    </row>
    <row r="717" spans="1:8" ht="14.75" customHeight="1" x14ac:dyDescent="0.4">
      <c r="A717" s="96">
        <v>331</v>
      </c>
      <c r="B717" s="101"/>
      <c r="C717" s="102"/>
      <c r="D717" s="111"/>
      <c r="E717" s="111"/>
      <c r="F717" s="110"/>
      <c r="G717" s="112"/>
      <c r="H717" s="114">
        <f t="shared" si="11"/>
        <v>0</v>
      </c>
    </row>
    <row r="718" spans="1:8" ht="14.75" customHeight="1" x14ac:dyDescent="0.4">
      <c r="A718" s="96">
        <v>332</v>
      </c>
      <c r="B718" s="101"/>
      <c r="C718" s="102"/>
      <c r="D718" s="111"/>
      <c r="E718" s="111"/>
      <c r="F718" s="110"/>
      <c r="G718" s="112"/>
      <c r="H718" s="114">
        <f t="shared" si="11"/>
        <v>0</v>
      </c>
    </row>
    <row r="719" spans="1:8" ht="14.75" customHeight="1" x14ac:dyDescent="0.4">
      <c r="A719" s="96">
        <v>333</v>
      </c>
      <c r="B719" s="101"/>
      <c r="C719" s="102"/>
      <c r="D719" s="111"/>
      <c r="E719" s="111"/>
      <c r="F719" s="110"/>
      <c r="G719" s="112"/>
      <c r="H719" s="114">
        <f t="shared" si="11"/>
        <v>0</v>
      </c>
    </row>
    <row r="720" spans="1:8" ht="14.75" customHeight="1" x14ac:dyDescent="0.4">
      <c r="A720" s="96">
        <v>334</v>
      </c>
      <c r="B720" s="101"/>
      <c r="C720" s="102"/>
      <c r="D720" s="111"/>
      <c r="E720" s="111"/>
      <c r="F720" s="110"/>
      <c r="G720" s="112"/>
      <c r="H720" s="114">
        <f t="shared" si="11"/>
        <v>0</v>
      </c>
    </row>
    <row r="721" spans="1:8" ht="14.75" customHeight="1" x14ac:dyDescent="0.4">
      <c r="A721" s="96">
        <v>335</v>
      </c>
      <c r="B721" s="101"/>
      <c r="C721" s="102"/>
      <c r="D721" s="111"/>
      <c r="E721" s="111"/>
      <c r="F721" s="110"/>
      <c r="G721" s="112"/>
      <c r="H721" s="114">
        <f t="shared" si="11"/>
        <v>0</v>
      </c>
    </row>
    <row r="722" spans="1:8" ht="14.75" customHeight="1" x14ac:dyDescent="0.4">
      <c r="A722" s="96">
        <v>336</v>
      </c>
      <c r="B722" s="101"/>
      <c r="C722" s="102"/>
      <c r="D722" s="111"/>
      <c r="E722" s="111"/>
      <c r="F722" s="110"/>
      <c r="G722" s="112"/>
      <c r="H722" s="114">
        <f t="shared" si="11"/>
        <v>0</v>
      </c>
    </row>
    <row r="723" spans="1:8" ht="14.75" customHeight="1" x14ac:dyDescent="0.4">
      <c r="A723" s="96">
        <v>337</v>
      </c>
      <c r="B723" s="101"/>
      <c r="C723" s="102"/>
      <c r="D723" s="111"/>
      <c r="E723" s="111"/>
      <c r="F723" s="110"/>
      <c r="G723" s="112"/>
      <c r="H723" s="114">
        <f t="shared" si="11"/>
        <v>0</v>
      </c>
    </row>
    <row r="724" spans="1:8" ht="14.75" customHeight="1" x14ac:dyDescent="0.4">
      <c r="A724" s="96">
        <v>338</v>
      </c>
      <c r="B724" s="101"/>
      <c r="C724" s="102"/>
      <c r="D724" s="111"/>
      <c r="E724" s="111"/>
      <c r="F724" s="110"/>
      <c r="G724" s="112"/>
      <c r="H724" s="114">
        <f t="shared" si="11"/>
        <v>0</v>
      </c>
    </row>
    <row r="725" spans="1:8" ht="14.75" customHeight="1" x14ac:dyDescent="0.4">
      <c r="A725" s="96">
        <v>339</v>
      </c>
      <c r="B725" s="101"/>
      <c r="C725" s="102"/>
      <c r="D725" s="111"/>
      <c r="E725" s="111"/>
      <c r="F725" s="110"/>
      <c r="G725" s="112"/>
      <c r="H725" s="114">
        <f t="shared" si="11"/>
        <v>0</v>
      </c>
    </row>
    <row r="726" spans="1:8" ht="14.75" customHeight="1" x14ac:dyDescent="0.4">
      <c r="A726" s="96">
        <v>340</v>
      </c>
      <c r="B726" s="101"/>
      <c r="C726" s="102"/>
      <c r="D726" s="111"/>
      <c r="E726" s="111"/>
      <c r="F726" s="110"/>
      <c r="G726" s="112"/>
      <c r="H726" s="114">
        <f t="shared" si="11"/>
        <v>0</v>
      </c>
    </row>
    <row r="727" spans="1:8" ht="14.75" customHeight="1" x14ac:dyDescent="0.4">
      <c r="A727" s="96">
        <v>341</v>
      </c>
      <c r="B727" s="101"/>
      <c r="C727" s="102"/>
      <c r="D727" s="111"/>
      <c r="E727" s="111"/>
      <c r="F727" s="110"/>
      <c r="G727" s="112"/>
      <c r="H727" s="114">
        <f t="shared" si="11"/>
        <v>0</v>
      </c>
    </row>
    <row r="728" spans="1:8" ht="14.75" customHeight="1" x14ac:dyDescent="0.4">
      <c r="A728" s="96">
        <v>342</v>
      </c>
      <c r="B728" s="101"/>
      <c r="C728" s="102"/>
      <c r="D728" s="111"/>
      <c r="E728" s="111"/>
      <c r="F728" s="110"/>
      <c r="G728" s="112"/>
      <c r="H728" s="114">
        <f t="shared" si="11"/>
        <v>0</v>
      </c>
    </row>
    <row r="729" spans="1:8" ht="14.75" customHeight="1" x14ac:dyDescent="0.4">
      <c r="A729" s="96">
        <v>343</v>
      </c>
      <c r="B729" s="101"/>
      <c r="C729" s="102"/>
      <c r="D729" s="111"/>
      <c r="E729" s="111"/>
      <c r="F729" s="110"/>
      <c r="G729" s="112"/>
      <c r="H729" s="114">
        <f t="shared" si="11"/>
        <v>0</v>
      </c>
    </row>
    <row r="730" spans="1:8" ht="14.75" customHeight="1" x14ac:dyDescent="0.4">
      <c r="A730" s="96">
        <v>344</v>
      </c>
      <c r="B730" s="101"/>
      <c r="C730" s="102"/>
      <c r="D730" s="111"/>
      <c r="E730" s="111"/>
      <c r="F730" s="110"/>
      <c r="G730" s="112"/>
      <c r="H730" s="114">
        <f t="shared" si="11"/>
        <v>0</v>
      </c>
    </row>
    <row r="731" spans="1:8" ht="14.75" customHeight="1" x14ac:dyDescent="0.4">
      <c r="A731" s="96">
        <v>345</v>
      </c>
      <c r="B731" s="101"/>
      <c r="C731" s="102"/>
      <c r="D731" s="111"/>
      <c r="E731" s="111"/>
      <c r="F731" s="110"/>
      <c r="G731" s="112"/>
      <c r="H731" s="114">
        <f t="shared" si="11"/>
        <v>0</v>
      </c>
    </row>
    <row r="732" spans="1:8" ht="14.75" customHeight="1" x14ac:dyDescent="0.4">
      <c r="A732" s="96">
        <v>346</v>
      </c>
      <c r="B732" s="101"/>
      <c r="C732" s="102"/>
      <c r="D732" s="111"/>
      <c r="E732" s="111"/>
      <c r="F732" s="110"/>
      <c r="G732" s="112"/>
      <c r="H732" s="114">
        <f t="shared" si="11"/>
        <v>0</v>
      </c>
    </row>
    <row r="733" spans="1:8" ht="14.75" customHeight="1" x14ac:dyDescent="0.4">
      <c r="A733" s="96">
        <v>347</v>
      </c>
      <c r="B733" s="101"/>
      <c r="C733" s="102"/>
      <c r="D733" s="111"/>
      <c r="E733" s="111"/>
      <c r="F733" s="110"/>
      <c r="G733" s="112"/>
      <c r="H733" s="114">
        <f t="shared" si="11"/>
        <v>0</v>
      </c>
    </row>
    <row r="734" spans="1:8" ht="14.75" customHeight="1" x14ac:dyDescent="0.4">
      <c r="A734" s="96">
        <v>348</v>
      </c>
      <c r="B734" s="101"/>
      <c r="C734" s="102"/>
      <c r="D734" s="111"/>
      <c r="E734" s="111"/>
      <c r="F734" s="110"/>
      <c r="G734" s="112"/>
      <c r="H734" s="114">
        <f t="shared" si="11"/>
        <v>0</v>
      </c>
    </row>
    <row r="735" spans="1:8" ht="14.75" customHeight="1" x14ac:dyDescent="0.4">
      <c r="A735" s="96">
        <v>349</v>
      </c>
      <c r="B735" s="101"/>
      <c r="C735" s="102"/>
      <c r="D735" s="111"/>
      <c r="E735" s="111"/>
      <c r="F735" s="110"/>
      <c r="G735" s="112"/>
      <c r="H735" s="114">
        <f t="shared" si="11"/>
        <v>0</v>
      </c>
    </row>
    <row r="736" spans="1:8" ht="14.75" customHeight="1" x14ac:dyDescent="0.4">
      <c r="A736" s="96">
        <v>350</v>
      </c>
      <c r="B736" s="101"/>
      <c r="C736" s="102"/>
      <c r="D736" s="111"/>
      <c r="E736" s="111"/>
      <c r="F736" s="110"/>
      <c r="G736" s="112"/>
      <c r="H736" s="114">
        <f t="shared" si="11"/>
        <v>0</v>
      </c>
    </row>
    <row r="737" spans="1:8" ht="14.75" customHeight="1" x14ac:dyDescent="0.4">
      <c r="A737" s="96">
        <v>351</v>
      </c>
      <c r="B737" s="101"/>
      <c r="C737" s="102"/>
      <c r="D737" s="111"/>
      <c r="E737" s="111"/>
      <c r="F737" s="110"/>
      <c r="G737" s="112"/>
      <c r="H737" s="114">
        <f t="shared" si="11"/>
        <v>0</v>
      </c>
    </row>
    <row r="738" spans="1:8" ht="14.75" customHeight="1" x14ac:dyDescent="0.4">
      <c r="A738" s="96">
        <v>352</v>
      </c>
      <c r="B738" s="101"/>
      <c r="C738" s="102"/>
      <c r="D738" s="111"/>
      <c r="E738" s="111"/>
      <c r="F738" s="110"/>
      <c r="G738" s="112"/>
      <c r="H738" s="114">
        <f t="shared" ref="H738:H795" si="12">H737+F738-G738</f>
        <v>0</v>
      </c>
    </row>
    <row r="739" spans="1:8" ht="14.75" customHeight="1" x14ac:dyDescent="0.4">
      <c r="A739" s="96">
        <v>353</v>
      </c>
      <c r="B739" s="101"/>
      <c r="C739" s="102"/>
      <c r="D739" s="111"/>
      <c r="E739" s="111"/>
      <c r="F739" s="110"/>
      <c r="G739" s="112"/>
      <c r="H739" s="114">
        <f t="shared" si="12"/>
        <v>0</v>
      </c>
    </row>
    <row r="740" spans="1:8" ht="14.75" customHeight="1" x14ac:dyDescent="0.4">
      <c r="A740" s="96">
        <v>354</v>
      </c>
      <c r="B740" s="101"/>
      <c r="C740" s="102"/>
      <c r="D740" s="111"/>
      <c r="E740" s="111"/>
      <c r="F740" s="110"/>
      <c r="G740" s="112"/>
      <c r="H740" s="114">
        <f t="shared" si="12"/>
        <v>0</v>
      </c>
    </row>
    <row r="741" spans="1:8" ht="14.75" customHeight="1" x14ac:dyDescent="0.4">
      <c r="A741" s="96">
        <v>355</v>
      </c>
      <c r="B741" s="101"/>
      <c r="C741" s="102"/>
      <c r="D741" s="111"/>
      <c r="E741" s="111"/>
      <c r="F741" s="110"/>
      <c r="G741" s="112"/>
      <c r="H741" s="114">
        <f t="shared" si="12"/>
        <v>0</v>
      </c>
    </row>
    <row r="742" spans="1:8" ht="14.75" customHeight="1" x14ac:dyDescent="0.4">
      <c r="A742" s="96">
        <v>356</v>
      </c>
      <c r="B742" s="101"/>
      <c r="C742" s="102"/>
      <c r="D742" s="111"/>
      <c r="E742" s="111"/>
      <c r="F742" s="110"/>
      <c r="G742" s="112"/>
      <c r="H742" s="114">
        <f t="shared" si="12"/>
        <v>0</v>
      </c>
    </row>
    <row r="743" spans="1:8" ht="14.75" customHeight="1" x14ac:dyDescent="0.4">
      <c r="A743" s="96">
        <v>357</v>
      </c>
      <c r="B743" s="101"/>
      <c r="C743" s="102"/>
      <c r="D743" s="111"/>
      <c r="E743" s="111"/>
      <c r="F743" s="110"/>
      <c r="G743" s="112"/>
      <c r="H743" s="114">
        <f t="shared" si="12"/>
        <v>0</v>
      </c>
    </row>
    <row r="744" spans="1:8" ht="14.75" customHeight="1" x14ac:dyDescent="0.4">
      <c r="A744" s="96">
        <v>358</v>
      </c>
      <c r="B744" s="101"/>
      <c r="C744" s="102"/>
      <c r="D744" s="111"/>
      <c r="E744" s="111"/>
      <c r="F744" s="110"/>
      <c r="G744" s="112"/>
      <c r="H744" s="114">
        <f t="shared" si="12"/>
        <v>0</v>
      </c>
    </row>
    <row r="745" spans="1:8" ht="14.75" customHeight="1" x14ac:dyDescent="0.4">
      <c r="A745" s="96">
        <v>359</v>
      </c>
      <c r="B745" s="101"/>
      <c r="C745" s="102"/>
      <c r="D745" s="111"/>
      <c r="E745" s="111"/>
      <c r="F745" s="110"/>
      <c r="G745" s="112"/>
      <c r="H745" s="114">
        <f t="shared" si="12"/>
        <v>0</v>
      </c>
    </row>
    <row r="746" spans="1:8" ht="14.75" customHeight="1" x14ac:dyDescent="0.4">
      <c r="A746" s="96">
        <v>360</v>
      </c>
      <c r="B746" s="101"/>
      <c r="C746" s="102"/>
      <c r="D746" s="111"/>
      <c r="E746" s="111"/>
      <c r="F746" s="110"/>
      <c r="G746" s="112"/>
      <c r="H746" s="114">
        <f t="shared" si="12"/>
        <v>0</v>
      </c>
    </row>
    <row r="747" spans="1:8" ht="14.75" customHeight="1" x14ac:dyDescent="0.4">
      <c r="A747" s="96">
        <v>361</v>
      </c>
      <c r="B747" s="101"/>
      <c r="C747" s="102"/>
      <c r="D747" s="111"/>
      <c r="E747" s="111"/>
      <c r="F747" s="110"/>
      <c r="G747" s="112"/>
      <c r="H747" s="114">
        <f t="shared" si="12"/>
        <v>0</v>
      </c>
    </row>
    <row r="748" spans="1:8" ht="14.75" customHeight="1" x14ac:dyDescent="0.4">
      <c r="A748" s="96">
        <v>362</v>
      </c>
      <c r="B748" s="101"/>
      <c r="C748" s="102"/>
      <c r="D748" s="111"/>
      <c r="E748" s="111"/>
      <c r="F748" s="110"/>
      <c r="G748" s="112"/>
      <c r="H748" s="114">
        <f t="shared" si="12"/>
        <v>0</v>
      </c>
    </row>
    <row r="749" spans="1:8" ht="14.75" customHeight="1" x14ac:dyDescent="0.4">
      <c r="A749" s="96">
        <v>363</v>
      </c>
      <c r="B749" s="101"/>
      <c r="C749" s="102"/>
      <c r="D749" s="111"/>
      <c r="E749" s="111"/>
      <c r="F749" s="110"/>
      <c r="G749" s="112"/>
      <c r="H749" s="114">
        <f t="shared" si="12"/>
        <v>0</v>
      </c>
    </row>
    <row r="750" spans="1:8" ht="14.75" customHeight="1" x14ac:dyDescent="0.4">
      <c r="A750" s="96">
        <v>364</v>
      </c>
      <c r="B750" s="101"/>
      <c r="C750" s="102"/>
      <c r="D750" s="111"/>
      <c r="E750" s="111"/>
      <c r="F750" s="110"/>
      <c r="G750" s="112"/>
      <c r="H750" s="114">
        <f t="shared" si="12"/>
        <v>0</v>
      </c>
    </row>
    <row r="751" spans="1:8" ht="14.75" customHeight="1" x14ac:dyDescent="0.4">
      <c r="A751" s="96">
        <v>365</v>
      </c>
      <c r="B751" s="101"/>
      <c r="C751" s="102"/>
      <c r="D751" s="111"/>
      <c r="E751" s="111"/>
      <c r="F751" s="110"/>
      <c r="G751" s="112"/>
      <c r="H751" s="114">
        <f t="shared" si="12"/>
        <v>0</v>
      </c>
    </row>
    <row r="752" spans="1:8" ht="14.75" customHeight="1" x14ac:dyDescent="0.4">
      <c r="A752" s="96">
        <v>366</v>
      </c>
      <c r="B752" s="101"/>
      <c r="C752" s="102"/>
      <c r="D752" s="111"/>
      <c r="E752" s="111"/>
      <c r="F752" s="110"/>
      <c r="G752" s="112"/>
      <c r="H752" s="114">
        <f t="shared" si="12"/>
        <v>0</v>
      </c>
    </row>
    <row r="753" spans="1:8" ht="14.75" customHeight="1" x14ac:dyDescent="0.4">
      <c r="A753" s="96">
        <v>367</v>
      </c>
      <c r="B753" s="101"/>
      <c r="C753" s="102"/>
      <c r="D753" s="111"/>
      <c r="E753" s="111"/>
      <c r="F753" s="110"/>
      <c r="G753" s="112"/>
      <c r="H753" s="114">
        <f t="shared" si="12"/>
        <v>0</v>
      </c>
    </row>
    <row r="754" spans="1:8" ht="14.75" customHeight="1" x14ac:dyDescent="0.4">
      <c r="A754" s="96">
        <v>368</v>
      </c>
      <c r="B754" s="101"/>
      <c r="C754" s="102"/>
      <c r="D754" s="111"/>
      <c r="E754" s="111"/>
      <c r="F754" s="110"/>
      <c r="G754" s="112"/>
      <c r="H754" s="114">
        <f t="shared" si="12"/>
        <v>0</v>
      </c>
    </row>
    <row r="755" spans="1:8" ht="14.75" customHeight="1" x14ac:dyDescent="0.4">
      <c r="A755" s="96">
        <v>369</v>
      </c>
      <c r="B755" s="101"/>
      <c r="C755" s="102"/>
      <c r="D755" s="111"/>
      <c r="E755" s="111"/>
      <c r="F755" s="110"/>
      <c r="G755" s="112"/>
      <c r="H755" s="114">
        <f t="shared" si="12"/>
        <v>0</v>
      </c>
    </row>
    <row r="756" spans="1:8" ht="14.75" customHeight="1" x14ac:dyDescent="0.4">
      <c r="A756" s="96">
        <v>370</v>
      </c>
      <c r="B756" s="101"/>
      <c r="C756" s="102"/>
      <c r="D756" s="111"/>
      <c r="E756" s="111"/>
      <c r="F756" s="110"/>
      <c r="G756" s="112"/>
      <c r="H756" s="114">
        <f t="shared" si="12"/>
        <v>0</v>
      </c>
    </row>
    <row r="757" spans="1:8" ht="14.75" customHeight="1" x14ac:dyDescent="0.4">
      <c r="A757" s="96">
        <v>371</v>
      </c>
      <c r="B757" s="101"/>
      <c r="C757" s="102"/>
      <c r="D757" s="111"/>
      <c r="E757" s="111"/>
      <c r="F757" s="110"/>
      <c r="G757" s="112"/>
      <c r="H757" s="114">
        <f t="shared" si="12"/>
        <v>0</v>
      </c>
    </row>
    <row r="758" spans="1:8" ht="14.75" customHeight="1" x14ac:dyDescent="0.4">
      <c r="A758" s="96">
        <v>372</v>
      </c>
      <c r="B758" s="101"/>
      <c r="C758" s="102"/>
      <c r="D758" s="111"/>
      <c r="E758" s="111"/>
      <c r="F758" s="110"/>
      <c r="G758" s="112"/>
      <c r="H758" s="114">
        <f t="shared" si="12"/>
        <v>0</v>
      </c>
    </row>
    <row r="759" spans="1:8" ht="14.75" customHeight="1" x14ac:dyDescent="0.4">
      <c r="A759" s="96">
        <v>373</v>
      </c>
      <c r="B759" s="101"/>
      <c r="C759" s="102"/>
      <c r="D759" s="111"/>
      <c r="E759" s="111"/>
      <c r="F759" s="110"/>
      <c r="G759" s="112"/>
      <c r="H759" s="114">
        <f t="shared" si="12"/>
        <v>0</v>
      </c>
    </row>
    <row r="760" spans="1:8" ht="14.75" customHeight="1" x14ac:dyDescent="0.4">
      <c r="A760" s="96">
        <v>374</v>
      </c>
      <c r="B760" s="101"/>
      <c r="C760" s="102"/>
      <c r="D760" s="111"/>
      <c r="E760" s="111"/>
      <c r="F760" s="110"/>
      <c r="G760" s="112"/>
      <c r="H760" s="114">
        <f t="shared" si="12"/>
        <v>0</v>
      </c>
    </row>
    <row r="761" spans="1:8" ht="14.75" customHeight="1" x14ac:dyDescent="0.4">
      <c r="A761" s="96">
        <v>375</v>
      </c>
      <c r="B761" s="101"/>
      <c r="C761" s="102"/>
      <c r="D761" s="111"/>
      <c r="E761" s="111"/>
      <c r="F761" s="110"/>
      <c r="G761" s="112"/>
      <c r="H761" s="114">
        <f t="shared" si="12"/>
        <v>0</v>
      </c>
    </row>
    <row r="762" spans="1:8" ht="14.75" customHeight="1" x14ac:dyDescent="0.4">
      <c r="A762" s="96">
        <v>376</v>
      </c>
      <c r="B762" s="101"/>
      <c r="C762" s="102"/>
      <c r="D762" s="111"/>
      <c r="E762" s="111"/>
      <c r="F762" s="110"/>
      <c r="G762" s="112"/>
      <c r="H762" s="114">
        <f t="shared" si="12"/>
        <v>0</v>
      </c>
    </row>
    <row r="763" spans="1:8" ht="14.75" customHeight="1" x14ac:dyDescent="0.4">
      <c r="A763" s="96">
        <v>377</v>
      </c>
      <c r="B763" s="101"/>
      <c r="C763" s="102"/>
      <c r="D763" s="111"/>
      <c r="E763" s="111"/>
      <c r="F763" s="110"/>
      <c r="G763" s="112"/>
      <c r="H763" s="114">
        <f t="shared" si="12"/>
        <v>0</v>
      </c>
    </row>
    <row r="764" spans="1:8" ht="14.75" customHeight="1" x14ac:dyDescent="0.4">
      <c r="A764" s="96">
        <v>378</v>
      </c>
      <c r="B764" s="101"/>
      <c r="C764" s="102"/>
      <c r="D764" s="111"/>
      <c r="E764" s="111"/>
      <c r="F764" s="110"/>
      <c r="G764" s="112"/>
      <c r="H764" s="114">
        <f t="shared" si="12"/>
        <v>0</v>
      </c>
    </row>
    <row r="765" spans="1:8" ht="14.75" customHeight="1" x14ac:dyDescent="0.4">
      <c r="A765" s="96">
        <v>379</v>
      </c>
      <c r="B765" s="101"/>
      <c r="C765" s="102"/>
      <c r="D765" s="111"/>
      <c r="E765" s="111"/>
      <c r="F765" s="110"/>
      <c r="G765" s="112"/>
      <c r="H765" s="114">
        <f t="shared" si="12"/>
        <v>0</v>
      </c>
    </row>
    <row r="766" spans="1:8" ht="14.75" customHeight="1" x14ac:dyDescent="0.4">
      <c r="A766" s="96">
        <v>380</v>
      </c>
      <c r="B766" s="101"/>
      <c r="C766" s="102"/>
      <c r="D766" s="111"/>
      <c r="E766" s="111"/>
      <c r="F766" s="110"/>
      <c r="G766" s="112"/>
      <c r="H766" s="114">
        <f t="shared" si="12"/>
        <v>0</v>
      </c>
    </row>
    <row r="767" spans="1:8" ht="14.75" customHeight="1" x14ac:dyDescent="0.4">
      <c r="A767" s="96">
        <v>381</v>
      </c>
      <c r="B767" s="101"/>
      <c r="C767" s="102"/>
      <c r="D767" s="111"/>
      <c r="E767" s="111"/>
      <c r="F767" s="110"/>
      <c r="G767" s="112"/>
      <c r="H767" s="114">
        <f t="shared" si="12"/>
        <v>0</v>
      </c>
    </row>
    <row r="768" spans="1:8" ht="14.75" customHeight="1" x14ac:dyDescent="0.4">
      <c r="A768" s="96">
        <v>382</v>
      </c>
      <c r="B768" s="101"/>
      <c r="C768" s="102"/>
      <c r="D768" s="111"/>
      <c r="E768" s="111"/>
      <c r="F768" s="110"/>
      <c r="G768" s="112"/>
      <c r="H768" s="114">
        <f t="shared" si="12"/>
        <v>0</v>
      </c>
    </row>
    <row r="769" spans="1:8" ht="14.75" customHeight="1" x14ac:dyDescent="0.4">
      <c r="A769" s="96">
        <v>383</v>
      </c>
      <c r="B769" s="101"/>
      <c r="C769" s="102"/>
      <c r="D769" s="111"/>
      <c r="E769" s="111"/>
      <c r="F769" s="110"/>
      <c r="G769" s="112"/>
      <c r="H769" s="114">
        <f t="shared" si="12"/>
        <v>0</v>
      </c>
    </row>
    <row r="770" spans="1:8" ht="14.75" customHeight="1" x14ac:dyDescent="0.4">
      <c r="A770" s="96">
        <v>384</v>
      </c>
      <c r="B770" s="101"/>
      <c r="C770" s="102"/>
      <c r="D770" s="111"/>
      <c r="E770" s="111"/>
      <c r="F770" s="110"/>
      <c r="G770" s="112"/>
      <c r="H770" s="114">
        <f t="shared" si="12"/>
        <v>0</v>
      </c>
    </row>
    <row r="771" spans="1:8" ht="14.75" customHeight="1" x14ac:dyDescent="0.4">
      <c r="A771" s="96">
        <v>385</v>
      </c>
      <c r="B771" s="101"/>
      <c r="C771" s="102"/>
      <c r="D771" s="111"/>
      <c r="E771" s="111"/>
      <c r="F771" s="110"/>
      <c r="G771" s="112"/>
      <c r="H771" s="114">
        <f t="shared" si="12"/>
        <v>0</v>
      </c>
    </row>
    <row r="772" spans="1:8" ht="14.75" customHeight="1" x14ac:dyDescent="0.4">
      <c r="A772" s="96">
        <v>386</v>
      </c>
      <c r="B772" s="101"/>
      <c r="C772" s="102"/>
      <c r="D772" s="111"/>
      <c r="E772" s="111"/>
      <c r="F772" s="110"/>
      <c r="G772" s="112"/>
      <c r="H772" s="114">
        <f t="shared" si="12"/>
        <v>0</v>
      </c>
    </row>
    <row r="773" spans="1:8" ht="14.75" customHeight="1" x14ac:dyDescent="0.4">
      <c r="A773" s="96">
        <v>387</v>
      </c>
      <c r="B773" s="101"/>
      <c r="C773" s="102"/>
      <c r="D773" s="111"/>
      <c r="E773" s="111"/>
      <c r="F773" s="110"/>
      <c r="G773" s="112"/>
      <c r="H773" s="114">
        <f t="shared" si="12"/>
        <v>0</v>
      </c>
    </row>
    <row r="774" spans="1:8" ht="14.75" customHeight="1" x14ac:dyDescent="0.4">
      <c r="A774" s="96">
        <v>388</v>
      </c>
      <c r="B774" s="101"/>
      <c r="C774" s="102"/>
      <c r="D774" s="111"/>
      <c r="E774" s="111"/>
      <c r="F774" s="110"/>
      <c r="G774" s="112"/>
      <c r="H774" s="114">
        <f t="shared" si="12"/>
        <v>0</v>
      </c>
    </row>
    <row r="775" spans="1:8" ht="14.75" customHeight="1" x14ac:dyDescent="0.4">
      <c r="A775" s="96">
        <v>389</v>
      </c>
      <c r="B775" s="101"/>
      <c r="C775" s="102"/>
      <c r="D775" s="111"/>
      <c r="E775" s="111"/>
      <c r="F775" s="110"/>
      <c r="G775" s="112"/>
      <c r="H775" s="114">
        <f t="shared" si="12"/>
        <v>0</v>
      </c>
    </row>
    <row r="776" spans="1:8" ht="14.75" customHeight="1" x14ac:dyDescent="0.4">
      <c r="A776" s="96">
        <v>390</v>
      </c>
      <c r="B776" s="101"/>
      <c r="C776" s="102"/>
      <c r="D776" s="111"/>
      <c r="E776" s="111"/>
      <c r="F776" s="110"/>
      <c r="G776" s="112"/>
      <c r="H776" s="114">
        <f t="shared" si="12"/>
        <v>0</v>
      </c>
    </row>
    <row r="777" spans="1:8" ht="14.75" customHeight="1" x14ac:dyDescent="0.4">
      <c r="A777" s="96">
        <v>391</v>
      </c>
      <c r="B777" s="101"/>
      <c r="C777" s="102"/>
      <c r="D777" s="111"/>
      <c r="E777" s="111"/>
      <c r="F777" s="110"/>
      <c r="G777" s="112"/>
      <c r="H777" s="114">
        <f t="shared" si="12"/>
        <v>0</v>
      </c>
    </row>
    <row r="778" spans="1:8" ht="14.75" customHeight="1" x14ac:dyDescent="0.4">
      <c r="A778" s="96">
        <v>392</v>
      </c>
      <c r="B778" s="101"/>
      <c r="C778" s="102"/>
      <c r="D778" s="111"/>
      <c r="E778" s="111"/>
      <c r="F778" s="110"/>
      <c r="G778" s="112"/>
      <c r="H778" s="114">
        <f t="shared" si="12"/>
        <v>0</v>
      </c>
    </row>
    <row r="779" spans="1:8" ht="14.75" customHeight="1" x14ac:dyDescent="0.4">
      <c r="A779" s="96">
        <v>393</v>
      </c>
      <c r="B779" s="101"/>
      <c r="C779" s="102"/>
      <c r="D779" s="111"/>
      <c r="E779" s="111"/>
      <c r="F779" s="110"/>
      <c r="G779" s="112"/>
      <c r="H779" s="114">
        <f t="shared" si="12"/>
        <v>0</v>
      </c>
    </row>
    <row r="780" spans="1:8" ht="14.75" customHeight="1" x14ac:dyDescent="0.4">
      <c r="A780" s="96">
        <v>394</v>
      </c>
      <c r="B780" s="101"/>
      <c r="C780" s="102"/>
      <c r="D780" s="111"/>
      <c r="E780" s="111"/>
      <c r="F780" s="110"/>
      <c r="G780" s="112"/>
      <c r="H780" s="114">
        <f t="shared" si="12"/>
        <v>0</v>
      </c>
    </row>
    <row r="781" spans="1:8" ht="14.75" customHeight="1" x14ac:dyDescent="0.4">
      <c r="A781" s="96">
        <v>395</v>
      </c>
      <c r="B781" s="101"/>
      <c r="C781" s="102"/>
      <c r="D781" s="111"/>
      <c r="E781" s="111"/>
      <c r="F781" s="110"/>
      <c r="G781" s="112"/>
      <c r="H781" s="114">
        <f t="shared" si="12"/>
        <v>0</v>
      </c>
    </row>
    <row r="782" spans="1:8" ht="14.75" customHeight="1" x14ac:dyDescent="0.4">
      <c r="A782" s="96">
        <v>396</v>
      </c>
      <c r="B782" s="101"/>
      <c r="C782" s="102"/>
      <c r="D782" s="111"/>
      <c r="E782" s="111"/>
      <c r="F782" s="110"/>
      <c r="G782" s="112"/>
      <c r="H782" s="114">
        <f t="shared" si="12"/>
        <v>0</v>
      </c>
    </row>
    <row r="783" spans="1:8" ht="14.75" customHeight="1" x14ac:dyDescent="0.4">
      <c r="A783" s="96">
        <v>397</v>
      </c>
      <c r="B783" s="101"/>
      <c r="C783" s="102"/>
      <c r="D783" s="111"/>
      <c r="E783" s="111"/>
      <c r="F783" s="110"/>
      <c r="G783" s="112"/>
      <c r="H783" s="114">
        <f t="shared" si="12"/>
        <v>0</v>
      </c>
    </row>
    <row r="784" spans="1:8" ht="14.75" customHeight="1" x14ac:dyDescent="0.4">
      <c r="A784" s="96">
        <v>398</v>
      </c>
      <c r="B784" s="101"/>
      <c r="C784" s="102"/>
      <c r="D784" s="111"/>
      <c r="E784" s="111"/>
      <c r="F784" s="110"/>
      <c r="G784" s="112"/>
      <c r="H784" s="114">
        <f t="shared" si="12"/>
        <v>0</v>
      </c>
    </row>
    <row r="785" spans="1:8" ht="14.75" customHeight="1" x14ac:dyDescent="0.4">
      <c r="A785" s="96">
        <v>399</v>
      </c>
      <c r="B785" s="101"/>
      <c r="C785" s="102"/>
      <c r="D785" s="111"/>
      <c r="E785" s="111"/>
      <c r="F785" s="110"/>
      <c r="G785" s="112"/>
      <c r="H785" s="114">
        <f t="shared" si="12"/>
        <v>0</v>
      </c>
    </row>
    <row r="786" spans="1:8" ht="14.75" customHeight="1" x14ac:dyDescent="0.4">
      <c r="A786" s="96">
        <v>400</v>
      </c>
      <c r="B786" s="101"/>
      <c r="C786" s="102"/>
      <c r="D786" s="111"/>
      <c r="E786" s="111"/>
      <c r="F786" s="110"/>
      <c r="G786" s="112"/>
      <c r="H786" s="114">
        <f t="shared" si="12"/>
        <v>0</v>
      </c>
    </row>
    <row r="787" spans="1:8" ht="14.75" customHeight="1" x14ac:dyDescent="0.4">
      <c r="A787" s="96">
        <v>401</v>
      </c>
      <c r="B787" s="101"/>
      <c r="C787" s="102"/>
      <c r="D787" s="111"/>
      <c r="E787" s="111"/>
      <c r="F787" s="110"/>
      <c r="G787" s="112"/>
      <c r="H787" s="114">
        <f t="shared" si="12"/>
        <v>0</v>
      </c>
    </row>
    <row r="788" spans="1:8" ht="14.75" customHeight="1" x14ac:dyDescent="0.4">
      <c r="A788" s="96">
        <v>402</v>
      </c>
      <c r="B788" s="101"/>
      <c r="C788" s="102"/>
      <c r="D788" s="111"/>
      <c r="E788" s="111"/>
      <c r="F788" s="110"/>
      <c r="G788" s="112"/>
      <c r="H788" s="114">
        <f t="shared" si="12"/>
        <v>0</v>
      </c>
    </row>
    <row r="789" spans="1:8" ht="14.75" customHeight="1" x14ac:dyDescent="0.4">
      <c r="A789" s="96">
        <v>403</v>
      </c>
      <c r="B789" s="97"/>
      <c r="C789" s="102"/>
      <c r="D789" s="115"/>
      <c r="E789" s="115"/>
      <c r="F789" s="114"/>
      <c r="G789" s="114"/>
      <c r="H789" s="114">
        <f t="shared" si="12"/>
        <v>0</v>
      </c>
    </row>
    <row r="790" spans="1:8" ht="14.75" customHeight="1" x14ac:dyDescent="0.4">
      <c r="A790" s="96">
        <v>404</v>
      </c>
      <c r="B790" s="97"/>
      <c r="C790" s="102"/>
      <c r="D790" s="115"/>
      <c r="E790" s="115"/>
      <c r="F790" s="114"/>
      <c r="G790" s="114"/>
      <c r="H790" s="114">
        <f t="shared" si="12"/>
        <v>0</v>
      </c>
    </row>
    <row r="791" spans="1:8" ht="14.75" customHeight="1" x14ac:dyDescent="0.4">
      <c r="A791" s="96">
        <v>405</v>
      </c>
      <c r="B791" s="97"/>
      <c r="C791" s="102"/>
      <c r="D791" s="115"/>
      <c r="E791" s="115"/>
      <c r="F791" s="114"/>
      <c r="G791" s="114"/>
      <c r="H791" s="114">
        <f t="shared" si="12"/>
        <v>0</v>
      </c>
    </row>
    <row r="792" spans="1:8" ht="14.75" customHeight="1" x14ac:dyDescent="0.4">
      <c r="A792" s="96">
        <v>406</v>
      </c>
      <c r="B792" s="97"/>
      <c r="C792" s="102"/>
      <c r="D792" s="115"/>
      <c r="E792" s="115"/>
      <c r="F792" s="114"/>
      <c r="G792" s="114"/>
      <c r="H792" s="114">
        <f t="shared" si="12"/>
        <v>0</v>
      </c>
    </row>
    <row r="793" spans="1:8" ht="14.75" customHeight="1" x14ac:dyDescent="0.4">
      <c r="A793" s="96">
        <v>407</v>
      </c>
      <c r="B793" s="97"/>
      <c r="C793" s="102"/>
      <c r="D793" s="115"/>
      <c r="E793" s="115"/>
      <c r="F793" s="114"/>
      <c r="G793" s="114"/>
      <c r="H793" s="114">
        <f t="shared" si="12"/>
        <v>0</v>
      </c>
    </row>
    <row r="794" spans="1:8" ht="14.75" customHeight="1" x14ac:dyDescent="0.4">
      <c r="A794" s="96">
        <v>408</v>
      </c>
      <c r="B794" s="97"/>
      <c r="C794" s="102"/>
      <c r="D794" s="115"/>
      <c r="E794" s="115"/>
      <c r="F794" s="114"/>
      <c r="G794" s="114"/>
      <c r="H794" s="114">
        <f t="shared" si="12"/>
        <v>0</v>
      </c>
    </row>
    <row r="795" spans="1:8" ht="14.75" customHeight="1" x14ac:dyDescent="0.4">
      <c r="A795" s="96">
        <v>409</v>
      </c>
      <c r="B795" s="97"/>
      <c r="C795" s="102"/>
      <c r="D795" s="115"/>
      <c r="E795" s="115"/>
      <c r="F795" s="114"/>
      <c r="G795" s="114"/>
      <c r="H795" s="114">
        <f t="shared" si="12"/>
        <v>0</v>
      </c>
    </row>
    <row r="796" spans="1:8" x14ac:dyDescent="0.4">
      <c r="A796" s="96"/>
      <c r="B796" s="93"/>
      <c r="C796" s="102"/>
      <c r="D796" s="95" t="s">
        <v>5</v>
      </c>
      <c r="E796" s="95"/>
      <c r="F796" s="116">
        <f>SUM(F7:F795)</f>
        <v>0</v>
      </c>
      <c r="G796" s="116">
        <f>SUM(G7:G795)</f>
        <v>0</v>
      </c>
      <c r="H796" s="116"/>
    </row>
  </sheetData>
  <autoFilter ref="A5:H795" xr:uid="{00000000-0009-0000-0000-000006000000}"/>
  <mergeCells count="3">
    <mergeCell ref="B1:H1"/>
    <mergeCell ref="B2:H2"/>
    <mergeCell ref="B3:H3"/>
  </mergeCells>
  <dataValidations count="1">
    <dataValidation type="list" allowBlank="1" showInputMessage="1" showErrorMessage="1" sqref="C7:C796" xr:uid="{00000000-0002-0000-0600-000000000000}">
      <formula1>"Pendapatan,Biaya Jasa,Gaji,Listrik Internet PDAM,BPJS,Operasional,Pemasaran,Transport,Pemeliharaan,Sewa,Administrasi &amp; Umum,Pajak,PLU,BLU,Kas,Aset Tetap,PPN Masukan,PPN Keluaran,PPh 23,PPh 22,PPh 25,Piutang,Hutang,Modal,Prive/Dividen"</formula1>
    </dataValidation>
  </dataValidations>
  <pageMargins left="0.7" right="0.7" top="0.75" bottom="0.75" header="0.3" footer="0.3"/>
  <pageSetup paperSize="9" orientation="portrait" horizontalDpi="4294967292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K2049"/>
  <sheetViews>
    <sheetView zoomScaleNormal="100" workbookViewId="0">
      <selection activeCell="B4" sqref="B4"/>
    </sheetView>
  </sheetViews>
  <sheetFormatPr defaultRowHeight="14.5" x14ac:dyDescent="0.35"/>
  <cols>
    <col min="1" max="1" width="4.6328125" style="9" customWidth="1"/>
    <col min="2" max="2" width="11.6328125" style="9" customWidth="1"/>
    <col min="3" max="3" width="22.453125" style="14" customWidth="1"/>
    <col min="4" max="4" width="34.08984375" customWidth="1"/>
    <col min="5" max="5" width="16.6328125" customWidth="1"/>
    <col min="6" max="6" width="13.6328125" style="3" customWidth="1"/>
    <col min="7" max="8" width="15.36328125" style="3" customWidth="1"/>
    <col min="9" max="9" width="5.6328125" customWidth="1"/>
    <col min="10" max="10" width="12.36328125" bestFit="1" customWidth="1"/>
    <col min="11" max="11" width="11.36328125" bestFit="1" customWidth="1"/>
  </cols>
  <sheetData>
    <row r="1" spans="1:8" ht="15" x14ac:dyDescent="0.4">
      <c r="A1" s="214"/>
      <c r="B1" s="319" t="s">
        <v>91</v>
      </c>
      <c r="C1" s="319"/>
      <c r="D1" s="319"/>
      <c r="E1" s="319"/>
      <c r="F1" s="319"/>
      <c r="G1" s="319"/>
      <c r="H1" s="319"/>
    </row>
    <row r="2" spans="1:8" ht="15" x14ac:dyDescent="0.4">
      <c r="A2" s="214"/>
      <c r="B2" s="318" t="str">
        <f>KAS!B2</f>
        <v xml:space="preserve">PT EDU MEDIA DIGITAL </v>
      </c>
      <c r="C2" s="319"/>
      <c r="D2" s="319"/>
      <c r="E2" s="319"/>
      <c r="F2" s="319"/>
      <c r="G2" s="319"/>
      <c r="H2" s="319"/>
    </row>
    <row r="3" spans="1:8" ht="15" x14ac:dyDescent="0.4">
      <c r="A3" s="214"/>
      <c r="B3" s="317" t="s">
        <v>325</v>
      </c>
      <c r="C3" s="317"/>
      <c r="D3" s="317"/>
      <c r="E3" s="317"/>
      <c r="F3" s="317"/>
      <c r="G3" s="317"/>
      <c r="H3" s="317"/>
    </row>
    <row r="4" spans="1:8" x14ac:dyDescent="0.35">
      <c r="F4" s="3">
        <f>SUBTOTAL(9,F7:F2046)</f>
        <v>0</v>
      </c>
      <c r="G4" s="3">
        <f>SUBTOTAL(9,G7:G2046)</f>
        <v>0</v>
      </c>
    </row>
    <row r="5" spans="1:8" x14ac:dyDescent="0.35">
      <c r="A5" s="5" t="s">
        <v>24</v>
      </c>
      <c r="B5" s="5" t="s">
        <v>0</v>
      </c>
      <c r="C5" s="6" t="s">
        <v>6</v>
      </c>
      <c r="D5" s="5" t="s">
        <v>9</v>
      </c>
      <c r="E5" s="5" t="s">
        <v>88</v>
      </c>
      <c r="F5" s="6" t="s">
        <v>1</v>
      </c>
      <c r="G5" s="6" t="s">
        <v>2</v>
      </c>
      <c r="H5" s="6" t="s">
        <v>3</v>
      </c>
    </row>
    <row r="6" spans="1:8" x14ac:dyDescent="0.35">
      <c r="A6" s="11">
        <v>1</v>
      </c>
      <c r="B6" s="13"/>
      <c r="C6" s="15" t="s">
        <v>4</v>
      </c>
      <c r="D6" s="10"/>
      <c r="E6" s="10"/>
      <c r="F6" s="7"/>
      <c r="G6" s="7"/>
      <c r="H6" s="7">
        <f>NS!F11</f>
        <v>0</v>
      </c>
    </row>
    <row r="7" spans="1:8" x14ac:dyDescent="0.35">
      <c r="A7" s="11"/>
      <c r="B7" s="31"/>
      <c r="C7" s="16"/>
      <c r="D7" s="21"/>
      <c r="E7" s="21"/>
      <c r="F7" s="22"/>
      <c r="G7" s="22"/>
      <c r="H7" s="4">
        <f>H6+F7-G7</f>
        <v>0</v>
      </c>
    </row>
    <row r="8" spans="1:8" x14ac:dyDescent="0.35">
      <c r="A8" s="11"/>
      <c r="B8" s="31"/>
      <c r="C8" s="16"/>
      <c r="D8" s="21"/>
      <c r="E8" s="21"/>
      <c r="F8" s="22"/>
      <c r="G8" s="22"/>
      <c r="H8" s="4">
        <f>H7+F8-G8</f>
        <v>0</v>
      </c>
    </row>
    <row r="9" spans="1:8" x14ac:dyDescent="0.35">
      <c r="A9" s="11"/>
      <c r="B9" s="31"/>
      <c r="C9" s="16"/>
      <c r="D9" s="21"/>
      <c r="E9" s="21"/>
      <c r="F9" s="22"/>
      <c r="G9" s="22"/>
      <c r="H9" s="4">
        <f t="shared" ref="H9:H72" si="0">H8+F9-G9</f>
        <v>0</v>
      </c>
    </row>
    <row r="10" spans="1:8" x14ac:dyDescent="0.35">
      <c r="A10" s="11"/>
      <c r="B10" s="31"/>
      <c r="C10" s="16"/>
      <c r="D10" s="21"/>
      <c r="E10" s="21"/>
      <c r="F10" s="22"/>
      <c r="G10" s="22"/>
      <c r="H10" s="4">
        <f t="shared" si="0"/>
        <v>0</v>
      </c>
    </row>
    <row r="11" spans="1:8" x14ac:dyDescent="0.35">
      <c r="A11" s="11"/>
      <c r="B11" s="31"/>
      <c r="C11" s="16"/>
      <c r="D11" s="21"/>
      <c r="E11" s="21"/>
      <c r="F11" s="22"/>
      <c r="G11" s="22"/>
      <c r="H11" s="4">
        <f t="shared" si="0"/>
        <v>0</v>
      </c>
    </row>
    <row r="12" spans="1:8" x14ac:dyDescent="0.35">
      <c r="A12" s="11"/>
      <c r="B12" s="31"/>
      <c r="C12" s="16"/>
      <c r="D12" s="21"/>
      <c r="E12" s="21"/>
      <c r="F12" s="22"/>
      <c r="G12" s="22"/>
      <c r="H12" s="4">
        <f t="shared" si="0"/>
        <v>0</v>
      </c>
    </row>
    <row r="13" spans="1:8" x14ac:dyDescent="0.35">
      <c r="A13" s="11"/>
      <c r="B13" s="31"/>
      <c r="C13" s="16"/>
      <c r="D13" s="21"/>
      <c r="E13" s="21"/>
      <c r="F13" s="22"/>
      <c r="G13" s="22"/>
      <c r="H13" s="4">
        <f t="shared" si="0"/>
        <v>0</v>
      </c>
    </row>
    <row r="14" spans="1:8" x14ac:dyDescent="0.35">
      <c r="A14" s="11"/>
      <c r="B14" s="31"/>
      <c r="C14" s="16"/>
      <c r="D14" s="21"/>
      <c r="E14" s="21"/>
      <c r="F14" s="22"/>
      <c r="G14" s="22"/>
      <c r="H14" s="4">
        <f t="shared" si="0"/>
        <v>0</v>
      </c>
    </row>
    <row r="15" spans="1:8" x14ac:dyDescent="0.35">
      <c r="A15" s="11"/>
      <c r="B15" s="31"/>
      <c r="C15" s="16"/>
      <c r="D15" s="21"/>
      <c r="E15" s="21"/>
      <c r="F15" s="22"/>
      <c r="G15" s="22"/>
      <c r="H15" s="4">
        <f t="shared" si="0"/>
        <v>0</v>
      </c>
    </row>
    <row r="16" spans="1:8" x14ac:dyDescent="0.35">
      <c r="A16" s="11"/>
      <c r="B16" s="31"/>
      <c r="C16" s="16"/>
      <c r="D16" s="21"/>
      <c r="E16" s="21"/>
      <c r="F16" s="22"/>
      <c r="G16" s="22"/>
      <c r="H16" s="4">
        <f t="shared" si="0"/>
        <v>0</v>
      </c>
    </row>
    <row r="17" spans="1:8" x14ac:dyDescent="0.35">
      <c r="A17" s="11"/>
      <c r="B17" s="31"/>
      <c r="C17" s="16"/>
      <c r="D17" s="21"/>
      <c r="E17" s="21"/>
      <c r="F17" s="22"/>
      <c r="G17" s="22"/>
      <c r="H17" s="4">
        <f t="shared" si="0"/>
        <v>0</v>
      </c>
    </row>
    <row r="18" spans="1:8" x14ac:dyDescent="0.35">
      <c r="A18" s="11"/>
      <c r="B18" s="31"/>
      <c r="C18" s="16"/>
      <c r="D18" s="21"/>
      <c r="E18" s="21"/>
      <c r="F18" s="22"/>
      <c r="G18" s="22"/>
      <c r="H18" s="4">
        <f t="shared" si="0"/>
        <v>0</v>
      </c>
    </row>
    <row r="19" spans="1:8" x14ac:dyDescent="0.35">
      <c r="A19" s="11"/>
      <c r="B19" s="31"/>
      <c r="C19" s="16"/>
      <c r="D19" s="21"/>
      <c r="E19" s="21"/>
      <c r="F19" s="22"/>
      <c r="G19" s="22"/>
      <c r="H19" s="4">
        <f t="shared" si="0"/>
        <v>0</v>
      </c>
    </row>
    <row r="20" spans="1:8" x14ac:dyDescent="0.35">
      <c r="A20" s="11"/>
      <c r="B20" s="31"/>
      <c r="C20" s="16"/>
      <c r="D20" s="21"/>
      <c r="E20" s="21"/>
      <c r="F20" s="22"/>
      <c r="G20" s="22"/>
      <c r="H20" s="4">
        <f t="shared" si="0"/>
        <v>0</v>
      </c>
    </row>
    <row r="21" spans="1:8" x14ac:dyDescent="0.35">
      <c r="A21" s="11"/>
      <c r="B21" s="31"/>
      <c r="C21" s="16"/>
      <c r="D21" s="21"/>
      <c r="E21" s="21"/>
      <c r="F21" s="22"/>
      <c r="G21" s="22"/>
      <c r="H21" s="4">
        <f t="shared" si="0"/>
        <v>0</v>
      </c>
    </row>
    <row r="22" spans="1:8" x14ac:dyDescent="0.35">
      <c r="A22" s="11"/>
      <c r="B22" s="31"/>
      <c r="C22" s="16"/>
      <c r="D22" s="21"/>
      <c r="E22" s="21"/>
      <c r="F22" s="22"/>
      <c r="G22" s="22"/>
      <c r="H22" s="4">
        <f t="shared" si="0"/>
        <v>0</v>
      </c>
    </row>
    <row r="23" spans="1:8" x14ac:dyDescent="0.35">
      <c r="A23" s="11"/>
      <c r="B23" s="31"/>
      <c r="C23" s="16"/>
      <c r="D23" s="21"/>
      <c r="E23" s="21"/>
      <c r="F23" s="22"/>
      <c r="G23" s="22"/>
      <c r="H23" s="4">
        <f t="shared" si="0"/>
        <v>0</v>
      </c>
    </row>
    <row r="24" spans="1:8" x14ac:dyDescent="0.35">
      <c r="A24" s="11"/>
      <c r="B24" s="31"/>
      <c r="C24" s="16"/>
      <c r="D24" s="21"/>
      <c r="E24" s="21"/>
      <c r="F24" s="22"/>
      <c r="G24" s="22"/>
      <c r="H24" s="4">
        <f t="shared" si="0"/>
        <v>0</v>
      </c>
    </row>
    <row r="25" spans="1:8" x14ac:dyDescent="0.35">
      <c r="A25" s="11"/>
      <c r="B25" s="31"/>
      <c r="C25" s="16"/>
      <c r="D25" s="21"/>
      <c r="E25" s="21"/>
      <c r="F25" s="22"/>
      <c r="G25" s="22"/>
      <c r="H25" s="4">
        <f t="shared" si="0"/>
        <v>0</v>
      </c>
    </row>
    <row r="26" spans="1:8" x14ac:dyDescent="0.35">
      <c r="A26" s="11"/>
      <c r="B26" s="31"/>
      <c r="C26" s="16"/>
      <c r="D26" s="21"/>
      <c r="E26" s="21"/>
      <c r="F26" s="22"/>
      <c r="G26" s="22"/>
      <c r="H26" s="4">
        <f t="shared" si="0"/>
        <v>0</v>
      </c>
    </row>
    <row r="27" spans="1:8" x14ac:dyDescent="0.35">
      <c r="A27" s="11"/>
      <c r="B27" s="31"/>
      <c r="C27" s="16"/>
      <c r="D27" s="21"/>
      <c r="E27" s="21"/>
      <c r="F27" s="22"/>
      <c r="G27" s="22"/>
      <c r="H27" s="4">
        <f t="shared" si="0"/>
        <v>0</v>
      </c>
    </row>
    <row r="28" spans="1:8" x14ac:dyDescent="0.35">
      <c r="A28" s="11"/>
      <c r="B28" s="31"/>
      <c r="C28" s="16"/>
      <c r="D28" s="21"/>
      <c r="E28" s="21"/>
      <c r="F28" s="22"/>
      <c r="G28" s="22"/>
      <c r="H28" s="4">
        <f t="shared" si="0"/>
        <v>0</v>
      </c>
    </row>
    <row r="29" spans="1:8" x14ac:dyDescent="0.35">
      <c r="A29" s="11"/>
      <c r="B29" s="31"/>
      <c r="C29" s="16"/>
      <c r="D29" s="21"/>
      <c r="E29" s="21"/>
      <c r="F29" s="22"/>
      <c r="G29" s="22"/>
      <c r="H29" s="4">
        <f t="shared" si="0"/>
        <v>0</v>
      </c>
    </row>
    <row r="30" spans="1:8" x14ac:dyDescent="0.35">
      <c r="A30" s="11"/>
      <c r="B30" s="31"/>
      <c r="C30" s="16"/>
      <c r="D30" s="21"/>
      <c r="E30" s="21"/>
      <c r="F30" s="22"/>
      <c r="G30" s="22"/>
      <c r="H30" s="4">
        <f t="shared" si="0"/>
        <v>0</v>
      </c>
    </row>
    <row r="31" spans="1:8" x14ac:dyDescent="0.35">
      <c r="A31" s="11"/>
      <c r="B31" s="31"/>
      <c r="C31" s="16"/>
      <c r="D31" s="21"/>
      <c r="E31" s="21"/>
      <c r="F31" s="22"/>
      <c r="G31" s="22"/>
      <c r="H31" s="4">
        <f t="shared" si="0"/>
        <v>0</v>
      </c>
    </row>
    <row r="32" spans="1:8" x14ac:dyDescent="0.35">
      <c r="A32" s="11"/>
      <c r="B32" s="31"/>
      <c r="C32" s="16"/>
      <c r="D32" s="21"/>
      <c r="E32" s="1"/>
      <c r="F32" s="4"/>
      <c r="G32" s="4"/>
      <c r="H32" s="4">
        <f t="shared" si="0"/>
        <v>0</v>
      </c>
    </row>
    <row r="33" spans="1:11" x14ac:dyDescent="0.35">
      <c r="A33" s="11"/>
      <c r="B33" s="11"/>
      <c r="C33" s="16"/>
      <c r="D33" s="1"/>
      <c r="E33" s="1"/>
      <c r="F33" s="4"/>
      <c r="G33" s="4"/>
      <c r="H33" s="4">
        <f t="shared" si="0"/>
        <v>0</v>
      </c>
    </row>
    <row r="34" spans="1:11" x14ac:dyDescent="0.35">
      <c r="A34" s="11"/>
      <c r="B34" s="31"/>
      <c r="C34" s="16"/>
      <c r="D34" s="21"/>
      <c r="E34" s="21"/>
      <c r="F34" s="22"/>
      <c r="G34" s="22"/>
      <c r="H34" s="4">
        <f t="shared" si="0"/>
        <v>0</v>
      </c>
    </row>
    <row r="35" spans="1:11" x14ac:dyDescent="0.35">
      <c r="A35" s="11"/>
      <c r="B35" s="31"/>
      <c r="C35" s="16"/>
      <c r="D35" s="21"/>
      <c r="E35" s="21"/>
      <c r="F35" s="22"/>
      <c r="G35" s="22"/>
      <c r="H35" s="4">
        <f t="shared" si="0"/>
        <v>0</v>
      </c>
    </row>
    <row r="36" spans="1:11" x14ac:dyDescent="0.35">
      <c r="A36" s="11"/>
      <c r="B36" s="31"/>
      <c r="C36" s="16"/>
      <c r="D36" s="21"/>
      <c r="E36" s="21"/>
      <c r="F36" s="22"/>
      <c r="G36" s="22"/>
      <c r="H36" s="4">
        <f t="shared" si="0"/>
        <v>0</v>
      </c>
      <c r="J36" s="32"/>
    </row>
    <row r="37" spans="1:11" x14ac:dyDescent="0.35">
      <c r="A37" s="11"/>
      <c r="B37" s="31"/>
      <c r="C37" s="16"/>
      <c r="D37" s="21"/>
      <c r="E37" s="21"/>
      <c r="F37" s="22"/>
      <c r="G37" s="22"/>
      <c r="H37" s="4">
        <f t="shared" si="0"/>
        <v>0</v>
      </c>
      <c r="J37" s="32">
        <f>F36-G37</f>
        <v>0</v>
      </c>
    </row>
    <row r="38" spans="1:11" x14ac:dyDescent="0.35">
      <c r="A38" s="11"/>
      <c r="B38" s="31"/>
      <c r="C38" s="16"/>
      <c r="D38" s="21"/>
      <c r="E38" s="21"/>
      <c r="F38" s="22"/>
      <c r="G38" s="22"/>
      <c r="H38" s="4">
        <f t="shared" si="0"/>
        <v>0</v>
      </c>
      <c r="K38" s="32"/>
    </row>
    <row r="39" spans="1:11" x14ac:dyDescent="0.35">
      <c r="A39" s="11"/>
      <c r="B39" s="31"/>
      <c r="C39" s="16"/>
      <c r="D39" s="21"/>
      <c r="E39" s="21"/>
      <c r="F39" s="22"/>
      <c r="G39" s="22"/>
      <c r="H39" s="4">
        <f t="shared" si="0"/>
        <v>0</v>
      </c>
    </row>
    <row r="40" spans="1:11" x14ac:dyDescent="0.35">
      <c r="A40" s="11"/>
      <c r="B40" s="31"/>
      <c r="C40" s="16"/>
      <c r="D40" s="21"/>
      <c r="E40" s="21"/>
      <c r="F40" s="22"/>
      <c r="G40" s="22"/>
      <c r="H40" s="4">
        <f t="shared" si="0"/>
        <v>0</v>
      </c>
    </row>
    <row r="41" spans="1:11" x14ac:dyDescent="0.35">
      <c r="A41" s="11"/>
      <c r="B41" s="31"/>
      <c r="C41" s="16"/>
      <c r="D41" s="21"/>
      <c r="E41" s="21"/>
      <c r="F41" s="22"/>
      <c r="G41" s="22"/>
      <c r="H41" s="4">
        <f t="shared" si="0"/>
        <v>0</v>
      </c>
    </row>
    <row r="42" spans="1:11" x14ac:dyDescent="0.35">
      <c r="A42" s="11"/>
      <c r="B42" s="31"/>
      <c r="C42" s="16"/>
      <c r="D42" s="21"/>
      <c r="E42" s="21"/>
      <c r="F42" s="22"/>
      <c r="G42" s="22"/>
      <c r="H42" s="4">
        <f t="shared" si="0"/>
        <v>0</v>
      </c>
    </row>
    <row r="43" spans="1:11" x14ac:dyDescent="0.35">
      <c r="A43" s="11"/>
      <c r="B43" s="31"/>
      <c r="C43" s="16"/>
      <c r="D43" s="21"/>
      <c r="E43" s="21"/>
      <c r="F43" s="22"/>
      <c r="G43" s="22"/>
      <c r="H43" s="4">
        <f t="shared" si="0"/>
        <v>0</v>
      </c>
    </row>
    <row r="44" spans="1:11" x14ac:dyDescent="0.35">
      <c r="A44" s="11"/>
      <c r="B44" s="31"/>
      <c r="C44" s="16"/>
      <c r="D44" s="21"/>
      <c r="E44" s="21"/>
      <c r="F44" s="22"/>
      <c r="G44" s="22"/>
      <c r="H44" s="4">
        <f t="shared" si="0"/>
        <v>0</v>
      </c>
    </row>
    <row r="45" spans="1:11" x14ac:dyDescent="0.35">
      <c r="A45" s="11"/>
      <c r="B45" s="31"/>
      <c r="C45" s="16"/>
      <c r="D45" s="21"/>
      <c r="E45" s="21"/>
      <c r="F45" s="22"/>
      <c r="G45" s="22"/>
      <c r="H45" s="4">
        <f t="shared" si="0"/>
        <v>0</v>
      </c>
      <c r="J45" s="33">
        <f>F44-G45-G46</f>
        <v>0</v>
      </c>
    </row>
    <row r="46" spans="1:11" x14ac:dyDescent="0.35">
      <c r="A46" s="11"/>
      <c r="B46" s="31"/>
      <c r="C46" s="16"/>
      <c r="D46" s="21"/>
      <c r="E46" s="21"/>
      <c r="F46" s="22"/>
      <c r="G46" s="22"/>
      <c r="H46" s="4">
        <f t="shared" si="0"/>
        <v>0</v>
      </c>
    </row>
    <row r="47" spans="1:11" x14ac:dyDescent="0.35">
      <c r="A47" s="11"/>
      <c r="B47" s="31"/>
      <c r="C47" s="16"/>
      <c r="D47" s="21"/>
      <c r="E47" s="21"/>
      <c r="F47" s="22"/>
      <c r="G47" s="22"/>
      <c r="H47" s="4">
        <f t="shared" si="0"/>
        <v>0</v>
      </c>
    </row>
    <row r="48" spans="1:11" x14ac:dyDescent="0.35">
      <c r="A48" s="11"/>
      <c r="B48" s="31"/>
      <c r="C48" s="16"/>
      <c r="D48" s="21"/>
      <c r="E48" s="21"/>
      <c r="F48" s="22"/>
      <c r="G48" s="22"/>
      <c r="H48" s="4">
        <f t="shared" si="0"/>
        <v>0</v>
      </c>
    </row>
    <row r="49" spans="1:10" x14ac:dyDescent="0.35">
      <c r="A49" s="11"/>
      <c r="B49" s="31"/>
      <c r="C49" s="16"/>
      <c r="D49" s="21"/>
      <c r="E49" s="21"/>
      <c r="F49" s="22"/>
      <c r="G49" s="22"/>
      <c r="H49" s="4">
        <f t="shared" si="0"/>
        <v>0</v>
      </c>
    </row>
    <row r="50" spans="1:10" x14ac:dyDescent="0.35">
      <c r="A50" s="11"/>
      <c r="B50" s="31"/>
      <c r="C50" s="16"/>
      <c r="D50" s="21"/>
      <c r="E50" s="21"/>
      <c r="F50" s="22"/>
      <c r="G50" s="22"/>
      <c r="H50" s="4">
        <f t="shared" si="0"/>
        <v>0</v>
      </c>
    </row>
    <row r="51" spans="1:10" x14ac:dyDescent="0.35">
      <c r="A51" s="11"/>
      <c r="B51" s="31"/>
      <c r="C51" s="16"/>
      <c r="D51" s="21"/>
      <c r="E51" s="21"/>
      <c r="F51" s="22"/>
      <c r="G51" s="22"/>
      <c r="H51" s="4">
        <f t="shared" si="0"/>
        <v>0</v>
      </c>
    </row>
    <row r="52" spans="1:10" x14ac:dyDescent="0.35">
      <c r="A52" s="11"/>
      <c r="B52" s="31"/>
      <c r="C52" s="16"/>
      <c r="D52" s="21"/>
      <c r="E52" s="21"/>
      <c r="F52" s="22"/>
      <c r="G52" s="22"/>
      <c r="H52" s="4">
        <f t="shared" si="0"/>
        <v>0</v>
      </c>
    </row>
    <row r="53" spans="1:10" x14ac:dyDescent="0.35">
      <c r="A53" s="11"/>
      <c r="B53" s="31"/>
      <c r="C53" s="16"/>
      <c r="D53" s="21"/>
      <c r="E53" s="21"/>
      <c r="F53" s="22"/>
      <c r="G53" s="22"/>
      <c r="H53" s="4">
        <f t="shared" si="0"/>
        <v>0</v>
      </c>
    </row>
    <row r="54" spans="1:10" x14ac:dyDescent="0.35">
      <c r="A54" s="11"/>
      <c r="B54" s="31"/>
      <c r="C54" s="16"/>
      <c r="D54" s="21"/>
      <c r="E54" s="21"/>
      <c r="F54" s="22"/>
      <c r="G54" s="22"/>
      <c r="H54" s="4">
        <f t="shared" si="0"/>
        <v>0</v>
      </c>
    </row>
    <row r="55" spans="1:10" x14ac:dyDescent="0.35">
      <c r="A55" s="11"/>
      <c r="B55" s="31"/>
      <c r="C55" s="16"/>
      <c r="D55" s="21"/>
      <c r="E55" s="21"/>
      <c r="F55" s="22"/>
      <c r="G55" s="22"/>
      <c r="H55" s="4">
        <f t="shared" si="0"/>
        <v>0</v>
      </c>
    </row>
    <row r="56" spans="1:10" x14ac:dyDescent="0.35">
      <c r="A56" s="11"/>
      <c r="B56" s="31"/>
      <c r="C56" s="16"/>
      <c r="D56" s="21"/>
      <c r="E56" s="21"/>
      <c r="F56" s="22"/>
      <c r="G56" s="22"/>
      <c r="H56" s="4">
        <f t="shared" si="0"/>
        <v>0</v>
      </c>
    </row>
    <row r="57" spans="1:10" x14ac:dyDescent="0.35">
      <c r="A57" s="11"/>
      <c r="B57" s="31"/>
      <c r="C57" s="16"/>
      <c r="D57" s="21"/>
      <c r="E57" s="21"/>
      <c r="F57" s="22"/>
      <c r="G57" s="22"/>
      <c r="H57" s="4">
        <f t="shared" si="0"/>
        <v>0</v>
      </c>
    </row>
    <row r="58" spans="1:10" x14ac:dyDescent="0.35">
      <c r="A58" s="11"/>
      <c r="B58" s="31"/>
      <c r="C58" s="16"/>
      <c r="D58" s="21"/>
      <c r="E58" s="21"/>
      <c r="F58" s="22"/>
      <c r="G58" s="22"/>
      <c r="H58" s="4">
        <f t="shared" si="0"/>
        <v>0</v>
      </c>
    </row>
    <row r="59" spans="1:10" x14ac:dyDescent="0.35">
      <c r="A59" s="11"/>
      <c r="B59" s="31"/>
      <c r="C59" s="16"/>
      <c r="D59" s="21"/>
      <c r="E59" s="21"/>
      <c r="F59" s="22"/>
      <c r="G59" s="22"/>
      <c r="H59" s="4">
        <f t="shared" si="0"/>
        <v>0</v>
      </c>
    </row>
    <row r="60" spans="1:10" x14ac:dyDescent="0.35">
      <c r="A60" s="11"/>
      <c r="B60" s="31"/>
      <c r="C60" s="16"/>
      <c r="D60" s="21"/>
      <c r="E60" s="21"/>
      <c r="F60" s="22"/>
      <c r="G60" s="22"/>
      <c r="H60" s="4">
        <f t="shared" si="0"/>
        <v>0</v>
      </c>
    </row>
    <row r="61" spans="1:10" x14ac:dyDescent="0.35">
      <c r="A61" s="11"/>
      <c r="B61" s="31"/>
      <c r="C61" s="16"/>
      <c r="D61" s="21"/>
      <c r="E61" s="21"/>
      <c r="F61" s="22"/>
      <c r="G61" s="22"/>
      <c r="H61" s="4">
        <f t="shared" si="0"/>
        <v>0</v>
      </c>
      <c r="J61" s="33">
        <f>F61-G62-G63</f>
        <v>0</v>
      </c>
    </row>
    <row r="62" spans="1:10" x14ac:dyDescent="0.35">
      <c r="A62" s="11"/>
      <c r="B62" s="31"/>
      <c r="C62" s="16"/>
      <c r="D62" s="21"/>
      <c r="E62" s="21"/>
      <c r="F62" s="22"/>
      <c r="G62" s="22"/>
      <c r="H62" s="4">
        <f t="shared" si="0"/>
        <v>0</v>
      </c>
    </row>
    <row r="63" spans="1:10" x14ac:dyDescent="0.35">
      <c r="A63" s="11"/>
      <c r="B63" s="31"/>
      <c r="C63" s="16"/>
      <c r="D63" s="21"/>
      <c r="E63" s="21"/>
      <c r="F63" s="22"/>
      <c r="G63" s="22"/>
      <c r="H63" s="4">
        <f t="shared" si="0"/>
        <v>0</v>
      </c>
    </row>
    <row r="64" spans="1:10" x14ac:dyDescent="0.35">
      <c r="A64" s="11"/>
      <c r="B64" s="31"/>
      <c r="C64" s="16"/>
      <c r="D64" s="21"/>
      <c r="E64" s="21"/>
      <c r="F64" s="22"/>
      <c r="G64" s="22"/>
      <c r="H64" s="4">
        <f t="shared" si="0"/>
        <v>0</v>
      </c>
    </row>
    <row r="65" spans="1:8" x14ac:dyDescent="0.35">
      <c r="A65" s="11"/>
      <c r="B65" s="31"/>
      <c r="C65" s="16"/>
      <c r="D65" s="21"/>
      <c r="E65" s="21"/>
      <c r="F65" s="22"/>
      <c r="G65" s="22"/>
      <c r="H65" s="4">
        <f t="shared" si="0"/>
        <v>0</v>
      </c>
    </row>
    <row r="66" spans="1:8" x14ac:dyDescent="0.35">
      <c r="A66" s="11"/>
      <c r="B66" s="31"/>
      <c r="C66" s="16"/>
      <c r="D66" s="21"/>
      <c r="E66" s="21"/>
      <c r="F66" s="22"/>
      <c r="G66" s="22"/>
      <c r="H66" s="4">
        <f t="shared" si="0"/>
        <v>0</v>
      </c>
    </row>
    <row r="67" spans="1:8" x14ac:dyDescent="0.35">
      <c r="A67" s="11"/>
      <c r="B67" s="31"/>
      <c r="C67" s="16"/>
      <c r="D67" s="21"/>
      <c r="E67" s="21"/>
      <c r="F67" s="22"/>
      <c r="G67" s="22"/>
      <c r="H67" s="4">
        <f t="shared" si="0"/>
        <v>0</v>
      </c>
    </row>
    <row r="68" spans="1:8" x14ac:dyDescent="0.35">
      <c r="A68" s="11"/>
      <c r="B68" s="31"/>
      <c r="C68" s="16"/>
      <c r="D68" s="21"/>
      <c r="E68" s="21"/>
      <c r="F68" s="22"/>
      <c r="G68" s="22"/>
      <c r="H68" s="4">
        <f t="shared" si="0"/>
        <v>0</v>
      </c>
    </row>
    <row r="69" spans="1:8" x14ac:dyDescent="0.35">
      <c r="A69" s="11"/>
      <c r="B69" s="31"/>
      <c r="C69" s="16"/>
      <c r="D69" s="21"/>
      <c r="E69" s="21"/>
      <c r="F69" s="22"/>
      <c r="G69" s="22"/>
      <c r="H69" s="4">
        <f t="shared" si="0"/>
        <v>0</v>
      </c>
    </row>
    <row r="70" spans="1:8" x14ac:dyDescent="0.35">
      <c r="A70" s="11"/>
      <c r="B70" s="31"/>
      <c r="C70" s="16"/>
      <c r="D70" s="21"/>
      <c r="E70" s="21"/>
      <c r="F70" s="22"/>
      <c r="G70" s="22"/>
      <c r="H70" s="4">
        <f t="shared" si="0"/>
        <v>0</v>
      </c>
    </row>
    <row r="71" spans="1:8" x14ac:dyDescent="0.35">
      <c r="A71" s="11"/>
      <c r="B71" s="31"/>
      <c r="C71" s="16"/>
      <c r="D71" s="21"/>
      <c r="E71" s="21"/>
      <c r="F71" s="22"/>
      <c r="G71" s="22"/>
      <c r="H71" s="4">
        <f t="shared" si="0"/>
        <v>0</v>
      </c>
    </row>
    <row r="72" spans="1:8" x14ac:dyDescent="0.35">
      <c r="A72" s="11"/>
      <c r="B72" s="31"/>
      <c r="C72" s="16"/>
      <c r="D72" s="21"/>
      <c r="E72" s="21"/>
      <c r="F72" s="22"/>
      <c r="G72" s="22"/>
      <c r="H72" s="4">
        <f t="shared" si="0"/>
        <v>0</v>
      </c>
    </row>
    <row r="73" spans="1:8" x14ac:dyDescent="0.35">
      <c r="A73" s="11"/>
      <c r="B73" s="31"/>
      <c r="C73" s="16"/>
      <c r="D73" s="21"/>
      <c r="E73" s="21"/>
      <c r="F73" s="22"/>
      <c r="G73" s="22"/>
      <c r="H73" s="4">
        <f t="shared" ref="H73:H116" si="1">H72+F73-G73</f>
        <v>0</v>
      </c>
    </row>
    <row r="74" spans="1:8" x14ac:dyDescent="0.35">
      <c r="A74" s="11"/>
      <c r="B74" s="31"/>
      <c r="C74" s="16"/>
      <c r="D74" s="21"/>
      <c r="E74" s="21"/>
      <c r="F74" s="22"/>
      <c r="G74" s="22"/>
      <c r="H74" s="4">
        <f t="shared" si="1"/>
        <v>0</v>
      </c>
    </row>
    <row r="75" spans="1:8" x14ac:dyDescent="0.35">
      <c r="A75" s="11"/>
      <c r="B75" s="31"/>
      <c r="C75" s="16"/>
      <c r="D75" s="21"/>
      <c r="E75" s="21"/>
      <c r="F75" s="22"/>
      <c r="G75" s="22"/>
      <c r="H75" s="4">
        <f t="shared" si="1"/>
        <v>0</v>
      </c>
    </row>
    <row r="76" spans="1:8" x14ac:dyDescent="0.35">
      <c r="A76" s="11"/>
      <c r="B76" s="31"/>
      <c r="C76" s="16"/>
      <c r="D76" s="21"/>
      <c r="E76" s="21"/>
      <c r="F76" s="22"/>
      <c r="G76" s="22"/>
      <c r="H76" s="4">
        <f t="shared" si="1"/>
        <v>0</v>
      </c>
    </row>
    <row r="77" spans="1:8" x14ac:dyDescent="0.35">
      <c r="A77" s="11"/>
      <c r="B77" s="31"/>
      <c r="C77" s="16"/>
      <c r="D77" s="21"/>
      <c r="E77" s="21"/>
      <c r="F77" s="22"/>
      <c r="G77" s="22"/>
      <c r="H77" s="4">
        <f t="shared" si="1"/>
        <v>0</v>
      </c>
    </row>
    <row r="78" spans="1:8" x14ac:dyDescent="0.35">
      <c r="A78" s="11"/>
      <c r="B78" s="31"/>
      <c r="C78" s="16"/>
      <c r="D78" s="21"/>
      <c r="E78" s="21"/>
      <c r="F78" s="22"/>
      <c r="G78" s="22"/>
      <c r="H78" s="4">
        <f t="shared" si="1"/>
        <v>0</v>
      </c>
    </row>
    <row r="79" spans="1:8" x14ac:dyDescent="0.35">
      <c r="A79" s="11"/>
      <c r="B79" s="31"/>
      <c r="C79" s="16"/>
      <c r="D79" s="21"/>
      <c r="E79" s="21"/>
      <c r="F79" s="22"/>
      <c r="G79" s="22"/>
      <c r="H79" s="4">
        <f t="shared" si="1"/>
        <v>0</v>
      </c>
    </row>
    <row r="80" spans="1:8" x14ac:dyDescent="0.35">
      <c r="A80" s="11"/>
      <c r="B80" s="31"/>
      <c r="C80" s="16"/>
      <c r="D80" s="21"/>
      <c r="E80" s="21"/>
      <c r="F80" s="22"/>
      <c r="G80" s="22"/>
      <c r="H80" s="4">
        <f t="shared" si="1"/>
        <v>0</v>
      </c>
    </row>
    <row r="81" spans="1:10" x14ac:dyDescent="0.35">
      <c r="A81" s="11"/>
      <c r="B81" s="31"/>
      <c r="C81" s="16"/>
      <c r="D81" s="21"/>
      <c r="E81" s="21"/>
      <c r="F81" s="22"/>
      <c r="G81" s="22"/>
      <c r="H81" s="4">
        <f t="shared" si="1"/>
        <v>0</v>
      </c>
    </row>
    <row r="82" spans="1:10" x14ac:dyDescent="0.35">
      <c r="A82" s="11"/>
      <c r="B82" s="31"/>
      <c r="C82" s="16"/>
      <c r="D82" s="21"/>
      <c r="E82" s="21"/>
      <c r="F82" s="22"/>
      <c r="G82" s="22"/>
      <c r="H82" s="4">
        <f t="shared" si="1"/>
        <v>0</v>
      </c>
    </row>
    <row r="83" spans="1:10" x14ac:dyDescent="0.35">
      <c r="A83" s="11"/>
      <c r="B83" s="31"/>
      <c r="C83" s="16"/>
      <c r="D83" s="21"/>
      <c r="E83" s="21"/>
      <c r="F83" s="22"/>
      <c r="G83" s="22"/>
      <c r="H83" s="4">
        <f t="shared" si="1"/>
        <v>0</v>
      </c>
    </row>
    <row r="84" spans="1:10" x14ac:dyDescent="0.35">
      <c r="A84" s="11"/>
      <c r="B84" s="31"/>
      <c r="C84" s="16"/>
      <c r="D84" s="21"/>
      <c r="E84" s="21"/>
      <c r="F84" s="22"/>
      <c r="G84" s="22"/>
      <c r="H84" s="4">
        <f t="shared" si="1"/>
        <v>0</v>
      </c>
    </row>
    <row r="85" spans="1:10" x14ac:dyDescent="0.35">
      <c r="A85" s="11"/>
      <c r="B85" s="31"/>
      <c r="C85" s="16"/>
      <c r="D85" s="21"/>
      <c r="E85" s="21"/>
      <c r="F85" s="22"/>
      <c r="G85" s="22"/>
      <c r="H85" s="4">
        <f t="shared" si="1"/>
        <v>0</v>
      </c>
    </row>
    <row r="86" spans="1:10" x14ac:dyDescent="0.35">
      <c r="A86" s="11"/>
      <c r="B86" s="31"/>
      <c r="C86" s="16"/>
      <c r="D86" s="21"/>
      <c r="E86" s="21"/>
      <c r="F86" s="22"/>
      <c r="G86" s="22"/>
      <c r="H86" s="4">
        <f t="shared" si="1"/>
        <v>0</v>
      </c>
      <c r="J86" s="33">
        <f>F86-G87-G88</f>
        <v>0</v>
      </c>
    </row>
    <row r="87" spans="1:10" x14ac:dyDescent="0.35">
      <c r="A87" s="11"/>
      <c r="B87" s="31"/>
      <c r="C87" s="16"/>
      <c r="D87" s="1"/>
      <c r="E87" s="1"/>
      <c r="F87" s="4"/>
      <c r="G87" s="4"/>
      <c r="H87" s="4">
        <f t="shared" si="1"/>
        <v>0</v>
      </c>
    </row>
    <row r="88" spans="1:10" x14ac:dyDescent="0.35">
      <c r="A88" s="11"/>
      <c r="B88" s="31"/>
      <c r="C88" s="16"/>
      <c r="D88" s="1"/>
      <c r="E88" s="1"/>
      <c r="F88" s="4"/>
      <c r="G88" s="4"/>
      <c r="H88" s="4">
        <f t="shared" si="1"/>
        <v>0</v>
      </c>
    </row>
    <row r="89" spans="1:10" x14ac:dyDescent="0.35">
      <c r="A89" s="11"/>
      <c r="B89" s="11"/>
      <c r="C89" s="16"/>
      <c r="D89" s="1"/>
      <c r="E89" s="1"/>
      <c r="F89" s="4"/>
      <c r="G89" s="4"/>
      <c r="H89" s="4">
        <f t="shared" si="1"/>
        <v>0</v>
      </c>
    </row>
    <row r="90" spans="1:10" x14ac:dyDescent="0.35">
      <c r="A90" s="11"/>
      <c r="B90" s="11"/>
      <c r="C90" s="16"/>
      <c r="D90" s="1"/>
      <c r="E90" s="1"/>
      <c r="F90" s="4"/>
      <c r="G90" s="4"/>
      <c r="H90" s="4">
        <f t="shared" si="1"/>
        <v>0</v>
      </c>
    </row>
    <row r="91" spans="1:10" x14ac:dyDescent="0.35">
      <c r="A91" s="11"/>
      <c r="B91" s="11"/>
      <c r="C91" s="16"/>
      <c r="D91" s="1"/>
      <c r="E91" s="1"/>
      <c r="F91" s="4"/>
      <c r="G91" s="4"/>
      <c r="H91" s="4">
        <f t="shared" si="1"/>
        <v>0</v>
      </c>
    </row>
    <row r="92" spans="1:10" x14ac:dyDescent="0.35">
      <c r="A92" s="11"/>
      <c r="B92" s="11"/>
      <c r="C92" s="16"/>
      <c r="D92" s="1"/>
      <c r="E92" s="1"/>
      <c r="F92" s="4"/>
      <c r="G92" s="4"/>
      <c r="H92" s="4">
        <f t="shared" si="1"/>
        <v>0</v>
      </c>
    </row>
    <row r="93" spans="1:10" x14ac:dyDescent="0.35">
      <c r="A93" s="11"/>
      <c r="B93" s="11"/>
      <c r="C93" s="16"/>
      <c r="D93" s="1"/>
      <c r="E93" s="1"/>
      <c r="F93" s="4"/>
      <c r="G93" s="4"/>
      <c r="H93" s="4">
        <f t="shared" si="1"/>
        <v>0</v>
      </c>
    </row>
    <row r="94" spans="1:10" x14ac:dyDescent="0.35">
      <c r="A94" s="11"/>
      <c r="B94" s="11"/>
      <c r="C94" s="16"/>
      <c r="D94" s="1"/>
      <c r="E94" s="1"/>
      <c r="F94" s="4"/>
      <c r="G94" s="4"/>
      <c r="H94" s="4">
        <f t="shared" si="1"/>
        <v>0</v>
      </c>
    </row>
    <row r="95" spans="1:10" x14ac:dyDescent="0.35">
      <c r="A95" s="11"/>
      <c r="B95" s="11"/>
      <c r="C95" s="16"/>
      <c r="D95" s="1"/>
      <c r="E95" s="1"/>
      <c r="F95" s="4"/>
      <c r="G95" s="4"/>
      <c r="H95" s="4">
        <f t="shared" si="1"/>
        <v>0</v>
      </c>
    </row>
    <row r="96" spans="1:10" x14ac:dyDescent="0.35">
      <c r="A96" s="11"/>
      <c r="B96" s="11"/>
      <c r="C96" s="16"/>
      <c r="D96" s="1"/>
      <c r="E96" s="1"/>
      <c r="F96" s="4"/>
      <c r="G96" s="4"/>
      <c r="H96" s="4">
        <f t="shared" si="1"/>
        <v>0</v>
      </c>
    </row>
    <row r="97" spans="1:8" x14ac:dyDescent="0.35">
      <c r="A97" s="11"/>
      <c r="B97" s="11"/>
      <c r="C97" s="16"/>
      <c r="D97" s="1"/>
      <c r="E97" s="1"/>
      <c r="F97" s="4"/>
      <c r="G97" s="4"/>
      <c r="H97" s="4">
        <f t="shared" si="1"/>
        <v>0</v>
      </c>
    </row>
    <row r="98" spans="1:8" x14ac:dyDescent="0.35">
      <c r="A98" s="11"/>
      <c r="B98" s="11"/>
      <c r="C98" s="16"/>
      <c r="D98" s="1"/>
      <c r="E98" s="1"/>
      <c r="F98" s="4"/>
      <c r="G98" s="4"/>
      <c r="H98" s="4">
        <f t="shared" si="1"/>
        <v>0</v>
      </c>
    </row>
    <row r="99" spans="1:8" x14ac:dyDescent="0.35">
      <c r="A99" s="11"/>
      <c r="B99" s="11"/>
      <c r="C99" s="16"/>
      <c r="D99" s="1"/>
      <c r="E99" s="1"/>
      <c r="F99" s="4"/>
      <c r="G99" s="4"/>
      <c r="H99" s="4">
        <f t="shared" si="1"/>
        <v>0</v>
      </c>
    </row>
    <row r="100" spans="1:8" x14ac:dyDescent="0.35">
      <c r="A100" s="11"/>
      <c r="B100" s="11"/>
      <c r="C100" s="16"/>
      <c r="D100" s="1"/>
      <c r="E100" s="1"/>
      <c r="F100" s="4"/>
      <c r="G100" s="4"/>
      <c r="H100" s="4">
        <f t="shared" si="1"/>
        <v>0</v>
      </c>
    </row>
    <row r="101" spans="1:8" x14ac:dyDescent="0.35">
      <c r="A101" s="11"/>
      <c r="B101" s="11"/>
      <c r="C101" s="16"/>
      <c r="D101" s="1"/>
      <c r="E101" s="1"/>
      <c r="F101" s="4"/>
      <c r="G101" s="4"/>
      <c r="H101" s="4">
        <f t="shared" si="1"/>
        <v>0</v>
      </c>
    </row>
    <row r="102" spans="1:8" x14ac:dyDescent="0.35">
      <c r="A102" s="11"/>
      <c r="B102" s="11"/>
      <c r="C102" s="16"/>
      <c r="D102" s="1"/>
      <c r="E102" s="1"/>
      <c r="F102" s="4"/>
      <c r="G102" s="4"/>
      <c r="H102" s="4">
        <f t="shared" si="1"/>
        <v>0</v>
      </c>
    </row>
    <row r="103" spans="1:8" x14ac:dyDescent="0.35">
      <c r="A103" s="11"/>
      <c r="B103" s="11"/>
      <c r="C103" s="16"/>
      <c r="D103" s="1"/>
      <c r="E103" s="1"/>
      <c r="F103" s="4"/>
      <c r="G103" s="4"/>
      <c r="H103" s="4">
        <f t="shared" si="1"/>
        <v>0</v>
      </c>
    </row>
    <row r="104" spans="1:8" x14ac:dyDescent="0.35">
      <c r="A104" s="11"/>
      <c r="B104" s="11"/>
      <c r="C104" s="16"/>
      <c r="D104" s="1"/>
      <c r="E104" s="1"/>
      <c r="F104" s="4"/>
      <c r="G104" s="4"/>
      <c r="H104" s="4">
        <f t="shared" si="1"/>
        <v>0</v>
      </c>
    </row>
    <row r="105" spans="1:8" x14ac:dyDescent="0.35">
      <c r="A105" s="11"/>
      <c r="B105" s="11"/>
      <c r="C105" s="16"/>
      <c r="D105" s="1"/>
      <c r="E105" s="1"/>
      <c r="F105" s="4"/>
      <c r="G105" s="4"/>
      <c r="H105" s="4">
        <f t="shared" si="1"/>
        <v>0</v>
      </c>
    </row>
    <row r="106" spans="1:8" x14ac:dyDescent="0.35">
      <c r="A106" s="11"/>
      <c r="B106" s="11"/>
      <c r="C106" s="16"/>
      <c r="D106" s="1"/>
      <c r="E106" s="1"/>
      <c r="F106" s="4"/>
      <c r="G106" s="4"/>
      <c r="H106" s="4">
        <f t="shared" si="1"/>
        <v>0</v>
      </c>
    </row>
    <row r="107" spans="1:8" x14ac:dyDescent="0.35">
      <c r="A107" s="11"/>
      <c r="B107" s="11"/>
      <c r="C107" s="16"/>
      <c r="D107" s="1"/>
      <c r="E107" s="1"/>
      <c r="F107" s="4"/>
      <c r="G107" s="4"/>
      <c r="H107" s="4">
        <f t="shared" si="1"/>
        <v>0</v>
      </c>
    </row>
    <row r="108" spans="1:8" x14ac:dyDescent="0.35">
      <c r="A108" s="11"/>
      <c r="B108" s="11"/>
      <c r="C108" s="16"/>
      <c r="D108" s="1"/>
      <c r="E108" s="1"/>
      <c r="F108" s="4"/>
      <c r="G108" s="4"/>
      <c r="H108" s="4">
        <f t="shared" si="1"/>
        <v>0</v>
      </c>
    </row>
    <row r="109" spans="1:8" x14ac:dyDescent="0.35">
      <c r="A109" s="11"/>
      <c r="B109" s="11"/>
      <c r="C109" s="16"/>
      <c r="D109" s="1"/>
      <c r="E109" s="1"/>
      <c r="F109" s="4"/>
      <c r="G109" s="4"/>
      <c r="H109" s="4">
        <f t="shared" si="1"/>
        <v>0</v>
      </c>
    </row>
    <row r="110" spans="1:8" x14ac:dyDescent="0.35">
      <c r="A110" s="11"/>
      <c r="B110" s="11"/>
      <c r="C110" s="16"/>
      <c r="D110" s="1"/>
      <c r="E110" s="1"/>
      <c r="F110" s="4"/>
      <c r="G110" s="4"/>
      <c r="H110" s="4">
        <f t="shared" si="1"/>
        <v>0</v>
      </c>
    </row>
    <row r="111" spans="1:8" x14ac:dyDescent="0.35">
      <c r="A111" s="11"/>
      <c r="B111" s="11"/>
      <c r="C111" s="16"/>
      <c r="D111" s="1"/>
      <c r="E111" s="1"/>
      <c r="F111" s="4"/>
      <c r="G111" s="4"/>
      <c r="H111" s="4">
        <f t="shared" si="1"/>
        <v>0</v>
      </c>
    </row>
    <row r="112" spans="1:8" x14ac:dyDescent="0.35">
      <c r="A112" s="11"/>
      <c r="B112" s="11"/>
      <c r="C112" s="16"/>
      <c r="D112" s="1"/>
      <c r="E112" s="1"/>
      <c r="F112" s="4"/>
      <c r="G112" s="4"/>
      <c r="H112" s="4">
        <f t="shared" si="1"/>
        <v>0</v>
      </c>
    </row>
    <row r="113" spans="1:8" x14ac:dyDescent="0.35">
      <c r="A113" s="11"/>
      <c r="B113" s="11"/>
      <c r="C113" s="16"/>
      <c r="D113" s="1"/>
      <c r="E113" s="1"/>
      <c r="F113" s="4"/>
      <c r="G113" s="4"/>
      <c r="H113" s="4">
        <f t="shared" si="1"/>
        <v>0</v>
      </c>
    </row>
    <row r="114" spans="1:8" x14ac:dyDescent="0.35">
      <c r="A114" s="11"/>
      <c r="B114" s="11"/>
      <c r="C114" s="16"/>
      <c r="D114" s="1"/>
      <c r="E114" s="1"/>
      <c r="F114" s="4"/>
      <c r="G114" s="4"/>
      <c r="H114" s="4">
        <f t="shared" si="1"/>
        <v>0</v>
      </c>
    </row>
    <row r="115" spans="1:8" x14ac:dyDescent="0.35">
      <c r="A115" s="11"/>
      <c r="B115" s="11"/>
      <c r="C115" s="16"/>
      <c r="D115" s="1"/>
      <c r="E115" s="1"/>
      <c r="F115" s="4"/>
      <c r="G115" s="4"/>
      <c r="H115" s="4">
        <f t="shared" si="1"/>
        <v>0</v>
      </c>
    </row>
    <row r="116" spans="1:8" x14ac:dyDescent="0.35">
      <c r="A116" s="11"/>
      <c r="B116" s="11"/>
      <c r="C116" s="16"/>
      <c r="D116" s="1"/>
      <c r="E116" s="1"/>
      <c r="F116" s="4"/>
      <c r="G116" s="4"/>
      <c r="H116" s="4">
        <f t="shared" si="1"/>
        <v>0</v>
      </c>
    </row>
    <row r="117" spans="1:8" x14ac:dyDescent="0.35">
      <c r="A117" s="11"/>
      <c r="B117" s="11"/>
      <c r="C117" s="16"/>
      <c r="D117" s="1"/>
      <c r="E117" s="1"/>
      <c r="F117" s="4"/>
      <c r="G117" s="4"/>
      <c r="H117" s="4">
        <f t="shared" ref="H117:H160" si="2">H116+F117-G117</f>
        <v>0</v>
      </c>
    </row>
    <row r="118" spans="1:8" x14ac:dyDescent="0.35">
      <c r="A118" s="11"/>
      <c r="B118" s="11"/>
      <c r="C118" s="16"/>
      <c r="D118" s="1"/>
      <c r="E118" s="1"/>
      <c r="F118" s="4"/>
      <c r="G118" s="4"/>
      <c r="H118" s="4">
        <f t="shared" si="2"/>
        <v>0</v>
      </c>
    </row>
    <row r="119" spans="1:8" x14ac:dyDescent="0.35">
      <c r="A119" s="11"/>
      <c r="B119" s="11"/>
      <c r="C119" s="16"/>
      <c r="D119" s="1"/>
      <c r="E119" s="1"/>
      <c r="F119" s="4"/>
      <c r="G119" s="4"/>
      <c r="H119" s="4">
        <f t="shared" si="2"/>
        <v>0</v>
      </c>
    </row>
    <row r="120" spans="1:8" x14ac:dyDescent="0.35">
      <c r="A120" s="11"/>
      <c r="B120" s="11"/>
      <c r="C120" s="16"/>
      <c r="D120" s="1"/>
      <c r="E120" s="1"/>
      <c r="F120" s="4"/>
      <c r="G120" s="4"/>
      <c r="H120" s="4">
        <f t="shared" si="2"/>
        <v>0</v>
      </c>
    </row>
    <row r="121" spans="1:8" x14ac:dyDescent="0.35">
      <c r="A121" s="11"/>
      <c r="B121" s="11"/>
      <c r="C121" s="16"/>
      <c r="D121" s="1"/>
      <c r="E121" s="1"/>
      <c r="F121" s="4"/>
      <c r="G121" s="4"/>
      <c r="H121" s="4">
        <f t="shared" si="2"/>
        <v>0</v>
      </c>
    </row>
    <row r="122" spans="1:8" x14ac:dyDescent="0.35">
      <c r="A122" s="11"/>
      <c r="B122" s="11"/>
      <c r="C122" s="16"/>
      <c r="D122" s="1"/>
      <c r="E122" s="1"/>
      <c r="F122" s="4"/>
      <c r="G122" s="4"/>
      <c r="H122" s="4">
        <f t="shared" si="2"/>
        <v>0</v>
      </c>
    </row>
    <row r="123" spans="1:8" x14ac:dyDescent="0.35">
      <c r="A123" s="11"/>
      <c r="B123" s="11"/>
      <c r="C123" s="16"/>
      <c r="D123" s="1"/>
      <c r="E123" s="1"/>
      <c r="F123" s="4"/>
      <c r="G123" s="4"/>
      <c r="H123" s="4">
        <f t="shared" si="2"/>
        <v>0</v>
      </c>
    </row>
    <row r="124" spans="1:8" x14ac:dyDescent="0.35">
      <c r="A124" s="11"/>
      <c r="B124" s="11"/>
      <c r="C124" s="16"/>
      <c r="D124" s="1"/>
      <c r="E124" s="1"/>
      <c r="F124" s="4"/>
      <c r="G124" s="4"/>
      <c r="H124" s="4">
        <f t="shared" si="2"/>
        <v>0</v>
      </c>
    </row>
    <row r="125" spans="1:8" x14ac:dyDescent="0.35">
      <c r="A125" s="11"/>
      <c r="B125" s="11"/>
      <c r="C125" s="16"/>
      <c r="D125" s="1"/>
      <c r="E125" s="1"/>
      <c r="F125" s="4"/>
      <c r="G125" s="4"/>
      <c r="H125" s="4">
        <f t="shared" si="2"/>
        <v>0</v>
      </c>
    </row>
    <row r="126" spans="1:8" x14ac:dyDescent="0.35">
      <c r="A126" s="11"/>
      <c r="B126" s="11"/>
      <c r="C126" s="16"/>
      <c r="D126" s="1"/>
      <c r="E126" s="1"/>
      <c r="F126" s="4"/>
      <c r="G126" s="4"/>
      <c r="H126" s="4">
        <f t="shared" si="2"/>
        <v>0</v>
      </c>
    </row>
    <row r="127" spans="1:8" x14ac:dyDescent="0.35">
      <c r="A127" s="11"/>
      <c r="B127" s="11"/>
      <c r="C127" s="16"/>
      <c r="D127" s="1"/>
      <c r="E127" s="1"/>
      <c r="F127" s="4"/>
      <c r="G127" s="4"/>
      <c r="H127" s="4">
        <f t="shared" si="2"/>
        <v>0</v>
      </c>
    </row>
    <row r="128" spans="1:8" x14ac:dyDescent="0.35">
      <c r="A128" s="11"/>
      <c r="B128" s="11"/>
      <c r="C128" s="16"/>
      <c r="D128" s="1"/>
      <c r="E128" s="1"/>
      <c r="F128" s="4"/>
      <c r="G128" s="4"/>
      <c r="H128" s="4">
        <f t="shared" si="2"/>
        <v>0</v>
      </c>
    </row>
    <row r="129" spans="1:8" x14ac:dyDescent="0.35">
      <c r="A129" s="11"/>
      <c r="B129" s="11"/>
      <c r="C129" s="16"/>
      <c r="D129" s="1"/>
      <c r="E129" s="1"/>
      <c r="F129" s="4"/>
      <c r="G129" s="4"/>
      <c r="H129" s="4">
        <f t="shared" si="2"/>
        <v>0</v>
      </c>
    </row>
    <row r="130" spans="1:8" x14ac:dyDescent="0.35">
      <c r="A130" s="11"/>
      <c r="B130" s="11"/>
      <c r="C130" s="16"/>
      <c r="D130" s="1"/>
      <c r="E130" s="1"/>
      <c r="F130" s="4"/>
      <c r="G130" s="4"/>
      <c r="H130" s="4">
        <f t="shared" si="2"/>
        <v>0</v>
      </c>
    </row>
    <row r="131" spans="1:8" x14ac:dyDescent="0.35">
      <c r="A131" s="11"/>
      <c r="B131" s="11"/>
      <c r="C131" s="16"/>
      <c r="D131" s="1"/>
      <c r="E131" s="1"/>
      <c r="F131" s="4"/>
      <c r="G131" s="4"/>
      <c r="H131" s="4">
        <f t="shared" si="2"/>
        <v>0</v>
      </c>
    </row>
    <row r="132" spans="1:8" x14ac:dyDescent="0.35">
      <c r="A132" s="11"/>
      <c r="B132" s="11"/>
      <c r="C132" s="16"/>
      <c r="D132" s="1"/>
      <c r="E132" s="1"/>
      <c r="F132" s="4"/>
      <c r="G132" s="4"/>
      <c r="H132" s="4">
        <f t="shared" si="2"/>
        <v>0</v>
      </c>
    </row>
    <row r="133" spans="1:8" x14ac:dyDescent="0.35">
      <c r="A133" s="11"/>
      <c r="B133" s="11"/>
      <c r="C133" s="16"/>
      <c r="D133" s="1"/>
      <c r="E133" s="1"/>
      <c r="F133" s="4"/>
      <c r="G133" s="4"/>
      <c r="H133" s="4">
        <f t="shared" si="2"/>
        <v>0</v>
      </c>
    </row>
    <row r="134" spans="1:8" x14ac:dyDescent="0.35">
      <c r="A134" s="11"/>
      <c r="B134" s="11"/>
      <c r="C134" s="16"/>
      <c r="D134" s="1"/>
      <c r="E134" s="1"/>
      <c r="F134" s="4"/>
      <c r="G134" s="4"/>
      <c r="H134" s="4">
        <f t="shared" si="2"/>
        <v>0</v>
      </c>
    </row>
    <row r="135" spans="1:8" x14ac:dyDescent="0.35">
      <c r="A135" s="11"/>
      <c r="B135" s="11"/>
      <c r="C135" s="16"/>
      <c r="D135" s="1"/>
      <c r="E135" s="1"/>
      <c r="F135" s="4"/>
      <c r="G135" s="4"/>
      <c r="H135" s="4">
        <f t="shared" si="2"/>
        <v>0</v>
      </c>
    </row>
    <row r="136" spans="1:8" x14ac:dyDescent="0.35">
      <c r="A136" s="11"/>
      <c r="B136" s="11"/>
      <c r="C136" s="16"/>
      <c r="D136" s="1"/>
      <c r="E136" s="1"/>
      <c r="F136" s="4"/>
      <c r="G136" s="4"/>
      <c r="H136" s="4">
        <f t="shared" si="2"/>
        <v>0</v>
      </c>
    </row>
    <row r="137" spans="1:8" x14ac:dyDescent="0.35">
      <c r="A137" s="11"/>
      <c r="B137" s="11"/>
      <c r="C137" s="16"/>
      <c r="D137" s="1"/>
      <c r="E137" s="1"/>
      <c r="F137" s="4"/>
      <c r="G137" s="4"/>
      <c r="H137" s="4">
        <f t="shared" si="2"/>
        <v>0</v>
      </c>
    </row>
    <row r="138" spans="1:8" x14ac:dyDescent="0.35">
      <c r="A138" s="11"/>
      <c r="B138" s="11"/>
      <c r="C138" s="16"/>
      <c r="D138" s="1"/>
      <c r="E138" s="1"/>
      <c r="F138" s="4"/>
      <c r="G138" s="4"/>
      <c r="H138" s="4">
        <f t="shared" si="2"/>
        <v>0</v>
      </c>
    </row>
    <row r="139" spans="1:8" x14ac:dyDescent="0.35">
      <c r="A139" s="11"/>
      <c r="B139" s="11"/>
      <c r="C139" s="16"/>
      <c r="D139" s="1"/>
      <c r="E139" s="1"/>
      <c r="F139" s="4"/>
      <c r="G139" s="4"/>
      <c r="H139" s="4">
        <f t="shared" si="2"/>
        <v>0</v>
      </c>
    </row>
    <row r="140" spans="1:8" x14ac:dyDescent="0.35">
      <c r="A140" s="11"/>
      <c r="B140" s="11"/>
      <c r="C140" s="16"/>
      <c r="D140" s="1"/>
      <c r="E140" s="1"/>
      <c r="F140" s="4"/>
      <c r="G140" s="4"/>
      <c r="H140" s="4">
        <f t="shared" si="2"/>
        <v>0</v>
      </c>
    </row>
    <row r="141" spans="1:8" x14ac:dyDescent="0.35">
      <c r="A141" s="11"/>
      <c r="B141" s="11"/>
      <c r="C141" s="16"/>
      <c r="D141" s="1"/>
      <c r="E141" s="1"/>
      <c r="F141" s="4"/>
      <c r="G141" s="4"/>
      <c r="H141" s="4">
        <f t="shared" si="2"/>
        <v>0</v>
      </c>
    </row>
    <row r="142" spans="1:8" x14ac:dyDescent="0.35">
      <c r="A142" s="11"/>
      <c r="B142" s="11"/>
      <c r="C142" s="16"/>
      <c r="D142" s="1"/>
      <c r="E142" s="1"/>
      <c r="F142" s="4"/>
      <c r="G142" s="4"/>
      <c r="H142" s="4">
        <f t="shared" si="2"/>
        <v>0</v>
      </c>
    </row>
    <row r="143" spans="1:8" x14ac:dyDescent="0.35">
      <c r="A143" s="11"/>
      <c r="B143" s="11"/>
      <c r="C143" s="16"/>
      <c r="D143" s="1"/>
      <c r="E143" s="1"/>
      <c r="F143" s="4"/>
      <c r="G143" s="4"/>
      <c r="H143" s="4">
        <f t="shared" si="2"/>
        <v>0</v>
      </c>
    </row>
    <row r="144" spans="1:8" x14ac:dyDescent="0.35">
      <c r="A144" s="11"/>
      <c r="B144" s="11"/>
      <c r="C144" s="16"/>
      <c r="D144" s="1"/>
      <c r="E144" s="1"/>
      <c r="F144" s="4"/>
      <c r="G144" s="4"/>
      <c r="H144" s="4">
        <f t="shared" si="2"/>
        <v>0</v>
      </c>
    </row>
    <row r="145" spans="1:8" x14ac:dyDescent="0.35">
      <c r="A145" s="11"/>
      <c r="B145" s="11"/>
      <c r="C145" s="16"/>
      <c r="D145" s="1"/>
      <c r="E145" s="1"/>
      <c r="F145" s="4"/>
      <c r="G145" s="4"/>
      <c r="H145" s="4">
        <f t="shared" si="2"/>
        <v>0</v>
      </c>
    </row>
    <row r="146" spans="1:8" x14ac:dyDescent="0.35">
      <c r="A146" s="11"/>
      <c r="B146" s="11"/>
      <c r="C146" s="16"/>
      <c r="D146" s="1"/>
      <c r="E146" s="1"/>
      <c r="F146" s="4"/>
      <c r="G146" s="4"/>
      <c r="H146" s="4">
        <f t="shared" si="2"/>
        <v>0</v>
      </c>
    </row>
    <row r="147" spans="1:8" x14ac:dyDescent="0.35">
      <c r="A147" s="11"/>
      <c r="B147" s="11"/>
      <c r="C147" s="16"/>
      <c r="D147" s="1"/>
      <c r="E147" s="1"/>
      <c r="F147" s="4"/>
      <c r="G147" s="4"/>
      <c r="H147" s="4">
        <f t="shared" si="2"/>
        <v>0</v>
      </c>
    </row>
    <row r="148" spans="1:8" x14ac:dyDescent="0.35">
      <c r="A148" s="11"/>
      <c r="B148" s="11"/>
      <c r="C148" s="16"/>
      <c r="D148" s="1"/>
      <c r="E148" s="1"/>
      <c r="F148" s="4"/>
      <c r="G148" s="4"/>
      <c r="H148" s="4">
        <f t="shared" si="2"/>
        <v>0</v>
      </c>
    </row>
    <row r="149" spans="1:8" x14ac:dyDescent="0.35">
      <c r="A149" s="11"/>
      <c r="B149" s="11"/>
      <c r="C149" s="16"/>
      <c r="D149" s="1"/>
      <c r="E149" s="1"/>
      <c r="F149" s="4"/>
      <c r="G149" s="4"/>
      <c r="H149" s="4">
        <f t="shared" si="2"/>
        <v>0</v>
      </c>
    </row>
    <row r="150" spans="1:8" x14ac:dyDescent="0.35">
      <c r="A150" s="11"/>
      <c r="B150" s="11"/>
      <c r="C150" s="16"/>
      <c r="D150" s="1"/>
      <c r="E150" s="1"/>
      <c r="F150" s="4"/>
      <c r="G150" s="4"/>
      <c r="H150" s="4">
        <f t="shared" si="2"/>
        <v>0</v>
      </c>
    </row>
    <row r="151" spans="1:8" x14ac:dyDescent="0.35">
      <c r="A151" s="11"/>
      <c r="B151" s="11"/>
      <c r="C151" s="16"/>
      <c r="D151" s="1"/>
      <c r="E151" s="1"/>
      <c r="F151" s="4"/>
      <c r="G151" s="4"/>
      <c r="H151" s="4">
        <f t="shared" si="2"/>
        <v>0</v>
      </c>
    </row>
    <row r="152" spans="1:8" x14ac:dyDescent="0.35">
      <c r="A152" s="11"/>
      <c r="B152" s="11"/>
      <c r="C152" s="16"/>
      <c r="D152" s="1"/>
      <c r="E152" s="1"/>
      <c r="F152" s="4"/>
      <c r="G152" s="4"/>
      <c r="H152" s="4">
        <f t="shared" si="2"/>
        <v>0</v>
      </c>
    </row>
    <row r="153" spans="1:8" x14ac:dyDescent="0.35">
      <c r="A153" s="11"/>
      <c r="B153" s="11"/>
      <c r="C153" s="16"/>
      <c r="D153" s="1"/>
      <c r="E153" s="1"/>
      <c r="F153" s="4"/>
      <c r="G153" s="4"/>
      <c r="H153" s="4">
        <f t="shared" si="2"/>
        <v>0</v>
      </c>
    </row>
    <row r="154" spans="1:8" x14ac:dyDescent="0.35">
      <c r="A154" s="11"/>
      <c r="B154" s="11"/>
      <c r="C154" s="16"/>
      <c r="D154" s="1"/>
      <c r="E154" s="1"/>
      <c r="F154" s="4"/>
      <c r="G154" s="4"/>
      <c r="H154" s="4">
        <f t="shared" si="2"/>
        <v>0</v>
      </c>
    </row>
    <row r="155" spans="1:8" x14ac:dyDescent="0.35">
      <c r="A155" s="11"/>
      <c r="B155" s="11"/>
      <c r="C155" s="16"/>
      <c r="D155" s="1"/>
      <c r="E155" s="1"/>
      <c r="F155" s="4"/>
      <c r="G155" s="4"/>
      <c r="H155" s="4">
        <f t="shared" si="2"/>
        <v>0</v>
      </c>
    </row>
    <row r="156" spans="1:8" x14ac:dyDescent="0.35">
      <c r="A156" s="11"/>
      <c r="B156" s="11"/>
      <c r="C156" s="16"/>
      <c r="D156" s="1"/>
      <c r="E156" s="1"/>
      <c r="F156" s="4"/>
      <c r="G156" s="4"/>
      <c r="H156" s="4">
        <f t="shared" si="2"/>
        <v>0</v>
      </c>
    </row>
    <row r="157" spans="1:8" x14ac:dyDescent="0.35">
      <c r="A157" s="11"/>
      <c r="B157" s="11"/>
      <c r="C157" s="16"/>
      <c r="D157" s="1"/>
      <c r="E157" s="1"/>
      <c r="F157" s="4"/>
      <c r="G157" s="4"/>
      <c r="H157" s="4">
        <f t="shared" si="2"/>
        <v>0</v>
      </c>
    </row>
    <row r="158" spans="1:8" x14ac:dyDescent="0.35">
      <c r="A158" s="11"/>
      <c r="B158" s="11"/>
      <c r="C158" s="16"/>
      <c r="D158" s="1"/>
      <c r="E158" s="1"/>
      <c r="F158" s="4"/>
      <c r="G158" s="4"/>
      <c r="H158" s="4">
        <f t="shared" si="2"/>
        <v>0</v>
      </c>
    </row>
    <row r="159" spans="1:8" x14ac:dyDescent="0.35">
      <c r="A159" s="11"/>
      <c r="B159" s="11"/>
      <c r="C159" s="16"/>
      <c r="D159" s="1"/>
      <c r="E159" s="1"/>
      <c r="F159" s="4"/>
      <c r="G159" s="4"/>
      <c r="H159" s="4">
        <f t="shared" si="2"/>
        <v>0</v>
      </c>
    </row>
    <row r="160" spans="1:8" x14ac:dyDescent="0.35">
      <c r="A160" s="11"/>
      <c r="B160" s="11"/>
      <c r="C160" s="16"/>
      <c r="D160" s="1"/>
      <c r="E160" s="1"/>
      <c r="F160" s="4"/>
      <c r="G160" s="4"/>
      <c r="H160" s="4">
        <f t="shared" si="2"/>
        <v>0</v>
      </c>
    </row>
    <row r="161" spans="1:8" x14ac:dyDescent="0.35">
      <c r="A161" s="11"/>
      <c r="B161" s="11"/>
      <c r="C161" s="16"/>
      <c r="D161" s="1"/>
      <c r="E161" s="1"/>
      <c r="F161" s="4"/>
      <c r="G161" s="4"/>
      <c r="H161" s="4">
        <f t="shared" ref="H161:H224" si="3">H160+F161-G161</f>
        <v>0</v>
      </c>
    </row>
    <row r="162" spans="1:8" x14ac:dyDescent="0.35">
      <c r="A162" s="11"/>
      <c r="B162" s="11"/>
      <c r="C162" s="16"/>
      <c r="D162" s="1"/>
      <c r="E162" s="1"/>
      <c r="F162" s="4"/>
      <c r="G162" s="4"/>
      <c r="H162" s="4">
        <f t="shared" si="3"/>
        <v>0</v>
      </c>
    </row>
    <row r="163" spans="1:8" x14ac:dyDescent="0.35">
      <c r="A163" s="11"/>
      <c r="B163" s="11"/>
      <c r="C163" s="16"/>
      <c r="D163" s="1"/>
      <c r="E163" s="1"/>
      <c r="F163" s="4"/>
      <c r="G163" s="4"/>
      <c r="H163" s="4">
        <f t="shared" si="3"/>
        <v>0</v>
      </c>
    </row>
    <row r="164" spans="1:8" x14ac:dyDescent="0.35">
      <c r="A164" s="11"/>
      <c r="B164" s="11"/>
      <c r="C164" s="16"/>
      <c r="D164" s="1"/>
      <c r="E164" s="1"/>
      <c r="F164" s="4"/>
      <c r="G164" s="4"/>
      <c r="H164" s="4">
        <f t="shared" si="3"/>
        <v>0</v>
      </c>
    </row>
    <row r="165" spans="1:8" x14ac:dyDescent="0.35">
      <c r="A165" s="11"/>
      <c r="B165" s="11"/>
      <c r="C165" s="16"/>
      <c r="D165" s="1"/>
      <c r="E165" s="1"/>
      <c r="F165" s="4"/>
      <c r="G165" s="4"/>
      <c r="H165" s="4">
        <f t="shared" si="3"/>
        <v>0</v>
      </c>
    </row>
    <row r="166" spans="1:8" x14ac:dyDescent="0.35">
      <c r="A166" s="11"/>
      <c r="B166" s="11"/>
      <c r="C166" s="16"/>
      <c r="D166" s="1"/>
      <c r="E166" s="1"/>
      <c r="F166" s="4"/>
      <c r="G166" s="4"/>
      <c r="H166" s="4">
        <f t="shared" si="3"/>
        <v>0</v>
      </c>
    </row>
    <row r="167" spans="1:8" x14ac:dyDescent="0.35">
      <c r="A167" s="11"/>
      <c r="B167" s="11"/>
      <c r="C167" s="16"/>
      <c r="D167" s="1"/>
      <c r="E167" s="1"/>
      <c r="F167" s="4"/>
      <c r="G167" s="4"/>
      <c r="H167" s="4">
        <f t="shared" si="3"/>
        <v>0</v>
      </c>
    </row>
    <row r="168" spans="1:8" x14ac:dyDescent="0.35">
      <c r="A168" s="11"/>
      <c r="B168" s="11"/>
      <c r="C168" s="16"/>
      <c r="D168" s="1"/>
      <c r="E168" s="1"/>
      <c r="F168" s="4"/>
      <c r="G168" s="4"/>
      <c r="H168" s="4">
        <f t="shared" si="3"/>
        <v>0</v>
      </c>
    </row>
    <row r="169" spans="1:8" x14ac:dyDescent="0.35">
      <c r="A169" s="11"/>
      <c r="B169" s="11"/>
      <c r="C169" s="16"/>
      <c r="D169" s="1"/>
      <c r="E169" s="1"/>
      <c r="F169" s="4"/>
      <c r="G169" s="4"/>
      <c r="H169" s="4">
        <f t="shared" si="3"/>
        <v>0</v>
      </c>
    </row>
    <row r="170" spans="1:8" x14ac:dyDescent="0.35">
      <c r="A170" s="11"/>
      <c r="B170" s="11"/>
      <c r="C170" s="16"/>
      <c r="D170" s="1"/>
      <c r="E170" s="1"/>
      <c r="F170" s="4"/>
      <c r="G170" s="4"/>
      <c r="H170" s="4">
        <f t="shared" si="3"/>
        <v>0</v>
      </c>
    </row>
    <row r="171" spans="1:8" x14ac:dyDescent="0.35">
      <c r="A171" s="11"/>
      <c r="B171" s="11"/>
      <c r="C171" s="16"/>
      <c r="D171" s="1"/>
      <c r="E171" s="1"/>
      <c r="F171" s="4"/>
      <c r="G171" s="4"/>
      <c r="H171" s="4">
        <f t="shared" si="3"/>
        <v>0</v>
      </c>
    </row>
    <row r="172" spans="1:8" x14ac:dyDescent="0.35">
      <c r="A172" s="11"/>
      <c r="B172" s="11"/>
      <c r="C172" s="16"/>
      <c r="D172" s="1"/>
      <c r="E172" s="1"/>
      <c r="F172" s="4"/>
      <c r="G172" s="4"/>
      <c r="H172" s="4">
        <f t="shared" si="3"/>
        <v>0</v>
      </c>
    </row>
    <row r="173" spans="1:8" x14ac:dyDescent="0.35">
      <c r="A173" s="11"/>
      <c r="B173" s="11"/>
      <c r="C173" s="16"/>
      <c r="D173" s="1"/>
      <c r="E173" s="1"/>
      <c r="F173" s="4"/>
      <c r="G173" s="4"/>
      <c r="H173" s="4">
        <f t="shared" si="3"/>
        <v>0</v>
      </c>
    </row>
    <row r="174" spans="1:8" x14ac:dyDescent="0.35">
      <c r="A174" s="11"/>
      <c r="B174" s="11"/>
      <c r="C174" s="16"/>
      <c r="D174" s="1"/>
      <c r="E174" s="1"/>
      <c r="F174" s="4"/>
      <c r="G174" s="4"/>
      <c r="H174" s="4">
        <f t="shared" si="3"/>
        <v>0</v>
      </c>
    </row>
    <row r="175" spans="1:8" x14ac:dyDescent="0.35">
      <c r="A175" s="11"/>
      <c r="B175" s="11"/>
      <c r="C175" s="16"/>
      <c r="D175" s="1"/>
      <c r="E175" s="1"/>
      <c r="F175" s="4"/>
      <c r="G175" s="4"/>
      <c r="H175" s="4">
        <f t="shared" si="3"/>
        <v>0</v>
      </c>
    </row>
    <row r="176" spans="1:8" x14ac:dyDescent="0.35">
      <c r="A176" s="11"/>
      <c r="B176" s="11"/>
      <c r="C176" s="16"/>
      <c r="D176" s="1"/>
      <c r="E176" s="1"/>
      <c r="F176" s="4"/>
      <c r="G176" s="4"/>
      <c r="H176" s="4">
        <f t="shared" si="3"/>
        <v>0</v>
      </c>
    </row>
    <row r="177" spans="1:8" x14ac:dyDescent="0.35">
      <c r="A177" s="11"/>
      <c r="B177" s="11"/>
      <c r="C177" s="16"/>
      <c r="D177" s="1"/>
      <c r="E177" s="1"/>
      <c r="F177" s="4"/>
      <c r="G177" s="4"/>
      <c r="H177" s="4">
        <f t="shared" si="3"/>
        <v>0</v>
      </c>
    </row>
    <row r="178" spans="1:8" x14ac:dyDescent="0.35">
      <c r="A178" s="11"/>
      <c r="B178" s="11"/>
      <c r="C178" s="16"/>
      <c r="D178" s="1"/>
      <c r="E178" s="1"/>
      <c r="F178" s="4"/>
      <c r="G178" s="4"/>
      <c r="H178" s="4">
        <f t="shared" si="3"/>
        <v>0</v>
      </c>
    </row>
    <row r="179" spans="1:8" x14ac:dyDescent="0.35">
      <c r="A179" s="11"/>
      <c r="B179" s="11"/>
      <c r="C179" s="16"/>
      <c r="D179" s="1"/>
      <c r="E179" s="1"/>
      <c r="F179" s="4"/>
      <c r="G179" s="4"/>
      <c r="H179" s="4">
        <f t="shared" si="3"/>
        <v>0</v>
      </c>
    </row>
    <row r="180" spans="1:8" x14ac:dyDescent="0.35">
      <c r="A180" s="11"/>
      <c r="B180" s="11"/>
      <c r="C180" s="16"/>
      <c r="D180" s="1"/>
      <c r="E180" s="1"/>
      <c r="F180" s="4"/>
      <c r="G180" s="4"/>
      <c r="H180" s="4">
        <f t="shared" si="3"/>
        <v>0</v>
      </c>
    </row>
    <row r="181" spans="1:8" x14ac:dyDescent="0.35">
      <c r="A181" s="11"/>
      <c r="B181" s="11"/>
      <c r="C181" s="16"/>
      <c r="D181" s="1"/>
      <c r="E181" s="1"/>
      <c r="F181" s="4"/>
      <c r="G181" s="4"/>
      <c r="H181" s="4">
        <f t="shared" si="3"/>
        <v>0</v>
      </c>
    </row>
    <row r="182" spans="1:8" x14ac:dyDescent="0.35">
      <c r="A182" s="11"/>
      <c r="B182" s="11"/>
      <c r="C182" s="16"/>
      <c r="D182" s="1"/>
      <c r="E182" s="1"/>
      <c r="F182" s="4"/>
      <c r="G182" s="4"/>
      <c r="H182" s="4">
        <f t="shared" si="3"/>
        <v>0</v>
      </c>
    </row>
    <row r="183" spans="1:8" x14ac:dyDescent="0.35">
      <c r="A183" s="11"/>
      <c r="B183" s="11"/>
      <c r="C183" s="16"/>
      <c r="D183" s="1"/>
      <c r="E183" s="1"/>
      <c r="F183" s="4"/>
      <c r="G183" s="4"/>
      <c r="H183" s="4">
        <f t="shared" si="3"/>
        <v>0</v>
      </c>
    </row>
    <row r="184" spans="1:8" x14ac:dyDescent="0.35">
      <c r="A184" s="11"/>
      <c r="B184" s="11"/>
      <c r="C184" s="16"/>
      <c r="D184" s="1"/>
      <c r="E184" s="1"/>
      <c r="F184" s="4"/>
      <c r="G184" s="4"/>
      <c r="H184" s="4">
        <f t="shared" si="3"/>
        <v>0</v>
      </c>
    </row>
    <row r="185" spans="1:8" x14ac:dyDescent="0.35">
      <c r="A185" s="11"/>
      <c r="B185" s="11"/>
      <c r="C185" s="16"/>
      <c r="D185" s="1"/>
      <c r="E185" s="1"/>
      <c r="F185" s="4"/>
      <c r="G185" s="4"/>
      <c r="H185" s="4">
        <f t="shared" si="3"/>
        <v>0</v>
      </c>
    </row>
    <row r="186" spans="1:8" x14ac:dyDescent="0.35">
      <c r="A186" s="11"/>
      <c r="B186" s="11"/>
      <c r="C186" s="16"/>
      <c r="D186" s="1"/>
      <c r="E186" s="1"/>
      <c r="F186" s="4"/>
      <c r="G186" s="4"/>
      <c r="H186" s="4">
        <f t="shared" si="3"/>
        <v>0</v>
      </c>
    </row>
    <row r="187" spans="1:8" x14ac:dyDescent="0.35">
      <c r="A187" s="11"/>
      <c r="B187" s="11"/>
      <c r="C187" s="16"/>
      <c r="D187" s="1"/>
      <c r="E187" s="1"/>
      <c r="F187" s="4"/>
      <c r="G187" s="4"/>
      <c r="H187" s="4">
        <f t="shared" si="3"/>
        <v>0</v>
      </c>
    </row>
    <row r="188" spans="1:8" x14ac:dyDescent="0.35">
      <c r="A188" s="11"/>
      <c r="B188" s="11"/>
      <c r="C188" s="16"/>
      <c r="D188" s="1"/>
      <c r="E188" s="1"/>
      <c r="F188" s="4"/>
      <c r="G188" s="4"/>
      <c r="H188" s="4">
        <f t="shared" si="3"/>
        <v>0</v>
      </c>
    </row>
    <row r="189" spans="1:8" x14ac:dyDescent="0.35">
      <c r="A189" s="11"/>
      <c r="B189" s="11"/>
      <c r="C189" s="16"/>
      <c r="D189" s="1"/>
      <c r="E189" s="1"/>
      <c r="F189" s="4"/>
      <c r="G189" s="4"/>
      <c r="H189" s="4">
        <f t="shared" si="3"/>
        <v>0</v>
      </c>
    </row>
    <row r="190" spans="1:8" x14ac:dyDescent="0.35">
      <c r="A190" s="11"/>
      <c r="B190" s="11"/>
      <c r="C190" s="16"/>
      <c r="D190" s="1"/>
      <c r="E190" s="1"/>
      <c r="F190" s="4"/>
      <c r="G190" s="4"/>
      <c r="H190" s="4">
        <f t="shared" si="3"/>
        <v>0</v>
      </c>
    </row>
    <row r="191" spans="1:8" x14ac:dyDescent="0.35">
      <c r="A191" s="11"/>
      <c r="B191" s="11"/>
      <c r="C191" s="16"/>
      <c r="D191" s="1"/>
      <c r="E191" s="1"/>
      <c r="F191" s="4"/>
      <c r="G191" s="4"/>
      <c r="H191" s="4">
        <f t="shared" si="3"/>
        <v>0</v>
      </c>
    </row>
    <row r="192" spans="1:8" x14ac:dyDescent="0.35">
      <c r="A192" s="11"/>
      <c r="B192" s="11"/>
      <c r="C192" s="16"/>
      <c r="D192" s="1"/>
      <c r="E192" s="1"/>
      <c r="F192" s="4"/>
      <c r="G192" s="4"/>
      <c r="H192" s="4">
        <f t="shared" si="3"/>
        <v>0</v>
      </c>
    </row>
    <row r="193" spans="1:8" x14ac:dyDescent="0.35">
      <c r="A193" s="11"/>
      <c r="B193" s="11"/>
      <c r="C193" s="16"/>
      <c r="D193" s="1"/>
      <c r="E193" s="1"/>
      <c r="F193" s="4"/>
      <c r="G193" s="4"/>
      <c r="H193" s="4">
        <f t="shared" si="3"/>
        <v>0</v>
      </c>
    </row>
    <row r="194" spans="1:8" x14ac:dyDescent="0.35">
      <c r="A194" s="11"/>
      <c r="B194" s="11"/>
      <c r="C194" s="16"/>
      <c r="D194" s="1"/>
      <c r="E194" s="1"/>
      <c r="F194" s="4"/>
      <c r="G194" s="4"/>
      <c r="H194" s="4">
        <f t="shared" si="3"/>
        <v>0</v>
      </c>
    </row>
    <row r="195" spans="1:8" x14ac:dyDescent="0.35">
      <c r="A195" s="11"/>
      <c r="B195" s="11"/>
      <c r="C195" s="16"/>
      <c r="D195" s="1"/>
      <c r="E195" s="1"/>
      <c r="F195" s="4"/>
      <c r="G195" s="4"/>
      <c r="H195" s="4">
        <f t="shared" si="3"/>
        <v>0</v>
      </c>
    </row>
    <row r="196" spans="1:8" x14ac:dyDescent="0.35">
      <c r="A196" s="11"/>
      <c r="B196" s="11"/>
      <c r="C196" s="16"/>
      <c r="D196" s="1"/>
      <c r="E196" s="1"/>
      <c r="F196" s="4"/>
      <c r="G196" s="4"/>
      <c r="H196" s="4">
        <f t="shared" si="3"/>
        <v>0</v>
      </c>
    </row>
    <row r="197" spans="1:8" x14ac:dyDescent="0.35">
      <c r="A197" s="11"/>
      <c r="B197" s="11"/>
      <c r="C197" s="16"/>
      <c r="D197" s="1"/>
      <c r="E197" s="1"/>
      <c r="F197" s="4"/>
      <c r="G197" s="4"/>
      <c r="H197" s="4">
        <f t="shared" si="3"/>
        <v>0</v>
      </c>
    </row>
    <row r="198" spans="1:8" x14ac:dyDescent="0.35">
      <c r="A198" s="11"/>
      <c r="B198" s="11"/>
      <c r="C198" s="16"/>
      <c r="D198" s="1"/>
      <c r="E198" s="1"/>
      <c r="F198" s="4"/>
      <c r="G198" s="4"/>
      <c r="H198" s="4">
        <f t="shared" si="3"/>
        <v>0</v>
      </c>
    </row>
    <row r="199" spans="1:8" x14ac:dyDescent="0.35">
      <c r="A199" s="11"/>
      <c r="B199" s="11"/>
      <c r="C199" s="16"/>
      <c r="D199" s="1"/>
      <c r="E199" s="1"/>
      <c r="F199" s="4"/>
      <c r="G199" s="4"/>
      <c r="H199" s="4">
        <f t="shared" si="3"/>
        <v>0</v>
      </c>
    </row>
    <row r="200" spans="1:8" x14ac:dyDescent="0.35">
      <c r="A200" s="11"/>
      <c r="B200" s="11"/>
      <c r="C200" s="16"/>
      <c r="D200" s="1"/>
      <c r="E200" s="1"/>
      <c r="F200" s="4"/>
      <c r="G200" s="4"/>
      <c r="H200" s="4">
        <f t="shared" si="3"/>
        <v>0</v>
      </c>
    </row>
    <row r="201" spans="1:8" x14ac:dyDescent="0.35">
      <c r="A201" s="11"/>
      <c r="B201" s="11"/>
      <c r="C201" s="16"/>
      <c r="D201" s="1"/>
      <c r="E201" s="1"/>
      <c r="F201" s="4"/>
      <c r="G201" s="4"/>
      <c r="H201" s="4">
        <f t="shared" si="3"/>
        <v>0</v>
      </c>
    </row>
    <row r="202" spans="1:8" x14ac:dyDescent="0.35">
      <c r="A202" s="11"/>
      <c r="B202" s="11"/>
      <c r="C202" s="16"/>
      <c r="D202" s="1"/>
      <c r="E202" s="1"/>
      <c r="F202" s="4"/>
      <c r="G202" s="4"/>
      <c r="H202" s="4">
        <f t="shared" si="3"/>
        <v>0</v>
      </c>
    </row>
    <row r="203" spans="1:8" x14ac:dyDescent="0.35">
      <c r="A203" s="11"/>
      <c r="B203" s="11"/>
      <c r="C203" s="16"/>
      <c r="D203" s="1"/>
      <c r="E203" s="1"/>
      <c r="F203" s="4"/>
      <c r="G203" s="4"/>
      <c r="H203" s="4">
        <f t="shared" si="3"/>
        <v>0</v>
      </c>
    </row>
    <row r="204" spans="1:8" x14ac:dyDescent="0.35">
      <c r="A204" s="11"/>
      <c r="B204" s="11"/>
      <c r="C204" s="16"/>
      <c r="D204" s="1"/>
      <c r="E204" s="1"/>
      <c r="F204" s="4"/>
      <c r="G204" s="4"/>
      <c r="H204" s="4">
        <f t="shared" si="3"/>
        <v>0</v>
      </c>
    </row>
    <row r="205" spans="1:8" x14ac:dyDescent="0.35">
      <c r="A205" s="11"/>
      <c r="B205" s="11"/>
      <c r="C205" s="16"/>
      <c r="D205" s="1"/>
      <c r="E205" s="1"/>
      <c r="F205" s="4"/>
      <c r="G205" s="4"/>
      <c r="H205" s="4">
        <f t="shared" si="3"/>
        <v>0</v>
      </c>
    </row>
    <row r="206" spans="1:8" x14ac:dyDescent="0.35">
      <c r="A206" s="11"/>
      <c r="B206" s="11"/>
      <c r="C206" s="16"/>
      <c r="D206" s="1"/>
      <c r="E206" s="1"/>
      <c r="F206" s="4"/>
      <c r="G206" s="4"/>
      <c r="H206" s="4">
        <f t="shared" si="3"/>
        <v>0</v>
      </c>
    </row>
    <row r="207" spans="1:8" x14ac:dyDescent="0.35">
      <c r="A207" s="11"/>
      <c r="B207" s="11"/>
      <c r="C207" s="16"/>
      <c r="D207" s="1"/>
      <c r="E207" s="1"/>
      <c r="F207" s="4"/>
      <c r="G207" s="4"/>
      <c r="H207" s="4">
        <f t="shared" si="3"/>
        <v>0</v>
      </c>
    </row>
    <row r="208" spans="1:8" x14ac:dyDescent="0.35">
      <c r="A208" s="11"/>
      <c r="B208" s="11"/>
      <c r="C208" s="16"/>
      <c r="D208" s="1"/>
      <c r="E208" s="1"/>
      <c r="F208" s="4"/>
      <c r="G208" s="4"/>
      <c r="H208" s="4">
        <f t="shared" si="3"/>
        <v>0</v>
      </c>
    </row>
    <row r="209" spans="1:8" x14ac:dyDescent="0.35">
      <c r="A209" s="11"/>
      <c r="B209" s="11"/>
      <c r="C209" s="16"/>
      <c r="D209" s="1"/>
      <c r="E209" s="1"/>
      <c r="F209" s="4"/>
      <c r="G209" s="4"/>
      <c r="H209" s="4">
        <f t="shared" si="3"/>
        <v>0</v>
      </c>
    </row>
    <row r="210" spans="1:8" x14ac:dyDescent="0.35">
      <c r="A210" s="11"/>
      <c r="B210" s="11"/>
      <c r="C210" s="16"/>
      <c r="D210" s="1"/>
      <c r="E210" s="1"/>
      <c r="F210" s="4"/>
      <c r="G210" s="4"/>
      <c r="H210" s="4">
        <f t="shared" si="3"/>
        <v>0</v>
      </c>
    </row>
    <row r="211" spans="1:8" x14ac:dyDescent="0.35">
      <c r="A211" s="11"/>
      <c r="B211" s="11"/>
      <c r="C211" s="16"/>
      <c r="D211" s="1"/>
      <c r="E211" s="1"/>
      <c r="F211" s="4"/>
      <c r="G211" s="4"/>
      <c r="H211" s="4">
        <f t="shared" si="3"/>
        <v>0</v>
      </c>
    </row>
    <row r="212" spans="1:8" x14ac:dyDescent="0.35">
      <c r="A212" s="11"/>
      <c r="B212" s="11"/>
      <c r="C212" s="16"/>
      <c r="D212" s="1"/>
      <c r="E212" s="1"/>
      <c r="F212" s="4"/>
      <c r="G212" s="4"/>
      <c r="H212" s="4">
        <f t="shared" si="3"/>
        <v>0</v>
      </c>
    </row>
    <row r="213" spans="1:8" x14ac:dyDescent="0.35">
      <c r="A213" s="11"/>
      <c r="B213" s="11"/>
      <c r="C213" s="16"/>
      <c r="D213" s="1"/>
      <c r="E213" s="1"/>
      <c r="F213" s="4"/>
      <c r="G213" s="4"/>
      <c r="H213" s="4">
        <f t="shared" si="3"/>
        <v>0</v>
      </c>
    </row>
    <row r="214" spans="1:8" x14ac:dyDescent="0.35">
      <c r="A214" s="11"/>
      <c r="B214" s="11"/>
      <c r="C214" s="16"/>
      <c r="D214" s="1"/>
      <c r="E214" s="1"/>
      <c r="F214" s="4"/>
      <c r="G214" s="4"/>
      <c r="H214" s="4">
        <f t="shared" si="3"/>
        <v>0</v>
      </c>
    </row>
    <row r="215" spans="1:8" x14ac:dyDescent="0.35">
      <c r="A215" s="11"/>
      <c r="B215" s="11"/>
      <c r="C215" s="16"/>
      <c r="D215" s="1"/>
      <c r="E215" s="1"/>
      <c r="F215" s="4"/>
      <c r="G215" s="4"/>
      <c r="H215" s="4">
        <f t="shared" si="3"/>
        <v>0</v>
      </c>
    </row>
    <row r="216" spans="1:8" x14ac:dyDescent="0.35">
      <c r="A216" s="11"/>
      <c r="B216" s="11"/>
      <c r="C216" s="16"/>
      <c r="D216" s="1"/>
      <c r="E216" s="1"/>
      <c r="F216" s="4"/>
      <c r="G216" s="4"/>
      <c r="H216" s="4">
        <f t="shared" si="3"/>
        <v>0</v>
      </c>
    </row>
    <row r="217" spans="1:8" x14ac:dyDescent="0.35">
      <c r="A217" s="11"/>
      <c r="B217" s="11"/>
      <c r="C217" s="16"/>
      <c r="D217" s="1"/>
      <c r="E217" s="1"/>
      <c r="F217" s="4"/>
      <c r="G217" s="4"/>
      <c r="H217" s="4">
        <f t="shared" si="3"/>
        <v>0</v>
      </c>
    </row>
    <row r="218" spans="1:8" x14ac:dyDescent="0.35">
      <c r="A218" s="11"/>
      <c r="B218" s="11"/>
      <c r="C218" s="16"/>
      <c r="D218" s="1"/>
      <c r="E218" s="1"/>
      <c r="F218" s="4"/>
      <c r="G218" s="4"/>
      <c r="H218" s="4">
        <f t="shared" si="3"/>
        <v>0</v>
      </c>
    </row>
    <row r="219" spans="1:8" x14ac:dyDescent="0.35">
      <c r="A219" s="11"/>
      <c r="B219" s="11"/>
      <c r="C219" s="16"/>
      <c r="D219" s="1"/>
      <c r="E219" s="1"/>
      <c r="F219" s="4"/>
      <c r="G219" s="4"/>
      <c r="H219" s="4">
        <f t="shared" si="3"/>
        <v>0</v>
      </c>
    </row>
    <row r="220" spans="1:8" x14ac:dyDescent="0.35">
      <c r="A220" s="11"/>
      <c r="B220" s="11"/>
      <c r="C220" s="16"/>
      <c r="D220" s="1"/>
      <c r="E220" s="1"/>
      <c r="F220" s="4"/>
      <c r="G220" s="4"/>
      <c r="H220" s="4">
        <f t="shared" si="3"/>
        <v>0</v>
      </c>
    </row>
    <row r="221" spans="1:8" x14ac:dyDescent="0.35">
      <c r="A221" s="11"/>
      <c r="B221" s="11"/>
      <c r="C221" s="16"/>
      <c r="D221" s="1"/>
      <c r="E221" s="1"/>
      <c r="F221" s="4"/>
      <c r="G221" s="4"/>
      <c r="H221" s="4">
        <f t="shared" si="3"/>
        <v>0</v>
      </c>
    </row>
    <row r="222" spans="1:8" x14ac:dyDescent="0.35">
      <c r="A222" s="11"/>
      <c r="B222" s="11"/>
      <c r="C222" s="16"/>
      <c r="D222" s="1"/>
      <c r="E222" s="1"/>
      <c r="F222" s="4"/>
      <c r="G222" s="4"/>
      <c r="H222" s="4">
        <f t="shared" si="3"/>
        <v>0</v>
      </c>
    </row>
    <row r="223" spans="1:8" x14ac:dyDescent="0.35">
      <c r="A223" s="11"/>
      <c r="B223" s="11"/>
      <c r="C223" s="16"/>
      <c r="D223" s="1"/>
      <c r="E223" s="1"/>
      <c r="F223" s="4"/>
      <c r="G223" s="4"/>
      <c r="H223" s="4">
        <f t="shared" si="3"/>
        <v>0</v>
      </c>
    </row>
    <row r="224" spans="1:8" x14ac:dyDescent="0.35">
      <c r="A224" s="11"/>
      <c r="B224" s="11"/>
      <c r="C224" s="16"/>
      <c r="D224" s="1"/>
      <c r="E224" s="1"/>
      <c r="F224" s="4"/>
      <c r="G224" s="4"/>
      <c r="H224" s="4">
        <f t="shared" si="3"/>
        <v>0</v>
      </c>
    </row>
    <row r="225" spans="1:8" x14ac:dyDescent="0.35">
      <c r="A225" s="11"/>
      <c r="B225" s="11"/>
      <c r="C225" s="16"/>
      <c r="D225" s="1"/>
      <c r="E225" s="1"/>
      <c r="F225" s="4"/>
      <c r="G225" s="4"/>
      <c r="H225" s="4">
        <f t="shared" ref="H225:H288" si="4">H224+F225-G225</f>
        <v>0</v>
      </c>
    </row>
    <row r="226" spans="1:8" x14ac:dyDescent="0.35">
      <c r="A226" s="11"/>
      <c r="B226" s="11"/>
      <c r="C226" s="16"/>
      <c r="D226" s="1"/>
      <c r="E226" s="1"/>
      <c r="F226" s="4"/>
      <c r="G226" s="4"/>
      <c r="H226" s="4">
        <f t="shared" si="4"/>
        <v>0</v>
      </c>
    </row>
    <row r="227" spans="1:8" x14ac:dyDescent="0.35">
      <c r="A227" s="11"/>
      <c r="B227" s="11"/>
      <c r="C227" s="16"/>
      <c r="D227" s="1"/>
      <c r="E227" s="1"/>
      <c r="F227" s="4"/>
      <c r="G227" s="4"/>
      <c r="H227" s="4">
        <f t="shared" si="4"/>
        <v>0</v>
      </c>
    </row>
    <row r="228" spans="1:8" x14ac:dyDescent="0.35">
      <c r="A228" s="11"/>
      <c r="B228" s="11"/>
      <c r="C228" s="16"/>
      <c r="D228" s="1"/>
      <c r="E228" s="1"/>
      <c r="F228" s="4"/>
      <c r="G228" s="4"/>
      <c r="H228" s="4">
        <f t="shared" si="4"/>
        <v>0</v>
      </c>
    </row>
    <row r="229" spans="1:8" x14ac:dyDescent="0.35">
      <c r="A229" s="11"/>
      <c r="B229" s="11"/>
      <c r="C229" s="16"/>
      <c r="D229" s="1"/>
      <c r="E229" s="1"/>
      <c r="F229" s="4"/>
      <c r="G229" s="4"/>
      <c r="H229" s="4">
        <f t="shared" si="4"/>
        <v>0</v>
      </c>
    </row>
    <row r="230" spans="1:8" x14ac:dyDescent="0.35">
      <c r="A230" s="11"/>
      <c r="B230" s="11"/>
      <c r="C230" s="16"/>
      <c r="D230" s="1"/>
      <c r="E230" s="1"/>
      <c r="F230" s="4"/>
      <c r="G230" s="4"/>
      <c r="H230" s="4">
        <f t="shared" si="4"/>
        <v>0</v>
      </c>
    </row>
    <row r="231" spans="1:8" x14ac:dyDescent="0.35">
      <c r="A231" s="11"/>
      <c r="B231" s="11"/>
      <c r="C231" s="16"/>
      <c r="D231" s="1"/>
      <c r="E231" s="1"/>
      <c r="F231" s="4"/>
      <c r="G231" s="4"/>
      <c r="H231" s="4">
        <f t="shared" si="4"/>
        <v>0</v>
      </c>
    </row>
    <row r="232" spans="1:8" x14ac:dyDescent="0.35">
      <c r="A232" s="11"/>
      <c r="B232" s="11"/>
      <c r="C232" s="16"/>
      <c r="D232" s="1"/>
      <c r="E232" s="1"/>
      <c r="F232" s="4"/>
      <c r="G232" s="4"/>
      <c r="H232" s="4">
        <f t="shared" si="4"/>
        <v>0</v>
      </c>
    </row>
    <row r="233" spans="1:8" x14ac:dyDescent="0.35">
      <c r="A233" s="11"/>
      <c r="B233" s="11"/>
      <c r="C233" s="16"/>
      <c r="D233" s="1"/>
      <c r="E233" s="1"/>
      <c r="F233" s="4"/>
      <c r="G233" s="4"/>
      <c r="H233" s="4">
        <f t="shared" si="4"/>
        <v>0</v>
      </c>
    </row>
    <row r="234" spans="1:8" x14ac:dyDescent="0.35">
      <c r="A234" s="11"/>
      <c r="B234" s="11"/>
      <c r="C234" s="16"/>
      <c r="D234" s="1"/>
      <c r="E234" s="1"/>
      <c r="F234" s="4"/>
      <c r="G234" s="4"/>
      <c r="H234" s="4">
        <f t="shared" si="4"/>
        <v>0</v>
      </c>
    </row>
    <row r="235" spans="1:8" x14ac:dyDescent="0.35">
      <c r="A235" s="11"/>
      <c r="B235" s="11"/>
      <c r="C235" s="16"/>
      <c r="D235" s="1"/>
      <c r="E235" s="1"/>
      <c r="F235" s="4"/>
      <c r="G235" s="4"/>
      <c r="H235" s="4">
        <f t="shared" si="4"/>
        <v>0</v>
      </c>
    </row>
    <row r="236" spans="1:8" x14ac:dyDescent="0.35">
      <c r="A236" s="11"/>
      <c r="B236" s="11"/>
      <c r="C236" s="16"/>
      <c r="D236" s="1"/>
      <c r="E236" s="1"/>
      <c r="F236" s="4"/>
      <c r="G236" s="4"/>
      <c r="H236" s="4">
        <f t="shared" si="4"/>
        <v>0</v>
      </c>
    </row>
    <row r="237" spans="1:8" x14ac:dyDescent="0.35">
      <c r="A237" s="11"/>
      <c r="B237" s="11"/>
      <c r="C237" s="16"/>
      <c r="D237" s="1"/>
      <c r="E237" s="1"/>
      <c r="F237" s="4"/>
      <c r="G237" s="4"/>
      <c r="H237" s="4">
        <f t="shared" si="4"/>
        <v>0</v>
      </c>
    </row>
    <row r="238" spans="1:8" x14ac:dyDescent="0.35">
      <c r="A238" s="11"/>
      <c r="B238" s="11"/>
      <c r="C238" s="16"/>
      <c r="D238" s="1"/>
      <c r="E238" s="1"/>
      <c r="F238" s="4"/>
      <c r="G238" s="4"/>
      <c r="H238" s="4">
        <f t="shared" si="4"/>
        <v>0</v>
      </c>
    </row>
    <row r="239" spans="1:8" x14ac:dyDescent="0.35">
      <c r="A239" s="11"/>
      <c r="B239" s="11"/>
      <c r="C239" s="16"/>
      <c r="D239" s="1"/>
      <c r="E239" s="1"/>
      <c r="F239" s="4"/>
      <c r="G239" s="4"/>
      <c r="H239" s="4">
        <f t="shared" si="4"/>
        <v>0</v>
      </c>
    </row>
    <row r="240" spans="1:8" x14ac:dyDescent="0.35">
      <c r="A240" s="11"/>
      <c r="B240" s="11"/>
      <c r="C240" s="16"/>
      <c r="D240" s="1"/>
      <c r="E240" s="1"/>
      <c r="F240" s="4"/>
      <c r="G240" s="4"/>
      <c r="H240" s="4">
        <f t="shared" si="4"/>
        <v>0</v>
      </c>
    </row>
    <row r="241" spans="1:8" x14ac:dyDescent="0.35">
      <c r="A241" s="11"/>
      <c r="B241" s="11"/>
      <c r="C241" s="16"/>
      <c r="D241" s="1"/>
      <c r="E241" s="1"/>
      <c r="F241" s="4"/>
      <c r="G241" s="4"/>
      <c r="H241" s="4">
        <f t="shared" si="4"/>
        <v>0</v>
      </c>
    </row>
    <row r="242" spans="1:8" x14ac:dyDescent="0.35">
      <c r="A242" s="11"/>
      <c r="B242" s="11"/>
      <c r="C242" s="16"/>
      <c r="D242" s="1"/>
      <c r="E242" s="1"/>
      <c r="F242" s="4"/>
      <c r="G242" s="4"/>
      <c r="H242" s="4">
        <f t="shared" si="4"/>
        <v>0</v>
      </c>
    </row>
    <row r="243" spans="1:8" x14ac:dyDescent="0.35">
      <c r="A243" s="11"/>
      <c r="B243" s="11"/>
      <c r="C243" s="16"/>
      <c r="D243" s="1"/>
      <c r="E243" s="1"/>
      <c r="F243" s="4"/>
      <c r="G243" s="4"/>
      <c r="H243" s="4">
        <f t="shared" si="4"/>
        <v>0</v>
      </c>
    </row>
    <row r="244" spans="1:8" x14ac:dyDescent="0.35">
      <c r="A244" s="11"/>
      <c r="B244" s="11"/>
      <c r="C244" s="16"/>
      <c r="D244" s="1"/>
      <c r="E244" s="1"/>
      <c r="F244" s="4"/>
      <c r="G244" s="4"/>
      <c r="H244" s="4">
        <f t="shared" si="4"/>
        <v>0</v>
      </c>
    </row>
    <row r="245" spans="1:8" x14ac:dyDescent="0.35">
      <c r="A245" s="11"/>
      <c r="B245" s="11"/>
      <c r="C245" s="16"/>
      <c r="D245" s="1"/>
      <c r="E245" s="1"/>
      <c r="F245" s="4"/>
      <c r="G245" s="4"/>
      <c r="H245" s="4">
        <f t="shared" si="4"/>
        <v>0</v>
      </c>
    </row>
    <row r="246" spans="1:8" x14ac:dyDescent="0.35">
      <c r="A246" s="11"/>
      <c r="B246" s="11"/>
      <c r="C246" s="16"/>
      <c r="D246" s="1"/>
      <c r="E246" s="1"/>
      <c r="F246" s="4"/>
      <c r="G246" s="4"/>
      <c r="H246" s="4">
        <f t="shared" si="4"/>
        <v>0</v>
      </c>
    </row>
    <row r="247" spans="1:8" x14ac:dyDescent="0.35">
      <c r="A247" s="11"/>
      <c r="B247" s="11"/>
      <c r="C247" s="16"/>
      <c r="D247" s="1"/>
      <c r="E247" s="1"/>
      <c r="F247" s="4"/>
      <c r="G247" s="4"/>
      <c r="H247" s="4">
        <f t="shared" si="4"/>
        <v>0</v>
      </c>
    </row>
    <row r="248" spans="1:8" x14ac:dyDescent="0.35">
      <c r="A248" s="11"/>
      <c r="B248" s="11"/>
      <c r="C248" s="16"/>
      <c r="D248" s="1"/>
      <c r="E248" s="1"/>
      <c r="F248" s="4"/>
      <c r="G248" s="4"/>
      <c r="H248" s="4">
        <f t="shared" si="4"/>
        <v>0</v>
      </c>
    </row>
    <row r="249" spans="1:8" x14ac:dyDescent="0.35">
      <c r="A249" s="11"/>
      <c r="B249" s="11"/>
      <c r="C249" s="16"/>
      <c r="D249" s="1"/>
      <c r="E249" s="1"/>
      <c r="F249" s="4"/>
      <c r="G249" s="4"/>
      <c r="H249" s="4">
        <f t="shared" si="4"/>
        <v>0</v>
      </c>
    </row>
    <row r="250" spans="1:8" x14ac:dyDescent="0.35">
      <c r="A250" s="11"/>
      <c r="B250" s="11"/>
      <c r="C250" s="16"/>
      <c r="D250" s="1"/>
      <c r="E250" s="1"/>
      <c r="F250" s="4"/>
      <c r="G250" s="4"/>
      <c r="H250" s="4">
        <f t="shared" si="4"/>
        <v>0</v>
      </c>
    </row>
    <row r="251" spans="1:8" x14ac:dyDescent="0.35">
      <c r="A251" s="11"/>
      <c r="B251" s="11"/>
      <c r="C251" s="16"/>
      <c r="D251" s="1"/>
      <c r="E251" s="1"/>
      <c r="F251" s="4"/>
      <c r="G251" s="4"/>
      <c r="H251" s="4">
        <f t="shared" si="4"/>
        <v>0</v>
      </c>
    </row>
    <row r="252" spans="1:8" x14ac:dyDescent="0.35">
      <c r="A252" s="11"/>
      <c r="B252" s="11"/>
      <c r="C252" s="16"/>
      <c r="D252" s="1"/>
      <c r="E252" s="1"/>
      <c r="F252" s="4"/>
      <c r="G252" s="4"/>
      <c r="H252" s="4">
        <f t="shared" si="4"/>
        <v>0</v>
      </c>
    </row>
    <row r="253" spans="1:8" x14ac:dyDescent="0.35">
      <c r="A253" s="11"/>
      <c r="B253" s="11"/>
      <c r="C253" s="16"/>
      <c r="D253" s="1"/>
      <c r="E253" s="1"/>
      <c r="F253" s="4"/>
      <c r="G253" s="4"/>
      <c r="H253" s="4">
        <f t="shared" si="4"/>
        <v>0</v>
      </c>
    </row>
    <row r="254" spans="1:8" x14ac:dyDescent="0.35">
      <c r="A254" s="11"/>
      <c r="B254" s="11"/>
      <c r="C254" s="16"/>
      <c r="D254" s="1"/>
      <c r="E254" s="1"/>
      <c r="F254" s="4"/>
      <c r="G254" s="4"/>
      <c r="H254" s="4">
        <f t="shared" si="4"/>
        <v>0</v>
      </c>
    </row>
    <row r="255" spans="1:8" x14ac:dyDescent="0.35">
      <c r="A255" s="11"/>
      <c r="B255" s="11"/>
      <c r="C255" s="16"/>
      <c r="D255" s="1"/>
      <c r="E255" s="1"/>
      <c r="F255" s="4"/>
      <c r="G255" s="4"/>
      <c r="H255" s="4">
        <f t="shared" si="4"/>
        <v>0</v>
      </c>
    </row>
    <row r="256" spans="1:8" x14ac:dyDescent="0.35">
      <c r="A256" s="11"/>
      <c r="B256" s="11"/>
      <c r="C256" s="16"/>
      <c r="D256" s="1"/>
      <c r="E256" s="1"/>
      <c r="F256" s="4"/>
      <c r="G256" s="4"/>
      <c r="H256" s="4">
        <f t="shared" si="4"/>
        <v>0</v>
      </c>
    </row>
    <row r="257" spans="1:8" x14ac:dyDescent="0.35">
      <c r="A257" s="11"/>
      <c r="B257" s="11"/>
      <c r="C257" s="16"/>
      <c r="D257" s="1"/>
      <c r="E257" s="1"/>
      <c r="F257" s="4"/>
      <c r="G257" s="4"/>
      <c r="H257" s="4">
        <f t="shared" si="4"/>
        <v>0</v>
      </c>
    </row>
    <row r="258" spans="1:8" x14ac:dyDescent="0.35">
      <c r="A258" s="11"/>
      <c r="B258" s="11"/>
      <c r="C258" s="16"/>
      <c r="D258" s="1"/>
      <c r="E258" s="1"/>
      <c r="F258" s="4"/>
      <c r="G258" s="4"/>
      <c r="H258" s="4">
        <f t="shared" si="4"/>
        <v>0</v>
      </c>
    </row>
    <row r="259" spans="1:8" x14ac:dyDescent="0.35">
      <c r="A259" s="11"/>
      <c r="B259" s="11"/>
      <c r="C259" s="16"/>
      <c r="D259" s="1"/>
      <c r="E259" s="1"/>
      <c r="F259" s="4"/>
      <c r="G259" s="4"/>
      <c r="H259" s="4">
        <f t="shared" si="4"/>
        <v>0</v>
      </c>
    </row>
    <row r="260" spans="1:8" x14ac:dyDescent="0.35">
      <c r="A260" s="11"/>
      <c r="B260" s="11"/>
      <c r="C260" s="16"/>
      <c r="D260" s="1"/>
      <c r="E260" s="1"/>
      <c r="F260" s="4"/>
      <c r="G260" s="4"/>
      <c r="H260" s="4">
        <f t="shared" si="4"/>
        <v>0</v>
      </c>
    </row>
    <row r="261" spans="1:8" x14ac:dyDescent="0.35">
      <c r="A261" s="11"/>
      <c r="B261" s="11"/>
      <c r="C261" s="16"/>
      <c r="D261" s="1"/>
      <c r="E261" s="1"/>
      <c r="F261" s="4"/>
      <c r="G261" s="4"/>
      <c r="H261" s="4">
        <f t="shared" si="4"/>
        <v>0</v>
      </c>
    </row>
    <row r="262" spans="1:8" x14ac:dyDescent="0.35">
      <c r="A262" s="11"/>
      <c r="B262" s="11"/>
      <c r="C262" s="16"/>
      <c r="D262" s="1"/>
      <c r="E262" s="1"/>
      <c r="F262" s="4"/>
      <c r="G262" s="4"/>
      <c r="H262" s="4">
        <f t="shared" si="4"/>
        <v>0</v>
      </c>
    </row>
    <row r="263" spans="1:8" x14ac:dyDescent="0.35">
      <c r="A263" s="11"/>
      <c r="B263" s="11"/>
      <c r="C263" s="16"/>
      <c r="D263" s="1"/>
      <c r="E263" s="1"/>
      <c r="F263" s="4"/>
      <c r="G263" s="4"/>
      <c r="H263" s="4">
        <f t="shared" si="4"/>
        <v>0</v>
      </c>
    </row>
    <row r="264" spans="1:8" x14ac:dyDescent="0.35">
      <c r="A264" s="11"/>
      <c r="B264" s="11"/>
      <c r="C264" s="16"/>
      <c r="D264" s="1"/>
      <c r="E264" s="1"/>
      <c r="F264" s="4"/>
      <c r="G264" s="4"/>
      <c r="H264" s="4">
        <f t="shared" si="4"/>
        <v>0</v>
      </c>
    </row>
    <row r="265" spans="1:8" x14ac:dyDescent="0.35">
      <c r="A265" s="11"/>
      <c r="B265" s="11"/>
      <c r="C265" s="16"/>
      <c r="D265" s="1"/>
      <c r="E265" s="1"/>
      <c r="F265" s="4"/>
      <c r="G265" s="4"/>
      <c r="H265" s="4">
        <f t="shared" si="4"/>
        <v>0</v>
      </c>
    </row>
    <row r="266" spans="1:8" x14ac:dyDescent="0.35">
      <c r="A266" s="11"/>
      <c r="B266" s="11"/>
      <c r="C266" s="16"/>
      <c r="D266" s="1"/>
      <c r="E266" s="1"/>
      <c r="F266" s="4"/>
      <c r="G266" s="4"/>
      <c r="H266" s="4">
        <f t="shared" si="4"/>
        <v>0</v>
      </c>
    </row>
    <row r="267" spans="1:8" x14ac:dyDescent="0.35">
      <c r="A267" s="11"/>
      <c r="B267" s="11"/>
      <c r="C267" s="16"/>
      <c r="D267" s="1"/>
      <c r="E267" s="1"/>
      <c r="F267" s="4"/>
      <c r="G267" s="4"/>
      <c r="H267" s="4">
        <f t="shared" si="4"/>
        <v>0</v>
      </c>
    </row>
    <row r="268" spans="1:8" x14ac:dyDescent="0.35">
      <c r="A268" s="11"/>
      <c r="B268" s="11"/>
      <c r="C268" s="16"/>
      <c r="D268" s="1"/>
      <c r="E268" s="1"/>
      <c r="F268" s="4"/>
      <c r="G268" s="4"/>
      <c r="H268" s="4">
        <f t="shared" si="4"/>
        <v>0</v>
      </c>
    </row>
    <row r="269" spans="1:8" x14ac:dyDescent="0.35">
      <c r="A269" s="11"/>
      <c r="B269" s="11"/>
      <c r="C269" s="16"/>
      <c r="D269" s="1"/>
      <c r="E269" s="1"/>
      <c r="F269" s="4"/>
      <c r="G269" s="4"/>
      <c r="H269" s="4">
        <f t="shared" si="4"/>
        <v>0</v>
      </c>
    </row>
    <row r="270" spans="1:8" x14ac:dyDescent="0.35">
      <c r="A270" s="11"/>
      <c r="B270" s="11"/>
      <c r="C270" s="16"/>
      <c r="D270" s="1"/>
      <c r="E270" s="1"/>
      <c r="F270" s="4"/>
      <c r="G270" s="4"/>
      <c r="H270" s="4">
        <f t="shared" si="4"/>
        <v>0</v>
      </c>
    </row>
    <row r="271" spans="1:8" x14ac:dyDescent="0.35">
      <c r="A271" s="11"/>
      <c r="B271" s="11"/>
      <c r="C271" s="16"/>
      <c r="D271" s="1"/>
      <c r="E271" s="1"/>
      <c r="F271" s="4"/>
      <c r="G271" s="4"/>
      <c r="H271" s="4">
        <f t="shared" si="4"/>
        <v>0</v>
      </c>
    </row>
    <row r="272" spans="1:8" x14ac:dyDescent="0.35">
      <c r="A272" s="11"/>
      <c r="B272" s="11"/>
      <c r="C272" s="16"/>
      <c r="D272" s="1"/>
      <c r="E272" s="1"/>
      <c r="F272" s="4"/>
      <c r="G272" s="4"/>
      <c r="H272" s="4">
        <f t="shared" si="4"/>
        <v>0</v>
      </c>
    </row>
    <row r="273" spans="1:8" x14ac:dyDescent="0.35">
      <c r="A273" s="11"/>
      <c r="B273" s="11"/>
      <c r="C273" s="16"/>
      <c r="D273" s="1"/>
      <c r="E273" s="1"/>
      <c r="F273" s="4"/>
      <c r="G273" s="4"/>
      <c r="H273" s="4">
        <f t="shared" si="4"/>
        <v>0</v>
      </c>
    </row>
    <row r="274" spans="1:8" x14ac:dyDescent="0.35">
      <c r="A274" s="11"/>
      <c r="B274" s="11"/>
      <c r="C274" s="16"/>
      <c r="D274" s="1"/>
      <c r="E274" s="1"/>
      <c r="F274" s="4"/>
      <c r="G274" s="4"/>
      <c r="H274" s="4">
        <f t="shared" si="4"/>
        <v>0</v>
      </c>
    </row>
    <row r="275" spans="1:8" x14ac:dyDescent="0.35">
      <c r="A275" s="11"/>
      <c r="B275" s="11"/>
      <c r="C275" s="16"/>
      <c r="D275" s="1"/>
      <c r="E275" s="1"/>
      <c r="F275" s="4"/>
      <c r="G275" s="4"/>
      <c r="H275" s="4">
        <f t="shared" si="4"/>
        <v>0</v>
      </c>
    </row>
    <row r="276" spans="1:8" x14ac:dyDescent="0.35">
      <c r="A276" s="11"/>
      <c r="B276" s="11"/>
      <c r="C276" s="16"/>
      <c r="D276" s="1"/>
      <c r="E276" s="1"/>
      <c r="F276" s="4"/>
      <c r="G276" s="4"/>
      <c r="H276" s="4">
        <f t="shared" si="4"/>
        <v>0</v>
      </c>
    </row>
    <row r="277" spans="1:8" x14ac:dyDescent="0.35">
      <c r="A277" s="11"/>
      <c r="B277" s="11"/>
      <c r="C277" s="16"/>
      <c r="D277" s="1"/>
      <c r="E277" s="1"/>
      <c r="F277" s="4"/>
      <c r="G277" s="4"/>
      <c r="H277" s="4">
        <f t="shared" si="4"/>
        <v>0</v>
      </c>
    </row>
    <row r="278" spans="1:8" x14ac:dyDescent="0.35">
      <c r="A278" s="11"/>
      <c r="B278" s="11"/>
      <c r="C278" s="16"/>
      <c r="D278" s="1"/>
      <c r="E278" s="1"/>
      <c r="F278" s="4"/>
      <c r="G278" s="4"/>
      <c r="H278" s="4">
        <f t="shared" si="4"/>
        <v>0</v>
      </c>
    </row>
    <row r="279" spans="1:8" x14ac:dyDescent="0.35">
      <c r="A279" s="11"/>
      <c r="B279" s="11"/>
      <c r="C279" s="16"/>
      <c r="D279" s="1"/>
      <c r="E279" s="1"/>
      <c r="F279" s="4"/>
      <c r="G279" s="4"/>
      <c r="H279" s="4">
        <f t="shared" si="4"/>
        <v>0</v>
      </c>
    </row>
    <row r="280" spans="1:8" x14ac:dyDescent="0.35">
      <c r="A280" s="11"/>
      <c r="B280" s="11"/>
      <c r="C280" s="16"/>
      <c r="D280" s="1"/>
      <c r="E280" s="1"/>
      <c r="F280" s="4"/>
      <c r="G280" s="4"/>
      <c r="H280" s="4">
        <f t="shared" si="4"/>
        <v>0</v>
      </c>
    </row>
    <row r="281" spans="1:8" x14ac:dyDescent="0.35">
      <c r="A281" s="11"/>
      <c r="B281" s="11"/>
      <c r="C281" s="16"/>
      <c r="D281" s="1"/>
      <c r="E281" s="1"/>
      <c r="F281" s="4"/>
      <c r="G281" s="4"/>
      <c r="H281" s="4">
        <f t="shared" si="4"/>
        <v>0</v>
      </c>
    </row>
    <row r="282" spans="1:8" x14ac:dyDescent="0.35">
      <c r="A282" s="11"/>
      <c r="B282" s="11"/>
      <c r="C282" s="16"/>
      <c r="D282" s="1"/>
      <c r="E282" s="1"/>
      <c r="F282" s="4"/>
      <c r="G282" s="4"/>
      <c r="H282" s="4">
        <f t="shared" si="4"/>
        <v>0</v>
      </c>
    </row>
    <row r="283" spans="1:8" x14ac:dyDescent="0.35">
      <c r="A283" s="11"/>
      <c r="B283" s="11"/>
      <c r="C283" s="16"/>
      <c r="D283" s="1"/>
      <c r="E283" s="1"/>
      <c r="F283" s="4"/>
      <c r="G283" s="4"/>
      <c r="H283" s="4">
        <f t="shared" si="4"/>
        <v>0</v>
      </c>
    </row>
    <row r="284" spans="1:8" x14ac:dyDescent="0.35">
      <c r="A284" s="11"/>
      <c r="B284" s="11"/>
      <c r="C284" s="16"/>
      <c r="D284" s="1"/>
      <c r="E284" s="1"/>
      <c r="F284" s="4"/>
      <c r="G284" s="4"/>
      <c r="H284" s="4">
        <f t="shared" si="4"/>
        <v>0</v>
      </c>
    </row>
    <row r="285" spans="1:8" x14ac:dyDescent="0.35">
      <c r="A285" s="11"/>
      <c r="B285" s="11"/>
      <c r="C285" s="16"/>
      <c r="D285" s="1"/>
      <c r="E285" s="1"/>
      <c r="F285" s="4"/>
      <c r="G285" s="4"/>
      <c r="H285" s="4">
        <f t="shared" si="4"/>
        <v>0</v>
      </c>
    </row>
    <row r="286" spans="1:8" x14ac:dyDescent="0.35">
      <c r="A286" s="11"/>
      <c r="B286" s="11"/>
      <c r="C286" s="16"/>
      <c r="D286" s="1"/>
      <c r="E286" s="1"/>
      <c r="F286" s="4"/>
      <c r="G286" s="4"/>
      <c r="H286" s="4">
        <f t="shared" si="4"/>
        <v>0</v>
      </c>
    </row>
    <row r="287" spans="1:8" x14ac:dyDescent="0.35">
      <c r="A287" s="11"/>
      <c r="B287" s="11"/>
      <c r="C287" s="16"/>
      <c r="D287" s="1"/>
      <c r="E287" s="1"/>
      <c r="F287" s="4"/>
      <c r="G287" s="4"/>
      <c r="H287" s="4">
        <f t="shared" si="4"/>
        <v>0</v>
      </c>
    </row>
    <row r="288" spans="1:8" x14ac:dyDescent="0.35">
      <c r="A288" s="11"/>
      <c r="B288" s="11"/>
      <c r="C288" s="16"/>
      <c r="D288" s="1"/>
      <c r="E288" s="1"/>
      <c r="F288" s="4"/>
      <c r="G288" s="4"/>
      <c r="H288" s="4">
        <f t="shared" si="4"/>
        <v>0</v>
      </c>
    </row>
    <row r="289" spans="1:8" x14ac:dyDescent="0.35">
      <c r="A289" s="11"/>
      <c r="B289" s="11"/>
      <c r="C289" s="16"/>
      <c r="D289" s="1"/>
      <c r="E289" s="1"/>
      <c r="F289" s="4"/>
      <c r="G289" s="4"/>
      <c r="H289" s="4">
        <f t="shared" ref="H289:H352" si="5">H288+F289-G289</f>
        <v>0</v>
      </c>
    </row>
    <row r="290" spans="1:8" x14ac:dyDescent="0.35">
      <c r="A290" s="11"/>
      <c r="B290" s="11"/>
      <c r="C290" s="16"/>
      <c r="D290" s="1"/>
      <c r="E290" s="1"/>
      <c r="F290" s="4"/>
      <c r="G290" s="4"/>
      <c r="H290" s="4">
        <f t="shared" si="5"/>
        <v>0</v>
      </c>
    </row>
    <row r="291" spans="1:8" x14ac:dyDescent="0.35">
      <c r="A291" s="11"/>
      <c r="B291" s="11"/>
      <c r="C291" s="16"/>
      <c r="D291" s="1"/>
      <c r="E291" s="1"/>
      <c r="F291" s="4"/>
      <c r="G291" s="4"/>
      <c r="H291" s="4">
        <f t="shared" si="5"/>
        <v>0</v>
      </c>
    </row>
    <row r="292" spans="1:8" x14ac:dyDescent="0.35">
      <c r="A292" s="11"/>
      <c r="B292" s="11"/>
      <c r="C292" s="16"/>
      <c r="D292" s="1"/>
      <c r="E292" s="1"/>
      <c r="F292" s="4"/>
      <c r="G292" s="4"/>
      <c r="H292" s="4">
        <f t="shared" si="5"/>
        <v>0</v>
      </c>
    </row>
    <row r="293" spans="1:8" x14ac:dyDescent="0.35">
      <c r="A293" s="11"/>
      <c r="B293" s="11"/>
      <c r="C293" s="16"/>
      <c r="D293" s="1"/>
      <c r="E293" s="1"/>
      <c r="F293" s="4"/>
      <c r="G293" s="4"/>
      <c r="H293" s="4">
        <f t="shared" si="5"/>
        <v>0</v>
      </c>
    </row>
    <row r="294" spans="1:8" x14ac:dyDescent="0.35">
      <c r="A294" s="11"/>
      <c r="B294" s="11"/>
      <c r="C294" s="16"/>
      <c r="D294" s="1"/>
      <c r="E294" s="1"/>
      <c r="F294" s="4"/>
      <c r="G294" s="4"/>
      <c r="H294" s="4">
        <f t="shared" si="5"/>
        <v>0</v>
      </c>
    </row>
    <row r="295" spans="1:8" x14ac:dyDescent="0.35">
      <c r="A295" s="11"/>
      <c r="B295" s="11"/>
      <c r="C295" s="16"/>
      <c r="D295" s="1"/>
      <c r="E295" s="1"/>
      <c r="F295" s="4"/>
      <c r="G295" s="4"/>
      <c r="H295" s="4">
        <f t="shared" si="5"/>
        <v>0</v>
      </c>
    </row>
    <row r="296" spans="1:8" x14ac:dyDescent="0.35">
      <c r="A296" s="11"/>
      <c r="B296" s="11"/>
      <c r="C296" s="16"/>
      <c r="D296" s="1"/>
      <c r="E296" s="1"/>
      <c r="F296" s="4"/>
      <c r="G296" s="4"/>
      <c r="H296" s="4">
        <f t="shared" si="5"/>
        <v>0</v>
      </c>
    </row>
    <row r="297" spans="1:8" x14ac:dyDescent="0.35">
      <c r="A297" s="11"/>
      <c r="B297" s="11"/>
      <c r="C297" s="16"/>
      <c r="D297" s="1"/>
      <c r="E297" s="1"/>
      <c r="F297" s="4"/>
      <c r="G297" s="4"/>
      <c r="H297" s="4">
        <f t="shared" si="5"/>
        <v>0</v>
      </c>
    </row>
    <row r="298" spans="1:8" x14ac:dyDescent="0.35">
      <c r="A298" s="11"/>
      <c r="B298" s="11"/>
      <c r="C298" s="16"/>
      <c r="D298" s="1"/>
      <c r="E298" s="1"/>
      <c r="F298" s="4"/>
      <c r="G298" s="4"/>
      <c r="H298" s="4">
        <f t="shared" si="5"/>
        <v>0</v>
      </c>
    </row>
    <row r="299" spans="1:8" x14ac:dyDescent="0.35">
      <c r="A299" s="11"/>
      <c r="B299" s="11"/>
      <c r="C299" s="16"/>
      <c r="D299" s="1"/>
      <c r="E299" s="1"/>
      <c r="F299" s="4"/>
      <c r="G299" s="4"/>
      <c r="H299" s="4">
        <f t="shared" si="5"/>
        <v>0</v>
      </c>
    </row>
    <row r="300" spans="1:8" x14ac:dyDescent="0.35">
      <c r="A300" s="11"/>
      <c r="B300" s="11"/>
      <c r="C300" s="16"/>
      <c r="D300" s="1"/>
      <c r="E300" s="1"/>
      <c r="F300" s="4"/>
      <c r="G300" s="4"/>
      <c r="H300" s="4">
        <f t="shared" si="5"/>
        <v>0</v>
      </c>
    </row>
    <row r="301" spans="1:8" x14ac:dyDescent="0.35">
      <c r="A301" s="11"/>
      <c r="B301" s="11"/>
      <c r="C301" s="16"/>
      <c r="D301" s="1"/>
      <c r="E301" s="1"/>
      <c r="F301" s="4"/>
      <c r="G301" s="4"/>
      <c r="H301" s="4">
        <f t="shared" si="5"/>
        <v>0</v>
      </c>
    </row>
    <row r="302" spans="1:8" x14ac:dyDescent="0.35">
      <c r="A302" s="11"/>
      <c r="B302" s="11"/>
      <c r="C302" s="16"/>
      <c r="D302" s="1"/>
      <c r="E302" s="1"/>
      <c r="F302" s="4"/>
      <c r="G302" s="4"/>
      <c r="H302" s="4">
        <f t="shared" si="5"/>
        <v>0</v>
      </c>
    </row>
    <row r="303" spans="1:8" x14ac:dyDescent="0.35">
      <c r="A303" s="11"/>
      <c r="B303" s="11"/>
      <c r="C303" s="16"/>
      <c r="D303" s="1"/>
      <c r="E303" s="1"/>
      <c r="F303" s="4"/>
      <c r="G303" s="4"/>
      <c r="H303" s="4">
        <f t="shared" si="5"/>
        <v>0</v>
      </c>
    </row>
    <row r="304" spans="1:8" x14ac:dyDescent="0.35">
      <c r="A304" s="11"/>
      <c r="B304" s="11"/>
      <c r="C304" s="16"/>
      <c r="D304" s="1"/>
      <c r="E304" s="1"/>
      <c r="F304" s="4"/>
      <c r="G304" s="4"/>
      <c r="H304" s="4">
        <f t="shared" si="5"/>
        <v>0</v>
      </c>
    </row>
    <row r="305" spans="1:8" x14ac:dyDescent="0.35">
      <c r="A305" s="11"/>
      <c r="B305" s="11"/>
      <c r="C305" s="16"/>
      <c r="D305" s="1"/>
      <c r="E305" s="1"/>
      <c r="F305" s="4"/>
      <c r="G305" s="4"/>
      <c r="H305" s="4">
        <f t="shared" si="5"/>
        <v>0</v>
      </c>
    </row>
    <row r="306" spans="1:8" x14ac:dyDescent="0.35">
      <c r="A306" s="11"/>
      <c r="B306" s="11"/>
      <c r="C306" s="16"/>
      <c r="D306" s="1"/>
      <c r="E306" s="1"/>
      <c r="F306" s="4"/>
      <c r="G306" s="4"/>
      <c r="H306" s="4">
        <f t="shared" si="5"/>
        <v>0</v>
      </c>
    </row>
    <row r="307" spans="1:8" x14ac:dyDescent="0.35">
      <c r="A307" s="11"/>
      <c r="B307" s="11"/>
      <c r="C307" s="16"/>
      <c r="D307" s="1"/>
      <c r="E307" s="1"/>
      <c r="F307" s="4"/>
      <c r="G307" s="4"/>
      <c r="H307" s="4">
        <f t="shared" si="5"/>
        <v>0</v>
      </c>
    </row>
    <row r="308" spans="1:8" x14ac:dyDescent="0.35">
      <c r="A308" s="11"/>
      <c r="B308" s="11"/>
      <c r="C308" s="16"/>
      <c r="D308" s="1"/>
      <c r="E308" s="1"/>
      <c r="F308" s="4"/>
      <c r="G308" s="4"/>
      <c r="H308" s="4">
        <f t="shared" si="5"/>
        <v>0</v>
      </c>
    </row>
    <row r="309" spans="1:8" x14ac:dyDescent="0.35">
      <c r="A309" s="11"/>
      <c r="B309" s="11"/>
      <c r="C309" s="16"/>
      <c r="D309" s="1"/>
      <c r="E309" s="1"/>
      <c r="F309" s="4"/>
      <c r="G309" s="4"/>
      <c r="H309" s="4">
        <f t="shared" si="5"/>
        <v>0</v>
      </c>
    </row>
    <row r="310" spans="1:8" x14ac:dyDescent="0.35">
      <c r="A310" s="11"/>
      <c r="B310" s="11"/>
      <c r="C310" s="16"/>
      <c r="D310" s="1"/>
      <c r="E310" s="1"/>
      <c r="F310" s="4"/>
      <c r="G310" s="4"/>
      <c r="H310" s="4">
        <f t="shared" si="5"/>
        <v>0</v>
      </c>
    </row>
    <row r="311" spans="1:8" x14ac:dyDescent="0.35">
      <c r="A311" s="11"/>
      <c r="B311" s="11"/>
      <c r="C311" s="16"/>
      <c r="D311" s="1"/>
      <c r="E311" s="1"/>
      <c r="F311" s="4"/>
      <c r="G311" s="4"/>
      <c r="H311" s="4">
        <f t="shared" si="5"/>
        <v>0</v>
      </c>
    </row>
    <row r="312" spans="1:8" x14ac:dyDescent="0.35">
      <c r="A312" s="11"/>
      <c r="B312" s="11"/>
      <c r="C312" s="16"/>
      <c r="D312" s="1"/>
      <c r="E312" s="1"/>
      <c r="F312" s="4"/>
      <c r="G312" s="4"/>
      <c r="H312" s="4">
        <f t="shared" si="5"/>
        <v>0</v>
      </c>
    </row>
    <row r="313" spans="1:8" x14ac:dyDescent="0.35">
      <c r="A313" s="11"/>
      <c r="B313" s="11"/>
      <c r="C313" s="16"/>
      <c r="D313" s="1"/>
      <c r="E313" s="1"/>
      <c r="F313" s="4"/>
      <c r="G313" s="4"/>
      <c r="H313" s="4">
        <f t="shared" si="5"/>
        <v>0</v>
      </c>
    </row>
    <row r="314" spans="1:8" x14ac:dyDescent="0.35">
      <c r="A314" s="11"/>
      <c r="B314" s="11"/>
      <c r="C314" s="16"/>
      <c r="D314" s="1"/>
      <c r="E314" s="1"/>
      <c r="F314" s="4"/>
      <c r="G314" s="4"/>
      <c r="H314" s="4">
        <f t="shared" si="5"/>
        <v>0</v>
      </c>
    </row>
    <row r="315" spans="1:8" x14ac:dyDescent="0.35">
      <c r="A315" s="11"/>
      <c r="B315" s="11"/>
      <c r="C315" s="16"/>
      <c r="D315" s="1"/>
      <c r="E315" s="1"/>
      <c r="F315" s="4"/>
      <c r="G315" s="4"/>
      <c r="H315" s="4">
        <f t="shared" si="5"/>
        <v>0</v>
      </c>
    </row>
    <row r="316" spans="1:8" x14ac:dyDescent="0.35">
      <c r="A316" s="11"/>
      <c r="B316" s="11"/>
      <c r="C316" s="16"/>
      <c r="D316" s="1"/>
      <c r="E316" s="1"/>
      <c r="F316" s="4"/>
      <c r="G316" s="4"/>
      <c r="H316" s="4">
        <f t="shared" si="5"/>
        <v>0</v>
      </c>
    </row>
    <row r="317" spans="1:8" x14ac:dyDescent="0.35">
      <c r="A317" s="11"/>
      <c r="B317" s="11"/>
      <c r="C317" s="16"/>
      <c r="D317" s="1"/>
      <c r="E317" s="1"/>
      <c r="F317" s="4"/>
      <c r="G317" s="4"/>
      <c r="H317" s="4">
        <f t="shared" si="5"/>
        <v>0</v>
      </c>
    </row>
    <row r="318" spans="1:8" x14ac:dyDescent="0.35">
      <c r="A318" s="11"/>
      <c r="B318" s="11"/>
      <c r="C318" s="16"/>
      <c r="D318" s="1"/>
      <c r="E318" s="1"/>
      <c r="F318" s="4"/>
      <c r="G318" s="4"/>
      <c r="H318" s="4">
        <f t="shared" si="5"/>
        <v>0</v>
      </c>
    </row>
    <row r="319" spans="1:8" x14ac:dyDescent="0.35">
      <c r="A319" s="11"/>
      <c r="B319" s="11"/>
      <c r="C319" s="16"/>
      <c r="D319" s="1"/>
      <c r="E319" s="1"/>
      <c r="F319" s="4"/>
      <c r="G319" s="4"/>
      <c r="H319" s="4">
        <f t="shared" si="5"/>
        <v>0</v>
      </c>
    </row>
    <row r="320" spans="1:8" x14ac:dyDescent="0.35">
      <c r="A320" s="11"/>
      <c r="B320" s="11"/>
      <c r="C320" s="16"/>
      <c r="D320" s="1"/>
      <c r="E320" s="1"/>
      <c r="F320" s="4"/>
      <c r="G320" s="4"/>
      <c r="H320" s="4">
        <f t="shared" si="5"/>
        <v>0</v>
      </c>
    </row>
    <row r="321" spans="1:8" x14ac:dyDescent="0.35">
      <c r="A321" s="11"/>
      <c r="B321" s="11"/>
      <c r="C321" s="16"/>
      <c r="D321" s="1"/>
      <c r="E321" s="1"/>
      <c r="F321" s="4"/>
      <c r="G321" s="4"/>
      <c r="H321" s="4">
        <f t="shared" si="5"/>
        <v>0</v>
      </c>
    </row>
    <row r="322" spans="1:8" x14ac:dyDescent="0.35">
      <c r="A322" s="11"/>
      <c r="B322" s="11"/>
      <c r="C322" s="16"/>
      <c r="D322" s="1"/>
      <c r="E322" s="1"/>
      <c r="F322" s="4"/>
      <c r="G322" s="4"/>
      <c r="H322" s="4">
        <f t="shared" si="5"/>
        <v>0</v>
      </c>
    </row>
    <row r="323" spans="1:8" x14ac:dyDescent="0.35">
      <c r="A323" s="11"/>
      <c r="B323" s="11"/>
      <c r="C323" s="16"/>
      <c r="D323" s="1"/>
      <c r="E323" s="1"/>
      <c r="F323" s="4"/>
      <c r="G323" s="4"/>
      <c r="H323" s="4">
        <f t="shared" si="5"/>
        <v>0</v>
      </c>
    </row>
    <row r="324" spans="1:8" x14ac:dyDescent="0.35">
      <c r="A324" s="11"/>
      <c r="B324" s="11"/>
      <c r="C324" s="16"/>
      <c r="D324" s="1"/>
      <c r="E324" s="1"/>
      <c r="F324" s="4"/>
      <c r="G324" s="4"/>
      <c r="H324" s="4">
        <f t="shared" si="5"/>
        <v>0</v>
      </c>
    </row>
    <row r="325" spans="1:8" x14ac:dyDescent="0.35">
      <c r="A325" s="11"/>
      <c r="B325" s="11"/>
      <c r="C325" s="16"/>
      <c r="D325" s="1"/>
      <c r="E325" s="1"/>
      <c r="F325" s="4"/>
      <c r="G325" s="4"/>
      <c r="H325" s="4">
        <f t="shared" si="5"/>
        <v>0</v>
      </c>
    </row>
    <row r="326" spans="1:8" x14ac:dyDescent="0.35">
      <c r="A326" s="11"/>
      <c r="B326" s="11"/>
      <c r="C326" s="16"/>
      <c r="D326" s="1"/>
      <c r="E326" s="1"/>
      <c r="F326" s="4"/>
      <c r="G326" s="4"/>
      <c r="H326" s="4">
        <f t="shared" si="5"/>
        <v>0</v>
      </c>
    </row>
    <row r="327" spans="1:8" x14ac:dyDescent="0.35">
      <c r="A327" s="11"/>
      <c r="B327" s="11"/>
      <c r="C327" s="16"/>
      <c r="D327" s="1"/>
      <c r="E327" s="1"/>
      <c r="F327" s="4"/>
      <c r="G327" s="4"/>
      <c r="H327" s="4">
        <f t="shared" si="5"/>
        <v>0</v>
      </c>
    </row>
    <row r="328" spans="1:8" x14ac:dyDescent="0.35">
      <c r="A328" s="11"/>
      <c r="B328" s="11"/>
      <c r="C328" s="16"/>
      <c r="D328" s="1"/>
      <c r="E328" s="1"/>
      <c r="F328" s="4"/>
      <c r="G328" s="4"/>
      <c r="H328" s="4">
        <f t="shared" si="5"/>
        <v>0</v>
      </c>
    </row>
    <row r="329" spans="1:8" x14ac:dyDescent="0.35">
      <c r="A329" s="11"/>
      <c r="B329" s="11"/>
      <c r="C329" s="16"/>
      <c r="D329" s="1"/>
      <c r="E329" s="1"/>
      <c r="F329" s="4"/>
      <c r="G329" s="4"/>
      <c r="H329" s="4">
        <f t="shared" si="5"/>
        <v>0</v>
      </c>
    </row>
    <row r="330" spans="1:8" x14ac:dyDescent="0.35">
      <c r="A330" s="11"/>
      <c r="B330" s="11"/>
      <c r="C330" s="16"/>
      <c r="D330" s="1"/>
      <c r="E330" s="1"/>
      <c r="F330" s="4"/>
      <c r="G330" s="4"/>
      <c r="H330" s="4">
        <f t="shared" si="5"/>
        <v>0</v>
      </c>
    </row>
    <row r="331" spans="1:8" x14ac:dyDescent="0.35">
      <c r="A331" s="11"/>
      <c r="B331" s="11"/>
      <c r="C331" s="16"/>
      <c r="D331" s="1"/>
      <c r="E331" s="1"/>
      <c r="F331" s="4"/>
      <c r="G331" s="4"/>
      <c r="H331" s="4">
        <f t="shared" si="5"/>
        <v>0</v>
      </c>
    </row>
    <row r="332" spans="1:8" x14ac:dyDescent="0.35">
      <c r="A332" s="11"/>
      <c r="B332" s="11"/>
      <c r="C332" s="16"/>
      <c r="D332" s="1"/>
      <c r="E332" s="1"/>
      <c r="F332" s="4"/>
      <c r="G332" s="4"/>
      <c r="H332" s="4">
        <f t="shared" si="5"/>
        <v>0</v>
      </c>
    </row>
    <row r="333" spans="1:8" x14ac:dyDescent="0.35">
      <c r="A333" s="11"/>
      <c r="B333" s="11"/>
      <c r="C333" s="16"/>
      <c r="D333" s="1"/>
      <c r="E333" s="1"/>
      <c r="F333" s="4"/>
      <c r="G333" s="4"/>
      <c r="H333" s="4">
        <f t="shared" si="5"/>
        <v>0</v>
      </c>
    </row>
    <row r="334" spans="1:8" x14ac:dyDescent="0.35">
      <c r="A334" s="11"/>
      <c r="B334" s="11"/>
      <c r="C334" s="16"/>
      <c r="D334" s="1"/>
      <c r="E334" s="1"/>
      <c r="F334" s="4"/>
      <c r="G334" s="4"/>
      <c r="H334" s="4">
        <f t="shared" si="5"/>
        <v>0</v>
      </c>
    </row>
    <row r="335" spans="1:8" x14ac:dyDescent="0.35">
      <c r="A335" s="11"/>
      <c r="B335" s="11"/>
      <c r="C335" s="16"/>
      <c r="D335" s="1"/>
      <c r="E335" s="1"/>
      <c r="F335" s="4"/>
      <c r="G335" s="4"/>
      <c r="H335" s="4">
        <f t="shared" si="5"/>
        <v>0</v>
      </c>
    </row>
    <row r="336" spans="1:8" x14ac:dyDescent="0.35">
      <c r="A336" s="11"/>
      <c r="B336" s="11"/>
      <c r="C336" s="16"/>
      <c r="D336" s="1"/>
      <c r="E336" s="1"/>
      <c r="F336" s="4"/>
      <c r="G336" s="4"/>
      <c r="H336" s="4">
        <f t="shared" si="5"/>
        <v>0</v>
      </c>
    </row>
    <row r="337" spans="1:8" x14ac:dyDescent="0.35">
      <c r="A337" s="11"/>
      <c r="B337" s="11"/>
      <c r="C337" s="16"/>
      <c r="D337" s="1"/>
      <c r="E337" s="1"/>
      <c r="F337" s="4"/>
      <c r="G337" s="4"/>
      <c r="H337" s="4">
        <f t="shared" si="5"/>
        <v>0</v>
      </c>
    </row>
    <row r="338" spans="1:8" x14ac:dyDescent="0.35">
      <c r="A338" s="11"/>
      <c r="B338" s="11"/>
      <c r="C338" s="16"/>
      <c r="D338" s="1"/>
      <c r="E338" s="1"/>
      <c r="F338" s="4"/>
      <c r="G338" s="4"/>
      <c r="H338" s="4">
        <f t="shared" si="5"/>
        <v>0</v>
      </c>
    </row>
    <row r="339" spans="1:8" x14ac:dyDescent="0.35">
      <c r="A339" s="11"/>
      <c r="B339" s="11"/>
      <c r="C339" s="16"/>
      <c r="D339" s="1"/>
      <c r="E339" s="1"/>
      <c r="F339" s="4"/>
      <c r="G339" s="4"/>
      <c r="H339" s="4">
        <f t="shared" si="5"/>
        <v>0</v>
      </c>
    </row>
    <row r="340" spans="1:8" x14ac:dyDescent="0.35">
      <c r="A340" s="11"/>
      <c r="B340" s="11"/>
      <c r="C340" s="16"/>
      <c r="D340" s="1"/>
      <c r="E340" s="1"/>
      <c r="F340" s="4"/>
      <c r="G340" s="4"/>
      <c r="H340" s="4">
        <f t="shared" si="5"/>
        <v>0</v>
      </c>
    </row>
    <row r="341" spans="1:8" x14ac:dyDescent="0.35">
      <c r="A341" s="11"/>
      <c r="B341" s="11"/>
      <c r="C341" s="16"/>
      <c r="D341" s="1"/>
      <c r="E341" s="1"/>
      <c r="F341" s="4"/>
      <c r="G341" s="4"/>
      <c r="H341" s="4">
        <f t="shared" si="5"/>
        <v>0</v>
      </c>
    </row>
    <row r="342" spans="1:8" x14ac:dyDescent="0.35">
      <c r="A342" s="11"/>
      <c r="B342" s="11"/>
      <c r="C342" s="16"/>
      <c r="D342" s="1"/>
      <c r="E342" s="1"/>
      <c r="F342" s="4"/>
      <c r="G342" s="4"/>
      <c r="H342" s="4">
        <f t="shared" si="5"/>
        <v>0</v>
      </c>
    </row>
    <row r="343" spans="1:8" x14ac:dyDescent="0.35">
      <c r="A343" s="11"/>
      <c r="B343" s="11"/>
      <c r="C343" s="16"/>
      <c r="D343" s="1"/>
      <c r="E343" s="1"/>
      <c r="F343" s="4"/>
      <c r="G343" s="4"/>
      <c r="H343" s="4">
        <f t="shared" si="5"/>
        <v>0</v>
      </c>
    </row>
    <row r="344" spans="1:8" x14ac:dyDescent="0.35">
      <c r="A344" s="11"/>
      <c r="B344" s="11"/>
      <c r="C344" s="16"/>
      <c r="D344" s="1"/>
      <c r="E344" s="1"/>
      <c r="F344" s="4"/>
      <c r="G344" s="4"/>
      <c r="H344" s="4">
        <f t="shared" si="5"/>
        <v>0</v>
      </c>
    </row>
    <row r="345" spans="1:8" x14ac:dyDescent="0.35">
      <c r="A345" s="11"/>
      <c r="B345" s="11"/>
      <c r="C345" s="16"/>
      <c r="D345" s="1"/>
      <c r="E345" s="1"/>
      <c r="F345" s="4"/>
      <c r="G345" s="4"/>
      <c r="H345" s="4">
        <f t="shared" si="5"/>
        <v>0</v>
      </c>
    </row>
    <row r="346" spans="1:8" x14ac:dyDescent="0.35">
      <c r="A346" s="11"/>
      <c r="B346" s="11"/>
      <c r="C346" s="16"/>
      <c r="D346" s="1"/>
      <c r="E346" s="1"/>
      <c r="F346" s="4"/>
      <c r="G346" s="4"/>
      <c r="H346" s="4">
        <f t="shared" si="5"/>
        <v>0</v>
      </c>
    </row>
    <row r="347" spans="1:8" x14ac:dyDescent="0.35">
      <c r="A347" s="11"/>
      <c r="B347" s="11"/>
      <c r="C347" s="16"/>
      <c r="D347" s="1"/>
      <c r="E347" s="1"/>
      <c r="F347" s="4"/>
      <c r="G347" s="4"/>
      <c r="H347" s="4">
        <f t="shared" si="5"/>
        <v>0</v>
      </c>
    </row>
    <row r="348" spans="1:8" x14ac:dyDescent="0.35">
      <c r="A348" s="11"/>
      <c r="B348" s="11"/>
      <c r="C348" s="16"/>
      <c r="D348" s="1"/>
      <c r="E348" s="1"/>
      <c r="F348" s="4"/>
      <c r="G348" s="4"/>
      <c r="H348" s="4">
        <f t="shared" si="5"/>
        <v>0</v>
      </c>
    </row>
    <row r="349" spans="1:8" x14ac:dyDescent="0.35">
      <c r="A349" s="11"/>
      <c r="B349" s="11"/>
      <c r="C349" s="16"/>
      <c r="D349" s="1"/>
      <c r="E349" s="1"/>
      <c r="F349" s="4"/>
      <c r="G349" s="4"/>
      <c r="H349" s="4">
        <f t="shared" si="5"/>
        <v>0</v>
      </c>
    </row>
    <row r="350" spans="1:8" x14ac:dyDescent="0.35">
      <c r="A350" s="11"/>
      <c r="B350" s="11"/>
      <c r="C350" s="16"/>
      <c r="D350" s="1"/>
      <c r="E350" s="1"/>
      <c r="F350" s="4"/>
      <c r="G350" s="4"/>
      <c r="H350" s="4">
        <f t="shared" si="5"/>
        <v>0</v>
      </c>
    </row>
    <row r="351" spans="1:8" x14ac:dyDescent="0.35">
      <c r="A351" s="11"/>
      <c r="B351" s="11"/>
      <c r="C351" s="16"/>
      <c r="D351" s="1"/>
      <c r="E351" s="1"/>
      <c r="F351" s="4"/>
      <c r="G351" s="4"/>
      <c r="H351" s="4">
        <f t="shared" si="5"/>
        <v>0</v>
      </c>
    </row>
    <row r="352" spans="1:8" x14ac:dyDescent="0.35">
      <c r="A352" s="11"/>
      <c r="B352" s="11"/>
      <c r="C352" s="16"/>
      <c r="D352" s="1"/>
      <c r="E352" s="1"/>
      <c r="F352" s="4"/>
      <c r="G352" s="4"/>
      <c r="H352" s="4">
        <f t="shared" si="5"/>
        <v>0</v>
      </c>
    </row>
    <row r="353" spans="1:8" x14ac:dyDescent="0.35">
      <c r="A353" s="11"/>
      <c r="B353" s="11"/>
      <c r="C353" s="16"/>
      <c r="D353" s="1"/>
      <c r="E353" s="1"/>
      <c r="F353" s="4"/>
      <c r="G353" s="4"/>
      <c r="H353" s="4">
        <f t="shared" ref="H353:H416" si="6">H352+F353-G353</f>
        <v>0</v>
      </c>
    </row>
    <row r="354" spans="1:8" x14ac:dyDescent="0.35">
      <c r="A354" s="11"/>
      <c r="B354" s="11"/>
      <c r="C354" s="16"/>
      <c r="D354" s="1"/>
      <c r="E354" s="1"/>
      <c r="F354" s="4"/>
      <c r="G354" s="4"/>
      <c r="H354" s="4">
        <f t="shared" si="6"/>
        <v>0</v>
      </c>
    </row>
    <row r="355" spans="1:8" x14ac:dyDescent="0.35">
      <c r="A355" s="11"/>
      <c r="B355" s="11"/>
      <c r="C355" s="16"/>
      <c r="D355" s="1"/>
      <c r="E355" s="1"/>
      <c r="F355" s="4"/>
      <c r="G355" s="4"/>
      <c r="H355" s="4">
        <f t="shared" si="6"/>
        <v>0</v>
      </c>
    </row>
    <row r="356" spans="1:8" x14ac:dyDescent="0.35">
      <c r="A356" s="11"/>
      <c r="B356" s="11"/>
      <c r="C356" s="16"/>
      <c r="D356" s="1"/>
      <c r="E356" s="1"/>
      <c r="F356" s="4"/>
      <c r="G356" s="4"/>
      <c r="H356" s="4">
        <f t="shared" si="6"/>
        <v>0</v>
      </c>
    </row>
    <row r="357" spans="1:8" x14ac:dyDescent="0.35">
      <c r="A357" s="11"/>
      <c r="B357" s="11"/>
      <c r="C357" s="16"/>
      <c r="D357" s="1"/>
      <c r="E357" s="1"/>
      <c r="F357" s="4"/>
      <c r="G357" s="4"/>
      <c r="H357" s="4">
        <f t="shared" si="6"/>
        <v>0</v>
      </c>
    </row>
    <row r="358" spans="1:8" x14ac:dyDescent="0.35">
      <c r="A358" s="11"/>
      <c r="B358" s="11"/>
      <c r="C358" s="16"/>
      <c r="D358" s="1"/>
      <c r="E358" s="1"/>
      <c r="F358" s="4"/>
      <c r="G358" s="4"/>
      <c r="H358" s="4">
        <f t="shared" si="6"/>
        <v>0</v>
      </c>
    </row>
    <row r="359" spans="1:8" x14ac:dyDescent="0.35">
      <c r="A359" s="11"/>
      <c r="B359" s="11"/>
      <c r="C359" s="16"/>
      <c r="D359" s="1"/>
      <c r="E359" s="1"/>
      <c r="F359" s="4"/>
      <c r="G359" s="4"/>
      <c r="H359" s="4">
        <f t="shared" si="6"/>
        <v>0</v>
      </c>
    </row>
    <row r="360" spans="1:8" x14ac:dyDescent="0.35">
      <c r="A360" s="11"/>
      <c r="B360" s="11"/>
      <c r="C360" s="16"/>
      <c r="D360" s="1"/>
      <c r="E360" s="1"/>
      <c r="F360" s="4"/>
      <c r="G360" s="4"/>
      <c r="H360" s="4">
        <f t="shared" si="6"/>
        <v>0</v>
      </c>
    </row>
    <row r="361" spans="1:8" x14ac:dyDescent="0.35">
      <c r="A361" s="11"/>
      <c r="B361" s="11"/>
      <c r="C361" s="16"/>
      <c r="D361" s="1"/>
      <c r="E361" s="1"/>
      <c r="F361" s="4"/>
      <c r="G361" s="4"/>
      <c r="H361" s="4">
        <f t="shared" si="6"/>
        <v>0</v>
      </c>
    </row>
    <row r="362" spans="1:8" x14ac:dyDescent="0.35">
      <c r="A362" s="11"/>
      <c r="B362" s="11"/>
      <c r="C362" s="16"/>
      <c r="D362" s="1"/>
      <c r="E362" s="1"/>
      <c r="F362" s="4"/>
      <c r="G362" s="4"/>
      <c r="H362" s="4">
        <f t="shared" si="6"/>
        <v>0</v>
      </c>
    </row>
    <row r="363" spans="1:8" x14ac:dyDescent="0.35">
      <c r="A363" s="11"/>
      <c r="B363" s="11"/>
      <c r="C363" s="16"/>
      <c r="D363" s="1"/>
      <c r="E363" s="1"/>
      <c r="F363" s="4"/>
      <c r="G363" s="4"/>
      <c r="H363" s="4">
        <f t="shared" si="6"/>
        <v>0</v>
      </c>
    </row>
    <row r="364" spans="1:8" x14ac:dyDescent="0.35">
      <c r="A364" s="11"/>
      <c r="B364" s="11"/>
      <c r="C364" s="16"/>
      <c r="D364" s="1"/>
      <c r="E364" s="1"/>
      <c r="F364" s="4"/>
      <c r="G364" s="4"/>
      <c r="H364" s="4">
        <f t="shared" si="6"/>
        <v>0</v>
      </c>
    </row>
    <row r="365" spans="1:8" x14ac:dyDescent="0.35">
      <c r="A365" s="11"/>
      <c r="B365" s="11"/>
      <c r="C365" s="16"/>
      <c r="D365" s="1"/>
      <c r="E365" s="1"/>
      <c r="F365" s="4"/>
      <c r="G365" s="4"/>
      <c r="H365" s="4">
        <f t="shared" si="6"/>
        <v>0</v>
      </c>
    </row>
    <row r="366" spans="1:8" x14ac:dyDescent="0.35">
      <c r="A366" s="11"/>
      <c r="B366" s="11"/>
      <c r="C366" s="16"/>
      <c r="D366" s="1"/>
      <c r="E366" s="1"/>
      <c r="F366" s="4"/>
      <c r="G366" s="4"/>
      <c r="H366" s="4">
        <f t="shared" si="6"/>
        <v>0</v>
      </c>
    </row>
    <row r="367" spans="1:8" x14ac:dyDescent="0.35">
      <c r="A367" s="11"/>
      <c r="B367" s="11"/>
      <c r="C367" s="16"/>
      <c r="D367" s="1"/>
      <c r="E367" s="1"/>
      <c r="F367" s="4"/>
      <c r="G367" s="4"/>
      <c r="H367" s="4">
        <f t="shared" si="6"/>
        <v>0</v>
      </c>
    </row>
    <row r="368" spans="1:8" x14ac:dyDescent="0.35">
      <c r="A368" s="11"/>
      <c r="B368" s="11"/>
      <c r="C368" s="16"/>
      <c r="D368" s="1"/>
      <c r="E368" s="1"/>
      <c r="F368" s="4"/>
      <c r="G368" s="4"/>
      <c r="H368" s="4">
        <f t="shared" si="6"/>
        <v>0</v>
      </c>
    </row>
    <row r="369" spans="1:8" x14ac:dyDescent="0.35">
      <c r="A369" s="11"/>
      <c r="B369" s="11"/>
      <c r="C369" s="16"/>
      <c r="D369" s="1"/>
      <c r="E369" s="1"/>
      <c r="F369" s="4"/>
      <c r="G369" s="4"/>
      <c r="H369" s="4">
        <f t="shared" si="6"/>
        <v>0</v>
      </c>
    </row>
    <row r="370" spans="1:8" x14ac:dyDescent="0.35">
      <c r="A370" s="11"/>
      <c r="B370" s="11"/>
      <c r="C370" s="16"/>
      <c r="D370" s="1"/>
      <c r="E370" s="1"/>
      <c r="F370" s="4"/>
      <c r="G370" s="4"/>
      <c r="H370" s="4">
        <f t="shared" si="6"/>
        <v>0</v>
      </c>
    </row>
    <row r="371" spans="1:8" x14ac:dyDescent="0.35">
      <c r="A371" s="11"/>
      <c r="B371" s="11"/>
      <c r="C371" s="16"/>
      <c r="D371" s="1"/>
      <c r="E371" s="1"/>
      <c r="F371" s="4"/>
      <c r="G371" s="4"/>
      <c r="H371" s="4">
        <f t="shared" si="6"/>
        <v>0</v>
      </c>
    </row>
    <row r="372" spans="1:8" x14ac:dyDescent="0.35">
      <c r="A372" s="11"/>
      <c r="B372" s="11"/>
      <c r="C372" s="16"/>
      <c r="D372" s="1"/>
      <c r="E372" s="1"/>
      <c r="F372" s="4"/>
      <c r="G372" s="4"/>
      <c r="H372" s="4">
        <f t="shared" si="6"/>
        <v>0</v>
      </c>
    </row>
    <row r="373" spans="1:8" x14ac:dyDescent="0.35">
      <c r="A373" s="11"/>
      <c r="B373" s="11"/>
      <c r="C373" s="16"/>
      <c r="D373" s="1"/>
      <c r="E373" s="1"/>
      <c r="F373" s="4"/>
      <c r="G373" s="4"/>
      <c r="H373" s="4">
        <f t="shared" si="6"/>
        <v>0</v>
      </c>
    </row>
    <row r="374" spans="1:8" x14ac:dyDescent="0.35">
      <c r="A374" s="11"/>
      <c r="B374" s="11"/>
      <c r="C374" s="16"/>
      <c r="D374" s="1"/>
      <c r="E374" s="1"/>
      <c r="F374" s="4"/>
      <c r="G374" s="4"/>
      <c r="H374" s="4">
        <f t="shared" si="6"/>
        <v>0</v>
      </c>
    </row>
    <row r="375" spans="1:8" x14ac:dyDescent="0.35">
      <c r="A375" s="11"/>
      <c r="B375" s="11"/>
      <c r="C375" s="16"/>
      <c r="D375" s="1"/>
      <c r="E375" s="1"/>
      <c r="F375" s="4"/>
      <c r="G375" s="4"/>
      <c r="H375" s="4">
        <f t="shared" si="6"/>
        <v>0</v>
      </c>
    </row>
    <row r="376" spans="1:8" x14ac:dyDescent="0.35">
      <c r="A376" s="11"/>
      <c r="B376" s="11"/>
      <c r="C376" s="16"/>
      <c r="D376" s="1"/>
      <c r="E376" s="1"/>
      <c r="F376" s="4"/>
      <c r="G376" s="4"/>
      <c r="H376" s="4">
        <f t="shared" si="6"/>
        <v>0</v>
      </c>
    </row>
    <row r="377" spans="1:8" x14ac:dyDescent="0.35">
      <c r="A377" s="11"/>
      <c r="B377" s="11"/>
      <c r="C377" s="16"/>
      <c r="D377" s="1"/>
      <c r="E377" s="1"/>
      <c r="F377" s="4"/>
      <c r="G377" s="4"/>
      <c r="H377" s="4">
        <f t="shared" si="6"/>
        <v>0</v>
      </c>
    </row>
    <row r="378" spans="1:8" x14ac:dyDescent="0.35">
      <c r="A378" s="11"/>
      <c r="B378" s="11"/>
      <c r="C378" s="16"/>
      <c r="D378" s="1"/>
      <c r="E378" s="1"/>
      <c r="F378" s="4"/>
      <c r="G378" s="4"/>
      <c r="H378" s="4">
        <f t="shared" si="6"/>
        <v>0</v>
      </c>
    </row>
    <row r="379" spans="1:8" x14ac:dyDescent="0.35">
      <c r="A379" s="11"/>
      <c r="B379" s="11"/>
      <c r="C379" s="16"/>
      <c r="D379" s="1"/>
      <c r="E379" s="1"/>
      <c r="F379" s="4"/>
      <c r="G379" s="4"/>
      <c r="H379" s="4">
        <f t="shared" si="6"/>
        <v>0</v>
      </c>
    </row>
    <row r="380" spans="1:8" x14ac:dyDescent="0.35">
      <c r="A380" s="11"/>
      <c r="B380" s="11"/>
      <c r="C380" s="16"/>
      <c r="D380" s="1"/>
      <c r="E380" s="1"/>
      <c r="F380" s="4"/>
      <c r="G380" s="4"/>
      <c r="H380" s="4">
        <f t="shared" si="6"/>
        <v>0</v>
      </c>
    </row>
    <row r="381" spans="1:8" x14ac:dyDescent="0.35">
      <c r="A381" s="11"/>
      <c r="B381" s="11"/>
      <c r="C381" s="16"/>
      <c r="D381" s="1"/>
      <c r="E381" s="1"/>
      <c r="F381" s="4"/>
      <c r="G381" s="4"/>
      <c r="H381" s="4">
        <f t="shared" si="6"/>
        <v>0</v>
      </c>
    </row>
    <row r="382" spans="1:8" x14ac:dyDescent="0.35">
      <c r="A382" s="11"/>
      <c r="B382" s="11"/>
      <c r="C382" s="16"/>
      <c r="D382" s="1"/>
      <c r="E382" s="1"/>
      <c r="F382" s="4"/>
      <c r="G382" s="4"/>
      <c r="H382" s="4">
        <f t="shared" si="6"/>
        <v>0</v>
      </c>
    </row>
    <row r="383" spans="1:8" x14ac:dyDescent="0.35">
      <c r="A383" s="11"/>
      <c r="B383" s="11"/>
      <c r="C383" s="16"/>
      <c r="D383" s="1"/>
      <c r="E383" s="1"/>
      <c r="F383" s="4"/>
      <c r="G383" s="4"/>
      <c r="H383" s="4">
        <f t="shared" si="6"/>
        <v>0</v>
      </c>
    </row>
    <row r="384" spans="1:8" x14ac:dyDescent="0.35">
      <c r="A384" s="11"/>
      <c r="B384" s="11"/>
      <c r="C384" s="16"/>
      <c r="D384" s="1"/>
      <c r="E384" s="1"/>
      <c r="F384" s="4"/>
      <c r="G384" s="4"/>
      <c r="H384" s="4">
        <f t="shared" si="6"/>
        <v>0</v>
      </c>
    </row>
    <row r="385" spans="1:8" x14ac:dyDescent="0.35">
      <c r="A385" s="11"/>
      <c r="B385" s="11"/>
      <c r="C385" s="16"/>
      <c r="D385" s="1"/>
      <c r="E385" s="1"/>
      <c r="F385" s="4"/>
      <c r="G385" s="4"/>
      <c r="H385" s="4">
        <f t="shared" si="6"/>
        <v>0</v>
      </c>
    </row>
    <row r="386" spans="1:8" x14ac:dyDescent="0.35">
      <c r="A386" s="11"/>
      <c r="B386" s="11"/>
      <c r="C386" s="16"/>
      <c r="D386" s="1"/>
      <c r="E386" s="1"/>
      <c r="F386" s="4"/>
      <c r="G386" s="4"/>
      <c r="H386" s="4">
        <f t="shared" si="6"/>
        <v>0</v>
      </c>
    </row>
    <row r="387" spans="1:8" x14ac:dyDescent="0.35">
      <c r="A387" s="11"/>
      <c r="B387" s="11"/>
      <c r="C387" s="16"/>
      <c r="D387" s="1"/>
      <c r="E387" s="1"/>
      <c r="F387" s="4"/>
      <c r="G387" s="4"/>
      <c r="H387" s="4">
        <f t="shared" si="6"/>
        <v>0</v>
      </c>
    </row>
    <row r="388" spans="1:8" x14ac:dyDescent="0.35">
      <c r="A388" s="11"/>
      <c r="B388" s="11"/>
      <c r="C388" s="16"/>
      <c r="D388" s="1"/>
      <c r="E388" s="1"/>
      <c r="F388" s="4"/>
      <c r="G388" s="4"/>
      <c r="H388" s="4">
        <f t="shared" si="6"/>
        <v>0</v>
      </c>
    </row>
    <row r="389" spans="1:8" x14ac:dyDescent="0.35">
      <c r="A389" s="11"/>
      <c r="B389" s="11"/>
      <c r="C389" s="16"/>
      <c r="D389" s="1"/>
      <c r="E389" s="1"/>
      <c r="F389" s="4"/>
      <c r="G389" s="4"/>
      <c r="H389" s="4">
        <f t="shared" si="6"/>
        <v>0</v>
      </c>
    </row>
    <row r="390" spans="1:8" x14ac:dyDescent="0.35">
      <c r="A390" s="11"/>
      <c r="B390" s="11"/>
      <c r="C390" s="16"/>
      <c r="D390" s="1"/>
      <c r="E390" s="1"/>
      <c r="F390" s="4"/>
      <c r="G390" s="4"/>
      <c r="H390" s="4">
        <f t="shared" si="6"/>
        <v>0</v>
      </c>
    </row>
    <row r="391" spans="1:8" x14ac:dyDescent="0.35">
      <c r="A391" s="11"/>
      <c r="B391" s="11"/>
      <c r="C391" s="16"/>
      <c r="D391" s="1"/>
      <c r="E391" s="1"/>
      <c r="F391" s="4"/>
      <c r="G391" s="4"/>
      <c r="H391" s="4">
        <f t="shared" si="6"/>
        <v>0</v>
      </c>
    </row>
    <row r="392" spans="1:8" x14ac:dyDescent="0.35">
      <c r="A392" s="11"/>
      <c r="B392" s="11"/>
      <c r="C392" s="16"/>
      <c r="D392" s="1"/>
      <c r="E392" s="1"/>
      <c r="F392" s="4"/>
      <c r="G392" s="4"/>
      <c r="H392" s="4">
        <f t="shared" si="6"/>
        <v>0</v>
      </c>
    </row>
    <row r="393" spans="1:8" x14ac:dyDescent="0.35">
      <c r="A393" s="11"/>
      <c r="B393" s="11"/>
      <c r="C393" s="16"/>
      <c r="D393" s="1"/>
      <c r="E393" s="1"/>
      <c r="F393" s="4"/>
      <c r="G393" s="4"/>
      <c r="H393" s="4">
        <f t="shared" si="6"/>
        <v>0</v>
      </c>
    </row>
    <row r="394" spans="1:8" x14ac:dyDescent="0.35">
      <c r="A394" s="11"/>
      <c r="B394" s="11"/>
      <c r="C394" s="16"/>
      <c r="D394" s="1"/>
      <c r="E394" s="1"/>
      <c r="F394" s="4"/>
      <c r="G394" s="4"/>
      <c r="H394" s="4">
        <f t="shared" si="6"/>
        <v>0</v>
      </c>
    </row>
    <row r="395" spans="1:8" x14ac:dyDescent="0.35">
      <c r="A395" s="11"/>
      <c r="B395" s="11"/>
      <c r="C395" s="16"/>
      <c r="D395" s="1"/>
      <c r="E395" s="1"/>
      <c r="F395" s="4"/>
      <c r="G395" s="4"/>
      <c r="H395" s="4">
        <f t="shared" si="6"/>
        <v>0</v>
      </c>
    </row>
    <row r="396" spans="1:8" x14ac:dyDescent="0.35">
      <c r="A396" s="11"/>
      <c r="B396" s="11"/>
      <c r="C396" s="16"/>
      <c r="D396" s="1"/>
      <c r="E396" s="1"/>
      <c r="F396" s="4"/>
      <c r="G396" s="4"/>
      <c r="H396" s="4">
        <f t="shared" si="6"/>
        <v>0</v>
      </c>
    </row>
    <row r="397" spans="1:8" x14ac:dyDescent="0.35">
      <c r="A397" s="11"/>
      <c r="B397" s="11"/>
      <c r="C397" s="16"/>
      <c r="D397" s="1"/>
      <c r="E397" s="1"/>
      <c r="F397" s="4"/>
      <c r="G397" s="4"/>
      <c r="H397" s="4">
        <f t="shared" si="6"/>
        <v>0</v>
      </c>
    </row>
    <row r="398" spans="1:8" x14ac:dyDescent="0.35">
      <c r="A398" s="11"/>
      <c r="B398" s="11"/>
      <c r="C398" s="16"/>
      <c r="D398" s="1"/>
      <c r="E398" s="1"/>
      <c r="F398" s="4"/>
      <c r="G398" s="4"/>
      <c r="H398" s="4">
        <f t="shared" si="6"/>
        <v>0</v>
      </c>
    </row>
    <row r="399" spans="1:8" x14ac:dyDescent="0.35">
      <c r="A399" s="11"/>
      <c r="B399" s="11"/>
      <c r="C399" s="16"/>
      <c r="D399" s="1"/>
      <c r="E399" s="1"/>
      <c r="F399" s="4"/>
      <c r="G399" s="4"/>
      <c r="H399" s="4">
        <f t="shared" si="6"/>
        <v>0</v>
      </c>
    </row>
    <row r="400" spans="1:8" x14ac:dyDescent="0.35">
      <c r="A400" s="11"/>
      <c r="B400" s="11"/>
      <c r="C400" s="16"/>
      <c r="D400" s="1"/>
      <c r="E400" s="1"/>
      <c r="F400" s="4"/>
      <c r="G400" s="4"/>
      <c r="H400" s="4">
        <f t="shared" si="6"/>
        <v>0</v>
      </c>
    </row>
    <row r="401" spans="1:8" x14ac:dyDescent="0.35">
      <c r="A401" s="11"/>
      <c r="B401" s="11"/>
      <c r="C401" s="16"/>
      <c r="D401" s="1"/>
      <c r="E401" s="1"/>
      <c r="F401" s="4"/>
      <c r="G401" s="4"/>
      <c r="H401" s="4">
        <f t="shared" si="6"/>
        <v>0</v>
      </c>
    </row>
    <row r="402" spans="1:8" x14ac:dyDescent="0.35">
      <c r="A402" s="11"/>
      <c r="B402" s="11"/>
      <c r="C402" s="16"/>
      <c r="D402" s="1"/>
      <c r="E402" s="1"/>
      <c r="F402" s="4"/>
      <c r="G402" s="4"/>
      <c r="H402" s="4">
        <f t="shared" si="6"/>
        <v>0</v>
      </c>
    </row>
    <row r="403" spans="1:8" x14ac:dyDescent="0.35">
      <c r="A403" s="11"/>
      <c r="B403" s="11"/>
      <c r="C403" s="16"/>
      <c r="D403" s="1"/>
      <c r="E403" s="1"/>
      <c r="F403" s="4"/>
      <c r="G403" s="4"/>
      <c r="H403" s="4">
        <f t="shared" si="6"/>
        <v>0</v>
      </c>
    </row>
    <row r="404" spans="1:8" x14ac:dyDescent="0.35">
      <c r="A404" s="11"/>
      <c r="B404" s="11"/>
      <c r="C404" s="16"/>
      <c r="D404" s="1"/>
      <c r="E404" s="1"/>
      <c r="F404" s="4"/>
      <c r="G404" s="4"/>
      <c r="H404" s="4">
        <f t="shared" si="6"/>
        <v>0</v>
      </c>
    </row>
    <row r="405" spans="1:8" x14ac:dyDescent="0.35">
      <c r="A405" s="11"/>
      <c r="B405" s="11"/>
      <c r="C405" s="16"/>
      <c r="D405" s="1"/>
      <c r="E405" s="1"/>
      <c r="F405" s="4"/>
      <c r="G405" s="4"/>
      <c r="H405" s="4">
        <f t="shared" si="6"/>
        <v>0</v>
      </c>
    </row>
    <row r="406" spans="1:8" x14ac:dyDescent="0.35">
      <c r="A406" s="11"/>
      <c r="B406" s="11"/>
      <c r="C406" s="16"/>
      <c r="D406" s="1"/>
      <c r="E406" s="1"/>
      <c r="F406" s="4"/>
      <c r="G406" s="4"/>
      <c r="H406" s="4">
        <f t="shared" si="6"/>
        <v>0</v>
      </c>
    </row>
    <row r="407" spans="1:8" x14ac:dyDescent="0.35">
      <c r="A407" s="11"/>
      <c r="B407" s="11"/>
      <c r="C407" s="16"/>
      <c r="D407" s="1"/>
      <c r="E407" s="1"/>
      <c r="F407" s="4"/>
      <c r="G407" s="4"/>
      <c r="H407" s="4">
        <f t="shared" si="6"/>
        <v>0</v>
      </c>
    </row>
    <row r="408" spans="1:8" x14ac:dyDescent="0.35">
      <c r="A408" s="11"/>
      <c r="B408" s="11"/>
      <c r="C408" s="16"/>
      <c r="D408" s="1"/>
      <c r="E408" s="1"/>
      <c r="F408" s="4"/>
      <c r="G408" s="4"/>
      <c r="H408" s="4">
        <f t="shared" si="6"/>
        <v>0</v>
      </c>
    </row>
    <row r="409" spans="1:8" x14ac:dyDescent="0.35">
      <c r="A409" s="11"/>
      <c r="B409" s="11"/>
      <c r="C409" s="16"/>
      <c r="D409" s="1"/>
      <c r="E409" s="1"/>
      <c r="F409" s="4"/>
      <c r="G409" s="4"/>
      <c r="H409" s="4">
        <f t="shared" si="6"/>
        <v>0</v>
      </c>
    </row>
    <row r="410" spans="1:8" x14ac:dyDescent="0.35">
      <c r="A410" s="11"/>
      <c r="B410" s="11"/>
      <c r="C410" s="16"/>
      <c r="D410" s="1"/>
      <c r="E410" s="1"/>
      <c r="F410" s="4"/>
      <c r="G410" s="4"/>
      <c r="H410" s="4">
        <f t="shared" si="6"/>
        <v>0</v>
      </c>
    </row>
    <row r="411" spans="1:8" x14ac:dyDescent="0.35">
      <c r="A411" s="11"/>
      <c r="B411" s="11"/>
      <c r="C411" s="16"/>
      <c r="D411" s="1"/>
      <c r="E411" s="1"/>
      <c r="F411" s="4"/>
      <c r="G411" s="4"/>
      <c r="H411" s="4">
        <f t="shared" si="6"/>
        <v>0</v>
      </c>
    </row>
    <row r="412" spans="1:8" x14ac:dyDescent="0.35">
      <c r="A412" s="11"/>
      <c r="B412" s="11"/>
      <c r="C412" s="16"/>
      <c r="D412" s="1"/>
      <c r="E412" s="1"/>
      <c r="F412" s="4"/>
      <c r="G412" s="4"/>
      <c r="H412" s="4">
        <f t="shared" si="6"/>
        <v>0</v>
      </c>
    </row>
    <row r="413" spans="1:8" x14ac:dyDescent="0.35">
      <c r="A413" s="11"/>
      <c r="B413" s="11"/>
      <c r="C413" s="16"/>
      <c r="D413" s="1"/>
      <c r="E413" s="1"/>
      <c r="F413" s="4"/>
      <c r="G413" s="4"/>
      <c r="H413" s="4">
        <f t="shared" si="6"/>
        <v>0</v>
      </c>
    </row>
    <row r="414" spans="1:8" x14ac:dyDescent="0.35">
      <c r="A414" s="11"/>
      <c r="B414" s="11"/>
      <c r="C414" s="16"/>
      <c r="D414" s="1"/>
      <c r="E414" s="1"/>
      <c r="F414" s="4"/>
      <c r="G414" s="4"/>
      <c r="H414" s="4">
        <f t="shared" si="6"/>
        <v>0</v>
      </c>
    </row>
    <row r="415" spans="1:8" x14ac:dyDescent="0.35">
      <c r="A415" s="11"/>
      <c r="B415" s="11"/>
      <c r="C415" s="16"/>
      <c r="D415" s="1"/>
      <c r="E415" s="1"/>
      <c r="F415" s="4"/>
      <c r="G415" s="4"/>
      <c r="H415" s="4">
        <f t="shared" si="6"/>
        <v>0</v>
      </c>
    </row>
    <row r="416" spans="1:8" x14ac:dyDescent="0.35">
      <c r="A416" s="11"/>
      <c r="B416" s="11"/>
      <c r="C416" s="16"/>
      <c r="D416" s="1"/>
      <c r="E416" s="1"/>
      <c r="F416" s="4"/>
      <c r="G416" s="4"/>
      <c r="H416" s="4">
        <f t="shared" si="6"/>
        <v>0</v>
      </c>
    </row>
    <row r="417" spans="1:8" x14ac:dyDescent="0.35">
      <c r="A417" s="11"/>
      <c r="B417" s="11"/>
      <c r="C417" s="16"/>
      <c r="D417" s="1"/>
      <c r="E417" s="1"/>
      <c r="F417" s="4"/>
      <c r="G417" s="4"/>
      <c r="H417" s="4">
        <f t="shared" ref="H417:H480" si="7">H416+F417-G417</f>
        <v>0</v>
      </c>
    </row>
    <row r="418" spans="1:8" x14ac:dyDescent="0.35">
      <c r="A418" s="11"/>
      <c r="B418" s="11"/>
      <c r="C418" s="16"/>
      <c r="D418" s="1"/>
      <c r="E418" s="1"/>
      <c r="F418" s="4"/>
      <c r="G418" s="4"/>
      <c r="H418" s="4">
        <f t="shared" si="7"/>
        <v>0</v>
      </c>
    </row>
    <row r="419" spans="1:8" x14ac:dyDescent="0.35">
      <c r="A419" s="11"/>
      <c r="B419" s="11"/>
      <c r="C419" s="16"/>
      <c r="D419" s="1"/>
      <c r="E419" s="1"/>
      <c r="F419" s="4"/>
      <c r="G419" s="4"/>
      <c r="H419" s="4">
        <f t="shared" si="7"/>
        <v>0</v>
      </c>
    </row>
    <row r="420" spans="1:8" x14ac:dyDescent="0.35">
      <c r="A420" s="11"/>
      <c r="B420" s="11"/>
      <c r="C420" s="16"/>
      <c r="D420" s="1"/>
      <c r="E420" s="1"/>
      <c r="F420" s="4"/>
      <c r="G420" s="4"/>
      <c r="H420" s="4">
        <f t="shared" si="7"/>
        <v>0</v>
      </c>
    </row>
    <row r="421" spans="1:8" x14ac:dyDescent="0.35">
      <c r="A421" s="11"/>
      <c r="B421" s="11"/>
      <c r="C421" s="16"/>
      <c r="D421" s="1"/>
      <c r="E421" s="1"/>
      <c r="F421" s="4"/>
      <c r="G421" s="4"/>
      <c r="H421" s="4">
        <f t="shared" si="7"/>
        <v>0</v>
      </c>
    </row>
    <row r="422" spans="1:8" x14ac:dyDescent="0.35">
      <c r="A422" s="11"/>
      <c r="B422" s="11"/>
      <c r="C422" s="16"/>
      <c r="D422" s="1"/>
      <c r="E422" s="1"/>
      <c r="F422" s="4"/>
      <c r="G422" s="4"/>
      <c r="H422" s="4">
        <f t="shared" si="7"/>
        <v>0</v>
      </c>
    </row>
    <row r="423" spans="1:8" x14ac:dyDescent="0.35">
      <c r="A423" s="11"/>
      <c r="B423" s="11"/>
      <c r="C423" s="16"/>
      <c r="D423" s="1"/>
      <c r="E423" s="1"/>
      <c r="F423" s="4"/>
      <c r="G423" s="4"/>
      <c r="H423" s="4">
        <f t="shared" si="7"/>
        <v>0</v>
      </c>
    </row>
    <row r="424" spans="1:8" x14ac:dyDescent="0.35">
      <c r="A424" s="11"/>
      <c r="B424" s="11"/>
      <c r="C424" s="16"/>
      <c r="D424" s="1"/>
      <c r="E424" s="1"/>
      <c r="F424" s="4"/>
      <c r="G424" s="4"/>
      <c r="H424" s="4">
        <f t="shared" si="7"/>
        <v>0</v>
      </c>
    </row>
    <row r="425" spans="1:8" x14ac:dyDescent="0.35">
      <c r="A425" s="11"/>
      <c r="B425" s="11"/>
      <c r="C425" s="16"/>
      <c r="D425" s="1"/>
      <c r="E425" s="1"/>
      <c r="F425" s="4"/>
      <c r="G425" s="4"/>
      <c r="H425" s="4">
        <f t="shared" si="7"/>
        <v>0</v>
      </c>
    </row>
    <row r="426" spans="1:8" x14ac:dyDescent="0.35">
      <c r="A426" s="11"/>
      <c r="B426" s="11"/>
      <c r="C426" s="16"/>
      <c r="D426" s="1"/>
      <c r="E426" s="1"/>
      <c r="F426" s="4"/>
      <c r="G426" s="4"/>
      <c r="H426" s="4">
        <f t="shared" si="7"/>
        <v>0</v>
      </c>
    </row>
    <row r="427" spans="1:8" x14ac:dyDescent="0.35">
      <c r="A427" s="11"/>
      <c r="B427" s="11"/>
      <c r="C427" s="16"/>
      <c r="D427" s="1"/>
      <c r="E427" s="1"/>
      <c r="F427" s="4"/>
      <c r="G427" s="4"/>
      <c r="H427" s="4">
        <f t="shared" si="7"/>
        <v>0</v>
      </c>
    </row>
    <row r="428" spans="1:8" x14ac:dyDescent="0.35">
      <c r="A428" s="11"/>
      <c r="B428" s="11"/>
      <c r="C428" s="16"/>
      <c r="D428" s="1"/>
      <c r="E428" s="1"/>
      <c r="F428" s="4"/>
      <c r="G428" s="4"/>
      <c r="H428" s="4">
        <f t="shared" si="7"/>
        <v>0</v>
      </c>
    </row>
    <row r="429" spans="1:8" x14ac:dyDescent="0.35">
      <c r="A429" s="11"/>
      <c r="B429" s="11"/>
      <c r="C429" s="16"/>
      <c r="D429" s="1"/>
      <c r="E429" s="1"/>
      <c r="F429" s="4"/>
      <c r="G429" s="4"/>
      <c r="H429" s="4">
        <f t="shared" si="7"/>
        <v>0</v>
      </c>
    </row>
    <row r="430" spans="1:8" x14ac:dyDescent="0.35">
      <c r="A430" s="11"/>
      <c r="B430" s="11"/>
      <c r="C430" s="16"/>
      <c r="D430" s="1"/>
      <c r="E430" s="1"/>
      <c r="F430" s="4"/>
      <c r="G430" s="4"/>
      <c r="H430" s="4">
        <f t="shared" si="7"/>
        <v>0</v>
      </c>
    </row>
    <row r="431" spans="1:8" x14ac:dyDescent="0.35">
      <c r="A431" s="11"/>
      <c r="B431" s="11"/>
      <c r="C431" s="16"/>
      <c r="D431" s="1"/>
      <c r="E431" s="1"/>
      <c r="F431" s="4"/>
      <c r="G431" s="4"/>
      <c r="H431" s="4">
        <f t="shared" si="7"/>
        <v>0</v>
      </c>
    </row>
    <row r="432" spans="1:8" x14ac:dyDescent="0.35">
      <c r="A432" s="11"/>
      <c r="B432" s="11"/>
      <c r="C432" s="16"/>
      <c r="D432" s="1"/>
      <c r="E432" s="1"/>
      <c r="F432" s="4"/>
      <c r="G432" s="4"/>
      <c r="H432" s="4">
        <f t="shared" si="7"/>
        <v>0</v>
      </c>
    </row>
    <row r="433" spans="1:8" x14ac:dyDescent="0.35">
      <c r="A433" s="11"/>
      <c r="B433" s="11"/>
      <c r="C433" s="16"/>
      <c r="D433" s="1"/>
      <c r="E433" s="1"/>
      <c r="F433" s="4"/>
      <c r="G433" s="4"/>
      <c r="H433" s="4">
        <f t="shared" si="7"/>
        <v>0</v>
      </c>
    </row>
    <row r="434" spans="1:8" x14ac:dyDescent="0.35">
      <c r="A434" s="11"/>
      <c r="B434" s="11"/>
      <c r="C434" s="16"/>
      <c r="D434" s="1"/>
      <c r="E434" s="1"/>
      <c r="F434" s="4"/>
      <c r="G434" s="4"/>
      <c r="H434" s="4">
        <f t="shared" si="7"/>
        <v>0</v>
      </c>
    </row>
    <row r="435" spans="1:8" x14ac:dyDescent="0.35">
      <c r="A435" s="11"/>
      <c r="B435" s="11"/>
      <c r="C435" s="16"/>
      <c r="D435" s="1"/>
      <c r="E435" s="1"/>
      <c r="F435" s="4"/>
      <c r="G435" s="4"/>
      <c r="H435" s="4">
        <f t="shared" si="7"/>
        <v>0</v>
      </c>
    </row>
    <row r="436" spans="1:8" x14ac:dyDescent="0.35">
      <c r="A436" s="11"/>
      <c r="B436" s="11"/>
      <c r="C436" s="16"/>
      <c r="D436" s="1"/>
      <c r="E436" s="1"/>
      <c r="F436" s="4"/>
      <c r="G436" s="4"/>
      <c r="H436" s="4">
        <f t="shared" si="7"/>
        <v>0</v>
      </c>
    </row>
    <row r="437" spans="1:8" x14ac:dyDescent="0.35">
      <c r="A437" s="11"/>
      <c r="B437" s="11"/>
      <c r="C437" s="16"/>
      <c r="D437" s="1"/>
      <c r="E437" s="1"/>
      <c r="F437" s="4"/>
      <c r="G437" s="4"/>
      <c r="H437" s="4">
        <f t="shared" si="7"/>
        <v>0</v>
      </c>
    </row>
    <row r="438" spans="1:8" x14ac:dyDescent="0.35">
      <c r="A438" s="11"/>
      <c r="B438" s="11"/>
      <c r="C438" s="16"/>
      <c r="D438" s="1"/>
      <c r="E438" s="1"/>
      <c r="F438" s="4"/>
      <c r="G438" s="4"/>
      <c r="H438" s="4">
        <f t="shared" si="7"/>
        <v>0</v>
      </c>
    </row>
    <row r="439" spans="1:8" x14ac:dyDescent="0.35">
      <c r="A439" s="11"/>
      <c r="B439" s="11"/>
      <c r="C439" s="16"/>
      <c r="D439" s="1"/>
      <c r="E439" s="1"/>
      <c r="F439" s="4"/>
      <c r="G439" s="4"/>
      <c r="H439" s="4">
        <f t="shared" si="7"/>
        <v>0</v>
      </c>
    </row>
    <row r="440" spans="1:8" x14ac:dyDescent="0.35">
      <c r="A440" s="11"/>
      <c r="B440" s="11"/>
      <c r="C440" s="16"/>
      <c r="D440" s="1"/>
      <c r="E440" s="1"/>
      <c r="F440" s="4"/>
      <c r="G440" s="4"/>
      <c r="H440" s="4">
        <f t="shared" si="7"/>
        <v>0</v>
      </c>
    </row>
    <row r="441" spans="1:8" x14ac:dyDescent="0.35">
      <c r="A441" s="11"/>
      <c r="B441" s="11"/>
      <c r="C441" s="16"/>
      <c r="D441" s="1"/>
      <c r="E441" s="1"/>
      <c r="F441" s="4"/>
      <c r="G441" s="4"/>
      <c r="H441" s="4">
        <f t="shared" si="7"/>
        <v>0</v>
      </c>
    </row>
    <row r="442" spans="1:8" x14ac:dyDescent="0.35">
      <c r="A442" s="11"/>
      <c r="B442" s="11"/>
      <c r="C442" s="16"/>
      <c r="D442" s="1"/>
      <c r="E442" s="1"/>
      <c r="F442" s="4"/>
      <c r="G442" s="4"/>
      <c r="H442" s="4">
        <f t="shared" si="7"/>
        <v>0</v>
      </c>
    </row>
    <row r="443" spans="1:8" x14ac:dyDescent="0.35">
      <c r="A443" s="11"/>
      <c r="B443" s="11"/>
      <c r="C443" s="16"/>
      <c r="D443" s="1"/>
      <c r="E443" s="1"/>
      <c r="F443" s="4"/>
      <c r="G443" s="4"/>
      <c r="H443" s="4">
        <f t="shared" si="7"/>
        <v>0</v>
      </c>
    </row>
    <row r="444" spans="1:8" x14ac:dyDescent="0.35">
      <c r="A444" s="11"/>
      <c r="B444" s="11"/>
      <c r="C444" s="16"/>
      <c r="D444" s="1"/>
      <c r="E444" s="1"/>
      <c r="F444" s="4"/>
      <c r="G444" s="4"/>
      <c r="H444" s="4">
        <f t="shared" si="7"/>
        <v>0</v>
      </c>
    </row>
    <row r="445" spans="1:8" x14ac:dyDescent="0.35">
      <c r="A445" s="11"/>
      <c r="B445" s="11"/>
      <c r="C445" s="16"/>
      <c r="D445" s="1"/>
      <c r="E445" s="1"/>
      <c r="F445" s="4"/>
      <c r="G445" s="4"/>
      <c r="H445" s="4">
        <f t="shared" si="7"/>
        <v>0</v>
      </c>
    </row>
    <row r="446" spans="1:8" x14ac:dyDescent="0.35">
      <c r="A446" s="11"/>
      <c r="B446" s="11"/>
      <c r="C446" s="16"/>
      <c r="D446" s="1"/>
      <c r="E446" s="1"/>
      <c r="F446" s="4"/>
      <c r="G446" s="4"/>
      <c r="H446" s="4">
        <f t="shared" si="7"/>
        <v>0</v>
      </c>
    </row>
    <row r="447" spans="1:8" x14ac:dyDescent="0.35">
      <c r="A447" s="11"/>
      <c r="B447" s="11"/>
      <c r="C447" s="16"/>
      <c r="D447" s="1"/>
      <c r="E447" s="1"/>
      <c r="F447" s="4"/>
      <c r="G447" s="4"/>
      <c r="H447" s="4">
        <f t="shared" si="7"/>
        <v>0</v>
      </c>
    </row>
    <row r="448" spans="1:8" x14ac:dyDescent="0.35">
      <c r="A448" s="11"/>
      <c r="B448" s="11"/>
      <c r="C448" s="16"/>
      <c r="D448" s="1"/>
      <c r="E448" s="1"/>
      <c r="F448" s="4"/>
      <c r="G448" s="4"/>
      <c r="H448" s="4">
        <f t="shared" si="7"/>
        <v>0</v>
      </c>
    </row>
    <row r="449" spans="1:8" x14ac:dyDescent="0.35">
      <c r="A449" s="11"/>
      <c r="B449" s="11"/>
      <c r="C449" s="16"/>
      <c r="D449" s="1"/>
      <c r="E449" s="1"/>
      <c r="F449" s="4"/>
      <c r="G449" s="4"/>
      <c r="H449" s="4">
        <f t="shared" si="7"/>
        <v>0</v>
      </c>
    </row>
    <row r="450" spans="1:8" x14ac:dyDescent="0.35">
      <c r="A450" s="11"/>
      <c r="B450" s="11"/>
      <c r="C450" s="16"/>
      <c r="D450" s="1"/>
      <c r="E450" s="1"/>
      <c r="F450" s="4"/>
      <c r="G450" s="4"/>
      <c r="H450" s="4">
        <f t="shared" si="7"/>
        <v>0</v>
      </c>
    </row>
    <row r="451" spans="1:8" x14ac:dyDescent="0.35">
      <c r="A451" s="11"/>
      <c r="B451" s="11"/>
      <c r="C451" s="16"/>
      <c r="D451" s="1"/>
      <c r="E451" s="1"/>
      <c r="F451" s="4"/>
      <c r="G451" s="4"/>
      <c r="H451" s="4">
        <f t="shared" si="7"/>
        <v>0</v>
      </c>
    </row>
    <row r="452" spans="1:8" x14ac:dyDescent="0.35">
      <c r="A452" s="11"/>
      <c r="B452" s="11"/>
      <c r="C452" s="16"/>
      <c r="D452" s="1"/>
      <c r="E452" s="1"/>
      <c r="F452" s="4"/>
      <c r="G452" s="4"/>
      <c r="H452" s="4">
        <f t="shared" si="7"/>
        <v>0</v>
      </c>
    </row>
    <row r="453" spans="1:8" x14ac:dyDescent="0.35">
      <c r="A453" s="11"/>
      <c r="B453" s="11"/>
      <c r="C453" s="16"/>
      <c r="D453" s="1"/>
      <c r="E453" s="1"/>
      <c r="F453" s="4"/>
      <c r="G453" s="4"/>
      <c r="H453" s="4">
        <f t="shared" si="7"/>
        <v>0</v>
      </c>
    </row>
    <row r="454" spans="1:8" x14ac:dyDescent="0.35">
      <c r="A454" s="11"/>
      <c r="B454" s="11"/>
      <c r="C454" s="16"/>
      <c r="D454" s="1"/>
      <c r="E454" s="1"/>
      <c r="F454" s="4"/>
      <c r="G454" s="4"/>
      <c r="H454" s="4">
        <f t="shared" si="7"/>
        <v>0</v>
      </c>
    </row>
    <row r="455" spans="1:8" x14ac:dyDescent="0.35">
      <c r="A455" s="11"/>
      <c r="B455" s="11"/>
      <c r="C455" s="16"/>
      <c r="D455" s="1"/>
      <c r="E455" s="1"/>
      <c r="F455" s="4"/>
      <c r="G455" s="4"/>
      <c r="H455" s="4">
        <f t="shared" si="7"/>
        <v>0</v>
      </c>
    </row>
    <row r="456" spans="1:8" x14ac:dyDescent="0.35">
      <c r="A456" s="11"/>
      <c r="B456" s="11"/>
      <c r="C456" s="16"/>
      <c r="D456" s="1"/>
      <c r="E456" s="1"/>
      <c r="F456" s="4"/>
      <c r="G456" s="4"/>
      <c r="H456" s="4">
        <f t="shared" si="7"/>
        <v>0</v>
      </c>
    </row>
    <row r="457" spans="1:8" x14ac:dyDescent="0.35">
      <c r="A457" s="11"/>
      <c r="B457" s="11"/>
      <c r="C457" s="16"/>
      <c r="D457" s="1"/>
      <c r="E457" s="1"/>
      <c r="F457" s="4"/>
      <c r="G457" s="4"/>
      <c r="H457" s="4">
        <f t="shared" si="7"/>
        <v>0</v>
      </c>
    </row>
    <row r="458" spans="1:8" x14ac:dyDescent="0.35">
      <c r="A458" s="11"/>
      <c r="B458" s="11"/>
      <c r="C458" s="16"/>
      <c r="D458" s="1"/>
      <c r="E458" s="1"/>
      <c r="F458" s="4"/>
      <c r="G458" s="4"/>
      <c r="H458" s="4">
        <f t="shared" si="7"/>
        <v>0</v>
      </c>
    </row>
    <row r="459" spans="1:8" x14ac:dyDescent="0.35">
      <c r="A459" s="11"/>
      <c r="B459" s="11"/>
      <c r="C459" s="16"/>
      <c r="D459" s="1"/>
      <c r="E459" s="1"/>
      <c r="F459" s="4"/>
      <c r="G459" s="4"/>
      <c r="H459" s="4">
        <f t="shared" si="7"/>
        <v>0</v>
      </c>
    </row>
    <row r="460" spans="1:8" x14ac:dyDescent="0.35">
      <c r="A460" s="11"/>
      <c r="B460" s="11"/>
      <c r="C460" s="16"/>
      <c r="D460" s="1"/>
      <c r="E460" s="1"/>
      <c r="F460" s="4"/>
      <c r="G460" s="4"/>
      <c r="H460" s="4">
        <f t="shared" si="7"/>
        <v>0</v>
      </c>
    </row>
    <row r="461" spans="1:8" x14ac:dyDescent="0.35">
      <c r="A461" s="11"/>
      <c r="B461" s="11"/>
      <c r="C461" s="16"/>
      <c r="D461" s="1"/>
      <c r="E461" s="1"/>
      <c r="F461" s="4"/>
      <c r="G461" s="4"/>
      <c r="H461" s="4">
        <f t="shared" si="7"/>
        <v>0</v>
      </c>
    </row>
    <row r="462" spans="1:8" x14ac:dyDescent="0.35">
      <c r="A462" s="11"/>
      <c r="B462" s="11"/>
      <c r="C462" s="16"/>
      <c r="D462" s="1"/>
      <c r="E462" s="1"/>
      <c r="F462" s="4"/>
      <c r="G462" s="4"/>
      <c r="H462" s="4">
        <f t="shared" si="7"/>
        <v>0</v>
      </c>
    </row>
    <row r="463" spans="1:8" x14ac:dyDescent="0.35">
      <c r="A463" s="11"/>
      <c r="B463" s="11"/>
      <c r="C463" s="16"/>
      <c r="D463" s="1"/>
      <c r="E463" s="1"/>
      <c r="F463" s="4"/>
      <c r="G463" s="4"/>
      <c r="H463" s="4">
        <f t="shared" si="7"/>
        <v>0</v>
      </c>
    </row>
    <row r="464" spans="1:8" x14ac:dyDescent="0.35">
      <c r="A464" s="11"/>
      <c r="B464" s="11"/>
      <c r="C464" s="16"/>
      <c r="D464" s="1"/>
      <c r="E464" s="1"/>
      <c r="F464" s="4"/>
      <c r="G464" s="4"/>
      <c r="H464" s="4">
        <f t="shared" si="7"/>
        <v>0</v>
      </c>
    </row>
    <row r="465" spans="1:8" x14ac:dyDescent="0.35">
      <c r="A465" s="11"/>
      <c r="B465" s="11"/>
      <c r="C465" s="16"/>
      <c r="D465" s="1"/>
      <c r="E465" s="1"/>
      <c r="F465" s="4"/>
      <c r="G465" s="4"/>
      <c r="H465" s="4">
        <f t="shared" si="7"/>
        <v>0</v>
      </c>
    </row>
    <row r="466" spans="1:8" x14ac:dyDescent="0.35">
      <c r="A466" s="11"/>
      <c r="B466" s="11"/>
      <c r="C466" s="16"/>
      <c r="D466" s="1"/>
      <c r="E466" s="1"/>
      <c r="F466" s="4"/>
      <c r="G466" s="4"/>
      <c r="H466" s="4">
        <f t="shared" si="7"/>
        <v>0</v>
      </c>
    </row>
    <row r="467" spans="1:8" x14ac:dyDescent="0.35">
      <c r="A467" s="11"/>
      <c r="B467" s="11"/>
      <c r="C467" s="16"/>
      <c r="D467" s="1"/>
      <c r="E467" s="1"/>
      <c r="F467" s="4"/>
      <c r="G467" s="4"/>
      <c r="H467" s="4">
        <f t="shared" si="7"/>
        <v>0</v>
      </c>
    </row>
    <row r="468" spans="1:8" x14ac:dyDescent="0.35">
      <c r="A468" s="11"/>
      <c r="B468" s="11"/>
      <c r="C468" s="16"/>
      <c r="D468" s="1"/>
      <c r="E468" s="1"/>
      <c r="F468" s="4"/>
      <c r="G468" s="4"/>
      <c r="H468" s="4">
        <f t="shared" si="7"/>
        <v>0</v>
      </c>
    </row>
    <row r="469" spans="1:8" x14ac:dyDescent="0.35">
      <c r="A469" s="11"/>
      <c r="B469" s="11"/>
      <c r="C469" s="16"/>
      <c r="D469" s="1"/>
      <c r="E469" s="1"/>
      <c r="F469" s="4"/>
      <c r="G469" s="4"/>
      <c r="H469" s="4">
        <f t="shared" si="7"/>
        <v>0</v>
      </c>
    </row>
    <row r="470" spans="1:8" x14ac:dyDescent="0.35">
      <c r="A470" s="11"/>
      <c r="B470" s="11"/>
      <c r="C470" s="16"/>
      <c r="D470" s="1"/>
      <c r="E470" s="1"/>
      <c r="F470" s="4"/>
      <c r="G470" s="4"/>
      <c r="H470" s="4">
        <f t="shared" si="7"/>
        <v>0</v>
      </c>
    </row>
    <row r="471" spans="1:8" x14ac:dyDescent="0.35">
      <c r="A471" s="11"/>
      <c r="B471" s="11"/>
      <c r="C471" s="16"/>
      <c r="D471" s="1"/>
      <c r="E471" s="1"/>
      <c r="F471" s="4"/>
      <c r="G471" s="4"/>
      <c r="H471" s="4">
        <f t="shared" si="7"/>
        <v>0</v>
      </c>
    </row>
    <row r="472" spans="1:8" x14ac:dyDescent="0.35">
      <c r="A472" s="11"/>
      <c r="B472" s="11"/>
      <c r="C472" s="16"/>
      <c r="D472" s="1"/>
      <c r="E472" s="1"/>
      <c r="F472" s="4"/>
      <c r="G472" s="4"/>
      <c r="H472" s="4">
        <f t="shared" si="7"/>
        <v>0</v>
      </c>
    </row>
    <row r="473" spans="1:8" x14ac:dyDescent="0.35">
      <c r="A473" s="11"/>
      <c r="B473" s="11"/>
      <c r="C473" s="16"/>
      <c r="D473" s="1"/>
      <c r="E473" s="1"/>
      <c r="F473" s="4"/>
      <c r="G473" s="4"/>
      <c r="H473" s="4">
        <f t="shared" si="7"/>
        <v>0</v>
      </c>
    </row>
    <row r="474" spans="1:8" x14ac:dyDescent="0.35">
      <c r="A474" s="11"/>
      <c r="B474" s="11"/>
      <c r="C474" s="16"/>
      <c r="D474" s="1"/>
      <c r="E474" s="1"/>
      <c r="F474" s="4"/>
      <c r="G474" s="4"/>
      <c r="H474" s="4">
        <f t="shared" si="7"/>
        <v>0</v>
      </c>
    </row>
    <row r="475" spans="1:8" x14ac:dyDescent="0.35">
      <c r="A475" s="11"/>
      <c r="B475" s="11"/>
      <c r="C475" s="16"/>
      <c r="D475" s="1"/>
      <c r="E475" s="1"/>
      <c r="F475" s="4"/>
      <c r="G475" s="4"/>
      <c r="H475" s="4">
        <f t="shared" si="7"/>
        <v>0</v>
      </c>
    </row>
    <row r="476" spans="1:8" x14ac:dyDescent="0.35">
      <c r="A476" s="11"/>
      <c r="B476" s="11"/>
      <c r="C476" s="16"/>
      <c r="D476" s="1"/>
      <c r="E476" s="1"/>
      <c r="F476" s="4"/>
      <c r="G476" s="4"/>
      <c r="H476" s="4">
        <f t="shared" si="7"/>
        <v>0</v>
      </c>
    </row>
    <row r="477" spans="1:8" x14ac:dyDescent="0.35">
      <c r="A477" s="11"/>
      <c r="B477" s="11"/>
      <c r="C477" s="16"/>
      <c r="D477" s="1"/>
      <c r="E477" s="1"/>
      <c r="F477" s="4"/>
      <c r="G477" s="4"/>
      <c r="H477" s="4">
        <f t="shared" si="7"/>
        <v>0</v>
      </c>
    </row>
    <row r="478" spans="1:8" x14ac:dyDescent="0.35">
      <c r="A478" s="11"/>
      <c r="B478" s="11"/>
      <c r="C478" s="16"/>
      <c r="D478" s="1"/>
      <c r="E478" s="1"/>
      <c r="F478" s="4"/>
      <c r="G478" s="4"/>
      <c r="H478" s="4">
        <f t="shared" si="7"/>
        <v>0</v>
      </c>
    </row>
    <row r="479" spans="1:8" x14ac:dyDescent="0.35">
      <c r="A479" s="11"/>
      <c r="B479" s="11"/>
      <c r="C479" s="16"/>
      <c r="D479" s="1"/>
      <c r="E479" s="1"/>
      <c r="F479" s="4"/>
      <c r="G479" s="4"/>
      <c r="H479" s="4">
        <f t="shared" si="7"/>
        <v>0</v>
      </c>
    </row>
    <row r="480" spans="1:8" x14ac:dyDescent="0.35">
      <c r="A480" s="11"/>
      <c r="B480" s="11"/>
      <c r="C480" s="16"/>
      <c r="D480" s="1"/>
      <c r="E480" s="1"/>
      <c r="F480" s="4"/>
      <c r="G480" s="4"/>
      <c r="H480" s="4">
        <f t="shared" si="7"/>
        <v>0</v>
      </c>
    </row>
    <row r="481" spans="1:8" x14ac:dyDescent="0.35">
      <c r="A481" s="11"/>
      <c r="B481" s="11"/>
      <c r="C481" s="16"/>
      <c r="D481" s="1"/>
      <c r="E481" s="1"/>
      <c r="F481" s="4"/>
      <c r="G481" s="4"/>
      <c r="H481" s="4">
        <f t="shared" ref="H481:H544" si="8">H480+F481-G481</f>
        <v>0</v>
      </c>
    </row>
    <row r="482" spans="1:8" x14ac:dyDescent="0.35">
      <c r="A482" s="11"/>
      <c r="B482" s="11"/>
      <c r="C482" s="16"/>
      <c r="D482" s="1"/>
      <c r="E482" s="1"/>
      <c r="F482" s="4"/>
      <c r="G482" s="4"/>
      <c r="H482" s="4">
        <f t="shared" si="8"/>
        <v>0</v>
      </c>
    </row>
    <row r="483" spans="1:8" x14ac:dyDescent="0.35">
      <c r="A483" s="11"/>
      <c r="B483" s="11"/>
      <c r="C483" s="16"/>
      <c r="D483" s="1"/>
      <c r="E483" s="1"/>
      <c r="F483" s="4"/>
      <c r="G483" s="4"/>
      <c r="H483" s="4">
        <f t="shared" si="8"/>
        <v>0</v>
      </c>
    </row>
    <row r="484" spans="1:8" x14ac:dyDescent="0.35">
      <c r="A484" s="11"/>
      <c r="B484" s="11"/>
      <c r="C484" s="16"/>
      <c r="D484" s="1"/>
      <c r="E484" s="1"/>
      <c r="F484" s="4"/>
      <c r="G484" s="4"/>
      <c r="H484" s="4">
        <f t="shared" si="8"/>
        <v>0</v>
      </c>
    </row>
    <row r="485" spans="1:8" x14ac:dyDescent="0.35">
      <c r="A485" s="11"/>
      <c r="B485" s="11"/>
      <c r="C485" s="16"/>
      <c r="D485" s="1"/>
      <c r="E485" s="1"/>
      <c r="F485" s="4"/>
      <c r="G485" s="4"/>
      <c r="H485" s="4">
        <f t="shared" si="8"/>
        <v>0</v>
      </c>
    </row>
    <row r="486" spans="1:8" x14ac:dyDescent="0.35">
      <c r="A486" s="11"/>
      <c r="B486" s="11"/>
      <c r="C486" s="16"/>
      <c r="D486" s="1"/>
      <c r="E486" s="1"/>
      <c r="F486" s="4"/>
      <c r="G486" s="4"/>
      <c r="H486" s="4">
        <f t="shared" si="8"/>
        <v>0</v>
      </c>
    </row>
    <row r="487" spans="1:8" x14ac:dyDescent="0.35">
      <c r="A487" s="11"/>
      <c r="B487" s="11"/>
      <c r="C487" s="16"/>
      <c r="D487" s="1"/>
      <c r="E487" s="1"/>
      <c r="F487" s="4"/>
      <c r="G487" s="4"/>
      <c r="H487" s="4">
        <f t="shared" si="8"/>
        <v>0</v>
      </c>
    </row>
    <row r="488" spans="1:8" x14ac:dyDescent="0.35">
      <c r="A488" s="11"/>
      <c r="B488" s="11"/>
      <c r="C488" s="16"/>
      <c r="D488" s="1"/>
      <c r="E488" s="1"/>
      <c r="F488" s="4"/>
      <c r="G488" s="4"/>
      <c r="H488" s="4">
        <f t="shared" si="8"/>
        <v>0</v>
      </c>
    </row>
    <row r="489" spans="1:8" x14ac:dyDescent="0.35">
      <c r="A489" s="11"/>
      <c r="B489" s="11"/>
      <c r="C489" s="16"/>
      <c r="D489" s="1"/>
      <c r="E489" s="1"/>
      <c r="F489" s="4"/>
      <c r="G489" s="4"/>
      <c r="H489" s="4">
        <f t="shared" si="8"/>
        <v>0</v>
      </c>
    </row>
    <row r="490" spans="1:8" x14ac:dyDescent="0.35">
      <c r="A490" s="11"/>
      <c r="B490" s="11"/>
      <c r="C490" s="16"/>
      <c r="D490" s="1"/>
      <c r="E490" s="1"/>
      <c r="F490" s="4"/>
      <c r="G490" s="4"/>
      <c r="H490" s="4">
        <f t="shared" si="8"/>
        <v>0</v>
      </c>
    </row>
    <row r="491" spans="1:8" x14ac:dyDescent="0.35">
      <c r="A491" s="11"/>
      <c r="B491" s="11"/>
      <c r="C491" s="16"/>
      <c r="D491" s="1"/>
      <c r="E491" s="1"/>
      <c r="F491" s="4"/>
      <c r="G491" s="4"/>
      <c r="H491" s="4">
        <f t="shared" si="8"/>
        <v>0</v>
      </c>
    </row>
    <row r="492" spans="1:8" x14ac:dyDescent="0.35">
      <c r="A492" s="11"/>
      <c r="B492" s="11"/>
      <c r="C492" s="16"/>
      <c r="D492" s="1"/>
      <c r="E492" s="1"/>
      <c r="F492" s="4"/>
      <c r="G492" s="4"/>
      <c r="H492" s="4">
        <f t="shared" si="8"/>
        <v>0</v>
      </c>
    </row>
    <row r="493" spans="1:8" x14ac:dyDescent="0.35">
      <c r="A493" s="11"/>
      <c r="B493" s="11"/>
      <c r="C493" s="16"/>
      <c r="D493" s="1"/>
      <c r="E493" s="1"/>
      <c r="F493" s="4"/>
      <c r="G493" s="4"/>
      <c r="H493" s="4">
        <f t="shared" si="8"/>
        <v>0</v>
      </c>
    </row>
    <row r="494" spans="1:8" x14ac:dyDescent="0.35">
      <c r="A494" s="11"/>
      <c r="B494" s="11"/>
      <c r="C494" s="16"/>
      <c r="D494" s="1"/>
      <c r="E494" s="1"/>
      <c r="F494" s="4"/>
      <c r="G494" s="4"/>
      <c r="H494" s="4">
        <f t="shared" si="8"/>
        <v>0</v>
      </c>
    </row>
    <row r="495" spans="1:8" x14ac:dyDescent="0.35">
      <c r="A495" s="11"/>
      <c r="B495" s="11"/>
      <c r="C495" s="16"/>
      <c r="D495" s="1"/>
      <c r="E495" s="1"/>
      <c r="F495" s="4"/>
      <c r="G495" s="4"/>
      <c r="H495" s="4">
        <f t="shared" si="8"/>
        <v>0</v>
      </c>
    </row>
    <row r="496" spans="1:8" x14ac:dyDescent="0.35">
      <c r="A496" s="11"/>
      <c r="B496" s="11"/>
      <c r="C496" s="16"/>
      <c r="D496" s="1"/>
      <c r="E496" s="1"/>
      <c r="F496" s="4"/>
      <c r="G496" s="4"/>
      <c r="H496" s="4">
        <f t="shared" si="8"/>
        <v>0</v>
      </c>
    </row>
    <row r="497" spans="1:8" x14ac:dyDescent="0.35">
      <c r="A497" s="11"/>
      <c r="B497" s="11"/>
      <c r="C497" s="16"/>
      <c r="D497" s="1"/>
      <c r="E497" s="1"/>
      <c r="F497" s="4"/>
      <c r="G497" s="4"/>
      <c r="H497" s="4">
        <f t="shared" si="8"/>
        <v>0</v>
      </c>
    </row>
    <row r="498" spans="1:8" x14ac:dyDescent="0.35">
      <c r="A498" s="11"/>
      <c r="B498" s="11"/>
      <c r="C498" s="16"/>
      <c r="D498" s="1"/>
      <c r="E498" s="1"/>
      <c r="F498" s="4"/>
      <c r="G498" s="4"/>
      <c r="H498" s="4">
        <f t="shared" si="8"/>
        <v>0</v>
      </c>
    </row>
    <row r="499" spans="1:8" x14ac:dyDescent="0.35">
      <c r="A499" s="11"/>
      <c r="B499" s="11"/>
      <c r="C499" s="16"/>
      <c r="D499" s="1"/>
      <c r="E499" s="1"/>
      <c r="F499" s="4"/>
      <c r="G499" s="4"/>
      <c r="H499" s="4">
        <f t="shared" si="8"/>
        <v>0</v>
      </c>
    </row>
    <row r="500" spans="1:8" x14ac:dyDescent="0.35">
      <c r="A500" s="11"/>
      <c r="B500" s="11"/>
      <c r="C500" s="16"/>
      <c r="D500" s="1"/>
      <c r="E500" s="1"/>
      <c r="F500" s="4"/>
      <c r="G500" s="4"/>
      <c r="H500" s="4">
        <f t="shared" si="8"/>
        <v>0</v>
      </c>
    </row>
    <row r="501" spans="1:8" x14ac:dyDescent="0.35">
      <c r="A501" s="11"/>
      <c r="B501" s="11"/>
      <c r="C501" s="16"/>
      <c r="D501" s="1"/>
      <c r="E501" s="1"/>
      <c r="F501" s="4"/>
      <c r="G501" s="4"/>
      <c r="H501" s="4">
        <f t="shared" si="8"/>
        <v>0</v>
      </c>
    </row>
    <row r="502" spans="1:8" x14ac:dyDescent="0.35">
      <c r="A502" s="11"/>
      <c r="B502" s="11"/>
      <c r="C502" s="16"/>
      <c r="D502" s="1"/>
      <c r="E502" s="1"/>
      <c r="F502" s="4"/>
      <c r="G502" s="4"/>
      <c r="H502" s="4">
        <f t="shared" si="8"/>
        <v>0</v>
      </c>
    </row>
    <row r="503" spans="1:8" x14ac:dyDescent="0.35">
      <c r="A503" s="11"/>
      <c r="B503" s="11"/>
      <c r="C503" s="16"/>
      <c r="D503" s="1"/>
      <c r="E503" s="1"/>
      <c r="F503" s="4"/>
      <c r="G503" s="4"/>
      <c r="H503" s="4">
        <f t="shared" si="8"/>
        <v>0</v>
      </c>
    </row>
    <row r="504" spans="1:8" x14ac:dyDescent="0.35">
      <c r="A504" s="11"/>
      <c r="B504" s="11"/>
      <c r="C504" s="16"/>
      <c r="D504" s="1"/>
      <c r="E504" s="1"/>
      <c r="F504" s="4"/>
      <c r="G504" s="4"/>
      <c r="H504" s="4">
        <f t="shared" si="8"/>
        <v>0</v>
      </c>
    </row>
    <row r="505" spans="1:8" x14ac:dyDescent="0.35">
      <c r="A505" s="11"/>
      <c r="B505" s="11"/>
      <c r="C505" s="16"/>
      <c r="D505" s="1"/>
      <c r="E505" s="1"/>
      <c r="F505" s="4"/>
      <c r="G505" s="4"/>
      <c r="H505" s="4">
        <f t="shared" si="8"/>
        <v>0</v>
      </c>
    </row>
    <row r="506" spans="1:8" x14ac:dyDescent="0.35">
      <c r="A506" s="11"/>
      <c r="B506" s="11"/>
      <c r="C506" s="16"/>
      <c r="D506" s="1"/>
      <c r="E506" s="1"/>
      <c r="F506" s="4"/>
      <c r="G506" s="4"/>
      <c r="H506" s="4">
        <f t="shared" si="8"/>
        <v>0</v>
      </c>
    </row>
    <row r="507" spans="1:8" x14ac:dyDescent="0.35">
      <c r="A507" s="11"/>
      <c r="B507" s="11"/>
      <c r="C507" s="16"/>
      <c r="D507" s="1"/>
      <c r="E507" s="1"/>
      <c r="F507" s="4"/>
      <c r="G507" s="4"/>
      <c r="H507" s="4">
        <f t="shared" si="8"/>
        <v>0</v>
      </c>
    </row>
    <row r="508" spans="1:8" x14ac:dyDescent="0.35">
      <c r="A508" s="11"/>
      <c r="B508" s="11"/>
      <c r="C508" s="16"/>
      <c r="D508" s="1"/>
      <c r="E508" s="1"/>
      <c r="F508" s="4"/>
      <c r="G508" s="4"/>
      <c r="H508" s="4">
        <f t="shared" si="8"/>
        <v>0</v>
      </c>
    </row>
    <row r="509" spans="1:8" x14ac:dyDescent="0.35">
      <c r="A509" s="11"/>
      <c r="B509" s="11"/>
      <c r="C509" s="16"/>
      <c r="D509" s="1"/>
      <c r="E509" s="1"/>
      <c r="F509" s="4"/>
      <c r="G509" s="4"/>
      <c r="H509" s="4">
        <f t="shared" si="8"/>
        <v>0</v>
      </c>
    </row>
    <row r="510" spans="1:8" x14ac:dyDescent="0.35">
      <c r="A510" s="11"/>
      <c r="B510" s="11"/>
      <c r="C510" s="16"/>
      <c r="D510" s="1"/>
      <c r="E510" s="1"/>
      <c r="F510" s="4"/>
      <c r="G510" s="4"/>
      <c r="H510" s="4">
        <f t="shared" si="8"/>
        <v>0</v>
      </c>
    </row>
    <row r="511" spans="1:8" x14ac:dyDescent="0.35">
      <c r="A511" s="11"/>
      <c r="B511" s="11"/>
      <c r="C511" s="16"/>
      <c r="D511" s="1"/>
      <c r="E511" s="1"/>
      <c r="F511" s="4"/>
      <c r="G511" s="4"/>
      <c r="H511" s="4">
        <f t="shared" si="8"/>
        <v>0</v>
      </c>
    </row>
    <row r="512" spans="1:8" x14ac:dyDescent="0.35">
      <c r="A512" s="11"/>
      <c r="B512" s="11"/>
      <c r="C512" s="16"/>
      <c r="D512" s="1"/>
      <c r="E512" s="1"/>
      <c r="F512" s="4"/>
      <c r="G512" s="4"/>
      <c r="H512" s="4">
        <f t="shared" si="8"/>
        <v>0</v>
      </c>
    </row>
    <row r="513" spans="1:8" x14ac:dyDescent="0.35">
      <c r="A513" s="11"/>
      <c r="B513" s="11"/>
      <c r="C513" s="16"/>
      <c r="D513" s="1"/>
      <c r="E513" s="1"/>
      <c r="F513" s="4"/>
      <c r="G513" s="4"/>
      <c r="H513" s="4">
        <f t="shared" si="8"/>
        <v>0</v>
      </c>
    </row>
    <row r="514" spans="1:8" x14ac:dyDescent="0.35">
      <c r="A514" s="11"/>
      <c r="B514" s="11"/>
      <c r="C514" s="16"/>
      <c r="D514" s="1"/>
      <c r="E514" s="1"/>
      <c r="F514" s="4"/>
      <c r="G514" s="4"/>
      <c r="H514" s="4">
        <f t="shared" si="8"/>
        <v>0</v>
      </c>
    </row>
    <row r="515" spans="1:8" x14ac:dyDescent="0.35">
      <c r="A515" s="11"/>
      <c r="B515" s="11"/>
      <c r="C515" s="16"/>
      <c r="D515" s="1"/>
      <c r="E515" s="1"/>
      <c r="F515" s="4"/>
      <c r="G515" s="4"/>
      <c r="H515" s="4">
        <f t="shared" si="8"/>
        <v>0</v>
      </c>
    </row>
    <row r="516" spans="1:8" x14ac:dyDescent="0.35">
      <c r="A516" s="11"/>
      <c r="B516" s="11"/>
      <c r="C516" s="16"/>
      <c r="D516" s="1"/>
      <c r="E516" s="1"/>
      <c r="F516" s="4"/>
      <c r="G516" s="4"/>
      <c r="H516" s="4">
        <f t="shared" si="8"/>
        <v>0</v>
      </c>
    </row>
    <row r="517" spans="1:8" x14ac:dyDescent="0.35">
      <c r="A517" s="11"/>
      <c r="B517" s="11"/>
      <c r="C517" s="16"/>
      <c r="D517" s="1"/>
      <c r="E517" s="1"/>
      <c r="F517" s="4"/>
      <c r="G517" s="4"/>
      <c r="H517" s="4">
        <f t="shared" si="8"/>
        <v>0</v>
      </c>
    </row>
    <row r="518" spans="1:8" x14ac:dyDescent="0.35">
      <c r="A518" s="11"/>
      <c r="B518" s="11"/>
      <c r="C518" s="16"/>
      <c r="D518" s="1"/>
      <c r="E518" s="1"/>
      <c r="F518" s="4"/>
      <c r="G518" s="4"/>
      <c r="H518" s="4">
        <f t="shared" si="8"/>
        <v>0</v>
      </c>
    </row>
    <row r="519" spans="1:8" x14ac:dyDescent="0.35">
      <c r="A519" s="11"/>
      <c r="B519" s="11"/>
      <c r="C519" s="16"/>
      <c r="D519" s="1"/>
      <c r="E519" s="1"/>
      <c r="F519" s="4"/>
      <c r="G519" s="4"/>
      <c r="H519" s="4">
        <f t="shared" si="8"/>
        <v>0</v>
      </c>
    </row>
    <row r="520" spans="1:8" x14ac:dyDescent="0.35">
      <c r="A520" s="11"/>
      <c r="B520" s="11"/>
      <c r="C520" s="16"/>
      <c r="D520" s="1"/>
      <c r="E520" s="1"/>
      <c r="F520" s="4"/>
      <c r="G520" s="4"/>
      <c r="H520" s="4">
        <f t="shared" si="8"/>
        <v>0</v>
      </c>
    </row>
    <row r="521" spans="1:8" x14ac:dyDescent="0.35">
      <c r="A521" s="11"/>
      <c r="B521" s="11"/>
      <c r="C521" s="16"/>
      <c r="D521" s="1"/>
      <c r="E521" s="1"/>
      <c r="F521" s="4"/>
      <c r="G521" s="4"/>
      <c r="H521" s="4">
        <f t="shared" si="8"/>
        <v>0</v>
      </c>
    </row>
    <row r="522" spans="1:8" x14ac:dyDescent="0.35">
      <c r="A522" s="11"/>
      <c r="B522" s="11"/>
      <c r="C522" s="16"/>
      <c r="D522" s="1"/>
      <c r="E522" s="1"/>
      <c r="F522" s="4"/>
      <c r="G522" s="4"/>
      <c r="H522" s="4">
        <f t="shared" si="8"/>
        <v>0</v>
      </c>
    </row>
    <row r="523" spans="1:8" x14ac:dyDescent="0.35">
      <c r="A523" s="11"/>
      <c r="B523" s="11"/>
      <c r="C523" s="16"/>
      <c r="D523" s="1"/>
      <c r="E523" s="1"/>
      <c r="F523" s="4"/>
      <c r="G523" s="4"/>
      <c r="H523" s="4">
        <f t="shared" si="8"/>
        <v>0</v>
      </c>
    </row>
    <row r="524" spans="1:8" x14ac:dyDescent="0.35">
      <c r="A524" s="11"/>
      <c r="B524" s="11"/>
      <c r="C524" s="16"/>
      <c r="D524" s="1"/>
      <c r="E524" s="1"/>
      <c r="F524" s="4"/>
      <c r="G524" s="4"/>
      <c r="H524" s="4">
        <f t="shared" si="8"/>
        <v>0</v>
      </c>
    </row>
    <row r="525" spans="1:8" x14ac:dyDescent="0.35">
      <c r="A525" s="11"/>
      <c r="B525" s="11"/>
      <c r="C525" s="16"/>
      <c r="D525" s="1"/>
      <c r="E525" s="1"/>
      <c r="F525" s="4"/>
      <c r="G525" s="4"/>
      <c r="H525" s="4">
        <f t="shared" si="8"/>
        <v>0</v>
      </c>
    </row>
    <row r="526" spans="1:8" x14ac:dyDescent="0.35">
      <c r="A526" s="11"/>
      <c r="B526" s="11"/>
      <c r="C526" s="16"/>
      <c r="D526" s="1"/>
      <c r="E526" s="1"/>
      <c r="F526" s="4"/>
      <c r="G526" s="4"/>
      <c r="H526" s="4">
        <f t="shared" si="8"/>
        <v>0</v>
      </c>
    </row>
    <row r="527" spans="1:8" x14ac:dyDescent="0.35">
      <c r="A527" s="11"/>
      <c r="B527" s="11"/>
      <c r="C527" s="16"/>
      <c r="D527" s="1"/>
      <c r="E527" s="1"/>
      <c r="F527" s="4"/>
      <c r="G527" s="4"/>
      <c r="H527" s="4">
        <f t="shared" si="8"/>
        <v>0</v>
      </c>
    </row>
    <row r="528" spans="1:8" x14ac:dyDescent="0.35">
      <c r="A528" s="11"/>
      <c r="B528" s="11"/>
      <c r="C528" s="16"/>
      <c r="D528" s="1"/>
      <c r="E528" s="1"/>
      <c r="F528" s="4"/>
      <c r="G528" s="4"/>
      <c r="H528" s="4">
        <f t="shared" si="8"/>
        <v>0</v>
      </c>
    </row>
    <row r="529" spans="1:8" x14ac:dyDescent="0.35">
      <c r="A529" s="11"/>
      <c r="B529" s="11"/>
      <c r="C529" s="16"/>
      <c r="D529" s="1"/>
      <c r="E529" s="1"/>
      <c r="F529" s="4"/>
      <c r="G529" s="4"/>
      <c r="H529" s="4">
        <f t="shared" si="8"/>
        <v>0</v>
      </c>
    </row>
    <row r="530" spans="1:8" x14ac:dyDescent="0.35">
      <c r="A530" s="11"/>
      <c r="B530" s="11"/>
      <c r="C530" s="16"/>
      <c r="D530" s="1"/>
      <c r="E530" s="1"/>
      <c r="F530" s="4"/>
      <c r="G530" s="4"/>
      <c r="H530" s="4">
        <f t="shared" si="8"/>
        <v>0</v>
      </c>
    </row>
    <row r="531" spans="1:8" x14ac:dyDescent="0.35">
      <c r="A531" s="11"/>
      <c r="B531" s="11"/>
      <c r="C531" s="16"/>
      <c r="D531" s="1"/>
      <c r="E531" s="1"/>
      <c r="F531" s="4"/>
      <c r="G531" s="4"/>
      <c r="H531" s="4">
        <f t="shared" si="8"/>
        <v>0</v>
      </c>
    </row>
    <row r="532" spans="1:8" x14ac:dyDescent="0.35">
      <c r="A532" s="11"/>
      <c r="B532" s="11"/>
      <c r="C532" s="16"/>
      <c r="D532" s="1"/>
      <c r="E532" s="1"/>
      <c r="F532" s="4"/>
      <c r="G532" s="4"/>
      <c r="H532" s="4">
        <f t="shared" si="8"/>
        <v>0</v>
      </c>
    </row>
    <row r="533" spans="1:8" x14ac:dyDescent="0.35">
      <c r="A533" s="11"/>
      <c r="B533" s="11"/>
      <c r="C533" s="16"/>
      <c r="D533" s="1"/>
      <c r="E533" s="1"/>
      <c r="F533" s="4"/>
      <c r="G533" s="4"/>
      <c r="H533" s="4">
        <f t="shared" si="8"/>
        <v>0</v>
      </c>
    </row>
    <row r="534" spans="1:8" x14ac:dyDescent="0.35">
      <c r="A534" s="11"/>
      <c r="B534" s="11"/>
      <c r="C534" s="16"/>
      <c r="D534" s="1"/>
      <c r="E534" s="1"/>
      <c r="F534" s="4"/>
      <c r="G534" s="4"/>
      <c r="H534" s="4">
        <f t="shared" si="8"/>
        <v>0</v>
      </c>
    </row>
    <row r="535" spans="1:8" x14ac:dyDescent="0.35">
      <c r="A535" s="11"/>
      <c r="B535" s="11"/>
      <c r="C535" s="16"/>
      <c r="D535" s="1"/>
      <c r="E535" s="1"/>
      <c r="F535" s="4"/>
      <c r="G535" s="4"/>
      <c r="H535" s="4">
        <f t="shared" si="8"/>
        <v>0</v>
      </c>
    </row>
    <row r="536" spans="1:8" x14ac:dyDescent="0.35">
      <c r="A536" s="11"/>
      <c r="B536" s="11"/>
      <c r="C536" s="16"/>
      <c r="D536" s="1"/>
      <c r="E536" s="1"/>
      <c r="F536" s="4"/>
      <c r="G536" s="4"/>
      <c r="H536" s="4">
        <f t="shared" si="8"/>
        <v>0</v>
      </c>
    </row>
    <row r="537" spans="1:8" x14ac:dyDescent="0.35">
      <c r="A537" s="11"/>
      <c r="B537" s="11"/>
      <c r="C537" s="16"/>
      <c r="D537" s="1"/>
      <c r="E537" s="1"/>
      <c r="F537" s="4"/>
      <c r="G537" s="4"/>
      <c r="H537" s="4">
        <f t="shared" si="8"/>
        <v>0</v>
      </c>
    </row>
    <row r="538" spans="1:8" x14ac:dyDescent="0.35">
      <c r="A538" s="11"/>
      <c r="B538" s="11"/>
      <c r="C538" s="16"/>
      <c r="D538" s="1"/>
      <c r="E538" s="1"/>
      <c r="F538" s="4"/>
      <c r="G538" s="4"/>
      <c r="H538" s="4">
        <f t="shared" si="8"/>
        <v>0</v>
      </c>
    </row>
    <row r="539" spans="1:8" x14ac:dyDescent="0.35">
      <c r="A539" s="11"/>
      <c r="B539" s="11"/>
      <c r="C539" s="16"/>
      <c r="D539" s="1"/>
      <c r="E539" s="1"/>
      <c r="F539" s="4"/>
      <c r="G539" s="4"/>
      <c r="H539" s="4">
        <f t="shared" si="8"/>
        <v>0</v>
      </c>
    </row>
    <row r="540" spans="1:8" x14ac:dyDescent="0.35">
      <c r="A540" s="11"/>
      <c r="B540" s="11"/>
      <c r="C540" s="16"/>
      <c r="D540" s="1"/>
      <c r="E540" s="1"/>
      <c r="F540" s="4"/>
      <c r="G540" s="4"/>
      <c r="H540" s="4">
        <f t="shared" si="8"/>
        <v>0</v>
      </c>
    </row>
    <row r="541" spans="1:8" x14ac:dyDescent="0.35">
      <c r="A541" s="11"/>
      <c r="B541" s="11"/>
      <c r="C541" s="16"/>
      <c r="D541" s="1"/>
      <c r="E541" s="1"/>
      <c r="F541" s="4"/>
      <c r="G541" s="4"/>
      <c r="H541" s="4">
        <f t="shared" si="8"/>
        <v>0</v>
      </c>
    </row>
    <row r="542" spans="1:8" x14ac:dyDescent="0.35">
      <c r="A542" s="11"/>
      <c r="B542" s="11"/>
      <c r="C542" s="16"/>
      <c r="D542" s="1"/>
      <c r="E542" s="1"/>
      <c r="F542" s="4"/>
      <c r="G542" s="4"/>
      <c r="H542" s="4">
        <f t="shared" si="8"/>
        <v>0</v>
      </c>
    </row>
    <row r="543" spans="1:8" x14ac:dyDescent="0.35">
      <c r="A543" s="11"/>
      <c r="B543" s="11"/>
      <c r="C543" s="16"/>
      <c r="D543" s="1"/>
      <c r="E543" s="1"/>
      <c r="F543" s="4"/>
      <c r="G543" s="4"/>
      <c r="H543" s="4">
        <f t="shared" si="8"/>
        <v>0</v>
      </c>
    </row>
    <row r="544" spans="1:8" x14ac:dyDescent="0.35">
      <c r="A544" s="11"/>
      <c r="B544" s="11"/>
      <c r="C544" s="16"/>
      <c r="D544" s="1"/>
      <c r="E544" s="1"/>
      <c r="F544" s="4"/>
      <c r="G544" s="4"/>
      <c r="H544" s="4">
        <f t="shared" si="8"/>
        <v>0</v>
      </c>
    </row>
    <row r="545" spans="1:8" x14ac:dyDescent="0.35">
      <c r="A545" s="11"/>
      <c r="B545" s="11"/>
      <c r="C545" s="16"/>
      <c r="D545" s="1"/>
      <c r="E545" s="1"/>
      <c r="F545" s="4"/>
      <c r="G545" s="4"/>
      <c r="H545" s="4">
        <f t="shared" ref="H545:H608" si="9">H544+F545-G545</f>
        <v>0</v>
      </c>
    </row>
    <row r="546" spans="1:8" x14ac:dyDescent="0.35">
      <c r="A546" s="11"/>
      <c r="B546" s="11"/>
      <c r="C546" s="16"/>
      <c r="D546" s="1"/>
      <c r="E546" s="1"/>
      <c r="F546" s="4"/>
      <c r="G546" s="4"/>
      <c r="H546" s="4">
        <f t="shared" si="9"/>
        <v>0</v>
      </c>
    </row>
    <row r="547" spans="1:8" x14ac:dyDescent="0.35">
      <c r="A547" s="11"/>
      <c r="B547" s="11"/>
      <c r="C547" s="16"/>
      <c r="D547" s="1"/>
      <c r="E547" s="1"/>
      <c r="F547" s="4"/>
      <c r="G547" s="4"/>
      <c r="H547" s="4">
        <f t="shared" si="9"/>
        <v>0</v>
      </c>
    </row>
    <row r="548" spans="1:8" x14ac:dyDescent="0.35">
      <c r="A548" s="11"/>
      <c r="B548" s="11"/>
      <c r="C548" s="16"/>
      <c r="D548" s="1"/>
      <c r="E548" s="1"/>
      <c r="F548" s="4"/>
      <c r="G548" s="4"/>
      <c r="H548" s="4">
        <f t="shared" si="9"/>
        <v>0</v>
      </c>
    </row>
    <row r="549" spans="1:8" x14ac:dyDescent="0.35">
      <c r="A549" s="11"/>
      <c r="B549" s="11"/>
      <c r="C549" s="16"/>
      <c r="D549" s="1"/>
      <c r="E549" s="1"/>
      <c r="F549" s="4"/>
      <c r="G549" s="4"/>
      <c r="H549" s="4">
        <f t="shared" si="9"/>
        <v>0</v>
      </c>
    </row>
    <row r="550" spans="1:8" x14ac:dyDescent="0.35">
      <c r="A550" s="11"/>
      <c r="B550" s="11"/>
      <c r="C550" s="16"/>
      <c r="D550" s="1"/>
      <c r="E550" s="1"/>
      <c r="F550" s="4"/>
      <c r="G550" s="4"/>
      <c r="H550" s="4">
        <f t="shared" si="9"/>
        <v>0</v>
      </c>
    </row>
    <row r="551" spans="1:8" x14ac:dyDescent="0.35">
      <c r="A551" s="11"/>
      <c r="B551" s="11"/>
      <c r="C551" s="16"/>
      <c r="D551" s="1"/>
      <c r="E551" s="1"/>
      <c r="F551" s="4"/>
      <c r="G551" s="4"/>
      <c r="H551" s="4">
        <f t="shared" si="9"/>
        <v>0</v>
      </c>
    </row>
    <row r="552" spans="1:8" x14ac:dyDescent="0.35">
      <c r="A552" s="11"/>
      <c r="B552" s="11"/>
      <c r="C552" s="16"/>
      <c r="D552" s="1"/>
      <c r="E552" s="1"/>
      <c r="F552" s="4"/>
      <c r="G552" s="4"/>
      <c r="H552" s="4">
        <f t="shared" si="9"/>
        <v>0</v>
      </c>
    </row>
    <row r="553" spans="1:8" x14ac:dyDescent="0.35">
      <c r="A553" s="11"/>
      <c r="B553" s="11"/>
      <c r="C553" s="16"/>
      <c r="D553" s="1"/>
      <c r="E553" s="1"/>
      <c r="F553" s="4"/>
      <c r="G553" s="4"/>
      <c r="H553" s="4">
        <f t="shared" si="9"/>
        <v>0</v>
      </c>
    </row>
    <row r="554" spans="1:8" x14ac:dyDescent="0.35">
      <c r="A554" s="11"/>
      <c r="B554" s="11"/>
      <c r="C554" s="16"/>
      <c r="D554" s="1"/>
      <c r="E554" s="1"/>
      <c r="F554" s="4"/>
      <c r="G554" s="4"/>
      <c r="H554" s="4">
        <f t="shared" si="9"/>
        <v>0</v>
      </c>
    </row>
    <row r="555" spans="1:8" x14ac:dyDescent="0.35">
      <c r="A555" s="11"/>
      <c r="B555" s="11"/>
      <c r="C555" s="16"/>
      <c r="D555" s="1"/>
      <c r="E555" s="1"/>
      <c r="F555" s="4"/>
      <c r="G555" s="4"/>
      <c r="H555" s="4">
        <f t="shared" si="9"/>
        <v>0</v>
      </c>
    </row>
    <row r="556" spans="1:8" x14ac:dyDescent="0.35">
      <c r="A556" s="11"/>
      <c r="B556" s="11"/>
      <c r="C556" s="16"/>
      <c r="D556" s="1"/>
      <c r="E556" s="1"/>
      <c r="F556" s="4"/>
      <c r="G556" s="4"/>
      <c r="H556" s="4">
        <f t="shared" si="9"/>
        <v>0</v>
      </c>
    </row>
    <row r="557" spans="1:8" x14ac:dyDescent="0.35">
      <c r="A557" s="11"/>
      <c r="B557" s="11"/>
      <c r="C557" s="16"/>
      <c r="D557" s="1"/>
      <c r="E557" s="1"/>
      <c r="F557" s="4"/>
      <c r="G557" s="4"/>
      <c r="H557" s="4">
        <f t="shared" si="9"/>
        <v>0</v>
      </c>
    </row>
    <row r="558" spans="1:8" x14ac:dyDescent="0.35">
      <c r="A558" s="11"/>
      <c r="B558" s="11"/>
      <c r="C558" s="16"/>
      <c r="D558" s="1"/>
      <c r="E558" s="1"/>
      <c r="F558" s="4"/>
      <c r="G558" s="4"/>
      <c r="H558" s="4">
        <f t="shared" si="9"/>
        <v>0</v>
      </c>
    </row>
    <row r="559" spans="1:8" x14ac:dyDescent="0.35">
      <c r="A559" s="11"/>
      <c r="B559" s="11"/>
      <c r="C559" s="16"/>
      <c r="D559" s="1"/>
      <c r="E559" s="1"/>
      <c r="F559" s="4"/>
      <c r="G559" s="4"/>
      <c r="H559" s="4">
        <f t="shared" si="9"/>
        <v>0</v>
      </c>
    </row>
    <row r="560" spans="1:8" x14ac:dyDescent="0.35">
      <c r="A560" s="11"/>
      <c r="B560" s="11"/>
      <c r="C560" s="16"/>
      <c r="D560" s="1"/>
      <c r="E560" s="1"/>
      <c r="F560" s="4"/>
      <c r="G560" s="4"/>
      <c r="H560" s="4">
        <f t="shared" si="9"/>
        <v>0</v>
      </c>
    </row>
    <row r="561" spans="1:8" x14ac:dyDescent="0.35">
      <c r="A561" s="11"/>
      <c r="B561" s="11"/>
      <c r="C561" s="16"/>
      <c r="D561" s="1"/>
      <c r="E561" s="1"/>
      <c r="F561" s="4"/>
      <c r="G561" s="4"/>
      <c r="H561" s="4">
        <f t="shared" si="9"/>
        <v>0</v>
      </c>
    </row>
    <row r="562" spans="1:8" x14ac:dyDescent="0.35">
      <c r="A562" s="11"/>
      <c r="B562" s="11"/>
      <c r="C562" s="16"/>
      <c r="D562" s="1"/>
      <c r="E562" s="1"/>
      <c r="F562" s="4"/>
      <c r="G562" s="4"/>
      <c r="H562" s="4">
        <f t="shared" si="9"/>
        <v>0</v>
      </c>
    </row>
    <row r="563" spans="1:8" x14ac:dyDescent="0.35">
      <c r="A563" s="11"/>
      <c r="B563" s="11"/>
      <c r="C563" s="16"/>
      <c r="D563" s="1"/>
      <c r="E563" s="1"/>
      <c r="F563" s="4"/>
      <c r="G563" s="4"/>
      <c r="H563" s="4">
        <f t="shared" si="9"/>
        <v>0</v>
      </c>
    </row>
    <row r="564" spans="1:8" x14ac:dyDescent="0.35">
      <c r="A564" s="11"/>
      <c r="B564" s="11"/>
      <c r="C564" s="16"/>
      <c r="D564" s="1"/>
      <c r="E564" s="1"/>
      <c r="F564" s="4"/>
      <c r="G564" s="4"/>
      <c r="H564" s="4">
        <f t="shared" si="9"/>
        <v>0</v>
      </c>
    </row>
    <row r="565" spans="1:8" x14ac:dyDescent="0.35">
      <c r="A565" s="11"/>
      <c r="B565" s="11"/>
      <c r="C565" s="16"/>
      <c r="D565" s="1"/>
      <c r="E565" s="1"/>
      <c r="F565" s="4"/>
      <c r="G565" s="4"/>
      <c r="H565" s="4">
        <f t="shared" si="9"/>
        <v>0</v>
      </c>
    </row>
    <row r="566" spans="1:8" x14ac:dyDescent="0.35">
      <c r="A566" s="11"/>
      <c r="B566" s="11"/>
      <c r="C566" s="16"/>
      <c r="D566" s="1"/>
      <c r="E566" s="1"/>
      <c r="F566" s="4"/>
      <c r="G566" s="4"/>
      <c r="H566" s="4">
        <f t="shared" si="9"/>
        <v>0</v>
      </c>
    </row>
    <row r="567" spans="1:8" x14ac:dyDescent="0.35">
      <c r="A567" s="11"/>
      <c r="B567" s="11"/>
      <c r="C567" s="16"/>
      <c r="D567" s="1"/>
      <c r="E567" s="1"/>
      <c r="F567" s="4"/>
      <c r="G567" s="4"/>
      <c r="H567" s="4">
        <f t="shared" si="9"/>
        <v>0</v>
      </c>
    </row>
    <row r="568" spans="1:8" x14ac:dyDescent="0.35">
      <c r="A568" s="11"/>
      <c r="B568" s="11"/>
      <c r="C568" s="16"/>
      <c r="D568" s="1"/>
      <c r="E568" s="1"/>
      <c r="F568" s="4"/>
      <c r="G568" s="4"/>
      <c r="H568" s="4">
        <f t="shared" si="9"/>
        <v>0</v>
      </c>
    </row>
    <row r="569" spans="1:8" x14ac:dyDescent="0.35">
      <c r="A569" s="11"/>
      <c r="B569" s="11"/>
      <c r="C569" s="16"/>
      <c r="D569" s="1"/>
      <c r="E569" s="1"/>
      <c r="F569" s="4"/>
      <c r="G569" s="4"/>
      <c r="H569" s="4">
        <f t="shared" si="9"/>
        <v>0</v>
      </c>
    </row>
    <row r="570" spans="1:8" x14ac:dyDescent="0.35">
      <c r="A570" s="11"/>
      <c r="B570" s="11"/>
      <c r="C570" s="16"/>
      <c r="D570" s="1"/>
      <c r="E570" s="1"/>
      <c r="F570" s="4"/>
      <c r="G570" s="4"/>
      <c r="H570" s="4">
        <f t="shared" si="9"/>
        <v>0</v>
      </c>
    </row>
    <row r="571" spans="1:8" x14ac:dyDescent="0.35">
      <c r="A571" s="11"/>
      <c r="B571" s="11"/>
      <c r="C571" s="16"/>
      <c r="D571" s="1"/>
      <c r="E571" s="1"/>
      <c r="F571" s="4"/>
      <c r="G571" s="4"/>
      <c r="H571" s="4">
        <f t="shared" si="9"/>
        <v>0</v>
      </c>
    </row>
    <row r="572" spans="1:8" x14ac:dyDescent="0.35">
      <c r="A572" s="11"/>
      <c r="B572" s="11"/>
      <c r="C572" s="16"/>
      <c r="D572" s="1"/>
      <c r="E572" s="1"/>
      <c r="F572" s="4"/>
      <c r="G572" s="4"/>
      <c r="H572" s="4">
        <f t="shared" si="9"/>
        <v>0</v>
      </c>
    </row>
    <row r="573" spans="1:8" x14ac:dyDescent="0.35">
      <c r="A573" s="11"/>
      <c r="B573" s="11"/>
      <c r="C573" s="16"/>
      <c r="D573" s="1"/>
      <c r="E573" s="1"/>
      <c r="F573" s="4"/>
      <c r="G573" s="4"/>
      <c r="H573" s="4">
        <f t="shared" si="9"/>
        <v>0</v>
      </c>
    </row>
    <row r="574" spans="1:8" x14ac:dyDescent="0.35">
      <c r="A574" s="11"/>
      <c r="B574" s="11"/>
      <c r="C574" s="16"/>
      <c r="D574" s="1"/>
      <c r="E574" s="1"/>
      <c r="F574" s="4"/>
      <c r="G574" s="4"/>
      <c r="H574" s="4">
        <f t="shared" si="9"/>
        <v>0</v>
      </c>
    </row>
    <row r="575" spans="1:8" x14ac:dyDescent="0.35">
      <c r="A575" s="11"/>
      <c r="B575" s="11"/>
      <c r="C575" s="16"/>
      <c r="D575" s="1"/>
      <c r="E575" s="1"/>
      <c r="F575" s="4"/>
      <c r="G575" s="4"/>
      <c r="H575" s="4">
        <f t="shared" si="9"/>
        <v>0</v>
      </c>
    </row>
    <row r="576" spans="1:8" x14ac:dyDescent="0.35">
      <c r="A576" s="11"/>
      <c r="B576" s="11"/>
      <c r="C576" s="16"/>
      <c r="D576" s="1"/>
      <c r="E576" s="1"/>
      <c r="F576" s="4"/>
      <c r="G576" s="4"/>
      <c r="H576" s="4">
        <f t="shared" si="9"/>
        <v>0</v>
      </c>
    </row>
    <row r="577" spans="1:8" x14ac:dyDescent="0.35">
      <c r="A577" s="11"/>
      <c r="B577" s="11"/>
      <c r="C577" s="16"/>
      <c r="D577" s="1"/>
      <c r="E577" s="1"/>
      <c r="F577" s="4"/>
      <c r="G577" s="4"/>
      <c r="H577" s="4">
        <f t="shared" si="9"/>
        <v>0</v>
      </c>
    </row>
    <row r="578" spans="1:8" x14ac:dyDescent="0.35">
      <c r="A578" s="11"/>
      <c r="B578" s="11"/>
      <c r="C578" s="16"/>
      <c r="D578" s="1"/>
      <c r="E578" s="1"/>
      <c r="F578" s="4"/>
      <c r="G578" s="4"/>
      <c r="H578" s="4">
        <f t="shared" si="9"/>
        <v>0</v>
      </c>
    </row>
    <row r="579" spans="1:8" x14ac:dyDescent="0.35">
      <c r="A579" s="11"/>
      <c r="B579" s="11"/>
      <c r="C579" s="16"/>
      <c r="D579" s="1"/>
      <c r="E579" s="1"/>
      <c r="F579" s="4"/>
      <c r="G579" s="4"/>
      <c r="H579" s="4">
        <f t="shared" si="9"/>
        <v>0</v>
      </c>
    </row>
    <row r="580" spans="1:8" x14ac:dyDescent="0.35">
      <c r="A580" s="11"/>
      <c r="B580" s="11"/>
      <c r="C580" s="16"/>
      <c r="D580" s="1"/>
      <c r="E580" s="1"/>
      <c r="F580" s="4"/>
      <c r="G580" s="4"/>
      <c r="H580" s="4">
        <f t="shared" si="9"/>
        <v>0</v>
      </c>
    </row>
    <row r="581" spans="1:8" x14ac:dyDescent="0.35">
      <c r="A581" s="11"/>
      <c r="B581" s="11"/>
      <c r="C581" s="16"/>
      <c r="D581" s="1"/>
      <c r="E581" s="1"/>
      <c r="F581" s="4"/>
      <c r="G581" s="4"/>
      <c r="H581" s="4">
        <f t="shared" si="9"/>
        <v>0</v>
      </c>
    </row>
    <row r="582" spans="1:8" x14ac:dyDescent="0.35">
      <c r="A582" s="11"/>
      <c r="B582" s="11"/>
      <c r="C582" s="16"/>
      <c r="D582" s="1"/>
      <c r="E582" s="1"/>
      <c r="F582" s="4"/>
      <c r="G582" s="4"/>
      <c r="H582" s="4">
        <f t="shared" si="9"/>
        <v>0</v>
      </c>
    </row>
    <row r="583" spans="1:8" x14ac:dyDescent="0.35">
      <c r="A583" s="11"/>
      <c r="B583" s="11"/>
      <c r="C583" s="16"/>
      <c r="D583" s="1"/>
      <c r="E583" s="1"/>
      <c r="F583" s="4"/>
      <c r="G583" s="4"/>
      <c r="H583" s="4">
        <f t="shared" si="9"/>
        <v>0</v>
      </c>
    </row>
    <row r="584" spans="1:8" x14ac:dyDescent="0.35">
      <c r="A584" s="11"/>
      <c r="B584" s="11"/>
      <c r="C584" s="16"/>
      <c r="D584" s="1"/>
      <c r="E584" s="1"/>
      <c r="F584" s="4"/>
      <c r="G584" s="4"/>
      <c r="H584" s="4">
        <f t="shared" si="9"/>
        <v>0</v>
      </c>
    </row>
    <row r="585" spans="1:8" x14ac:dyDescent="0.35">
      <c r="A585" s="11"/>
      <c r="B585" s="11"/>
      <c r="C585" s="16"/>
      <c r="D585" s="1"/>
      <c r="E585" s="1"/>
      <c r="F585" s="4"/>
      <c r="G585" s="4"/>
      <c r="H585" s="4">
        <f t="shared" si="9"/>
        <v>0</v>
      </c>
    </row>
    <row r="586" spans="1:8" x14ac:dyDescent="0.35">
      <c r="A586" s="11"/>
      <c r="B586" s="11"/>
      <c r="C586" s="16"/>
      <c r="D586" s="1"/>
      <c r="E586" s="1"/>
      <c r="F586" s="4"/>
      <c r="G586" s="4"/>
      <c r="H586" s="4">
        <f t="shared" si="9"/>
        <v>0</v>
      </c>
    </row>
    <row r="587" spans="1:8" x14ac:dyDescent="0.35">
      <c r="A587" s="11"/>
      <c r="B587" s="11"/>
      <c r="C587" s="16"/>
      <c r="D587" s="1"/>
      <c r="E587" s="1"/>
      <c r="F587" s="4"/>
      <c r="G587" s="4"/>
      <c r="H587" s="4">
        <f t="shared" si="9"/>
        <v>0</v>
      </c>
    </row>
    <row r="588" spans="1:8" x14ac:dyDescent="0.35">
      <c r="A588" s="11"/>
      <c r="B588" s="11"/>
      <c r="C588" s="16"/>
      <c r="D588" s="1"/>
      <c r="E588" s="1"/>
      <c r="F588" s="4"/>
      <c r="G588" s="4"/>
      <c r="H588" s="4">
        <f t="shared" si="9"/>
        <v>0</v>
      </c>
    </row>
    <row r="589" spans="1:8" x14ac:dyDescent="0.35">
      <c r="A589" s="11"/>
      <c r="B589" s="11"/>
      <c r="C589" s="16"/>
      <c r="D589" s="1"/>
      <c r="E589" s="1"/>
      <c r="F589" s="4"/>
      <c r="G589" s="4"/>
      <c r="H589" s="4">
        <f t="shared" si="9"/>
        <v>0</v>
      </c>
    </row>
    <row r="590" spans="1:8" x14ac:dyDescent="0.35">
      <c r="A590" s="11"/>
      <c r="B590" s="11"/>
      <c r="C590" s="16"/>
      <c r="D590" s="1"/>
      <c r="E590" s="1"/>
      <c r="F590" s="4"/>
      <c r="G590" s="4"/>
      <c r="H590" s="4">
        <f t="shared" si="9"/>
        <v>0</v>
      </c>
    </row>
    <row r="591" spans="1:8" x14ac:dyDescent="0.35">
      <c r="A591" s="11"/>
      <c r="B591" s="11"/>
      <c r="C591" s="16"/>
      <c r="D591" s="1"/>
      <c r="E591" s="1"/>
      <c r="F591" s="4"/>
      <c r="G591" s="4"/>
      <c r="H591" s="4">
        <f t="shared" si="9"/>
        <v>0</v>
      </c>
    </row>
    <row r="592" spans="1:8" x14ac:dyDescent="0.35">
      <c r="A592" s="11"/>
      <c r="B592" s="11"/>
      <c r="C592" s="16"/>
      <c r="D592" s="1"/>
      <c r="E592" s="1"/>
      <c r="F592" s="4"/>
      <c r="G592" s="4"/>
      <c r="H592" s="4">
        <f t="shared" si="9"/>
        <v>0</v>
      </c>
    </row>
    <row r="593" spans="1:8" x14ac:dyDescent="0.35">
      <c r="A593" s="11"/>
      <c r="B593" s="11"/>
      <c r="C593" s="16"/>
      <c r="D593" s="1"/>
      <c r="E593" s="1"/>
      <c r="F593" s="4"/>
      <c r="G593" s="4"/>
      <c r="H593" s="4">
        <f t="shared" si="9"/>
        <v>0</v>
      </c>
    </row>
    <row r="594" spans="1:8" x14ac:dyDescent="0.35">
      <c r="A594" s="11"/>
      <c r="B594" s="11"/>
      <c r="C594" s="16"/>
      <c r="D594" s="1"/>
      <c r="E594" s="1"/>
      <c r="F594" s="4"/>
      <c r="G594" s="4"/>
      <c r="H594" s="4">
        <f t="shared" si="9"/>
        <v>0</v>
      </c>
    </row>
    <row r="595" spans="1:8" x14ac:dyDescent="0.35">
      <c r="A595" s="11"/>
      <c r="B595" s="11"/>
      <c r="C595" s="16"/>
      <c r="D595" s="1"/>
      <c r="E595" s="1"/>
      <c r="F595" s="4"/>
      <c r="G595" s="4"/>
      <c r="H595" s="4">
        <f t="shared" si="9"/>
        <v>0</v>
      </c>
    </row>
    <row r="596" spans="1:8" x14ac:dyDescent="0.35">
      <c r="A596" s="11"/>
      <c r="B596" s="11"/>
      <c r="C596" s="16"/>
      <c r="D596" s="1"/>
      <c r="E596" s="1"/>
      <c r="F596" s="4"/>
      <c r="G596" s="4"/>
      <c r="H596" s="4">
        <f t="shared" si="9"/>
        <v>0</v>
      </c>
    </row>
    <row r="597" spans="1:8" x14ac:dyDescent="0.35">
      <c r="A597" s="11"/>
      <c r="B597" s="11"/>
      <c r="C597" s="16"/>
      <c r="D597" s="1"/>
      <c r="E597" s="1"/>
      <c r="F597" s="4"/>
      <c r="G597" s="4"/>
      <c r="H597" s="4">
        <f t="shared" si="9"/>
        <v>0</v>
      </c>
    </row>
    <row r="598" spans="1:8" x14ac:dyDescent="0.35">
      <c r="A598" s="11"/>
      <c r="B598" s="11"/>
      <c r="C598" s="16"/>
      <c r="D598" s="1"/>
      <c r="E598" s="1"/>
      <c r="F598" s="4"/>
      <c r="G598" s="4"/>
      <c r="H598" s="4">
        <f t="shared" si="9"/>
        <v>0</v>
      </c>
    </row>
    <row r="599" spans="1:8" x14ac:dyDescent="0.35">
      <c r="A599" s="11"/>
      <c r="B599" s="11"/>
      <c r="C599" s="16"/>
      <c r="D599" s="1"/>
      <c r="E599" s="1"/>
      <c r="F599" s="4"/>
      <c r="G599" s="4"/>
      <c r="H599" s="4">
        <f t="shared" si="9"/>
        <v>0</v>
      </c>
    </row>
    <row r="600" spans="1:8" x14ac:dyDescent="0.35">
      <c r="A600" s="11"/>
      <c r="B600" s="11"/>
      <c r="C600" s="16"/>
      <c r="D600" s="1"/>
      <c r="E600" s="1"/>
      <c r="F600" s="4"/>
      <c r="G600" s="4"/>
      <c r="H600" s="4">
        <f t="shared" si="9"/>
        <v>0</v>
      </c>
    </row>
    <row r="601" spans="1:8" x14ac:dyDescent="0.35">
      <c r="A601" s="11"/>
      <c r="B601" s="11"/>
      <c r="C601" s="16"/>
      <c r="D601" s="1"/>
      <c r="E601" s="1"/>
      <c r="F601" s="4"/>
      <c r="G601" s="4"/>
      <c r="H601" s="4">
        <f t="shared" si="9"/>
        <v>0</v>
      </c>
    </row>
    <row r="602" spans="1:8" x14ac:dyDescent="0.35">
      <c r="A602" s="11"/>
      <c r="B602" s="11"/>
      <c r="C602" s="16"/>
      <c r="D602" s="1"/>
      <c r="E602" s="1"/>
      <c r="F602" s="4"/>
      <c r="G602" s="4"/>
      <c r="H602" s="4">
        <f t="shared" si="9"/>
        <v>0</v>
      </c>
    </row>
    <row r="603" spans="1:8" x14ac:dyDescent="0.35">
      <c r="A603" s="11"/>
      <c r="B603" s="11"/>
      <c r="C603" s="16"/>
      <c r="D603" s="1"/>
      <c r="E603" s="1"/>
      <c r="F603" s="4"/>
      <c r="G603" s="4"/>
      <c r="H603" s="4">
        <f t="shared" si="9"/>
        <v>0</v>
      </c>
    </row>
    <row r="604" spans="1:8" x14ac:dyDescent="0.35">
      <c r="A604" s="11"/>
      <c r="B604" s="11"/>
      <c r="C604" s="16"/>
      <c r="D604" s="1"/>
      <c r="E604" s="1"/>
      <c r="F604" s="4"/>
      <c r="G604" s="4"/>
      <c r="H604" s="4">
        <f t="shared" si="9"/>
        <v>0</v>
      </c>
    </row>
    <row r="605" spans="1:8" x14ac:dyDescent="0.35">
      <c r="A605" s="11"/>
      <c r="B605" s="11"/>
      <c r="C605" s="16"/>
      <c r="D605" s="1"/>
      <c r="E605" s="1"/>
      <c r="F605" s="4"/>
      <c r="G605" s="4"/>
      <c r="H605" s="4">
        <f t="shared" si="9"/>
        <v>0</v>
      </c>
    </row>
    <row r="606" spans="1:8" x14ac:dyDescent="0.35">
      <c r="A606" s="11"/>
      <c r="B606" s="11"/>
      <c r="C606" s="16"/>
      <c r="D606" s="1"/>
      <c r="E606" s="1"/>
      <c r="F606" s="4"/>
      <c r="G606" s="4"/>
      <c r="H606" s="4">
        <f t="shared" si="9"/>
        <v>0</v>
      </c>
    </row>
    <row r="607" spans="1:8" x14ac:dyDescent="0.35">
      <c r="A607" s="11"/>
      <c r="B607" s="11"/>
      <c r="C607" s="16"/>
      <c r="D607" s="1"/>
      <c r="E607" s="1"/>
      <c r="F607" s="4"/>
      <c r="G607" s="4"/>
      <c r="H607" s="4">
        <f t="shared" si="9"/>
        <v>0</v>
      </c>
    </row>
    <row r="608" spans="1:8" x14ac:dyDescent="0.35">
      <c r="A608" s="11"/>
      <c r="B608" s="11"/>
      <c r="C608" s="16"/>
      <c r="D608" s="1"/>
      <c r="E608" s="1"/>
      <c r="F608" s="4"/>
      <c r="G608" s="4"/>
      <c r="H608" s="4">
        <f t="shared" si="9"/>
        <v>0</v>
      </c>
    </row>
    <row r="609" spans="1:8" x14ac:dyDescent="0.35">
      <c r="A609" s="11"/>
      <c r="B609" s="11"/>
      <c r="C609" s="16"/>
      <c r="D609" s="1"/>
      <c r="E609" s="1"/>
      <c r="F609" s="4"/>
      <c r="G609" s="4"/>
      <c r="H609" s="4">
        <f t="shared" ref="H609:H672" si="10">H608+F609-G609</f>
        <v>0</v>
      </c>
    </row>
    <row r="610" spans="1:8" x14ac:dyDescent="0.35">
      <c r="A610" s="11"/>
      <c r="B610" s="11"/>
      <c r="C610" s="16"/>
      <c r="D610" s="1"/>
      <c r="E610" s="1"/>
      <c r="F610" s="4"/>
      <c r="G610" s="4"/>
      <c r="H610" s="4">
        <f t="shared" si="10"/>
        <v>0</v>
      </c>
    </row>
    <row r="611" spans="1:8" x14ac:dyDescent="0.35">
      <c r="A611" s="11"/>
      <c r="B611" s="11"/>
      <c r="C611" s="16"/>
      <c r="D611" s="1"/>
      <c r="E611" s="1"/>
      <c r="F611" s="4"/>
      <c r="G611" s="4"/>
      <c r="H611" s="4">
        <f t="shared" si="10"/>
        <v>0</v>
      </c>
    </row>
    <row r="612" spans="1:8" x14ac:dyDescent="0.35">
      <c r="A612" s="11"/>
      <c r="B612" s="11"/>
      <c r="C612" s="16"/>
      <c r="D612" s="1"/>
      <c r="E612" s="1"/>
      <c r="F612" s="4"/>
      <c r="G612" s="4"/>
      <c r="H612" s="4">
        <f t="shared" si="10"/>
        <v>0</v>
      </c>
    </row>
    <row r="613" spans="1:8" x14ac:dyDescent="0.35">
      <c r="A613" s="11"/>
      <c r="B613" s="11"/>
      <c r="C613" s="16"/>
      <c r="D613" s="1"/>
      <c r="E613" s="1"/>
      <c r="F613" s="4"/>
      <c r="G613" s="4"/>
      <c r="H613" s="4">
        <f t="shared" si="10"/>
        <v>0</v>
      </c>
    </row>
    <row r="614" spans="1:8" x14ac:dyDescent="0.35">
      <c r="A614" s="11"/>
      <c r="B614" s="11"/>
      <c r="C614" s="16"/>
      <c r="D614" s="1"/>
      <c r="E614" s="1"/>
      <c r="F614" s="4"/>
      <c r="G614" s="4"/>
      <c r="H614" s="4">
        <f t="shared" si="10"/>
        <v>0</v>
      </c>
    </row>
    <row r="615" spans="1:8" x14ac:dyDescent="0.35">
      <c r="A615" s="11"/>
      <c r="B615" s="11"/>
      <c r="C615" s="16"/>
      <c r="D615" s="1"/>
      <c r="E615" s="1"/>
      <c r="F615" s="4"/>
      <c r="G615" s="4"/>
      <c r="H615" s="4">
        <f t="shared" si="10"/>
        <v>0</v>
      </c>
    </row>
    <row r="616" spans="1:8" x14ac:dyDescent="0.35">
      <c r="A616" s="11"/>
      <c r="B616" s="11"/>
      <c r="C616" s="16"/>
      <c r="D616" s="1"/>
      <c r="E616" s="1"/>
      <c r="F616" s="4"/>
      <c r="G616" s="4"/>
      <c r="H616" s="4">
        <f t="shared" si="10"/>
        <v>0</v>
      </c>
    </row>
    <row r="617" spans="1:8" x14ac:dyDescent="0.35">
      <c r="A617" s="11"/>
      <c r="B617" s="11"/>
      <c r="C617" s="16"/>
      <c r="D617" s="1"/>
      <c r="E617" s="1"/>
      <c r="F617" s="4"/>
      <c r="G617" s="4"/>
      <c r="H617" s="4">
        <f t="shared" si="10"/>
        <v>0</v>
      </c>
    </row>
    <row r="618" spans="1:8" x14ac:dyDescent="0.35">
      <c r="A618" s="11"/>
      <c r="B618" s="11"/>
      <c r="C618" s="16"/>
      <c r="D618" s="1"/>
      <c r="E618" s="1"/>
      <c r="F618" s="4"/>
      <c r="G618" s="4"/>
      <c r="H618" s="4">
        <f t="shared" si="10"/>
        <v>0</v>
      </c>
    </row>
    <row r="619" spans="1:8" x14ac:dyDescent="0.35">
      <c r="A619" s="11"/>
      <c r="B619" s="11"/>
      <c r="C619" s="16"/>
      <c r="D619" s="1"/>
      <c r="E619" s="1"/>
      <c r="F619" s="4"/>
      <c r="G619" s="4"/>
      <c r="H619" s="4">
        <f t="shared" si="10"/>
        <v>0</v>
      </c>
    </row>
    <row r="620" spans="1:8" x14ac:dyDescent="0.35">
      <c r="A620" s="11"/>
      <c r="B620" s="11"/>
      <c r="C620" s="16"/>
      <c r="D620" s="1"/>
      <c r="E620" s="1"/>
      <c r="F620" s="4"/>
      <c r="G620" s="4"/>
      <c r="H620" s="4">
        <f t="shared" si="10"/>
        <v>0</v>
      </c>
    </row>
    <row r="621" spans="1:8" x14ac:dyDescent="0.35">
      <c r="A621" s="11"/>
      <c r="B621" s="11"/>
      <c r="C621" s="16"/>
      <c r="D621" s="1"/>
      <c r="E621" s="1"/>
      <c r="F621" s="4"/>
      <c r="G621" s="4"/>
      <c r="H621" s="4">
        <f t="shared" si="10"/>
        <v>0</v>
      </c>
    </row>
    <row r="622" spans="1:8" x14ac:dyDescent="0.35">
      <c r="A622" s="11"/>
      <c r="B622" s="11"/>
      <c r="C622" s="16"/>
      <c r="D622" s="1"/>
      <c r="E622" s="1"/>
      <c r="F622" s="4"/>
      <c r="G622" s="4"/>
      <c r="H622" s="4">
        <f t="shared" si="10"/>
        <v>0</v>
      </c>
    </row>
    <row r="623" spans="1:8" x14ac:dyDescent="0.35">
      <c r="A623" s="11"/>
      <c r="B623" s="11"/>
      <c r="C623" s="16"/>
      <c r="D623" s="1"/>
      <c r="E623" s="1"/>
      <c r="F623" s="4"/>
      <c r="G623" s="4"/>
      <c r="H623" s="4">
        <f t="shared" si="10"/>
        <v>0</v>
      </c>
    </row>
    <row r="624" spans="1:8" x14ac:dyDescent="0.35">
      <c r="A624" s="11"/>
      <c r="B624" s="11"/>
      <c r="C624" s="16"/>
      <c r="D624" s="1"/>
      <c r="E624" s="1"/>
      <c r="F624" s="4"/>
      <c r="G624" s="4"/>
      <c r="H624" s="4">
        <f t="shared" si="10"/>
        <v>0</v>
      </c>
    </row>
    <row r="625" spans="1:8" x14ac:dyDescent="0.35">
      <c r="A625" s="11"/>
      <c r="B625" s="11"/>
      <c r="C625" s="16"/>
      <c r="D625" s="1"/>
      <c r="E625" s="1"/>
      <c r="F625" s="4"/>
      <c r="G625" s="4"/>
      <c r="H625" s="4">
        <f t="shared" si="10"/>
        <v>0</v>
      </c>
    </row>
    <row r="626" spans="1:8" x14ac:dyDescent="0.35">
      <c r="A626" s="11"/>
      <c r="B626" s="11"/>
      <c r="C626" s="16"/>
      <c r="D626" s="1"/>
      <c r="E626" s="1"/>
      <c r="F626" s="4"/>
      <c r="G626" s="4"/>
      <c r="H626" s="4">
        <f t="shared" si="10"/>
        <v>0</v>
      </c>
    </row>
    <row r="627" spans="1:8" x14ac:dyDescent="0.35">
      <c r="A627" s="11"/>
      <c r="B627" s="11"/>
      <c r="C627" s="16"/>
      <c r="D627" s="1"/>
      <c r="E627" s="1"/>
      <c r="F627" s="4"/>
      <c r="G627" s="4"/>
      <c r="H627" s="4">
        <f t="shared" si="10"/>
        <v>0</v>
      </c>
    </row>
    <row r="628" spans="1:8" x14ac:dyDescent="0.35">
      <c r="A628" s="11"/>
      <c r="B628" s="11"/>
      <c r="C628" s="16"/>
      <c r="D628" s="1"/>
      <c r="E628" s="1"/>
      <c r="F628" s="4"/>
      <c r="G628" s="4"/>
      <c r="H628" s="4">
        <f t="shared" si="10"/>
        <v>0</v>
      </c>
    </row>
    <row r="629" spans="1:8" x14ac:dyDescent="0.35">
      <c r="A629" s="11"/>
      <c r="B629" s="11"/>
      <c r="C629" s="16"/>
      <c r="D629" s="1"/>
      <c r="E629" s="1"/>
      <c r="F629" s="4"/>
      <c r="G629" s="4"/>
      <c r="H629" s="4">
        <f t="shared" si="10"/>
        <v>0</v>
      </c>
    </row>
    <row r="630" spans="1:8" x14ac:dyDescent="0.35">
      <c r="A630" s="11"/>
      <c r="B630" s="11"/>
      <c r="C630" s="16"/>
      <c r="D630" s="1"/>
      <c r="E630" s="1"/>
      <c r="F630" s="4"/>
      <c r="G630" s="4"/>
      <c r="H630" s="4">
        <f t="shared" si="10"/>
        <v>0</v>
      </c>
    </row>
    <row r="631" spans="1:8" x14ac:dyDescent="0.35">
      <c r="A631" s="11"/>
      <c r="B631" s="11"/>
      <c r="C631" s="16"/>
      <c r="D631" s="1"/>
      <c r="E631" s="1"/>
      <c r="F631" s="4"/>
      <c r="G631" s="4"/>
      <c r="H631" s="4">
        <f t="shared" si="10"/>
        <v>0</v>
      </c>
    </row>
    <row r="632" spans="1:8" x14ac:dyDescent="0.35">
      <c r="A632" s="11"/>
      <c r="B632" s="11"/>
      <c r="C632" s="16"/>
      <c r="D632" s="1"/>
      <c r="E632" s="1"/>
      <c r="F632" s="4"/>
      <c r="G632" s="4"/>
      <c r="H632" s="4">
        <f t="shared" si="10"/>
        <v>0</v>
      </c>
    </row>
    <row r="633" spans="1:8" x14ac:dyDescent="0.35">
      <c r="A633" s="11"/>
      <c r="B633" s="11"/>
      <c r="C633" s="16"/>
      <c r="D633" s="1"/>
      <c r="E633" s="1"/>
      <c r="F633" s="4"/>
      <c r="G633" s="4"/>
      <c r="H633" s="4">
        <f t="shared" si="10"/>
        <v>0</v>
      </c>
    </row>
    <row r="634" spans="1:8" x14ac:dyDescent="0.35">
      <c r="A634" s="11"/>
      <c r="B634" s="11"/>
      <c r="C634" s="16"/>
      <c r="D634" s="1"/>
      <c r="E634" s="1"/>
      <c r="F634" s="4"/>
      <c r="G634" s="4"/>
      <c r="H634" s="4">
        <f t="shared" si="10"/>
        <v>0</v>
      </c>
    </row>
    <row r="635" spans="1:8" x14ac:dyDescent="0.35">
      <c r="A635" s="11"/>
      <c r="B635" s="11"/>
      <c r="C635" s="16"/>
      <c r="D635" s="1"/>
      <c r="E635" s="1"/>
      <c r="F635" s="4"/>
      <c r="G635" s="4"/>
      <c r="H635" s="4">
        <f t="shared" si="10"/>
        <v>0</v>
      </c>
    </row>
    <row r="636" spans="1:8" x14ac:dyDescent="0.35">
      <c r="A636" s="11"/>
      <c r="B636" s="11"/>
      <c r="C636" s="16"/>
      <c r="D636" s="1"/>
      <c r="E636" s="1"/>
      <c r="F636" s="4"/>
      <c r="G636" s="4"/>
      <c r="H636" s="4">
        <f t="shared" si="10"/>
        <v>0</v>
      </c>
    </row>
    <row r="637" spans="1:8" x14ac:dyDescent="0.35">
      <c r="A637" s="11"/>
      <c r="B637" s="11"/>
      <c r="C637" s="16"/>
      <c r="D637" s="1"/>
      <c r="E637" s="1"/>
      <c r="F637" s="4"/>
      <c r="G637" s="4"/>
      <c r="H637" s="4">
        <f t="shared" si="10"/>
        <v>0</v>
      </c>
    </row>
    <row r="638" spans="1:8" x14ac:dyDescent="0.35">
      <c r="A638" s="11"/>
      <c r="B638" s="11"/>
      <c r="C638" s="16"/>
      <c r="D638" s="1"/>
      <c r="E638" s="1"/>
      <c r="F638" s="4"/>
      <c r="G638" s="4"/>
      <c r="H638" s="4">
        <f t="shared" si="10"/>
        <v>0</v>
      </c>
    </row>
    <row r="639" spans="1:8" x14ac:dyDescent="0.35">
      <c r="A639" s="11"/>
      <c r="B639" s="11"/>
      <c r="C639" s="16"/>
      <c r="D639" s="1"/>
      <c r="E639" s="1"/>
      <c r="F639" s="4"/>
      <c r="G639" s="4"/>
      <c r="H639" s="4">
        <f t="shared" si="10"/>
        <v>0</v>
      </c>
    </row>
    <row r="640" spans="1:8" x14ac:dyDescent="0.35">
      <c r="A640" s="11"/>
      <c r="B640" s="11"/>
      <c r="C640" s="16"/>
      <c r="D640" s="1"/>
      <c r="E640" s="1"/>
      <c r="F640" s="4"/>
      <c r="G640" s="4"/>
      <c r="H640" s="4">
        <f t="shared" si="10"/>
        <v>0</v>
      </c>
    </row>
    <row r="641" spans="1:8" x14ac:dyDescent="0.35">
      <c r="A641" s="11"/>
      <c r="B641" s="11"/>
      <c r="C641" s="16"/>
      <c r="D641" s="1"/>
      <c r="E641" s="1"/>
      <c r="F641" s="4"/>
      <c r="G641" s="4"/>
      <c r="H641" s="4">
        <f t="shared" si="10"/>
        <v>0</v>
      </c>
    </row>
    <row r="642" spans="1:8" x14ac:dyDescent="0.35">
      <c r="A642" s="11"/>
      <c r="B642" s="11"/>
      <c r="C642" s="16"/>
      <c r="D642" s="1"/>
      <c r="E642" s="1"/>
      <c r="F642" s="4"/>
      <c r="G642" s="4"/>
      <c r="H642" s="4">
        <f t="shared" si="10"/>
        <v>0</v>
      </c>
    </row>
    <row r="643" spans="1:8" x14ac:dyDescent="0.35">
      <c r="A643" s="11"/>
      <c r="B643" s="11"/>
      <c r="C643" s="16"/>
      <c r="D643" s="1"/>
      <c r="E643" s="1"/>
      <c r="F643" s="4"/>
      <c r="G643" s="4"/>
      <c r="H643" s="4">
        <f t="shared" si="10"/>
        <v>0</v>
      </c>
    </row>
    <row r="644" spans="1:8" x14ac:dyDescent="0.35">
      <c r="A644" s="11"/>
      <c r="B644" s="11"/>
      <c r="C644" s="16"/>
      <c r="D644" s="1"/>
      <c r="E644" s="1"/>
      <c r="F644" s="4"/>
      <c r="G644" s="4"/>
      <c r="H644" s="4">
        <f t="shared" si="10"/>
        <v>0</v>
      </c>
    </row>
    <row r="645" spans="1:8" x14ac:dyDescent="0.35">
      <c r="A645" s="11"/>
      <c r="B645" s="11"/>
      <c r="C645" s="16"/>
      <c r="D645" s="1"/>
      <c r="E645" s="1"/>
      <c r="F645" s="4"/>
      <c r="G645" s="4"/>
      <c r="H645" s="4">
        <f t="shared" si="10"/>
        <v>0</v>
      </c>
    </row>
    <row r="646" spans="1:8" x14ac:dyDescent="0.35">
      <c r="A646" s="11"/>
      <c r="B646" s="11"/>
      <c r="C646" s="16"/>
      <c r="D646" s="1"/>
      <c r="E646" s="1"/>
      <c r="F646" s="4"/>
      <c r="G646" s="4"/>
      <c r="H646" s="4">
        <f t="shared" si="10"/>
        <v>0</v>
      </c>
    </row>
    <row r="647" spans="1:8" x14ac:dyDescent="0.35">
      <c r="A647" s="11"/>
      <c r="B647" s="11"/>
      <c r="C647" s="16"/>
      <c r="D647" s="1"/>
      <c r="E647" s="1"/>
      <c r="F647" s="4"/>
      <c r="G647" s="4"/>
      <c r="H647" s="4">
        <f t="shared" si="10"/>
        <v>0</v>
      </c>
    </row>
    <row r="648" spans="1:8" x14ac:dyDescent="0.35">
      <c r="A648" s="11"/>
      <c r="B648" s="11"/>
      <c r="C648" s="16"/>
      <c r="D648" s="1"/>
      <c r="E648" s="1"/>
      <c r="F648" s="4"/>
      <c r="G648" s="4"/>
      <c r="H648" s="4">
        <f t="shared" si="10"/>
        <v>0</v>
      </c>
    </row>
    <row r="649" spans="1:8" x14ac:dyDescent="0.35">
      <c r="A649" s="11"/>
      <c r="B649" s="11"/>
      <c r="C649" s="16"/>
      <c r="D649" s="1"/>
      <c r="E649" s="1"/>
      <c r="F649" s="4"/>
      <c r="G649" s="4"/>
      <c r="H649" s="4">
        <f t="shared" si="10"/>
        <v>0</v>
      </c>
    </row>
    <row r="650" spans="1:8" x14ac:dyDescent="0.35">
      <c r="A650" s="11"/>
      <c r="B650" s="11"/>
      <c r="C650" s="16"/>
      <c r="D650" s="1"/>
      <c r="E650" s="1"/>
      <c r="F650" s="4"/>
      <c r="G650" s="4"/>
      <c r="H650" s="4">
        <f t="shared" si="10"/>
        <v>0</v>
      </c>
    </row>
    <row r="651" spans="1:8" x14ac:dyDescent="0.35">
      <c r="A651" s="11"/>
      <c r="B651" s="11"/>
      <c r="C651" s="16"/>
      <c r="D651" s="1"/>
      <c r="E651" s="1"/>
      <c r="F651" s="4"/>
      <c r="G651" s="4"/>
      <c r="H651" s="4">
        <f t="shared" si="10"/>
        <v>0</v>
      </c>
    </row>
    <row r="652" spans="1:8" x14ac:dyDescent="0.35">
      <c r="A652" s="11"/>
      <c r="B652" s="11"/>
      <c r="C652" s="16"/>
      <c r="D652" s="1"/>
      <c r="E652" s="1"/>
      <c r="F652" s="4"/>
      <c r="G652" s="4"/>
      <c r="H652" s="4">
        <f t="shared" si="10"/>
        <v>0</v>
      </c>
    </row>
    <row r="653" spans="1:8" x14ac:dyDescent="0.35">
      <c r="A653" s="11"/>
      <c r="B653" s="11"/>
      <c r="C653" s="16"/>
      <c r="D653" s="1"/>
      <c r="E653" s="1"/>
      <c r="F653" s="4"/>
      <c r="G653" s="4"/>
      <c r="H653" s="4">
        <f t="shared" si="10"/>
        <v>0</v>
      </c>
    </row>
    <row r="654" spans="1:8" x14ac:dyDescent="0.35">
      <c r="A654" s="11"/>
      <c r="B654" s="11"/>
      <c r="C654" s="16"/>
      <c r="D654" s="1"/>
      <c r="E654" s="1"/>
      <c r="F654" s="4"/>
      <c r="G654" s="4"/>
      <c r="H654" s="4">
        <f t="shared" si="10"/>
        <v>0</v>
      </c>
    </row>
    <row r="655" spans="1:8" x14ac:dyDescent="0.35">
      <c r="A655" s="11"/>
      <c r="B655" s="11"/>
      <c r="C655" s="16"/>
      <c r="D655" s="1"/>
      <c r="E655" s="1"/>
      <c r="F655" s="4"/>
      <c r="G655" s="4"/>
      <c r="H655" s="4">
        <f t="shared" si="10"/>
        <v>0</v>
      </c>
    </row>
    <row r="656" spans="1:8" x14ac:dyDescent="0.35">
      <c r="A656" s="11"/>
      <c r="B656" s="11"/>
      <c r="C656" s="16"/>
      <c r="D656" s="1"/>
      <c r="E656" s="1"/>
      <c r="F656" s="4"/>
      <c r="G656" s="4"/>
      <c r="H656" s="4">
        <f t="shared" si="10"/>
        <v>0</v>
      </c>
    </row>
    <row r="657" spans="1:8" x14ac:dyDescent="0.35">
      <c r="A657" s="11"/>
      <c r="B657" s="11"/>
      <c r="C657" s="16"/>
      <c r="D657" s="1"/>
      <c r="E657" s="1"/>
      <c r="F657" s="4"/>
      <c r="G657" s="4"/>
      <c r="H657" s="4">
        <f t="shared" si="10"/>
        <v>0</v>
      </c>
    </row>
    <row r="658" spans="1:8" x14ac:dyDescent="0.35">
      <c r="A658" s="11"/>
      <c r="B658" s="11"/>
      <c r="C658" s="16"/>
      <c r="D658" s="1"/>
      <c r="E658" s="1"/>
      <c r="F658" s="4"/>
      <c r="G658" s="4"/>
      <c r="H658" s="4">
        <f t="shared" si="10"/>
        <v>0</v>
      </c>
    </row>
    <row r="659" spans="1:8" x14ac:dyDescent="0.35">
      <c r="A659" s="11"/>
      <c r="B659" s="11"/>
      <c r="C659" s="16"/>
      <c r="D659" s="1"/>
      <c r="E659" s="1"/>
      <c r="F659" s="4"/>
      <c r="G659" s="4"/>
      <c r="H659" s="4">
        <f t="shared" si="10"/>
        <v>0</v>
      </c>
    </row>
    <row r="660" spans="1:8" x14ac:dyDescent="0.35">
      <c r="A660" s="11"/>
      <c r="B660" s="11"/>
      <c r="C660" s="16"/>
      <c r="D660" s="1"/>
      <c r="E660" s="1"/>
      <c r="F660" s="4"/>
      <c r="G660" s="4"/>
      <c r="H660" s="4">
        <f t="shared" si="10"/>
        <v>0</v>
      </c>
    </row>
    <row r="661" spans="1:8" x14ac:dyDescent="0.35">
      <c r="A661" s="11"/>
      <c r="B661" s="11"/>
      <c r="C661" s="16"/>
      <c r="D661" s="1"/>
      <c r="E661" s="1"/>
      <c r="F661" s="4"/>
      <c r="G661" s="4"/>
      <c r="H661" s="4">
        <f t="shared" si="10"/>
        <v>0</v>
      </c>
    </row>
    <row r="662" spans="1:8" x14ac:dyDescent="0.35">
      <c r="A662" s="11"/>
      <c r="B662" s="11"/>
      <c r="C662" s="16"/>
      <c r="D662" s="1"/>
      <c r="E662" s="1"/>
      <c r="F662" s="4"/>
      <c r="G662" s="4"/>
      <c r="H662" s="4">
        <f t="shared" si="10"/>
        <v>0</v>
      </c>
    </row>
    <row r="663" spans="1:8" x14ac:dyDescent="0.35">
      <c r="A663" s="11"/>
      <c r="B663" s="11"/>
      <c r="C663" s="16"/>
      <c r="D663" s="1"/>
      <c r="E663" s="1"/>
      <c r="F663" s="4"/>
      <c r="G663" s="4"/>
      <c r="H663" s="4">
        <f t="shared" si="10"/>
        <v>0</v>
      </c>
    </row>
    <row r="664" spans="1:8" x14ac:dyDescent="0.35">
      <c r="A664" s="11"/>
      <c r="B664" s="11"/>
      <c r="C664" s="16"/>
      <c r="D664" s="1"/>
      <c r="E664" s="1"/>
      <c r="F664" s="4"/>
      <c r="G664" s="4"/>
      <c r="H664" s="4">
        <f t="shared" si="10"/>
        <v>0</v>
      </c>
    </row>
    <row r="665" spans="1:8" x14ac:dyDescent="0.35">
      <c r="A665" s="11"/>
      <c r="B665" s="11"/>
      <c r="C665" s="16"/>
      <c r="D665" s="1"/>
      <c r="E665" s="1"/>
      <c r="F665" s="4"/>
      <c r="G665" s="4"/>
      <c r="H665" s="4">
        <f t="shared" si="10"/>
        <v>0</v>
      </c>
    </row>
    <row r="666" spans="1:8" x14ac:dyDescent="0.35">
      <c r="A666" s="11"/>
      <c r="B666" s="11"/>
      <c r="C666" s="16"/>
      <c r="D666" s="1"/>
      <c r="E666" s="1"/>
      <c r="F666" s="4"/>
      <c r="G666" s="4"/>
      <c r="H666" s="4">
        <f t="shared" si="10"/>
        <v>0</v>
      </c>
    </row>
    <row r="667" spans="1:8" x14ac:dyDescent="0.35">
      <c r="A667" s="11"/>
      <c r="B667" s="11"/>
      <c r="C667" s="16"/>
      <c r="D667" s="1"/>
      <c r="E667" s="1"/>
      <c r="F667" s="4"/>
      <c r="G667" s="4"/>
      <c r="H667" s="4">
        <f t="shared" si="10"/>
        <v>0</v>
      </c>
    </row>
    <row r="668" spans="1:8" x14ac:dyDescent="0.35">
      <c r="A668" s="11"/>
      <c r="B668" s="11"/>
      <c r="C668" s="16"/>
      <c r="D668" s="1"/>
      <c r="E668" s="1"/>
      <c r="F668" s="4"/>
      <c r="G668" s="4"/>
      <c r="H668" s="4">
        <f t="shared" si="10"/>
        <v>0</v>
      </c>
    </row>
    <row r="669" spans="1:8" x14ac:dyDescent="0.35">
      <c r="A669" s="11"/>
      <c r="B669" s="11"/>
      <c r="C669" s="16"/>
      <c r="D669" s="1"/>
      <c r="E669" s="1"/>
      <c r="F669" s="4"/>
      <c r="G669" s="4"/>
      <c r="H669" s="4">
        <f t="shared" si="10"/>
        <v>0</v>
      </c>
    </row>
    <row r="670" spans="1:8" x14ac:dyDescent="0.35">
      <c r="A670" s="11"/>
      <c r="B670" s="11"/>
      <c r="C670" s="16"/>
      <c r="D670" s="1"/>
      <c r="E670" s="1"/>
      <c r="F670" s="4"/>
      <c r="G670" s="4"/>
      <c r="H670" s="4">
        <f t="shared" si="10"/>
        <v>0</v>
      </c>
    </row>
    <row r="671" spans="1:8" x14ac:dyDescent="0.35">
      <c r="A671" s="11"/>
      <c r="B671" s="11"/>
      <c r="C671" s="16"/>
      <c r="D671" s="1"/>
      <c r="E671" s="1"/>
      <c r="F671" s="4"/>
      <c r="G671" s="4"/>
      <c r="H671" s="4">
        <f t="shared" si="10"/>
        <v>0</v>
      </c>
    </row>
    <row r="672" spans="1:8" x14ac:dyDescent="0.35">
      <c r="A672" s="11"/>
      <c r="B672" s="11"/>
      <c r="C672" s="16"/>
      <c r="D672" s="1"/>
      <c r="E672" s="1"/>
      <c r="F672" s="4"/>
      <c r="G672" s="4"/>
      <c r="H672" s="4">
        <f t="shared" si="10"/>
        <v>0</v>
      </c>
    </row>
    <row r="673" spans="1:8" x14ac:dyDescent="0.35">
      <c r="A673" s="11"/>
      <c r="B673" s="11"/>
      <c r="C673" s="16"/>
      <c r="D673" s="1"/>
      <c r="E673" s="1"/>
      <c r="F673" s="4"/>
      <c r="G673" s="4"/>
      <c r="H673" s="4">
        <f t="shared" ref="H673:H736" si="11">H672+F673-G673</f>
        <v>0</v>
      </c>
    </row>
    <row r="674" spans="1:8" x14ac:dyDescent="0.35">
      <c r="A674" s="11"/>
      <c r="B674" s="11"/>
      <c r="C674" s="16"/>
      <c r="D674" s="1"/>
      <c r="E674" s="1"/>
      <c r="F674" s="4"/>
      <c r="G674" s="4"/>
      <c r="H674" s="4">
        <f t="shared" si="11"/>
        <v>0</v>
      </c>
    </row>
    <row r="675" spans="1:8" x14ac:dyDescent="0.35">
      <c r="A675" s="11"/>
      <c r="B675" s="11"/>
      <c r="C675" s="16"/>
      <c r="D675" s="1"/>
      <c r="E675" s="1"/>
      <c r="F675" s="4"/>
      <c r="G675" s="4"/>
      <c r="H675" s="4">
        <f t="shared" si="11"/>
        <v>0</v>
      </c>
    </row>
    <row r="676" spans="1:8" x14ac:dyDescent="0.35">
      <c r="A676" s="11"/>
      <c r="B676" s="11"/>
      <c r="C676" s="16"/>
      <c r="D676" s="1"/>
      <c r="E676" s="1"/>
      <c r="F676" s="4"/>
      <c r="G676" s="4"/>
      <c r="H676" s="4">
        <f t="shared" si="11"/>
        <v>0</v>
      </c>
    </row>
    <row r="677" spans="1:8" x14ac:dyDescent="0.35">
      <c r="A677" s="11"/>
      <c r="B677" s="11"/>
      <c r="C677" s="16"/>
      <c r="D677" s="1"/>
      <c r="E677" s="1"/>
      <c r="F677" s="4"/>
      <c r="G677" s="4"/>
      <c r="H677" s="4">
        <f t="shared" si="11"/>
        <v>0</v>
      </c>
    </row>
    <row r="678" spans="1:8" x14ac:dyDescent="0.35">
      <c r="A678" s="11"/>
      <c r="B678" s="11"/>
      <c r="C678" s="16"/>
      <c r="D678" s="1"/>
      <c r="E678" s="1"/>
      <c r="F678" s="4"/>
      <c r="G678" s="4"/>
      <c r="H678" s="4">
        <f t="shared" si="11"/>
        <v>0</v>
      </c>
    </row>
    <row r="679" spans="1:8" x14ac:dyDescent="0.35">
      <c r="A679" s="11"/>
      <c r="B679" s="11"/>
      <c r="C679" s="16"/>
      <c r="D679" s="1"/>
      <c r="E679" s="1"/>
      <c r="F679" s="4"/>
      <c r="G679" s="4"/>
      <c r="H679" s="4">
        <f t="shared" si="11"/>
        <v>0</v>
      </c>
    </row>
    <row r="680" spans="1:8" x14ac:dyDescent="0.35">
      <c r="A680" s="11"/>
      <c r="B680" s="11"/>
      <c r="C680" s="16"/>
      <c r="D680" s="1"/>
      <c r="E680" s="1"/>
      <c r="F680" s="4"/>
      <c r="G680" s="4"/>
      <c r="H680" s="4">
        <f t="shared" si="11"/>
        <v>0</v>
      </c>
    </row>
    <row r="681" spans="1:8" x14ac:dyDescent="0.35">
      <c r="A681" s="11"/>
      <c r="B681" s="11"/>
      <c r="C681" s="16"/>
      <c r="D681" s="1"/>
      <c r="E681" s="1"/>
      <c r="F681" s="4"/>
      <c r="G681" s="4"/>
      <c r="H681" s="4">
        <f t="shared" si="11"/>
        <v>0</v>
      </c>
    </row>
    <row r="682" spans="1:8" x14ac:dyDescent="0.35">
      <c r="A682" s="11"/>
      <c r="B682" s="11"/>
      <c r="C682" s="16"/>
      <c r="D682" s="1"/>
      <c r="E682" s="1"/>
      <c r="F682" s="4"/>
      <c r="G682" s="4"/>
      <c r="H682" s="4">
        <f t="shared" si="11"/>
        <v>0</v>
      </c>
    </row>
    <row r="683" spans="1:8" x14ac:dyDescent="0.35">
      <c r="A683" s="11"/>
      <c r="B683" s="11"/>
      <c r="C683" s="16"/>
      <c r="D683" s="1"/>
      <c r="E683" s="1"/>
      <c r="F683" s="4"/>
      <c r="G683" s="4"/>
      <c r="H683" s="4">
        <f t="shared" si="11"/>
        <v>0</v>
      </c>
    </row>
    <row r="684" spans="1:8" x14ac:dyDescent="0.35">
      <c r="A684" s="11"/>
      <c r="B684" s="11"/>
      <c r="C684" s="16"/>
      <c r="D684" s="1"/>
      <c r="E684" s="1"/>
      <c r="F684" s="4"/>
      <c r="G684" s="4"/>
      <c r="H684" s="4">
        <f t="shared" si="11"/>
        <v>0</v>
      </c>
    </row>
    <row r="685" spans="1:8" x14ac:dyDescent="0.35">
      <c r="A685" s="11"/>
      <c r="B685" s="11"/>
      <c r="C685" s="16"/>
      <c r="D685" s="1"/>
      <c r="E685" s="1"/>
      <c r="F685" s="4"/>
      <c r="G685" s="4"/>
      <c r="H685" s="4">
        <f t="shared" si="11"/>
        <v>0</v>
      </c>
    </row>
    <row r="686" spans="1:8" x14ac:dyDescent="0.35">
      <c r="A686" s="11"/>
      <c r="B686" s="11"/>
      <c r="C686" s="16"/>
      <c r="D686" s="1"/>
      <c r="E686" s="1"/>
      <c r="F686" s="4"/>
      <c r="G686" s="4"/>
      <c r="H686" s="4">
        <f t="shared" si="11"/>
        <v>0</v>
      </c>
    </row>
    <row r="687" spans="1:8" x14ac:dyDescent="0.35">
      <c r="A687" s="11"/>
      <c r="B687" s="11"/>
      <c r="C687" s="16"/>
      <c r="D687" s="1"/>
      <c r="E687" s="1"/>
      <c r="F687" s="4"/>
      <c r="G687" s="4"/>
      <c r="H687" s="4">
        <f t="shared" si="11"/>
        <v>0</v>
      </c>
    </row>
    <row r="688" spans="1:8" x14ac:dyDescent="0.35">
      <c r="A688" s="11"/>
      <c r="B688" s="11"/>
      <c r="C688" s="16"/>
      <c r="D688" s="1"/>
      <c r="E688" s="1"/>
      <c r="F688" s="4"/>
      <c r="G688" s="4"/>
      <c r="H688" s="4">
        <f t="shared" si="11"/>
        <v>0</v>
      </c>
    </row>
    <row r="689" spans="1:8" x14ac:dyDescent="0.35">
      <c r="A689" s="11"/>
      <c r="B689" s="11"/>
      <c r="C689" s="16"/>
      <c r="D689" s="1"/>
      <c r="E689" s="1"/>
      <c r="F689" s="4"/>
      <c r="G689" s="4"/>
      <c r="H689" s="4">
        <f t="shared" si="11"/>
        <v>0</v>
      </c>
    </row>
    <row r="690" spans="1:8" x14ac:dyDescent="0.35">
      <c r="A690" s="11"/>
      <c r="B690" s="11"/>
      <c r="C690" s="16"/>
      <c r="D690" s="1"/>
      <c r="E690" s="1"/>
      <c r="F690" s="4"/>
      <c r="G690" s="4"/>
      <c r="H690" s="4">
        <f t="shared" si="11"/>
        <v>0</v>
      </c>
    </row>
    <row r="691" spans="1:8" x14ac:dyDescent="0.35">
      <c r="A691" s="11"/>
      <c r="B691" s="11"/>
      <c r="C691" s="16"/>
      <c r="D691" s="1"/>
      <c r="E691" s="1"/>
      <c r="F691" s="4"/>
      <c r="G691" s="4"/>
      <c r="H691" s="4">
        <f t="shared" si="11"/>
        <v>0</v>
      </c>
    </row>
    <row r="692" spans="1:8" x14ac:dyDescent="0.35">
      <c r="A692" s="11"/>
      <c r="B692" s="11"/>
      <c r="C692" s="16"/>
      <c r="D692" s="1"/>
      <c r="E692" s="1"/>
      <c r="F692" s="4"/>
      <c r="G692" s="4"/>
      <c r="H692" s="4">
        <f t="shared" si="11"/>
        <v>0</v>
      </c>
    </row>
    <row r="693" spans="1:8" x14ac:dyDescent="0.35">
      <c r="A693" s="11"/>
      <c r="B693" s="11"/>
      <c r="C693" s="16"/>
      <c r="D693" s="1"/>
      <c r="E693" s="1"/>
      <c r="F693" s="4"/>
      <c r="G693" s="4"/>
      <c r="H693" s="4">
        <f t="shared" si="11"/>
        <v>0</v>
      </c>
    </row>
    <row r="694" spans="1:8" x14ac:dyDescent="0.35">
      <c r="A694" s="11"/>
      <c r="B694" s="11"/>
      <c r="C694" s="16"/>
      <c r="D694" s="1"/>
      <c r="E694" s="1"/>
      <c r="F694" s="4"/>
      <c r="G694" s="4"/>
      <c r="H694" s="4">
        <f t="shared" si="11"/>
        <v>0</v>
      </c>
    </row>
    <row r="695" spans="1:8" x14ac:dyDescent="0.35">
      <c r="A695" s="11"/>
      <c r="B695" s="11"/>
      <c r="C695" s="16"/>
      <c r="D695" s="1"/>
      <c r="E695" s="1"/>
      <c r="F695" s="4"/>
      <c r="G695" s="4"/>
      <c r="H695" s="4">
        <f t="shared" si="11"/>
        <v>0</v>
      </c>
    </row>
    <row r="696" spans="1:8" x14ac:dyDescent="0.35">
      <c r="A696" s="11"/>
      <c r="B696" s="11"/>
      <c r="C696" s="16"/>
      <c r="D696" s="1"/>
      <c r="E696" s="1"/>
      <c r="F696" s="4"/>
      <c r="G696" s="4"/>
      <c r="H696" s="4">
        <f t="shared" si="11"/>
        <v>0</v>
      </c>
    </row>
    <row r="697" spans="1:8" x14ac:dyDescent="0.35">
      <c r="A697" s="11"/>
      <c r="B697" s="11"/>
      <c r="C697" s="16"/>
      <c r="D697" s="1"/>
      <c r="E697" s="1"/>
      <c r="F697" s="4"/>
      <c r="G697" s="4"/>
      <c r="H697" s="4">
        <f t="shared" si="11"/>
        <v>0</v>
      </c>
    </row>
    <row r="698" spans="1:8" x14ac:dyDescent="0.35">
      <c r="A698" s="11"/>
      <c r="B698" s="11"/>
      <c r="C698" s="16"/>
      <c r="D698" s="1"/>
      <c r="E698" s="1"/>
      <c r="F698" s="4"/>
      <c r="G698" s="4"/>
      <c r="H698" s="4">
        <f t="shared" si="11"/>
        <v>0</v>
      </c>
    </row>
    <row r="699" spans="1:8" x14ac:dyDescent="0.35">
      <c r="A699" s="11"/>
      <c r="B699" s="11"/>
      <c r="C699" s="16"/>
      <c r="D699" s="1"/>
      <c r="E699" s="1"/>
      <c r="F699" s="4"/>
      <c r="G699" s="4"/>
      <c r="H699" s="4">
        <f t="shared" si="11"/>
        <v>0</v>
      </c>
    </row>
    <row r="700" spans="1:8" x14ac:dyDescent="0.35">
      <c r="A700" s="11"/>
      <c r="B700" s="11"/>
      <c r="C700" s="16"/>
      <c r="D700" s="1"/>
      <c r="E700" s="1"/>
      <c r="F700" s="4"/>
      <c r="G700" s="4"/>
      <c r="H700" s="4">
        <f t="shared" si="11"/>
        <v>0</v>
      </c>
    </row>
    <row r="701" spans="1:8" x14ac:dyDescent="0.35">
      <c r="A701" s="11"/>
      <c r="B701" s="11"/>
      <c r="C701" s="16"/>
      <c r="D701" s="1"/>
      <c r="E701" s="1"/>
      <c r="F701" s="4"/>
      <c r="G701" s="4"/>
      <c r="H701" s="4">
        <f t="shared" si="11"/>
        <v>0</v>
      </c>
    </row>
    <row r="702" spans="1:8" x14ac:dyDescent="0.35">
      <c r="A702" s="11"/>
      <c r="B702" s="11"/>
      <c r="C702" s="16"/>
      <c r="D702" s="1"/>
      <c r="E702" s="1"/>
      <c r="F702" s="4"/>
      <c r="G702" s="4"/>
      <c r="H702" s="4">
        <f t="shared" si="11"/>
        <v>0</v>
      </c>
    </row>
    <row r="703" spans="1:8" x14ac:dyDescent="0.35">
      <c r="A703" s="11"/>
      <c r="B703" s="11"/>
      <c r="C703" s="16"/>
      <c r="D703" s="1"/>
      <c r="E703" s="1"/>
      <c r="F703" s="4"/>
      <c r="G703" s="4"/>
      <c r="H703" s="4">
        <f t="shared" si="11"/>
        <v>0</v>
      </c>
    </row>
    <row r="704" spans="1:8" x14ac:dyDescent="0.35">
      <c r="A704" s="11"/>
      <c r="B704" s="11"/>
      <c r="C704" s="16"/>
      <c r="D704" s="1"/>
      <c r="E704" s="1"/>
      <c r="F704" s="4"/>
      <c r="G704" s="4"/>
      <c r="H704" s="4">
        <f t="shared" si="11"/>
        <v>0</v>
      </c>
    </row>
    <row r="705" spans="1:8" x14ac:dyDescent="0.35">
      <c r="A705" s="11"/>
      <c r="B705" s="11"/>
      <c r="C705" s="16"/>
      <c r="D705" s="1"/>
      <c r="E705" s="1"/>
      <c r="F705" s="4"/>
      <c r="G705" s="4"/>
      <c r="H705" s="4">
        <f t="shared" si="11"/>
        <v>0</v>
      </c>
    </row>
    <row r="706" spans="1:8" x14ac:dyDescent="0.35">
      <c r="A706" s="11"/>
      <c r="B706" s="11"/>
      <c r="C706" s="16"/>
      <c r="D706" s="1"/>
      <c r="E706" s="1"/>
      <c r="F706" s="4"/>
      <c r="G706" s="4"/>
      <c r="H706" s="4">
        <f t="shared" si="11"/>
        <v>0</v>
      </c>
    </row>
    <row r="707" spans="1:8" x14ac:dyDescent="0.35">
      <c r="A707" s="11"/>
      <c r="B707" s="11"/>
      <c r="C707" s="16"/>
      <c r="D707" s="1"/>
      <c r="E707" s="1"/>
      <c r="F707" s="4"/>
      <c r="G707" s="4"/>
      <c r="H707" s="4">
        <f t="shared" si="11"/>
        <v>0</v>
      </c>
    </row>
    <row r="708" spans="1:8" x14ac:dyDescent="0.35">
      <c r="A708" s="11"/>
      <c r="B708" s="11"/>
      <c r="C708" s="16"/>
      <c r="D708" s="1"/>
      <c r="E708" s="1"/>
      <c r="F708" s="4"/>
      <c r="G708" s="4"/>
      <c r="H708" s="4">
        <f t="shared" si="11"/>
        <v>0</v>
      </c>
    </row>
    <row r="709" spans="1:8" x14ac:dyDescent="0.35">
      <c r="A709" s="11"/>
      <c r="B709" s="11"/>
      <c r="C709" s="16"/>
      <c r="D709" s="1"/>
      <c r="E709" s="1"/>
      <c r="F709" s="4"/>
      <c r="G709" s="4"/>
      <c r="H709" s="4">
        <f t="shared" si="11"/>
        <v>0</v>
      </c>
    </row>
    <row r="710" spans="1:8" x14ac:dyDescent="0.35">
      <c r="A710" s="11"/>
      <c r="B710" s="11"/>
      <c r="C710" s="16"/>
      <c r="D710" s="1"/>
      <c r="E710" s="1"/>
      <c r="F710" s="4"/>
      <c r="G710" s="4"/>
      <c r="H710" s="4">
        <f t="shared" si="11"/>
        <v>0</v>
      </c>
    </row>
    <row r="711" spans="1:8" x14ac:dyDescent="0.35">
      <c r="A711" s="11"/>
      <c r="B711" s="11"/>
      <c r="C711" s="16"/>
      <c r="D711" s="1"/>
      <c r="E711" s="1"/>
      <c r="F711" s="4"/>
      <c r="G711" s="4"/>
      <c r="H711" s="4">
        <f t="shared" si="11"/>
        <v>0</v>
      </c>
    </row>
    <row r="712" spans="1:8" x14ac:dyDescent="0.35">
      <c r="A712" s="11"/>
      <c r="B712" s="11"/>
      <c r="C712" s="16"/>
      <c r="D712" s="1"/>
      <c r="E712" s="1"/>
      <c r="F712" s="4"/>
      <c r="G712" s="4"/>
      <c r="H712" s="4">
        <f t="shared" si="11"/>
        <v>0</v>
      </c>
    </row>
    <row r="713" spans="1:8" x14ac:dyDescent="0.35">
      <c r="A713" s="11"/>
      <c r="B713" s="11"/>
      <c r="C713" s="16"/>
      <c r="D713" s="1"/>
      <c r="E713" s="1"/>
      <c r="F713" s="4"/>
      <c r="G713" s="4"/>
      <c r="H713" s="4">
        <f t="shared" si="11"/>
        <v>0</v>
      </c>
    </row>
    <row r="714" spans="1:8" x14ac:dyDescent="0.35">
      <c r="A714" s="11"/>
      <c r="B714" s="11"/>
      <c r="C714" s="16"/>
      <c r="D714" s="1"/>
      <c r="E714" s="1"/>
      <c r="F714" s="4"/>
      <c r="G714" s="4"/>
      <c r="H714" s="4">
        <f t="shared" si="11"/>
        <v>0</v>
      </c>
    </row>
    <row r="715" spans="1:8" x14ac:dyDescent="0.35">
      <c r="A715" s="11"/>
      <c r="B715" s="11"/>
      <c r="C715" s="16"/>
      <c r="D715" s="1"/>
      <c r="E715" s="1"/>
      <c r="F715" s="4"/>
      <c r="G715" s="4"/>
      <c r="H715" s="4">
        <f t="shared" si="11"/>
        <v>0</v>
      </c>
    </row>
    <row r="716" spans="1:8" x14ac:dyDescent="0.35">
      <c r="A716" s="11"/>
      <c r="B716" s="11"/>
      <c r="C716" s="16"/>
      <c r="D716" s="1"/>
      <c r="E716" s="1"/>
      <c r="F716" s="4"/>
      <c r="G716" s="4"/>
      <c r="H716" s="4">
        <f t="shared" si="11"/>
        <v>0</v>
      </c>
    </row>
    <row r="717" spans="1:8" x14ac:dyDescent="0.35">
      <c r="A717" s="11"/>
      <c r="B717" s="11"/>
      <c r="C717" s="16"/>
      <c r="D717" s="1"/>
      <c r="E717" s="1"/>
      <c r="F717" s="4"/>
      <c r="G717" s="4"/>
      <c r="H717" s="4">
        <f t="shared" si="11"/>
        <v>0</v>
      </c>
    </row>
    <row r="718" spans="1:8" x14ac:dyDescent="0.35">
      <c r="A718" s="11"/>
      <c r="B718" s="11"/>
      <c r="C718" s="16"/>
      <c r="D718" s="1"/>
      <c r="E718" s="1"/>
      <c r="F718" s="4"/>
      <c r="G718" s="4"/>
      <c r="H718" s="4">
        <f t="shared" si="11"/>
        <v>0</v>
      </c>
    </row>
    <row r="719" spans="1:8" x14ac:dyDescent="0.35">
      <c r="A719" s="11"/>
      <c r="B719" s="11"/>
      <c r="C719" s="16"/>
      <c r="D719" s="1"/>
      <c r="E719" s="1"/>
      <c r="F719" s="4"/>
      <c r="G719" s="4"/>
      <c r="H719" s="4">
        <f t="shared" si="11"/>
        <v>0</v>
      </c>
    </row>
    <row r="720" spans="1:8" x14ac:dyDescent="0.35">
      <c r="A720" s="11"/>
      <c r="B720" s="11"/>
      <c r="C720" s="16"/>
      <c r="D720" s="1"/>
      <c r="E720" s="1"/>
      <c r="F720" s="4"/>
      <c r="G720" s="4"/>
      <c r="H720" s="4">
        <f t="shared" si="11"/>
        <v>0</v>
      </c>
    </row>
    <row r="721" spans="1:8" x14ac:dyDescent="0.35">
      <c r="A721" s="11"/>
      <c r="B721" s="11"/>
      <c r="C721" s="16"/>
      <c r="D721" s="1"/>
      <c r="E721" s="1"/>
      <c r="F721" s="4"/>
      <c r="G721" s="4"/>
      <c r="H721" s="4">
        <f t="shared" si="11"/>
        <v>0</v>
      </c>
    </row>
    <row r="722" spans="1:8" x14ac:dyDescent="0.35">
      <c r="A722" s="11"/>
      <c r="B722" s="11"/>
      <c r="C722" s="16"/>
      <c r="D722" s="1"/>
      <c r="E722" s="1"/>
      <c r="F722" s="4"/>
      <c r="G722" s="4"/>
      <c r="H722" s="4">
        <f t="shared" si="11"/>
        <v>0</v>
      </c>
    </row>
    <row r="723" spans="1:8" x14ac:dyDescent="0.35">
      <c r="A723" s="11"/>
      <c r="B723" s="11"/>
      <c r="C723" s="16"/>
      <c r="D723" s="1"/>
      <c r="E723" s="1"/>
      <c r="F723" s="4"/>
      <c r="G723" s="4"/>
      <c r="H723" s="4">
        <f t="shared" si="11"/>
        <v>0</v>
      </c>
    </row>
    <row r="724" spans="1:8" x14ac:dyDescent="0.35">
      <c r="A724" s="11"/>
      <c r="B724" s="11"/>
      <c r="C724" s="16"/>
      <c r="D724" s="1"/>
      <c r="E724" s="1"/>
      <c r="F724" s="4"/>
      <c r="G724" s="4"/>
      <c r="H724" s="4">
        <f t="shared" si="11"/>
        <v>0</v>
      </c>
    </row>
    <row r="725" spans="1:8" x14ac:dyDescent="0.35">
      <c r="A725" s="11"/>
      <c r="B725" s="11"/>
      <c r="C725" s="16"/>
      <c r="D725" s="1"/>
      <c r="E725" s="1"/>
      <c r="F725" s="4"/>
      <c r="G725" s="4"/>
      <c r="H725" s="4">
        <f t="shared" si="11"/>
        <v>0</v>
      </c>
    </row>
    <row r="726" spans="1:8" x14ac:dyDescent="0.35">
      <c r="A726" s="11"/>
      <c r="B726" s="11"/>
      <c r="C726" s="16"/>
      <c r="D726" s="1"/>
      <c r="E726" s="1"/>
      <c r="F726" s="4"/>
      <c r="G726" s="4"/>
      <c r="H726" s="4">
        <f t="shared" si="11"/>
        <v>0</v>
      </c>
    </row>
    <row r="727" spans="1:8" x14ac:dyDescent="0.35">
      <c r="A727" s="11"/>
      <c r="B727" s="11"/>
      <c r="C727" s="16"/>
      <c r="D727" s="1"/>
      <c r="E727" s="1"/>
      <c r="F727" s="4"/>
      <c r="G727" s="4"/>
      <c r="H727" s="4">
        <f t="shared" si="11"/>
        <v>0</v>
      </c>
    </row>
    <row r="728" spans="1:8" x14ac:dyDescent="0.35">
      <c r="A728" s="11"/>
      <c r="B728" s="11"/>
      <c r="C728" s="16"/>
      <c r="D728" s="1"/>
      <c r="E728" s="1"/>
      <c r="F728" s="4"/>
      <c r="G728" s="4"/>
      <c r="H728" s="4">
        <f t="shared" si="11"/>
        <v>0</v>
      </c>
    </row>
    <row r="729" spans="1:8" x14ac:dyDescent="0.35">
      <c r="A729" s="11"/>
      <c r="B729" s="11"/>
      <c r="C729" s="16"/>
      <c r="D729" s="1"/>
      <c r="E729" s="1"/>
      <c r="F729" s="4"/>
      <c r="G729" s="4"/>
      <c r="H729" s="4">
        <f t="shared" si="11"/>
        <v>0</v>
      </c>
    </row>
    <row r="730" spans="1:8" x14ac:dyDescent="0.35">
      <c r="A730" s="11"/>
      <c r="B730" s="11"/>
      <c r="C730" s="16"/>
      <c r="D730" s="1"/>
      <c r="E730" s="1"/>
      <c r="F730" s="4"/>
      <c r="G730" s="4"/>
      <c r="H730" s="4">
        <f t="shared" si="11"/>
        <v>0</v>
      </c>
    </row>
    <row r="731" spans="1:8" x14ac:dyDescent="0.35">
      <c r="A731" s="11"/>
      <c r="B731" s="11"/>
      <c r="C731" s="16"/>
      <c r="D731" s="1"/>
      <c r="E731" s="1"/>
      <c r="F731" s="4"/>
      <c r="G731" s="4"/>
      <c r="H731" s="4">
        <f t="shared" si="11"/>
        <v>0</v>
      </c>
    </row>
    <row r="732" spans="1:8" x14ac:dyDescent="0.35">
      <c r="A732" s="11"/>
      <c r="B732" s="11"/>
      <c r="C732" s="16"/>
      <c r="D732" s="1"/>
      <c r="E732" s="1"/>
      <c r="F732" s="4"/>
      <c r="G732" s="4"/>
      <c r="H732" s="4">
        <f t="shared" si="11"/>
        <v>0</v>
      </c>
    </row>
    <row r="733" spans="1:8" x14ac:dyDescent="0.35">
      <c r="A733" s="11"/>
      <c r="B733" s="11"/>
      <c r="C733" s="16"/>
      <c r="D733" s="1"/>
      <c r="E733" s="1"/>
      <c r="F733" s="4"/>
      <c r="G733" s="4"/>
      <c r="H733" s="4">
        <f t="shared" si="11"/>
        <v>0</v>
      </c>
    </row>
    <row r="734" spans="1:8" x14ac:dyDescent="0.35">
      <c r="A734" s="11"/>
      <c r="B734" s="11"/>
      <c r="C734" s="16"/>
      <c r="D734" s="1"/>
      <c r="E734" s="1"/>
      <c r="F734" s="4"/>
      <c r="G734" s="4"/>
      <c r="H734" s="4">
        <f t="shared" si="11"/>
        <v>0</v>
      </c>
    </row>
    <row r="735" spans="1:8" x14ac:dyDescent="0.35">
      <c r="A735" s="11"/>
      <c r="B735" s="11"/>
      <c r="C735" s="16"/>
      <c r="D735" s="1"/>
      <c r="E735" s="1"/>
      <c r="F735" s="4"/>
      <c r="G735" s="4"/>
      <c r="H735" s="4">
        <f t="shared" si="11"/>
        <v>0</v>
      </c>
    </row>
    <row r="736" spans="1:8" x14ac:dyDescent="0.35">
      <c r="A736" s="11"/>
      <c r="B736" s="11"/>
      <c r="C736" s="16"/>
      <c r="D736" s="1"/>
      <c r="E736" s="1"/>
      <c r="F736" s="4"/>
      <c r="G736" s="4"/>
      <c r="H736" s="4">
        <f t="shared" si="11"/>
        <v>0</v>
      </c>
    </row>
    <row r="737" spans="1:8" x14ac:dyDescent="0.35">
      <c r="A737" s="11"/>
      <c r="B737" s="11"/>
      <c r="C737" s="16"/>
      <c r="D737" s="1"/>
      <c r="E737" s="1"/>
      <c r="F737" s="4"/>
      <c r="G737" s="4"/>
      <c r="H737" s="4">
        <f t="shared" ref="H737:H800" si="12">H736+F737-G737</f>
        <v>0</v>
      </c>
    </row>
    <row r="738" spans="1:8" x14ac:dyDescent="0.35">
      <c r="A738" s="11"/>
      <c r="B738" s="11"/>
      <c r="C738" s="16"/>
      <c r="D738" s="1"/>
      <c r="E738" s="1"/>
      <c r="F738" s="4"/>
      <c r="G738" s="4"/>
      <c r="H738" s="4">
        <f t="shared" si="12"/>
        <v>0</v>
      </c>
    </row>
    <row r="739" spans="1:8" x14ac:dyDescent="0.35">
      <c r="A739" s="11"/>
      <c r="B739" s="11"/>
      <c r="C739" s="16"/>
      <c r="D739" s="1"/>
      <c r="E739" s="1"/>
      <c r="F739" s="4"/>
      <c r="G739" s="4"/>
      <c r="H739" s="4">
        <f t="shared" si="12"/>
        <v>0</v>
      </c>
    </row>
    <row r="740" spans="1:8" x14ac:dyDescent="0.35">
      <c r="A740" s="11"/>
      <c r="B740" s="11"/>
      <c r="C740" s="16"/>
      <c r="D740" s="1"/>
      <c r="E740" s="1"/>
      <c r="F740" s="4"/>
      <c r="G740" s="4"/>
      <c r="H740" s="4">
        <f t="shared" si="12"/>
        <v>0</v>
      </c>
    </row>
    <row r="741" spans="1:8" x14ac:dyDescent="0.35">
      <c r="A741" s="11"/>
      <c r="B741" s="11"/>
      <c r="C741" s="16"/>
      <c r="D741" s="1"/>
      <c r="E741" s="1"/>
      <c r="F741" s="4"/>
      <c r="G741" s="4"/>
      <c r="H741" s="4">
        <f t="shared" si="12"/>
        <v>0</v>
      </c>
    </row>
    <row r="742" spans="1:8" x14ac:dyDescent="0.35">
      <c r="A742" s="11"/>
      <c r="B742" s="11"/>
      <c r="C742" s="16"/>
      <c r="D742" s="1"/>
      <c r="E742" s="1"/>
      <c r="F742" s="4"/>
      <c r="G742" s="4"/>
      <c r="H742" s="4">
        <f t="shared" si="12"/>
        <v>0</v>
      </c>
    </row>
    <row r="743" spans="1:8" x14ac:dyDescent="0.35">
      <c r="A743" s="11"/>
      <c r="B743" s="11"/>
      <c r="C743" s="16"/>
      <c r="D743" s="1"/>
      <c r="E743" s="1"/>
      <c r="F743" s="4"/>
      <c r="G743" s="4"/>
      <c r="H743" s="4">
        <f t="shared" si="12"/>
        <v>0</v>
      </c>
    </row>
    <row r="744" spans="1:8" x14ac:dyDescent="0.35">
      <c r="A744" s="11"/>
      <c r="B744" s="11"/>
      <c r="C744" s="16"/>
      <c r="D744" s="1"/>
      <c r="E744" s="1"/>
      <c r="F744" s="4"/>
      <c r="G744" s="4"/>
      <c r="H744" s="4">
        <f t="shared" si="12"/>
        <v>0</v>
      </c>
    </row>
    <row r="745" spans="1:8" x14ac:dyDescent="0.35">
      <c r="A745" s="11"/>
      <c r="B745" s="11"/>
      <c r="C745" s="16"/>
      <c r="D745" s="1"/>
      <c r="E745" s="1"/>
      <c r="F745" s="4"/>
      <c r="G745" s="4"/>
      <c r="H745" s="4">
        <f t="shared" si="12"/>
        <v>0</v>
      </c>
    </row>
    <row r="746" spans="1:8" x14ac:dyDescent="0.35">
      <c r="A746" s="11"/>
      <c r="B746" s="11"/>
      <c r="C746" s="16"/>
      <c r="D746" s="1"/>
      <c r="E746" s="1"/>
      <c r="F746" s="4"/>
      <c r="G746" s="4"/>
      <c r="H746" s="4">
        <f t="shared" si="12"/>
        <v>0</v>
      </c>
    </row>
    <row r="747" spans="1:8" x14ac:dyDescent="0.35">
      <c r="A747" s="11"/>
      <c r="B747" s="11"/>
      <c r="C747" s="16"/>
      <c r="D747" s="1"/>
      <c r="E747" s="1"/>
      <c r="F747" s="4"/>
      <c r="G747" s="4"/>
      <c r="H747" s="4">
        <f t="shared" si="12"/>
        <v>0</v>
      </c>
    </row>
    <row r="748" spans="1:8" x14ac:dyDescent="0.35">
      <c r="A748" s="11"/>
      <c r="B748" s="11"/>
      <c r="C748" s="16"/>
      <c r="D748" s="1"/>
      <c r="E748" s="1"/>
      <c r="F748" s="4"/>
      <c r="G748" s="4"/>
      <c r="H748" s="4">
        <f t="shared" si="12"/>
        <v>0</v>
      </c>
    </row>
    <row r="749" spans="1:8" x14ac:dyDescent="0.35">
      <c r="A749" s="11"/>
      <c r="B749" s="11"/>
      <c r="C749" s="16"/>
      <c r="D749" s="1"/>
      <c r="E749" s="1"/>
      <c r="F749" s="4"/>
      <c r="G749" s="4"/>
      <c r="H749" s="4">
        <f t="shared" si="12"/>
        <v>0</v>
      </c>
    </row>
    <row r="750" spans="1:8" x14ac:dyDescent="0.35">
      <c r="A750" s="11"/>
      <c r="B750" s="11"/>
      <c r="C750" s="16"/>
      <c r="D750" s="1"/>
      <c r="E750" s="1"/>
      <c r="F750" s="4"/>
      <c r="G750" s="4"/>
      <c r="H750" s="4">
        <f t="shared" si="12"/>
        <v>0</v>
      </c>
    </row>
    <row r="751" spans="1:8" x14ac:dyDescent="0.35">
      <c r="A751" s="11"/>
      <c r="B751" s="11"/>
      <c r="C751" s="16"/>
      <c r="D751" s="1"/>
      <c r="E751" s="1"/>
      <c r="F751" s="4"/>
      <c r="G751" s="4"/>
      <c r="H751" s="4">
        <f t="shared" si="12"/>
        <v>0</v>
      </c>
    </row>
    <row r="752" spans="1:8" x14ac:dyDescent="0.35">
      <c r="A752" s="11"/>
      <c r="B752" s="11"/>
      <c r="C752" s="16"/>
      <c r="D752" s="1"/>
      <c r="E752" s="1"/>
      <c r="F752" s="4"/>
      <c r="G752" s="4"/>
      <c r="H752" s="4">
        <f t="shared" si="12"/>
        <v>0</v>
      </c>
    </row>
    <row r="753" spans="1:8" x14ac:dyDescent="0.35">
      <c r="A753" s="11"/>
      <c r="B753" s="11"/>
      <c r="C753" s="16"/>
      <c r="D753" s="1"/>
      <c r="E753" s="1"/>
      <c r="F753" s="4"/>
      <c r="G753" s="4"/>
      <c r="H753" s="4">
        <f t="shared" si="12"/>
        <v>0</v>
      </c>
    </row>
    <row r="754" spans="1:8" x14ac:dyDescent="0.35">
      <c r="A754" s="11"/>
      <c r="B754" s="11"/>
      <c r="C754" s="16"/>
      <c r="D754" s="1"/>
      <c r="E754" s="1"/>
      <c r="F754" s="4"/>
      <c r="G754" s="4"/>
      <c r="H754" s="4">
        <f t="shared" si="12"/>
        <v>0</v>
      </c>
    </row>
    <row r="755" spans="1:8" x14ac:dyDescent="0.35">
      <c r="A755" s="11"/>
      <c r="B755" s="11"/>
      <c r="C755" s="16"/>
      <c r="D755" s="1"/>
      <c r="E755" s="1"/>
      <c r="F755" s="4"/>
      <c r="G755" s="4"/>
      <c r="H755" s="4">
        <f t="shared" si="12"/>
        <v>0</v>
      </c>
    </row>
    <row r="756" spans="1:8" x14ac:dyDescent="0.35">
      <c r="A756" s="11"/>
      <c r="B756" s="11"/>
      <c r="C756" s="16"/>
      <c r="D756" s="1"/>
      <c r="E756" s="1"/>
      <c r="F756" s="4"/>
      <c r="G756" s="4"/>
      <c r="H756" s="4">
        <f t="shared" si="12"/>
        <v>0</v>
      </c>
    </row>
    <row r="757" spans="1:8" x14ac:dyDescent="0.35">
      <c r="A757" s="11"/>
      <c r="B757" s="11"/>
      <c r="C757" s="16"/>
      <c r="D757" s="1"/>
      <c r="E757" s="1"/>
      <c r="F757" s="4"/>
      <c r="G757" s="4"/>
      <c r="H757" s="4">
        <f t="shared" si="12"/>
        <v>0</v>
      </c>
    </row>
    <row r="758" spans="1:8" x14ac:dyDescent="0.35">
      <c r="A758" s="11"/>
      <c r="B758" s="11"/>
      <c r="C758" s="16"/>
      <c r="D758" s="1"/>
      <c r="E758" s="1"/>
      <c r="F758" s="4"/>
      <c r="G758" s="4"/>
      <c r="H758" s="4">
        <f t="shared" si="12"/>
        <v>0</v>
      </c>
    </row>
    <row r="759" spans="1:8" x14ac:dyDescent="0.35">
      <c r="A759" s="11"/>
      <c r="B759" s="11"/>
      <c r="C759" s="16"/>
      <c r="D759" s="1"/>
      <c r="E759" s="1"/>
      <c r="F759" s="4"/>
      <c r="G759" s="4"/>
      <c r="H759" s="4">
        <f t="shared" si="12"/>
        <v>0</v>
      </c>
    </row>
    <row r="760" spans="1:8" x14ac:dyDescent="0.35">
      <c r="A760" s="11"/>
      <c r="B760" s="11"/>
      <c r="C760" s="16"/>
      <c r="D760" s="1"/>
      <c r="E760" s="1"/>
      <c r="F760" s="4"/>
      <c r="G760" s="4"/>
      <c r="H760" s="4">
        <f t="shared" si="12"/>
        <v>0</v>
      </c>
    </row>
    <row r="761" spans="1:8" x14ac:dyDescent="0.35">
      <c r="A761" s="11"/>
      <c r="B761" s="11"/>
      <c r="C761" s="16"/>
      <c r="D761" s="1"/>
      <c r="E761" s="1"/>
      <c r="F761" s="4"/>
      <c r="G761" s="4"/>
      <c r="H761" s="4">
        <f t="shared" si="12"/>
        <v>0</v>
      </c>
    </row>
    <row r="762" spans="1:8" x14ac:dyDescent="0.35">
      <c r="A762" s="11"/>
      <c r="B762" s="11"/>
      <c r="C762" s="16"/>
      <c r="D762" s="1"/>
      <c r="E762" s="1"/>
      <c r="F762" s="4"/>
      <c r="G762" s="4"/>
      <c r="H762" s="4">
        <f t="shared" si="12"/>
        <v>0</v>
      </c>
    </row>
    <row r="763" spans="1:8" x14ac:dyDescent="0.35">
      <c r="A763" s="11"/>
      <c r="B763" s="11"/>
      <c r="C763" s="16"/>
      <c r="D763" s="1"/>
      <c r="E763" s="1"/>
      <c r="F763" s="4"/>
      <c r="G763" s="4"/>
      <c r="H763" s="4">
        <f t="shared" si="12"/>
        <v>0</v>
      </c>
    </row>
    <row r="764" spans="1:8" x14ac:dyDescent="0.35">
      <c r="A764" s="11"/>
      <c r="B764" s="11"/>
      <c r="C764" s="16"/>
      <c r="D764" s="1"/>
      <c r="E764" s="1"/>
      <c r="F764" s="4"/>
      <c r="G764" s="4"/>
      <c r="H764" s="4">
        <f t="shared" si="12"/>
        <v>0</v>
      </c>
    </row>
    <row r="765" spans="1:8" x14ac:dyDescent="0.35">
      <c r="A765" s="11"/>
      <c r="B765" s="11"/>
      <c r="C765" s="16"/>
      <c r="D765" s="1"/>
      <c r="E765" s="1"/>
      <c r="F765" s="4"/>
      <c r="G765" s="4"/>
      <c r="H765" s="4">
        <f t="shared" si="12"/>
        <v>0</v>
      </c>
    </row>
    <row r="766" spans="1:8" x14ac:dyDescent="0.35">
      <c r="A766" s="11"/>
      <c r="B766" s="11"/>
      <c r="C766" s="16"/>
      <c r="D766" s="1"/>
      <c r="E766" s="1"/>
      <c r="F766" s="4"/>
      <c r="G766" s="4"/>
      <c r="H766" s="4">
        <f t="shared" si="12"/>
        <v>0</v>
      </c>
    </row>
    <row r="767" spans="1:8" x14ac:dyDescent="0.35">
      <c r="A767" s="11"/>
      <c r="B767" s="11"/>
      <c r="C767" s="16"/>
      <c r="D767" s="1"/>
      <c r="E767" s="1"/>
      <c r="F767" s="4"/>
      <c r="G767" s="4"/>
      <c r="H767" s="4">
        <f t="shared" si="12"/>
        <v>0</v>
      </c>
    </row>
    <row r="768" spans="1:8" x14ac:dyDescent="0.35">
      <c r="A768" s="11"/>
      <c r="B768" s="11"/>
      <c r="C768" s="16"/>
      <c r="D768" s="1"/>
      <c r="E768" s="1"/>
      <c r="F768" s="4"/>
      <c r="G768" s="4"/>
      <c r="H768" s="4">
        <f t="shared" si="12"/>
        <v>0</v>
      </c>
    </row>
    <row r="769" spans="1:8" x14ac:dyDescent="0.35">
      <c r="A769" s="11"/>
      <c r="B769" s="11"/>
      <c r="C769" s="16"/>
      <c r="D769" s="1"/>
      <c r="E769" s="1"/>
      <c r="F769" s="4"/>
      <c r="G769" s="4"/>
      <c r="H769" s="4">
        <f t="shared" si="12"/>
        <v>0</v>
      </c>
    </row>
    <row r="770" spans="1:8" x14ac:dyDescent="0.35">
      <c r="A770" s="11"/>
      <c r="B770" s="11"/>
      <c r="C770" s="16"/>
      <c r="D770" s="1"/>
      <c r="E770" s="1"/>
      <c r="F770" s="4"/>
      <c r="G770" s="4"/>
      <c r="H770" s="4">
        <f t="shared" si="12"/>
        <v>0</v>
      </c>
    </row>
    <row r="771" spans="1:8" x14ac:dyDescent="0.35">
      <c r="A771" s="11"/>
      <c r="B771" s="11"/>
      <c r="C771" s="16"/>
      <c r="D771" s="1"/>
      <c r="E771" s="1"/>
      <c r="F771" s="4"/>
      <c r="G771" s="4"/>
      <c r="H771" s="4">
        <f t="shared" si="12"/>
        <v>0</v>
      </c>
    </row>
    <row r="772" spans="1:8" x14ac:dyDescent="0.35">
      <c r="A772" s="11"/>
      <c r="B772" s="11"/>
      <c r="C772" s="16"/>
      <c r="D772" s="1"/>
      <c r="E772" s="1"/>
      <c r="F772" s="4"/>
      <c r="G772" s="4"/>
      <c r="H772" s="4">
        <f t="shared" si="12"/>
        <v>0</v>
      </c>
    </row>
    <row r="773" spans="1:8" x14ac:dyDescent="0.35">
      <c r="A773" s="11"/>
      <c r="B773" s="11"/>
      <c r="C773" s="16"/>
      <c r="D773" s="1"/>
      <c r="E773" s="1"/>
      <c r="F773" s="4"/>
      <c r="G773" s="4"/>
      <c r="H773" s="4">
        <f t="shared" si="12"/>
        <v>0</v>
      </c>
    </row>
    <row r="774" spans="1:8" x14ac:dyDescent="0.35">
      <c r="A774" s="11"/>
      <c r="B774" s="11"/>
      <c r="C774" s="16"/>
      <c r="D774" s="1"/>
      <c r="E774" s="1"/>
      <c r="F774" s="4"/>
      <c r="G774" s="4"/>
      <c r="H774" s="4">
        <f t="shared" si="12"/>
        <v>0</v>
      </c>
    </row>
    <row r="775" spans="1:8" x14ac:dyDescent="0.35">
      <c r="A775" s="11"/>
      <c r="B775" s="11"/>
      <c r="C775" s="16"/>
      <c r="D775" s="1"/>
      <c r="E775" s="1"/>
      <c r="F775" s="4"/>
      <c r="G775" s="4"/>
      <c r="H775" s="4">
        <f t="shared" si="12"/>
        <v>0</v>
      </c>
    </row>
    <row r="776" spans="1:8" x14ac:dyDescent="0.35">
      <c r="A776" s="11"/>
      <c r="B776" s="11"/>
      <c r="C776" s="16"/>
      <c r="D776" s="1"/>
      <c r="E776" s="1"/>
      <c r="F776" s="4"/>
      <c r="G776" s="4"/>
      <c r="H776" s="4">
        <f t="shared" si="12"/>
        <v>0</v>
      </c>
    </row>
    <row r="777" spans="1:8" x14ac:dyDescent="0.35">
      <c r="A777" s="11"/>
      <c r="B777" s="11"/>
      <c r="C777" s="16"/>
      <c r="D777" s="1"/>
      <c r="E777" s="1"/>
      <c r="F777" s="4"/>
      <c r="G777" s="4"/>
      <c r="H777" s="4">
        <f t="shared" si="12"/>
        <v>0</v>
      </c>
    </row>
    <row r="778" spans="1:8" x14ac:dyDescent="0.35">
      <c r="A778" s="11"/>
      <c r="B778" s="11"/>
      <c r="C778" s="16"/>
      <c r="D778" s="1"/>
      <c r="E778" s="1"/>
      <c r="F778" s="4"/>
      <c r="G778" s="4"/>
      <c r="H778" s="4">
        <f t="shared" si="12"/>
        <v>0</v>
      </c>
    </row>
    <row r="779" spans="1:8" x14ac:dyDescent="0.35">
      <c r="A779" s="11"/>
      <c r="B779" s="11"/>
      <c r="C779" s="16"/>
      <c r="D779" s="1"/>
      <c r="E779" s="1"/>
      <c r="F779" s="4"/>
      <c r="G779" s="4"/>
      <c r="H779" s="4">
        <f t="shared" si="12"/>
        <v>0</v>
      </c>
    </row>
    <row r="780" spans="1:8" x14ac:dyDescent="0.35">
      <c r="A780" s="11"/>
      <c r="B780" s="11"/>
      <c r="C780" s="16"/>
      <c r="D780" s="1"/>
      <c r="E780" s="1"/>
      <c r="F780" s="4"/>
      <c r="G780" s="4"/>
      <c r="H780" s="4">
        <f t="shared" si="12"/>
        <v>0</v>
      </c>
    </row>
    <row r="781" spans="1:8" x14ac:dyDescent="0.35">
      <c r="A781" s="11"/>
      <c r="B781" s="11"/>
      <c r="C781" s="16"/>
      <c r="D781" s="1"/>
      <c r="E781" s="1"/>
      <c r="F781" s="4"/>
      <c r="G781" s="4"/>
      <c r="H781" s="4">
        <f t="shared" si="12"/>
        <v>0</v>
      </c>
    </row>
    <row r="782" spans="1:8" x14ac:dyDescent="0.35">
      <c r="A782" s="11"/>
      <c r="B782" s="11"/>
      <c r="C782" s="16"/>
      <c r="D782" s="1"/>
      <c r="E782" s="1"/>
      <c r="F782" s="4"/>
      <c r="G782" s="4"/>
      <c r="H782" s="4">
        <f t="shared" si="12"/>
        <v>0</v>
      </c>
    </row>
    <row r="783" spans="1:8" x14ac:dyDescent="0.35">
      <c r="A783" s="11"/>
      <c r="B783" s="11"/>
      <c r="C783" s="16"/>
      <c r="D783" s="1"/>
      <c r="E783" s="1"/>
      <c r="F783" s="4"/>
      <c r="G783" s="4"/>
      <c r="H783" s="4">
        <f t="shared" si="12"/>
        <v>0</v>
      </c>
    </row>
    <row r="784" spans="1:8" x14ac:dyDescent="0.35">
      <c r="A784" s="11"/>
      <c r="B784" s="11"/>
      <c r="C784" s="16"/>
      <c r="D784" s="1"/>
      <c r="E784" s="1"/>
      <c r="F784" s="4"/>
      <c r="G784" s="4"/>
      <c r="H784" s="4">
        <f t="shared" si="12"/>
        <v>0</v>
      </c>
    </row>
    <row r="785" spans="1:8" x14ac:dyDescent="0.35">
      <c r="A785" s="11"/>
      <c r="B785" s="11"/>
      <c r="C785" s="16"/>
      <c r="D785" s="1"/>
      <c r="E785" s="1"/>
      <c r="F785" s="4"/>
      <c r="G785" s="4"/>
      <c r="H785" s="4">
        <f t="shared" si="12"/>
        <v>0</v>
      </c>
    </row>
    <row r="786" spans="1:8" x14ac:dyDescent="0.35">
      <c r="A786" s="11"/>
      <c r="B786" s="11"/>
      <c r="C786" s="16"/>
      <c r="D786" s="1"/>
      <c r="E786" s="1"/>
      <c r="F786" s="4"/>
      <c r="G786" s="4"/>
      <c r="H786" s="4">
        <f t="shared" si="12"/>
        <v>0</v>
      </c>
    </row>
    <row r="787" spans="1:8" x14ac:dyDescent="0.35">
      <c r="A787" s="11"/>
      <c r="B787" s="11"/>
      <c r="C787" s="16"/>
      <c r="D787" s="1"/>
      <c r="E787" s="1"/>
      <c r="F787" s="4"/>
      <c r="G787" s="4"/>
      <c r="H787" s="4">
        <f t="shared" si="12"/>
        <v>0</v>
      </c>
    </row>
    <row r="788" spans="1:8" x14ac:dyDescent="0.35">
      <c r="A788" s="11"/>
      <c r="B788" s="11"/>
      <c r="C788" s="16"/>
      <c r="D788" s="1"/>
      <c r="E788" s="1"/>
      <c r="F788" s="4"/>
      <c r="G788" s="4"/>
      <c r="H788" s="4">
        <f t="shared" si="12"/>
        <v>0</v>
      </c>
    </row>
    <row r="789" spans="1:8" x14ac:dyDescent="0.35">
      <c r="A789" s="11"/>
      <c r="B789" s="11"/>
      <c r="C789" s="16"/>
      <c r="D789" s="1"/>
      <c r="E789" s="1"/>
      <c r="F789" s="4"/>
      <c r="G789" s="4"/>
      <c r="H789" s="4">
        <f t="shared" si="12"/>
        <v>0</v>
      </c>
    </row>
    <row r="790" spans="1:8" x14ac:dyDescent="0.35">
      <c r="A790" s="11"/>
      <c r="B790" s="11"/>
      <c r="C790" s="16"/>
      <c r="D790" s="1"/>
      <c r="E790" s="1"/>
      <c r="F790" s="4"/>
      <c r="G790" s="4"/>
      <c r="H790" s="4">
        <f t="shared" si="12"/>
        <v>0</v>
      </c>
    </row>
    <row r="791" spans="1:8" x14ac:dyDescent="0.35">
      <c r="A791" s="11"/>
      <c r="B791" s="11"/>
      <c r="C791" s="16"/>
      <c r="D791" s="1"/>
      <c r="E791" s="1"/>
      <c r="F791" s="4"/>
      <c r="G791" s="4"/>
      <c r="H791" s="4">
        <f t="shared" si="12"/>
        <v>0</v>
      </c>
    </row>
    <row r="792" spans="1:8" x14ac:dyDescent="0.35">
      <c r="A792" s="11"/>
      <c r="B792" s="11"/>
      <c r="C792" s="16"/>
      <c r="D792" s="1"/>
      <c r="E792" s="1"/>
      <c r="F792" s="4"/>
      <c r="G792" s="4"/>
      <c r="H792" s="4">
        <f t="shared" si="12"/>
        <v>0</v>
      </c>
    </row>
    <row r="793" spans="1:8" x14ac:dyDescent="0.35">
      <c r="A793" s="11"/>
      <c r="B793" s="11"/>
      <c r="C793" s="16"/>
      <c r="D793" s="1"/>
      <c r="E793" s="1"/>
      <c r="F793" s="4"/>
      <c r="G793" s="4"/>
      <c r="H793" s="4">
        <f t="shared" si="12"/>
        <v>0</v>
      </c>
    </row>
    <row r="794" spans="1:8" x14ac:dyDescent="0.35">
      <c r="A794" s="11"/>
      <c r="B794" s="11"/>
      <c r="C794" s="16"/>
      <c r="D794" s="1"/>
      <c r="E794" s="1"/>
      <c r="F794" s="4"/>
      <c r="G794" s="4"/>
      <c r="H794" s="4">
        <f t="shared" si="12"/>
        <v>0</v>
      </c>
    </row>
    <row r="795" spans="1:8" x14ac:dyDescent="0.35">
      <c r="A795" s="11"/>
      <c r="B795" s="11"/>
      <c r="C795" s="16"/>
      <c r="D795" s="1"/>
      <c r="E795" s="1"/>
      <c r="F795" s="4"/>
      <c r="G795" s="4"/>
      <c r="H795" s="4">
        <f t="shared" si="12"/>
        <v>0</v>
      </c>
    </row>
    <row r="796" spans="1:8" x14ac:dyDescent="0.35">
      <c r="A796" s="11"/>
      <c r="B796" s="11"/>
      <c r="C796" s="16"/>
      <c r="D796" s="1"/>
      <c r="E796" s="1"/>
      <c r="F796" s="4"/>
      <c r="G796" s="4"/>
      <c r="H796" s="4">
        <f t="shared" si="12"/>
        <v>0</v>
      </c>
    </row>
    <row r="797" spans="1:8" x14ac:dyDescent="0.35">
      <c r="A797" s="11"/>
      <c r="B797" s="11"/>
      <c r="C797" s="16"/>
      <c r="D797" s="1"/>
      <c r="E797" s="1"/>
      <c r="F797" s="4"/>
      <c r="G797" s="4"/>
      <c r="H797" s="4">
        <f t="shared" si="12"/>
        <v>0</v>
      </c>
    </row>
    <row r="798" spans="1:8" x14ac:dyDescent="0.35">
      <c r="A798" s="11"/>
      <c r="B798" s="11"/>
      <c r="C798" s="16"/>
      <c r="D798" s="1"/>
      <c r="E798" s="1"/>
      <c r="F798" s="4"/>
      <c r="G798" s="4"/>
      <c r="H798" s="4">
        <f t="shared" si="12"/>
        <v>0</v>
      </c>
    </row>
    <row r="799" spans="1:8" x14ac:dyDescent="0.35">
      <c r="A799" s="11"/>
      <c r="B799" s="11"/>
      <c r="C799" s="16"/>
      <c r="D799" s="1"/>
      <c r="E799" s="1"/>
      <c r="F799" s="4"/>
      <c r="G799" s="4"/>
      <c r="H799" s="4">
        <f t="shared" si="12"/>
        <v>0</v>
      </c>
    </row>
    <row r="800" spans="1:8" x14ac:dyDescent="0.35">
      <c r="A800" s="11"/>
      <c r="B800" s="11"/>
      <c r="C800" s="16"/>
      <c r="D800" s="1"/>
      <c r="E800" s="1"/>
      <c r="F800" s="4"/>
      <c r="G800" s="4"/>
      <c r="H800" s="4">
        <f t="shared" si="12"/>
        <v>0</v>
      </c>
    </row>
    <row r="801" spans="1:8" x14ac:dyDescent="0.35">
      <c r="A801" s="11"/>
      <c r="B801" s="11"/>
      <c r="C801" s="16"/>
      <c r="D801" s="1"/>
      <c r="E801" s="1"/>
      <c r="F801" s="4"/>
      <c r="G801" s="4"/>
      <c r="H801" s="4">
        <f t="shared" ref="H801:H864" si="13">H800+F801-G801</f>
        <v>0</v>
      </c>
    </row>
    <row r="802" spans="1:8" x14ac:dyDescent="0.35">
      <c r="A802" s="11"/>
      <c r="B802" s="11"/>
      <c r="C802" s="16"/>
      <c r="D802" s="1"/>
      <c r="E802" s="1"/>
      <c r="F802" s="4"/>
      <c r="G802" s="4"/>
      <c r="H802" s="4">
        <f t="shared" si="13"/>
        <v>0</v>
      </c>
    </row>
    <row r="803" spans="1:8" x14ac:dyDescent="0.35">
      <c r="A803" s="11"/>
      <c r="B803" s="11"/>
      <c r="C803" s="16"/>
      <c r="D803" s="1"/>
      <c r="E803" s="1"/>
      <c r="F803" s="4"/>
      <c r="G803" s="4"/>
      <c r="H803" s="4">
        <f t="shared" si="13"/>
        <v>0</v>
      </c>
    </row>
    <row r="804" spans="1:8" x14ac:dyDescent="0.35">
      <c r="A804" s="11"/>
      <c r="B804" s="11"/>
      <c r="C804" s="16"/>
      <c r="D804" s="1"/>
      <c r="E804" s="1"/>
      <c r="F804" s="4"/>
      <c r="G804" s="4"/>
      <c r="H804" s="4">
        <f t="shared" si="13"/>
        <v>0</v>
      </c>
    </row>
    <row r="805" spans="1:8" x14ac:dyDescent="0.35">
      <c r="A805" s="11"/>
      <c r="B805" s="11"/>
      <c r="C805" s="16"/>
      <c r="D805" s="1"/>
      <c r="E805" s="1"/>
      <c r="F805" s="4"/>
      <c r="G805" s="4"/>
      <c r="H805" s="4">
        <f t="shared" si="13"/>
        <v>0</v>
      </c>
    </row>
    <row r="806" spans="1:8" x14ac:dyDescent="0.35">
      <c r="A806" s="11"/>
      <c r="B806" s="11"/>
      <c r="C806" s="16"/>
      <c r="D806" s="1"/>
      <c r="E806" s="1"/>
      <c r="F806" s="4"/>
      <c r="G806" s="4"/>
      <c r="H806" s="4">
        <f t="shared" si="13"/>
        <v>0</v>
      </c>
    </row>
    <row r="807" spans="1:8" x14ac:dyDescent="0.35">
      <c r="A807" s="11"/>
      <c r="B807" s="11"/>
      <c r="C807" s="16"/>
      <c r="D807" s="1"/>
      <c r="E807" s="1"/>
      <c r="F807" s="4"/>
      <c r="G807" s="4"/>
      <c r="H807" s="4">
        <f t="shared" si="13"/>
        <v>0</v>
      </c>
    </row>
    <row r="808" spans="1:8" x14ac:dyDescent="0.35">
      <c r="A808" s="11"/>
      <c r="B808" s="11"/>
      <c r="C808" s="16"/>
      <c r="D808" s="1"/>
      <c r="E808" s="1"/>
      <c r="F808" s="4"/>
      <c r="G808" s="4"/>
      <c r="H808" s="4">
        <f t="shared" si="13"/>
        <v>0</v>
      </c>
    </row>
    <row r="809" spans="1:8" x14ac:dyDescent="0.35">
      <c r="A809" s="11"/>
      <c r="B809" s="11"/>
      <c r="C809" s="16"/>
      <c r="D809" s="1"/>
      <c r="E809" s="1"/>
      <c r="F809" s="4"/>
      <c r="G809" s="4"/>
      <c r="H809" s="4">
        <f t="shared" si="13"/>
        <v>0</v>
      </c>
    </row>
    <row r="810" spans="1:8" x14ac:dyDescent="0.35">
      <c r="A810" s="11"/>
      <c r="B810" s="11"/>
      <c r="C810" s="16"/>
      <c r="D810" s="1"/>
      <c r="E810" s="1"/>
      <c r="F810" s="4"/>
      <c r="G810" s="4"/>
      <c r="H810" s="4">
        <f t="shared" si="13"/>
        <v>0</v>
      </c>
    </row>
    <row r="811" spans="1:8" x14ac:dyDescent="0.35">
      <c r="A811" s="11"/>
      <c r="B811" s="11"/>
      <c r="C811" s="16"/>
      <c r="D811" s="1"/>
      <c r="E811" s="1"/>
      <c r="F811" s="4"/>
      <c r="G811" s="4"/>
      <c r="H811" s="4">
        <f t="shared" si="13"/>
        <v>0</v>
      </c>
    </row>
    <row r="812" spans="1:8" x14ac:dyDescent="0.35">
      <c r="A812" s="11"/>
      <c r="B812" s="11"/>
      <c r="C812" s="16"/>
      <c r="D812" s="1"/>
      <c r="E812" s="1"/>
      <c r="F812" s="4"/>
      <c r="G812" s="4"/>
      <c r="H812" s="4">
        <f t="shared" si="13"/>
        <v>0</v>
      </c>
    </row>
    <row r="813" spans="1:8" x14ac:dyDescent="0.35">
      <c r="A813" s="11"/>
      <c r="B813" s="11"/>
      <c r="C813" s="16"/>
      <c r="D813" s="1"/>
      <c r="E813" s="1"/>
      <c r="F813" s="4"/>
      <c r="G813" s="4"/>
      <c r="H813" s="4">
        <f t="shared" si="13"/>
        <v>0</v>
      </c>
    </row>
    <row r="814" spans="1:8" x14ac:dyDescent="0.35">
      <c r="A814" s="11"/>
      <c r="B814" s="11"/>
      <c r="C814" s="16"/>
      <c r="D814" s="1"/>
      <c r="E814" s="1"/>
      <c r="F814" s="4"/>
      <c r="G814" s="4"/>
      <c r="H814" s="4">
        <f t="shared" si="13"/>
        <v>0</v>
      </c>
    </row>
    <row r="815" spans="1:8" x14ac:dyDescent="0.35">
      <c r="A815" s="11"/>
      <c r="B815" s="11"/>
      <c r="C815" s="16"/>
      <c r="D815" s="1"/>
      <c r="E815" s="1"/>
      <c r="F815" s="4"/>
      <c r="G815" s="4"/>
      <c r="H815" s="4">
        <f t="shared" si="13"/>
        <v>0</v>
      </c>
    </row>
    <row r="816" spans="1:8" x14ac:dyDescent="0.35">
      <c r="A816" s="11"/>
      <c r="B816" s="11"/>
      <c r="C816" s="16"/>
      <c r="D816" s="1"/>
      <c r="E816" s="1"/>
      <c r="F816" s="4"/>
      <c r="G816" s="4"/>
      <c r="H816" s="4">
        <f t="shared" si="13"/>
        <v>0</v>
      </c>
    </row>
    <row r="817" spans="1:8" x14ac:dyDescent="0.35">
      <c r="A817" s="11"/>
      <c r="B817" s="11"/>
      <c r="C817" s="16"/>
      <c r="D817" s="1"/>
      <c r="E817" s="1"/>
      <c r="F817" s="4"/>
      <c r="G817" s="4"/>
      <c r="H817" s="4">
        <f t="shared" si="13"/>
        <v>0</v>
      </c>
    </row>
    <row r="818" spans="1:8" x14ac:dyDescent="0.35">
      <c r="A818" s="11"/>
      <c r="B818" s="11"/>
      <c r="C818" s="16"/>
      <c r="D818" s="1"/>
      <c r="E818" s="1"/>
      <c r="F818" s="4"/>
      <c r="G818" s="4"/>
      <c r="H818" s="4">
        <f t="shared" si="13"/>
        <v>0</v>
      </c>
    </row>
    <row r="819" spans="1:8" x14ac:dyDescent="0.35">
      <c r="A819" s="11"/>
      <c r="B819" s="11"/>
      <c r="C819" s="16"/>
      <c r="D819" s="1"/>
      <c r="E819" s="1"/>
      <c r="F819" s="4"/>
      <c r="G819" s="4"/>
      <c r="H819" s="4">
        <f t="shared" si="13"/>
        <v>0</v>
      </c>
    </row>
    <row r="820" spans="1:8" x14ac:dyDescent="0.35">
      <c r="A820" s="11"/>
      <c r="B820" s="11"/>
      <c r="C820" s="16"/>
      <c r="D820" s="1"/>
      <c r="E820" s="1"/>
      <c r="F820" s="4"/>
      <c r="G820" s="4"/>
      <c r="H820" s="4">
        <f t="shared" si="13"/>
        <v>0</v>
      </c>
    </row>
    <row r="821" spans="1:8" x14ac:dyDescent="0.35">
      <c r="A821" s="11"/>
      <c r="B821" s="11"/>
      <c r="C821" s="16"/>
      <c r="D821" s="1"/>
      <c r="E821" s="1"/>
      <c r="F821" s="4"/>
      <c r="G821" s="4"/>
      <c r="H821" s="4">
        <f t="shared" si="13"/>
        <v>0</v>
      </c>
    </row>
    <row r="822" spans="1:8" x14ac:dyDescent="0.35">
      <c r="A822" s="11"/>
      <c r="B822" s="11"/>
      <c r="C822" s="16"/>
      <c r="D822" s="1"/>
      <c r="E822" s="1"/>
      <c r="F822" s="4"/>
      <c r="G822" s="4"/>
      <c r="H822" s="4">
        <f t="shared" si="13"/>
        <v>0</v>
      </c>
    </row>
    <row r="823" spans="1:8" x14ac:dyDescent="0.35">
      <c r="A823" s="11"/>
      <c r="B823" s="11"/>
      <c r="C823" s="16"/>
      <c r="D823" s="1"/>
      <c r="E823" s="1"/>
      <c r="F823" s="4"/>
      <c r="G823" s="4"/>
      <c r="H823" s="4">
        <f t="shared" si="13"/>
        <v>0</v>
      </c>
    </row>
    <row r="824" spans="1:8" x14ac:dyDescent="0.35">
      <c r="A824" s="11"/>
      <c r="B824" s="11"/>
      <c r="C824" s="16"/>
      <c r="D824" s="1"/>
      <c r="E824" s="1"/>
      <c r="F824" s="4"/>
      <c r="G824" s="4"/>
      <c r="H824" s="4">
        <f t="shared" si="13"/>
        <v>0</v>
      </c>
    </row>
    <row r="825" spans="1:8" x14ac:dyDescent="0.35">
      <c r="A825" s="11"/>
      <c r="B825" s="11"/>
      <c r="C825" s="16"/>
      <c r="D825" s="1"/>
      <c r="E825" s="1"/>
      <c r="F825" s="4"/>
      <c r="G825" s="4"/>
      <c r="H825" s="4">
        <f t="shared" si="13"/>
        <v>0</v>
      </c>
    </row>
    <row r="826" spans="1:8" x14ac:dyDescent="0.35">
      <c r="A826" s="11"/>
      <c r="B826" s="11"/>
      <c r="C826" s="16"/>
      <c r="D826" s="1"/>
      <c r="E826" s="1"/>
      <c r="F826" s="4"/>
      <c r="G826" s="4"/>
      <c r="H826" s="4">
        <f t="shared" si="13"/>
        <v>0</v>
      </c>
    </row>
    <row r="827" spans="1:8" x14ac:dyDescent="0.35">
      <c r="A827" s="11"/>
      <c r="B827" s="11"/>
      <c r="C827" s="16"/>
      <c r="D827" s="1"/>
      <c r="E827" s="1"/>
      <c r="F827" s="4"/>
      <c r="G827" s="4"/>
      <c r="H827" s="4">
        <f t="shared" si="13"/>
        <v>0</v>
      </c>
    </row>
    <row r="828" spans="1:8" x14ac:dyDescent="0.35">
      <c r="A828" s="11"/>
      <c r="B828" s="11"/>
      <c r="C828" s="16"/>
      <c r="D828" s="1"/>
      <c r="E828" s="1"/>
      <c r="F828" s="4"/>
      <c r="G828" s="4"/>
      <c r="H828" s="4">
        <f t="shared" si="13"/>
        <v>0</v>
      </c>
    </row>
    <row r="829" spans="1:8" x14ac:dyDescent="0.35">
      <c r="A829" s="11"/>
      <c r="B829" s="11"/>
      <c r="C829" s="16"/>
      <c r="D829" s="1"/>
      <c r="E829" s="1"/>
      <c r="F829" s="4"/>
      <c r="G829" s="4"/>
      <c r="H829" s="4">
        <f t="shared" si="13"/>
        <v>0</v>
      </c>
    </row>
    <row r="830" spans="1:8" x14ac:dyDescent="0.35">
      <c r="A830" s="11"/>
      <c r="B830" s="11"/>
      <c r="C830" s="16"/>
      <c r="D830" s="1"/>
      <c r="E830" s="1"/>
      <c r="F830" s="4"/>
      <c r="G830" s="4"/>
      <c r="H830" s="4">
        <f t="shared" si="13"/>
        <v>0</v>
      </c>
    </row>
    <row r="831" spans="1:8" x14ac:dyDescent="0.35">
      <c r="A831" s="11"/>
      <c r="B831" s="11"/>
      <c r="C831" s="16"/>
      <c r="D831" s="1"/>
      <c r="E831" s="1"/>
      <c r="F831" s="4"/>
      <c r="G831" s="4"/>
      <c r="H831" s="4">
        <f t="shared" si="13"/>
        <v>0</v>
      </c>
    </row>
    <row r="832" spans="1:8" x14ac:dyDescent="0.35">
      <c r="A832" s="11"/>
      <c r="B832" s="11"/>
      <c r="C832" s="16"/>
      <c r="D832" s="1"/>
      <c r="E832" s="1"/>
      <c r="F832" s="4"/>
      <c r="G832" s="4"/>
      <c r="H832" s="4">
        <f t="shared" si="13"/>
        <v>0</v>
      </c>
    </row>
    <row r="833" spans="1:8" x14ac:dyDescent="0.35">
      <c r="A833" s="11"/>
      <c r="B833" s="11"/>
      <c r="C833" s="16"/>
      <c r="D833" s="1"/>
      <c r="E833" s="1"/>
      <c r="F833" s="4"/>
      <c r="G833" s="4"/>
      <c r="H833" s="4">
        <f t="shared" si="13"/>
        <v>0</v>
      </c>
    </row>
    <row r="834" spans="1:8" x14ac:dyDescent="0.35">
      <c r="A834" s="11"/>
      <c r="B834" s="11"/>
      <c r="C834" s="16"/>
      <c r="D834" s="1"/>
      <c r="E834" s="1"/>
      <c r="F834" s="4"/>
      <c r="G834" s="4"/>
      <c r="H834" s="4">
        <f t="shared" si="13"/>
        <v>0</v>
      </c>
    </row>
    <row r="835" spans="1:8" x14ac:dyDescent="0.35">
      <c r="A835" s="11"/>
      <c r="B835" s="11"/>
      <c r="C835" s="16"/>
      <c r="D835" s="1"/>
      <c r="E835" s="1"/>
      <c r="F835" s="4"/>
      <c r="G835" s="4"/>
      <c r="H835" s="4">
        <f t="shared" si="13"/>
        <v>0</v>
      </c>
    </row>
    <row r="836" spans="1:8" x14ac:dyDescent="0.35">
      <c r="A836" s="11"/>
      <c r="B836" s="11"/>
      <c r="C836" s="16"/>
      <c r="D836" s="1"/>
      <c r="E836" s="1"/>
      <c r="F836" s="4"/>
      <c r="G836" s="4"/>
      <c r="H836" s="4">
        <f t="shared" si="13"/>
        <v>0</v>
      </c>
    </row>
    <row r="837" spans="1:8" x14ac:dyDescent="0.35">
      <c r="A837" s="11"/>
      <c r="B837" s="11"/>
      <c r="C837" s="16"/>
      <c r="D837" s="1"/>
      <c r="E837" s="1"/>
      <c r="F837" s="4"/>
      <c r="G837" s="4"/>
      <c r="H837" s="4">
        <f t="shared" si="13"/>
        <v>0</v>
      </c>
    </row>
    <row r="838" spans="1:8" x14ac:dyDescent="0.35">
      <c r="A838" s="11"/>
      <c r="B838" s="11"/>
      <c r="C838" s="16"/>
      <c r="D838" s="1"/>
      <c r="E838" s="1"/>
      <c r="F838" s="4"/>
      <c r="G838" s="4"/>
      <c r="H838" s="4">
        <f t="shared" si="13"/>
        <v>0</v>
      </c>
    </row>
    <row r="839" spans="1:8" x14ac:dyDescent="0.35">
      <c r="A839" s="11"/>
      <c r="B839" s="11"/>
      <c r="C839" s="16"/>
      <c r="D839" s="1"/>
      <c r="E839" s="1"/>
      <c r="F839" s="4"/>
      <c r="G839" s="4"/>
      <c r="H839" s="4">
        <f t="shared" si="13"/>
        <v>0</v>
      </c>
    </row>
    <row r="840" spans="1:8" x14ac:dyDescent="0.35">
      <c r="A840" s="11"/>
      <c r="B840" s="11"/>
      <c r="C840" s="16"/>
      <c r="D840" s="1"/>
      <c r="E840" s="1"/>
      <c r="F840" s="4"/>
      <c r="G840" s="4"/>
      <c r="H840" s="4">
        <f t="shared" si="13"/>
        <v>0</v>
      </c>
    </row>
    <row r="841" spans="1:8" x14ac:dyDescent="0.35">
      <c r="A841" s="11"/>
      <c r="B841" s="11"/>
      <c r="C841" s="16"/>
      <c r="D841" s="1"/>
      <c r="E841" s="1"/>
      <c r="F841" s="4"/>
      <c r="G841" s="4"/>
      <c r="H841" s="4">
        <f t="shared" si="13"/>
        <v>0</v>
      </c>
    </row>
    <row r="842" spans="1:8" x14ac:dyDescent="0.35">
      <c r="A842" s="11"/>
      <c r="B842" s="11"/>
      <c r="C842" s="16"/>
      <c r="D842" s="1"/>
      <c r="E842" s="1"/>
      <c r="F842" s="4"/>
      <c r="G842" s="4"/>
      <c r="H842" s="4">
        <f t="shared" si="13"/>
        <v>0</v>
      </c>
    </row>
    <row r="843" spans="1:8" x14ac:dyDescent="0.35">
      <c r="A843" s="11"/>
      <c r="B843" s="11"/>
      <c r="C843" s="16"/>
      <c r="D843" s="1"/>
      <c r="E843" s="1"/>
      <c r="F843" s="4"/>
      <c r="G843" s="4"/>
      <c r="H843" s="4">
        <f t="shared" si="13"/>
        <v>0</v>
      </c>
    </row>
    <row r="844" spans="1:8" x14ac:dyDescent="0.35">
      <c r="A844" s="11"/>
      <c r="B844" s="11"/>
      <c r="C844" s="16"/>
      <c r="D844" s="1"/>
      <c r="E844" s="1"/>
      <c r="F844" s="4"/>
      <c r="G844" s="4"/>
      <c r="H844" s="4">
        <f t="shared" si="13"/>
        <v>0</v>
      </c>
    </row>
    <row r="845" spans="1:8" x14ac:dyDescent="0.35">
      <c r="A845" s="11"/>
      <c r="B845" s="11"/>
      <c r="C845" s="16"/>
      <c r="D845" s="1"/>
      <c r="E845" s="1"/>
      <c r="F845" s="4"/>
      <c r="G845" s="4"/>
      <c r="H845" s="4">
        <f t="shared" si="13"/>
        <v>0</v>
      </c>
    </row>
    <row r="846" spans="1:8" x14ac:dyDescent="0.35">
      <c r="A846" s="11"/>
      <c r="B846" s="11"/>
      <c r="C846" s="16"/>
      <c r="D846" s="1"/>
      <c r="E846" s="1"/>
      <c r="F846" s="4"/>
      <c r="G846" s="4"/>
      <c r="H846" s="4">
        <f t="shared" si="13"/>
        <v>0</v>
      </c>
    </row>
    <row r="847" spans="1:8" x14ac:dyDescent="0.35">
      <c r="A847" s="11"/>
      <c r="B847" s="11"/>
      <c r="C847" s="16"/>
      <c r="D847" s="1"/>
      <c r="E847" s="1"/>
      <c r="F847" s="4"/>
      <c r="G847" s="4"/>
      <c r="H847" s="4">
        <f t="shared" si="13"/>
        <v>0</v>
      </c>
    </row>
    <row r="848" spans="1:8" x14ac:dyDescent="0.35">
      <c r="A848" s="11"/>
      <c r="B848" s="11"/>
      <c r="C848" s="16"/>
      <c r="D848" s="1"/>
      <c r="E848" s="1"/>
      <c r="F848" s="4"/>
      <c r="G848" s="4"/>
      <c r="H848" s="4">
        <f t="shared" si="13"/>
        <v>0</v>
      </c>
    </row>
    <row r="849" spans="1:8" x14ac:dyDescent="0.35">
      <c r="A849" s="11"/>
      <c r="B849" s="11"/>
      <c r="C849" s="16"/>
      <c r="D849" s="1"/>
      <c r="E849" s="1"/>
      <c r="F849" s="4"/>
      <c r="G849" s="4"/>
      <c r="H849" s="4">
        <f t="shared" si="13"/>
        <v>0</v>
      </c>
    </row>
    <row r="850" spans="1:8" x14ac:dyDescent="0.35">
      <c r="A850" s="11"/>
      <c r="B850" s="11"/>
      <c r="C850" s="16"/>
      <c r="D850" s="1"/>
      <c r="E850" s="1"/>
      <c r="F850" s="4"/>
      <c r="G850" s="4"/>
      <c r="H850" s="4">
        <f t="shared" si="13"/>
        <v>0</v>
      </c>
    </row>
    <row r="851" spans="1:8" x14ac:dyDescent="0.35">
      <c r="A851" s="11"/>
      <c r="B851" s="11"/>
      <c r="C851" s="16"/>
      <c r="D851" s="1"/>
      <c r="E851" s="1"/>
      <c r="F851" s="4"/>
      <c r="G851" s="4"/>
      <c r="H851" s="4">
        <f t="shared" si="13"/>
        <v>0</v>
      </c>
    </row>
    <row r="852" spans="1:8" x14ac:dyDescent="0.35">
      <c r="A852" s="11"/>
      <c r="B852" s="11"/>
      <c r="C852" s="16"/>
      <c r="D852" s="1"/>
      <c r="E852" s="1"/>
      <c r="F852" s="4"/>
      <c r="G852" s="4"/>
      <c r="H852" s="4">
        <f t="shared" si="13"/>
        <v>0</v>
      </c>
    </row>
    <row r="853" spans="1:8" x14ac:dyDescent="0.35">
      <c r="A853" s="11"/>
      <c r="B853" s="11"/>
      <c r="C853" s="16"/>
      <c r="D853" s="1"/>
      <c r="E853" s="1"/>
      <c r="F853" s="4"/>
      <c r="G853" s="4"/>
      <c r="H853" s="4">
        <f t="shared" si="13"/>
        <v>0</v>
      </c>
    </row>
    <row r="854" spans="1:8" x14ac:dyDescent="0.35">
      <c r="A854" s="11"/>
      <c r="B854" s="11"/>
      <c r="C854" s="16"/>
      <c r="D854" s="1"/>
      <c r="E854" s="1"/>
      <c r="F854" s="4"/>
      <c r="G854" s="4"/>
      <c r="H854" s="4">
        <f t="shared" si="13"/>
        <v>0</v>
      </c>
    </row>
    <row r="855" spans="1:8" x14ac:dyDescent="0.35">
      <c r="A855" s="11"/>
      <c r="B855" s="11"/>
      <c r="C855" s="16"/>
      <c r="D855" s="1"/>
      <c r="E855" s="1"/>
      <c r="F855" s="4"/>
      <c r="G855" s="4"/>
      <c r="H855" s="4">
        <f t="shared" si="13"/>
        <v>0</v>
      </c>
    </row>
    <row r="856" spans="1:8" x14ac:dyDescent="0.35">
      <c r="A856" s="11"/>
      <c r="B856" s="11"/>
      <c r="C856" s="16"/>
      <c r="D856" s="1"/>
      <c r="E856" s="1"/>
      <c r="F856" s="4"/>
      <c r="G856" s="4"/>
      <c r="H856" s="4">
        <f t="shared" si="13"/>
        <v>0</v>
      </c>
    </row>
    <row r="857" spans="1:8" x14ac:dyDescent="0.35">
      <c r="A857" s="11"/>
      <c r="B857" s="11"/>
      <c r="C857" s="16"/>
      <c r="D857" s="1"/>
      <c r="E857" s="1"/>
      <c r="F857" s="4"/>
      <c r="G857" s="4"/>
      <c r="H857" s="4">
        <f t="shared" si="13"/>
        <v>0</v>
      </c>
    </row>
    <row r="858" spans="1:8" x14ac:dyDescent="0.35">
      <c r="A858" s="11"/>
      <c r="B858" s="11"/>
      <c r="C858" s="16"/>
      <c r="D858" s="1"/>
      <c r="E858" s="1"/>
      <c r="F858" s="4"/>
      <c r="G858" s="4"/>
      <c r="H858" s="4">
        <f t="shared" si="13"/>
        <v>0</v>
      </c>
    </row>
    <row r="859" spans="1:8" x14ac:dyDescent="0.35">
      <c r="A859" s="11"/>
      <c r="B859" s="11"/>
      <c r="C859" s="16"/>
      <c r="D859" s="1"/>
      <c r="E859" s="1"/>
      <c r="F859" s="4"/>
      <c r="G859" s="4"/>
      <c r="H859" s="4">
        <f t="shared" si="13"/>
        <v>0</v>
      </c>
    </row>
    <row r="860" spans="1:8" x14ac:dyDescent="0.35">
      <c r="A860" s="11"/>
      <c r="B860" s="11"/>
      <c r="C860" s="16"/>
      <c r="D860" s="1"/>
      <c r="E860" s="1"/>
      <c r="F860" s="4"/>
      <c r="G860" s="4"/>
      <c r="H860" s="4">
        <f t="shared" si="13"/>
        <v>0</v>
      </c>
    </row>
    <row r="861" spans="1:8" x14ac:dyDescent="0.35">
      <c r="A861" s="11"/>
      <c r="B861" s="11"/>
      <c r="C861" s="16"/>
      <c r="D861" s="1"/>
      <c r="E861" s="1"/>
      <c r="F861" s="4"/>
      <c r="G861" s="4"/>
      <c r="H861" s="4">
        <f t="shared" si="13"/>
        <v>0</v>
      </c>
    </row>
    <row r="862" spans="1:8" x14ac:dyDescent="0.35">
      <c r="A862" s="11"/>
      <c r="B862" s="11"/>
      <c r="C862" s="16"/>
      <c r="D862" s="1"/>
      <c r="E862" s="1"/>
      <c r="F862" s="4"/>
      <c r="G862" s="4"/>
      <c r="H862" s="4">
        <f t="shared" si="13"/>
        <v>0</v>
      </c>
    </row>
    <row r="863" spans="1:8" x14ac:dyDescent="0.35">
      <c r="A863" s="11"/>
      <c r="B863" s="11"/>
      <c r="C863" s="16"/>
      <c r="D863" s="1"/>
      <c r="E863" s="1"/>
      <c r="F863" s="4"/>
      <c r="G863" s="4"/>
      <c r="H863" s="4">
        <f t="shared" si="13"/>
        <v>0</v>
      </c>
    </row>
    <row r="864" spans="1:8" x14ac:dyDescent="0.35">
      <c r="A864" s="11"/>
      <c r="B864" s="11"/>
      <c r="C864" s="16"/>
      <c r="D864" s="1"/>
      <c r="E864" s="1"/>
      <c r="F864" s="4"/>
      <c r="G864" s="4"/>
      <c r="H864" s="4">
        <f t="shared" si="13"/>
        <v>0</v>
      </c>
    </row>
    <row r="865" spans="1:8" x14ac:dyDescent="0.35">
      <c r="A865" s="11"/>
      <c r="B865" s="11"/>
      <c r="C865" s="16"/>
      <c r="D865" s="1"/>
      <c r="E865" s="1"/>
      <c r="F865" s="4"/>
      <c r="G865" s="4"/>
      <c r="H865" s="4">
        <f t="shared" ref="H865:H928" si="14">H864+F865-G865</f>
        <v>0</v>
      </c>
    </row>
    <row r="866" spans="1:8" x14ac:dyDescent="0.35">
      <c r="A866" s="11"/>
      <c r="B866" s="11"/>
      <c r="C866" s="16"/>
      <c r="D866" s="1"/>
      <c r="E866" s="1"/>
      <c r="F866" s="4"/>
      <c r="G866" s="4"/>
      <c r="H866" s="4">
        <f t="shared" si="14"/>
        <v>0</v>
      </c>
    </row>
    <row r="867" spans="1:8" x14ac:dyDescent="0.35">
      <c r="A867" s="11"/>
      <c r="B867" s="11"/>
      <c r="C867" s="16"/>
      <c r="D867" s="1"/>
      <c r="E867" s="1"/>
      <c r="F867" s="4"/>
      <c r="G867" s="4"/>
      <c r="H867" s="4">
        <f t="shared" si="14"/>
        <v>0</v>
      </c>
    </row>
    <row r="868" spans="1:8" x14ac:dyDescent="0.35">
      <c r="A868" s="11"/>
      <c r="B868" s="11"/>
      <c r="C868" s="16"/>
      <c r="D868" s="1"/>
      <c r="E868" s="1"/>
      <c r="F868" s="4"/>
      <c r="G868" s="4"/>
      <c r="H868" s="4">
        <f t="shared" si="14"/>
        <v>0</v>
      </c>
    </row>
    <row r="869" spans="1:8" x14ac:dyDescent="0.35">
      <c r="A869" s="11"/>
      <c r="B869" s="11"/>
      <c r="C869" s="16"/>
      <c r="D869" s="1"/>
      <c r="E869" s="1"/>
      <c r="F869" s="4"/>
      <c r="G869" s="4"/>
      <c r="H869" s="4">
        <f t="shared" si="14"/>
        <v>0</v>
      </c>
    </row>
    <row r="870" spans="1:8" x14ac:dyDescent="0.35">
      <c r="A870" s="11"/>
      <c r="B870" s="11"/>
      <c r="C870" s="16"/>
      <c r="D870" s="1"/>
      <c r="E870" s="1"/>
      <c r="F870" s="4"/>
      <c r="G870" s="4"/>
      <c r="H870" s="4">
        <f t="shared" si="14"/>
        <v>0</v>
      </c>
    </row>
    <row r="871" spans="1:8" x14ac:dyDescent="0.35">
      <c r="A871" s="11"/>
      <c r="B871" s="11"/>
      <c r="C871" s="16"/>
      <c r="D871" s="1"/>
      <c r="E871" s="1"/>
      <c r="F871" s="4"/>
      <c r="G871" s="4"/>
      <c r="H871" s="4">
        <f t="shared" si="14"/>
        <v>0</v>
      </c>
    </row>
    <row r="872" spans="1:8" x14ac:dyDescent="0.35">
      <c r="A872" s="11"/>
      <c r="B872" s="11"/>
      <c r="C872" s="16"/>
      <c r="D872" s="1"/>
      <c r="E872" s="1"/>
      <c r="F872" s="4"/>
      <c r="G872" s="4"/>
      <c r="H872" s="4">
        <f t="shared" si="14"/>
        <v>0</v>
      </c>
    </row>
    <row r="873" spans="1:8" x14ac:dyDescent="0.35">
      <c r="A873" s="11"/>
      <c r="B873" s="11"/>
      <c r="C873" s="16"/>
      <c r="D873" s="1"/>
      <c r="E873" s="1"/>
      <c r="F873" s="4"/>
      <c r="G873" s="4"/>
      <c r="H873" s="4">
        <f t="shared" si="14"/>
        <v>0</v>
      </c>
    </row>
    <row r="874" spans="1:8" x14ac:dyDescent="0.35">
      <c r="A874" s="11"/>
      <c r="B874" s="11"/>
      <c r="C874" s="16"/>
      <c r="D874" s="1"/>
      <c r="E874" s="1"/>
      <c r="F874" s="4"/>
      <c r="G874" s="4"/>
      <c r="H874" s="4">
        <f t="shared" si="14"/>
        <v>0</v>
      </c>
    </row>
    <row r="875" spans="1:8" x14ac:dyDescent="0.35">
      <c r="A875" s="11"/>
      <c r="B875" s="11"/>
      <c r="C875" s="16"/>
      <c r="D875" s="1"/>
      <c r="E875" s="1"/>
      <c r="F875" s="4"/>
      <c r="G875" s="4"/>
      <c r="H875" s="4">
        <f t="shared" si="14"/>
        <v>0</v>
      </c>
    </row>
    <row r="876" spans="1:8" x14ac:dyDescent="0.35">
      <c r="A876" s="11"/>
      <c r="B876" s="11"/>
      <c r="C876" s="16"/>
      <c r="D876" s="1"/>
      <c r="E876" s="1"/>
      <c r="F876" s="4"/>
      <c r="G876" s="4"/>
      <c r="H876" s="4">
        <f t="shared" si="14"/>
        <v>0</v>
      </c>
    </row>
    <row r="877" spans="1:8" x14ac:dyDescent="0.35">
      <c r="A877" s="11"/>
      <c r="B877" s="11"/>
      <c r="C877" s="16"/>
      <c r="D877" s="1"/>
      <c r="E877" s="1"/>
      <c r="F877" s="4"/>
      <c r="G877" s="4"/>
      <c r="H877" s="4">
        <f t="shared" si="14"/>
        <v>0</v>
      </c>
    </row>
    <row r="878" spans="1:8" x14ac:dyDescent="0.35">
      <c r="A878" s="11"/>
      <c r="B878" s="11"/>
      <c r="C878" s="16"/>
      <c r="D878" s="1"/>
      <c r="E878" s="1"/>
      <c r="F878" s="4"/>
      <c r="G878" s="4"/>
      <c r="H878" s="4">
        <f t="shared" si="14"/>
        <v>0</v>
      </c>
    </row>
    <row r="879" spans="1:8" x14ac:dyDescent="0.35">
      <c r="A879" s="11"/>
      <c r="B879" s="11"/>
      <c r="C879" s="16"/>
      <c r="D879" s="1"/>
      <c r="E879" s="1"/>
      <c r="F879" s="4"/>
      <c r="G879" s="4"/>
      <c r="H879" s="4">
        <f t="shared" si="14"/>
        <v>0</v>
      </c>
    </row>
    <row r="880" spans="1:8" x14ac:dyDescent="0.35">
      <c r="A880" s="11"/>
      <c r="B880" s="11"/>
      <c r="C880" s="16"/>
      <c r="D880" s="1"/>
      <c r="E880" s="1"/>
      <c r="F880" s="4"/>
      <c r="G880" s="4"/>
      <c r="H880" s="4">
        <f t="shared" si="14"/>
        <v>0</v>
      </c>
    </row>
    <row r="881" spans="1:8" x14ac:dyDescent="0.35">
      <c r="A881" s="11"/>
      <c r="B881" s="11"/>
      <c r="C881" s="16"/>
      <c r="D881" s="1"/>
      <c r="E881" s="1"/>
      <c r="F881" s="4"/>
      <c r="G881" s="4"/>
      <c r="H881" s="4">
        <f t="shared" si="14"/>
        <v>0</v>
      </c>
    </row>
    <row r="882" spans="1:8" x14ac:dyDescent="0.35">
      <c r="A882" s="11"/>
      <c r="B882" s="11"/>
      <c r="C882" s="16"/>
      <c r="D882" s="1"/>
      <c r="E882" s="1"/>
      <c r="F882" s="4"/>
      <c r="G882" s="4"/>
      <c r="H882" s="4">
        <f t="shared" si="14"/>
        <v>0</v>
      </c>
    </row>
    <row r="883" spans="1:8" x14ac:dyDescent="0.35">
      <c r="A883" s="11"/>
      <c r="B883" s="11"/>
      <c r="C883" s="16"/>
      <c r="D883" s="1"/>
      <c r="E883" s="1"/>
      <c r="F883" s="4"/>
      <c r="G883" s="4"/>
      <c r="H883" s="4">
        <f t="shared" si="14"/>
        <v>0</v>
      </c>
    </row>
    <row r="884" spans="1:8" x14ac:dyDescent="0.35">
      <c r="A884" s="11"/>
      <c r="B884" s="11"/>
      <c r="C884" s="16"/>
      <c r="D884" s="1"/>
      <c r="E884" s="1"/>
      <c r="F884" s="4"/>
      <c r="G884" s="4"/>
      <c r="H884" s="4">
        <f t="shared" si="14"/>
        <v>0</v>
      </c>
    </row>
    <row r="885" spans="1:8" x14ac:dyDescent="0.35">
      <c r="A885" s="11"/>
      <c r="B885" s="11"/>
      <c r="C885" s="16"/>
      <c r="D885" s="1"/>
      <c r="E885" s="1"/>
      <c r="F885" s="4"/>
      <c r="G885" s="4"/>
      <c r="H885" s="4">
        <f t="shared" si="14"/>
        <v>0</v>
      </c>
    </row>
    <row r="886" spans="1:8" x14ac:dyDescent="0.35">
      <c r="A886" s="11"/>
      <c r="B886" s="11"/>
      <c r="C886" s="16"/>
      <c r="D886" s="1"/>
      <c r="E886" s="1"/>
      <c r="F886" s="4"/>
      <c r="G886" s="4"/>
      <c r="H886" s="4">
        <f t="shared" si="14"/>
        <v>0</v>
      </c>
    </row>
    <row r="887" spans="1:8" x14ac:dyDescent="0.35">
      <c r="A887" s="11"/>
      <c r="B887" s="11"/>
      <c r="C887" s="16"/>
      <c r="D887" s="1"/>
      <c r="E887" s="1"/>
      <c r="F887" s="4"/>
      <c r="G887" s="4"/>
      <c r="H887" s="4">
        <f t="shared" si="14"/>
        <v>0</v>
      </c>
    </row>
    <row r="888" spans="1:8" x14ac:dyDescent="0.35">
      <c r="A888" s="11"/>
      <c r="B888" s="11"/>
      <c r="C888" s="16"/>
      <c r="D888" s="1"/>
      <c r="E888" s="1"/>
      <c r="F888" s="4"/>
      <c r="G888" s="4"/>
      <c r="H888" s="4">
        <f t="shared" si="14"/>
        <v>0</v>
      </c>
    </row>
    <row r="889" spans="1:8" x14ac:dyDescent="0.35">
      <c r="A889" s="11"/>
      <c r="B889" s="11"/>
      <c r="C889" s="16"/>
      <c r="D889" s="1"/>
      <c r="E889" s="1"/>
      <c r="F889" s="4"/>
      <c r="G889" s="4"/>
      <c r="H889" s="4">
        <f t="shared" si="14"/>
        <v>0</v>
      </c>
    </row>
    <row r="890" spans="1:8" x14ac:dyDescent="0.35">
      <c r="A890" s="11"/>
      <c r="B890" s="11"/>
      <c r="C890" s="16"/>
      <c r="D890" s="1"/>
      <c r="E890" s="1"/>
      <c r="F890" s="4"/>
      <c r="G890" s="4"/>
      <c r="H890" s="4">
        <f t="shared" si="14"/>
        <v>0</v>
      </c>
    </row>
    <row r="891" spans="1:8" x14ac:dyDescent="0.35">
      <c r="A891" s="11"/>
      <c r="B891" s="11"/>
      <c r="C891" s="16"/>
      <c r="D891" s="1"/>
      <c r="E891" s="1"/>
      <c r="F891" s="4"/>
      <c r="G891" s="4"/>
      <c r="H891" s="4">
        <f t="shared" si="14"/>
        <v>0</v>
      </c>
    </row>
    <row r="892" spans="1:8" x14ac:dyDescent="0.35">
      <c r="A892" s="11"/>
      <c r="B892" s="11"/>
      <c r="C892" s="16"/>
      <c r="D892" s="1"/>
      <c r="E892" s="1"/>
      <c r="F892" s="4"/>
      <c r="G892" s="4"/>
      <c r="H892" s="4">
        <f t="shared" si="14"/>
        <v>0</v>
      </c>
    </row>
    <row r="893" spans="1:8" x14ac:dyDescent="0.35">
      <c r="A893" s="11"/>
      <c r="B893" s="11"/>
      <c r="C893" s="16"/>
      <c r="D893" s="1"/>
      <c r="E893" s="1"/>
      <c r="F893" s="4"/>
      <c r="G893" s="4"/>
      <c r="H893" s="4">
        <f t="shared" si="14"/>
        <v>0</v>
      </c>
    </row>
    <row r="894" spans="1:8" x14ac:dyDescent="0.35">
      <c r="A894" s="11"/>
      <c r="B894" s="11"/>
      <c r="C894" s="16"/>
      <c r="D894" s="1"/>
      <c r="E894" s="1"/>
      <c r="F894" s="4"/>
      <c r="G894" s="4"/>
      <c r="H894" s="4">
        <f t="shared" si="14"/>
        <v>0</v>
      </c>
    </row>
    <row r="895" spans="1:8" x14ac:dyDescent="0.35">
      <c r="A895" s="11"/>
      <c r="B895" s="11"/>
      <c r="C895" s="16"/>
      <c r="D895" s="1"/>
      <c r="E895" s="1"/>
      <c r="F895" s="4"/>
      <c r="G895" s="4"/>
      <c r="H895" s="4">
        <f t="shared" si="14"/>
        <v>0</v>
      </c>
    </row>
    <row r="896" spans="1:8" x14ac:dyDescent="0.35">
      <c r="A896" s="11"/>
      <c r="B896" s="11"/>
      <c r="C896" s="16"/>
      <c r="D896" s="1"/>
      <c r="E896" s="1"/>
      <c r="F896" s="4"/>
      <c r="G896" s="4"/>
      <c r="H896" s="4">
        <f t="shared" si="14"/>
        <v>0</v>
      </c>
    </row>
    <row r="897" spans="1:8" x14ac:dyDescent="0.35">
      <c r="A897" s="11"/>
      <c r="B897" s="11"/>
      <c r="C897" s="16"/>
      <c r="D897" s="1"/>
      <c r="E897" s="1"/>
      <c r="F897" s="4"/>
      <c r="G897" s="4"/>
      <c r="H897" s="4">
        <f t="shared" si="14"/>
        <v>0</v>
      </c>
    </row>
    <row r="898" spans="1:8" x14ac:dyDescent="0.35">
      <c r="A898" s="11"/>
      <c r="B898" s="11"/>
      <c r="C898" s="16"/>
      <c r="D898" s="1"/>
      <c r="E898" s="1"/>
      <c r="F898" s="4"/>
      <c r="G898" s="4"/>
      <c r="H898" s="4">
        <f t="shared" si="14"/>
        <v>0</v>
      </c>
    </row>
    <row r="899" spans="1:8" x14ac:dyDescent="0.35">
      <c r="A899" s="11"/>
      <c r="B899" s="11"/>
      <c r="C899" s="16"/>
      <c r="D899" s="1"/>
      <c r="E899" s="1"/>
      <c r="F899" s="4"/>
      <c r="G899" s="4"/>
      <c r="H899" s="4">
        <f t="shared" si="14"/>
        <v>0</v>
      </c>
    </row>
    <row r="900" spans="1:8" x14ac:dyDescent="0.35">
      <c r="A900" s="11"/>
      <c r="B900" s="11"/>
      <c r="C900" s="16"/>
      <c r="D900" s="1"/>
      <c r="E900" s="1"/>
      <c r="F900" s="4"/>
      <c r="G900" s="4"/>
      <c r="H900" s="4">
        <f t="shared" si="14"/>
        <v>0</v>
      </c>
    </row>
    <row r="901" spans="1:8" x14ac:dyDescent="0.35">
      <c r="A901" s="11"/>
      <c r="B901" s="11"/>
      <c r="C901" s="16"/>
      <c r="D901" s="1"/>
      <c r="E901" s="1"/>
      <c r="F901" s="4"/>
      <c r="G901" s="4"/>
      <c r="H901" s="4">
        <f t="shared" si="14"/>
        <v>0</v>
      </c>
    </row>
    <row r="902" spans="1:8" x14ac:dyDescent="0.35">
      <c r="A902" s="11"/>
      <c r="B902" s="11"/>
      <c r="C902" s="16"/>
      <c r="D902" s="1"/>
      <c r="E902" s="1"/>
      <c r="F902" s="4"/>
      <c r="G902" s="4"/>
      <c r="H902" s="4">
        <f t="shared" si="14"/>
        <v>0</v>
      </c>
    </row>
    <row r="903" spans="1:8" x14ac:dyDescent="0.35">
      <c r="A903" s="11"/>
      <c r="B903" s="11"/>
      <c r="C903" s="16"/>
      <c r="D903" s="1"/>
      <c r="E903" s="1"/>
      <c r="F903" s="4"/>
      <c r="G903" s="4"/>
      <c r="H903" s="4">
        <f t="shared" si="14"/>
        <v>0</v>
      </c>
    </row>
    <row r="904" spans="1:8" x14ac:dyDescent="0.35">
      <c r="A904" s="11"/>
      <c r="B904" s="11"/>
      <c r="C904" s="16"/>
      <c r="D904" s="1"/>
      <c r="E904" s="1"/>
      <c r="F904" s="4"/>
      <c r="G904" s="4"/>
      <c r="H904" s="4">
        <f t="shared" si="14"/>
        <v>0</v>
      </c>
    </row>
    <row r="905" spans="1:8" x14ac:dyDescent="0.35">
      <c r="A905" s="11"/>
      <c r="B905" s="11"/>
      <c r="C905" s="16"/>
      <c r="D905" s="1"/>
      <c r="E905" s="1"/>
      <c r="F905" s="4"/>
      <c r="G905" s="4"/>
      <c r="H905" s="4">
        <f t="shared" si="14"/>
        <v>0</v>
      </c>
    </row>
    <row r="906" spans="1:8" x14ac:dyDescent="0.35">
      <c r="A906" s="11"/>
      <c r="B906" s="11"/>
      <c r="C906" s="16"/>
      <c r="D906" s="1"/>
      <c r="E906" s="1"/>
      <c r="F906" s="4"/>
      <c r="G906" s="4"/>
      <c r="H906" s="4">
        <f t="shared" si="14"/>
        <v>0</v>
      </c>
    </row>
    <row r="907" spans="1:8" x14ac:dyDescent="0.35">
      <c r="A907" s="11"/>
      <c r="B907" s="11"/>
      <c r="C907" s="16"/>
      <c r="D907" s="1"/>
      <c r="E907" s="1"/>
      <c r="F907" s="4"/>
      <c r="G907" s="4"/>
      <c r="H907" s="4">
        <f t="shared" si="14"/>
        <v>0</v>
      </c>
    </row>
    <row r="908" spans="1:8" x14ac:dyDescent="0.35">
      <c r="A908" s="11"/>
      <c r="B908" s="11"/>
      <c r="C908" s="16"/>
      <c r="D908" s="1"/>
      <c r="E908" s="1"/>
      <c r="F908" s="4"/>
      <c r="G908" s="4"/>
      <c r="H908" s="4">
        <f t="shared" si="14"/>
        <v>0</v>
      </c>
    </row>
    <row r="909" spans="1:8" x14ac:dyDescent="0.35">
      <c r="A909" s="11"/>
      <c r="B909" s="11"/>
      <c r="C909" s="16"/>
      <c r="D909" s="1"/>
      <c r="E909" s="1"/>
      <c r="F909" s="4"/>
      <c r="G909" s="4"/>
      <c r="H909" s="4">
        <f t="shared" si="14"/>
        <v>0</v>
      </c>
    </row>
    <row r="910" spans="1:8" x14ac:dyDescent="0.35">
      <c r="A910" s="11"/>
      <c r="B910" s="11"/>
      <c r="C910" s="16"/>
      <c r="D910" s="1"/>
      <c r="E910" s="1"/>
      <c r="F910" s="4"/>
      <c r="G910" s="4"/>
      <c r="H910" s="4">
        <f t="shared" si="14"/>
        <v>0</v>
      </c>
    </row>
    <row r="911" spans="1:8" x14ac:dyDescent="0.35">
      <c r="A911" s="11"/>
      <c r="B911" s="11"/>
      <c r="C911" s="16"/>
      <c r="D911" s="1"/>
      <c r="E911" s="1"/>
      <c r="F911" s="4"/>
      <c r="G911" s="4"/>
      <c r="H911" s="4">
        <f t="shared" si="14"/>
        <v>0</v>
      </c>
    </row>
    <row r="912" spans="1:8" x14ac:dyDescent="0.35">
      <c r="A912" s="11"/>
      <c r="B912" s="11"/>
      <c r="C912" s="16"/>
      <c r="D912" s="1"/>
      <c r="E912" s="1"/>
      <c r="F912" s="4"/>
      <c r="G912" s="4"/>
      <c r="H912" s="4">
        <f t="shared" si="14"/>
        <v>0</v>
      </c>
    </row>
    <row r="913" spans="1:8" x14ac:dyDescent="0.35">
      <c r="A913" s="11"/>
      <c r="B913" s="11"/>
      <c r="C913" s="16"/>
      <c r="D913" s="1"/>
      <c r="E913" s="1"/>
      <c r="F913" s="4"/>
      <c r="G913" s="4"/>
      <c r="H913" s="4">
        <f t="shared" si="14"/>
        <v>0</v>
      </c>
    </row>
    <row r="914" spans="1:8" x14ac:dyDescent="0.35">
      <c r="A914" s="11"/>
      <c r="B914" s="11"/>
      <c r="C914" s="16"/>
      <c r="D914" s="1"/>
      <c r="E914" s="1"/>
      <c r="F914" s="4"/>
      <c r="G914" s="4"/>
      <c r="H914" s="4">
        <f t="shared" si="14"/>
        <v>0</v>
      </c>
    </row>
    <row r="915" spans="1:8" x14ac:dyDescent="0.35">
      <c r="A915" s="11"/>
      <c r="B915" s="11"/>
      <c r="C915" s="16"/>
      <c r="D915" s="1"/>
      <c r="E915" s="1"/>
      <c r="F915" s="4"/>
      <c r="G915" s="4"/>
      <c r="H915" s="4">
        <f t="shared" si="14"/>
        <v>0</v>
      </c>
    </row>
    <row r="916" spans="1:8" x14ac:dyDescent="0.35">
      <c r="A916" s="11"/>
      <c r="B916" s="11"/>
      <c r="C916" s="16"/>
      <c r="D916" s="1"/>
      <c r="E916" s="1"/>
      <c r="F916" s="4"/>
      <c r="G916" s="4"/>
      <c r="H916" s="4">
        <f t="shared" si="14"/>
        <v>0</v>
      </c>
    </row>
    <row r="917" spans="1:8" x14ac:dyDescent="0.35">
      <c r="A917" s="11"/>
      <c r="B917" s="11"/>
      <c r="C917" s="16"/>
      <c r="D917" s="1"/>
      <c r="E917" s="1"/>
      <c r="F917" s="4"/>
      <c r="G917" s="4"/>
      <c r="H917" s="4">
        <f t="shared" si="14"/>
        <v>0</v>
      </c>
    </row>
    <row r="918" spans="1:8" x14ac:dyDescent="0.35">
      <c r="A918" s="11"/>
      <c r="B918" s="11"/>
      <c r="C918" s="16"/>
      <c r="D918" s="1"/>
      <c r="E918" s="1"/>
      <c r="F918" s="4"/>
      <c r="G918" s="4"/>
      <c r="H918" s="4">
        <f t="shared" si="14"/>
        <v>0</v>
      </c>
    </row>
    <row r="919" spans="1:8" x14ac:dyDescent="0.35">
      <c r="A919" s="11"/>
      <c r="B919" s="11"/>
      <c r="C919" s="16"/>
      <c r="D919" s="1"/>
      <c r="E919" s="1"/>
      <c r="F919" s="4"/>
      <c r="G919" s="4"/>
      <c r="H919" s="4">
        <f t="shared" si="14"/>
        <v>0</v>
      </c>
    </row>
    <row r="920" spans="1:8" x14ac:dyDescent="0.35">
      <c r="A920" s="11"/>
      <c r="B920" s="11"/>
      <c r="C920" s="16"/>
      <c r="D920" s="1"/>
      <c r="E920" s="1"/>
      <c r="F920" s="4"/>
      <c r="G920" s="4"/>
      <c r="H920" s="4">
        <f t="shared" si="14"/>
        <v>0</v>
      </c>
    </row>
    <row r="921" spans="1:8" x14ac:dyDescent="0.35">
      <c r="A921" s="11"/>
      <c r="B921" s="11"/>
      <c r="C921" s="16"/>
      <c r="D921" s="1"/>
      <c r="E921" s="1"/>
      <c r="F921" s="4"/>
      <c r="G921" s="4"/>
      <c r="H921" s="4">
        <f t="shared" si="14"/>
        <v>0</v>
      </c>
    </row>
    <row r="922" spans="1:8" x14ac:dyDescent="0.35">
      <c r="A922" s="11"/>
      <c r="B922" s="11"/>
      <c r="C922" s="16"/>
      <c r="D922" s="1"/>
      <c r="E922" s="1"/>
      <c r="F922" s="4"/>
      <c r="G922" s="4"/>
      <c r="H922" s="4">
        <f t="shared" si="14"/>
        <v>0</v>
      </c>
    </row>
    <row r="923" spans="1:8" x14ac:dyDescent="0.35">
      <c r="A923" s="11"/>
      <c r="B923" s="11"/>
      <c r="C923" s="16"/>
      <c r="D923" s="1"/>
      <c r="E923" s="1"/>
      <c r="F923" s="4"/>
      <c r="G923" s="4"/>
      <c r="H923" s="4">
        <f t="shared" si="14"/>
        <v>0</v>
      </c>
    </row>
    <row r="924" spans="1:8" x14ac:dyDescent="0.35">
      <c r="A924" s="11"/>
      <c r="B924" s="11"/>
      <c r="C924" s="16"/>
      <c r="D924" s="1"/>
      <c r="E924" s="1"/>
      <c r="F924" s="4"/>
      <c r="G924" s="4"/>
      <c r="H924" s="4">
        <f t="shared" si="14"/>
        <v>0</v>
      </c>
    </row>
    <row r="925" spans="1:8" x14ac:dyDescent="0.35">
      <c r="A925" s="11"/>
      <c r="B925" s="11"/>
      <c r="C925" s="16"/>
      <c r="D925" s="1"/>
      <c r="E925" s="1"/>
      <c r="F925" s="4"/>
      <c r="G925" s="4"/>
      <c r="H925" s="4">
        <f t="shared" si="14"/>
        <v>0</v>
      </c>
    </row>
    <row r="926" spans="1:8" x14ac:dyDescent="0.35">
      <c r="A926" s="11"/>
      <c r="B926" s="11"/>
      <c r="C926" s="16"/>
      <c r="D926" s="1"/>
      <c r="E926" s="1"/>
      <c r="F926" s="4"/>
      <c r="G926" s="4"/>
      <c r="H926" s="4">
        <f t="shared" si="14"/>
        <v>0</v>
      </c>
    </row>
    <row r="927" spans="1:8" x14ac:dyDescent="0.35">
      <c r="A927" s="11"/>
      <c r="B927" s="11"/>
      <c r="C927" s="16"/>
      <c r="D927" s="1"/>
      <c r="E927" s="1"/>
      <c r="F927" s="4"/>
      <c r="G927" s="4"/>
      <c r="H927" s="4">
        <f t="shared" si="14"/>
        <v>0</v>
      </c>
    </row>
    <row r="928" spans="1:8" x14ac:dyDescent="0.35">
      <c r="A928" s="11"/>
      <c r="B928" s="11"/>
      <c r="C928" s="16"/>
      <c r="D928" s="1"/>
      <c r="E928" s="1"/>
      <c r="F928" s="4"/>
      <c r="G928" s="4"/>
      <c r="H928" s="4">
        <f t="shared" si="14"/>
        <v>0</v>
      </c>
    </row>
    <row r="929" spans="1:8" x14ac:dyDescent="0.35">
      <c r="A929" s="11"/>
      <c r="B929" s="11"/>
      <c r="C929" s="16"/>
      <c r="D929" s="1"/>
      <c r="E929" s="1"/>
      <c r="F929" s="4"/>
      <c r="G929" s="4"/>
      <c r="H929" s="4">
        <f t="shared" ref="H929:H992" si="15">H928+F929-G929</f>
        <v>0</v>
      </c>
    </row>
    <row r="930" spans="1:8" x14ac:dyDescent="0.35">
      <c r="A930" s="11"/>
      <c r="B930" s="11"/>
      <c r="C930" s="16"/>
      <c r="D930" s="1"/>
      <c r="E930" s="1"/>
      <c r="F930" s="4"/>
      <c r="G930" s="4"/>
      <c r="H930" s="4">
        <f t="shared" si="15"/>
        <v>0</v>
      </c>
    </row>
    <row r="931" spans="1:8" x14ac:dyDescent="0.35">
      <c r="A931" s="11"/>
      <c r="B931" s="11"/>
      <c r="C931" s="16"/>
      <c r="D931" s="1"/>
      <c r="E931" s="1"/>
      <c r="F931" s="4"/>
      <c r="G931" s="4"/>
      <c r="H931" s="4">
        <f t="shared" si="15"/>
        <v>0</v>
      </c>
    </row>
    <row r="932" spans="1:8" x14ac:dyDescent="0.35">
      <c r="A932" s="11"/>
      <c r="B932" s="11"/>
      <c r="C932" s="16"/>
      <c r="D932" s="1"/>
      <c r="E932" s="1"/>
      <c r="F932" s="4"/>
      <c r="G932" s="4"/>
      <c r="H932" s="4">
        <f t="shared" si="15"/>
        <v>0</v>
      </c>
    </row>
    <row r="933" spans="1:8" x14ac:dyDescent="0.35">
      <c r="A933" s="11"/>
      <c r="B933" s="11"/>
      <c r="C933" s="16"/>
      <c r="D933" s="1"/>
      <c r="E933" s="1"/>
      <c r="F933" s="4"/>
      <c r="G933" s="4"/>
      <c r="H933" s="4">
        <f t="shared" si="15"/>
        <v>0</v>
      </c>
    </row>
    <row r="934" spans="1:8" x14ac:dyDescent="0.35">
      <c r="A934" s="11"/>
      <c r="B934" s="11"/>
      <c r="C934" s="16"/>
      <c r="D934" s="1"/>
      <c r="E934" s="1"/>
      <c r="F934" s="4"/>
      <c r="G934" s="4"/>
      <c r="H934" s="4">
        <f t="shared" si="15"/>
        <v>0</v>
      </c>
    </row>
    <row r="935" spans="1:8" x14ac:dyDescent="0.35">
      <c r="A935" s="11"/>
      <c r="B935" s="11"/>
      <c r="C935" s="16"/>
      <c r="D935" s="1"/>
      <c r="E935" s="1"/>
      <c r="F935" s="4"/>
      <c r="G935" s="4"/>
      <c r="H935" s="4">
        <f t="shared" si="15"/>
        <v>0</v>
      </c>
    </row>
    <row r="936" spans="1:8" x14ac:dyDescent="0.35">
      <c r="A936" s="11"/>
      <c r="B936" s="11"/>
      <c r="C936" s="16"/>
      <c r="D936" s="1"/>
      <c r="E936" s="1"/>
      <c r="F936" s="4"/>
      <c r="G936" s="4"/>
      <c r="H936" s="4">
        <f t="shared" si="15"/>
        <v>0</v>
      </c>
    </row>
    <row r="937" spans="1:8" x14ac:dyDescent="0.35">
      <c r="A937" s="11"/>
      <c r="B937" s="11"/>
      <c r="C937" s="16"/>
      <c r="D937" s="1"/>
      <c r="E937" s="1"/>
      <c r="F937" s="4"/>
      <c r="G937" s="4"/>
      <c r="H937" s="4">
        <f t="shared" si="15"/>
        <v>0</v>
      </c>
    </row>
    <row r="938" spans="1:8" x14ac:dyDescent="0.35">
      <c r="A938" s="11"/>
      <c r="B938" s="11"/>
      <c r="C938" s="16"/>
      <c r="D938" s="1"/>
      <c r="E938" s="1"/>
      <c r="F938" s="4"/>
      <c r="G938" s="4"/>
      <c r="H938" s="4">
        <f t="shared" si="15"/>
        <v>0</v>
      </c>
    </row>
    <row r="939" spans="1:8" x14ac:dyDescent="0.35">
      <c r="A939" s="11"/>
      <c r="B939" s="11"/>
      <c r="C939" s="16"/>
      <c r="D939" s="1"/>
      <c r="E939" s="1"/>
      <c r="F939" s="4"/>
      <c r="G939" s="4"/>
      <c r="H939" s="4">
        <f t="shared" si="15"/>
        <v>0</v>
      </c>
    </row>
    <row r="940" spans="1:8" x14ac:dyDescent="0.35">
      <c r="A940" s="11"/>
      <c r="B940" s="11"/>
      <c r="C940" s="16"/>
      <c r="D940" s="1"/>
      <c r="E940" s="1"/>
      <c r="F940" s="4"/>
      <c r="G940" s="4"/>
      <c r="H940" s="4">
        <f t="shared" si="15"/>
        <v>0</v>
      </c>
    </row>
    <row r="941" spans="1:8" x14ac:dyDescent="0.35">
      <c r="A941" s="11"/>
      <c r="B941" s="11"/>
      <c r="C941" s="16"/>
      <c r="D941" s="1"/>
      <c r="E941" s="1"/>
      <c r="F941" s="4"/>
      <c r="G941" s="4"/>
      <c r="H941" s="4">
        <f t="shared" si="15"/>
        <v>0</v>
      </c>
    </row>
    <row r="942" spans="1:8" x14ac:dyDescent="0.35">
      <c r="A942" s="11"/>
      <c r="B942" s="11"/>
      <c r="C942" s="16"/>
      <c r="D942" s="1"/>
      <c r="E942" s="1"/>
      <c r="F942" s="4"/>
      <c r="G942" s="4"/>
      <c r="H942" s="4">
        <f t="shared" si="15"/>
        <v>0</v>
      </c>
    </row>
    <row r="943" spans="1:8" x14ac:dyDescent="0.35">
      <c r="A943" s="11"/>
      <c r="B943" s="11"/>
      <c r="C943" s="16"/>
      <c r="D943" s="1"/>
      <c r="E943" s="1"/>
      <c r="F943" s="4"/>
      <c r="G943" s="4"/>
      <c r="H943" s="4">
        <f t="shared" si="15"/>
        <v>0</v>
      </c>
    </row>
    <row r="944" spans="1:8" x14ac:dyDescent="0.35">
      <c r="A944" s="11"/>
      <c r="B944" s="11"/>
      <c r="C944" s="16"/>
      <c r="D944" s="1"/>
      <c r="E944" s="1"/>
      <c r="F944" s="4"/>
      <c r="G944" s="4"/>
      <c r="H944" s="4">
        <f t="shared" si="15"/>
        <v>0</v>
      </c>
    </row>
    <row r="945" spans="1:8" x14ac:dyDescent="0.35">
      <c r="A945" s="11"/>
      <c r="B945" s="11"/>
      <c r="C945" s="16"/>
      <c r="D945" s="1"/>
      <c r="E945" s="1"/>
      <c r="F945" s="4"/>
      <c r="G945" s="4"/>
      <c r="H945" s="4">
        <f t="shared" si="15"/>
        <v>0</v>
      </c>
    </row>
    <row r="946" spans="1:8" x14ac:dyDescent="0.35">
      <c r="A946" s="11"/>
      <c r="B946" s="11"/>
      <c r="C946" s="16"/>
      <c r="D946" s="1"/>
      <c r="E946" s="1"/>
      <c r="F946" s="4"/>
      <c r="G946" s="4"/>
      <c r="H946" s="4">
        <f t="shared" si="15"/>
        <v>0</v>
      </c>
    </row>
    <row r="947" spans="1:8" x14ac:dyDescent="0.35">
      <c r="A947" s="11"/>
      <c r="B947" s="11"/>
      <c r="C947" s="16"/>
      <c r="D947" s="1"/>
      <c r="E947" s="1"/>
      <c r="F947" s="4"/>
      <c r="G947" s="4"/>
      <c r="H947" s="4">
        <f t="shared" si="15"/>
        <v>0</v>
      </c>
    </row>
    <row r="948" spans="1:8" x14ac:dyDescent="0.35">
      <c r="A948" s="11"/>
      <c r="B948" s="11"/>
      <c r="C948" s="16"/>
      <c r="D948" s="1"/>
      <c r="E948" s="1"/>
      <c r="F948" s="4"/>
      <c r="G948" s="4"/>
      <c r="H948" s="4">
        <f t="shared" si="15"/>
        <v>0</v>
      </c>
    </row>
    <row r="949" spans="1:8" x14ac:dyDescent="0.35">
      <c r="A949" s="11"/>
      <c r="B949" s="11"/>
      <c r="C949" s="16"/>
      <c r="D949" s="1"/>
      <c r="E949" s="1"/>
      <c r="F949" s="4"/>
      <c r="G949" s="4"/>
      <c r="H949" s="4">
        <f t="shared" si="15"/>
        <v>0</v>
      </c>
    </row>
    <row r="950" spans="1:8" x14ac:dyDescent="0.35">
      <c r="A950" s="11"/>
      <c r="B950" s="11"/>
      <c r="C950" s="16"/>
      <c r="D950" s="1"/>
      <c r="E950" s="1"/>
      <c r="F950" s="4"/>
      <c r="G950" s="4"/>
      <c r="H950" s="4">
        <f t="shared" si="15"/>
        <v>0</v>
      </c>
    </row>
    <row r="951" spans="1:8" x14ac:dyDescent="0.35">
      <c r="A951" s="11"/>
      <c r="B951" s="11"/>
      <c r="C951" s="16"/>
      <c r="D951" s="1"/>
      <c r="E951" s="1"/>
      <c r="F951" s="4"/>
      <c r="G951" s="4"/>
      <c r="H951" s="4">
        <f t="shared" si="15"/>
        <v>0</v>
      </c>
    </row>
    <row r="952" spans="1:8" x14ac:dyDescent="0.35">
      <c r="A952" s="11"/>
      <c r="B952" s="11"/>
      <c r="C952" s="16"/>
      <c r="D952" s="1"/>
      <c r="E952" s="1"/>
      <c r="F952" s="4"/>
      <c r="G952" s="4"/>
      <c r="H952" s="4">
        <f t="shared" si="15"/>
        <v>0</v>
      </c>
    </row>
    <row r="953" spans="1:8" x14ac:dyDescent="0.35">
      <c r="A953" s="11"/>
      <c r="B953" s="11"/>
      <c r="C953" s="16"/>
      <c r="D953" s="1"/>
      <c r="E953" s="1"/>
      <c r="F953" s="4"/>
      <c r="G953" s="4"/>
      <c r="H953" s="4">
        <f t="shared" si="15"/>
        <v>0</v>
      </c>
    </row>
    <row r="954" spans="1:8" x14ac:dyDescent="0.35">
      <c r="A954" s="11"/>
      <c r="B954" s="11"/>
      <c r="C954" s="16"/>
      <c r="D954" s="1"/>
      <c r="E954" s="1"/>
      <c r="F954" s="4"/>
      <c r="G954" s="4"/>
      <c r="H954" s="4">
        <f t="shared" si="15"/>
        <v>0</v>
      </c>
    </row>
    <row r="955" spans="1:8" x14ac:dyDescent="0.35">
      <c r="A955" s="11"/>
      <c r="B955" s="11"/>
      <c r="C955" s="16"/>
      <c r="D955" s="1"/>
      <c r="E955" s="1"/>
      <c r="F955" s="4"/>
      <c r="G955" s="4"/>
      <c r="H955" s="4">
        <f t="shared" si="15"/>
        <v>0</v>
      </c>
    </row>
    <row r="956" spans="1:8" x14ac:dyDescent="0.35">
      <c r="A956" s="11"/>
      <c r="B956" s="11"/>
      <c r="C956" s="16"/>
      <c r="D956" s="1"/>
      <c r="E956" s="1"/>
      <c r="F956" s="4"/>
      <c r="G956" s="4"/>
      <c r="H956" s="4">
        <f t="shared" si="15"/>
        <v>0</v>
      </c>
    </row>
    <row r="957" spans="1:8" x14ac:dyDescent="0.35">
      <c r="A957" s="11"/>
      <c r="B957" s="11"/>
      <c r="C957" s="16"/>
      <c r="D957" s="1"/>
      <c r="E957" s="1"/>
      <c r="F957" s="4"/>
      <c r="G957" s="4"/>
      <c r="H957" s="4">
        <f t="shared" si="15"/>
        <v>0</v>
      </c>
    </row>
    <row r="958" spans="1:8" x14ac:dyDescent="0.35">
      <c r="A958" s="11"/>
      <c r="B958" s="11"/>
      <c r="C958" s="16"/>
      <c r="D958" s="1"/>
      <c r="E958" s="1"/>
      <c r="F958" s="4"/>
      <c r="G958" s="4"/>
      <c r="H958" s="4">
        <f t="shared" si="15"/>
        <v>0</v>
      </c>
    </row>
    <row r="959" spans="1:8" x14ac:dyDescent="0.35">
      <c r="A959" s="11"/>
      <c r="B959" s="11"/>
      <c r="C959" s="16"/>
      <c r="D959" s="1"/>
      <c r="E959" s="1"/>
      <c r="F959" s="4"/>
      <c r="G959" s="4"/>
      <c r="H959" s="4">
        <f t="shared" si="15"/>
        <v>0</v>
      </c>
    </row>
    <row r="960" spans="1:8" x14ac:dyDescent="0.35">
      <c r="A960" s="11"/>
      <c r="B960" s="11"/>
      <c r="C960" s="16"/>
      <c r="D960" s="1"/>
      <c r="E960" s="1"/>
      <c r="F960" s="4"/>
      <c r="G960" s="4"/>
      <c r="H960" s="4">
        <f t="shared" si="15"/>
        <v>0</v>
      </c>
    </row>
    <row r="961" spans="1:8" x14ac:dyDescent="0.35">
      <c r="A961" s="11"/>
      <c r="B961" s="11"/>
      <c r="C961" s="16"/>
      <c r="D961" s="1"/>
      <c r="E961" s="1"/>
      <c r="F961" s="4"/>
      <c r="G961" s="4"/>
      <c r="H961" s="4">
        <f t="shared" si="15"/>
        <v>0</v>
      </c>
    </row>
    <row r="962" spans="1:8" x14ac:dyDescent="0.35">
      <c r="A962" s="11"/>
      <c r="B962" s="11"/>
      <c r="C962" s="16"/>
      <c r="D962" s="1"/>
      <c r="E962" s="1"/>
      <c r="F962" s="4"/>
      <c r="G962" s="4"/>
      <c r="H962" s="4">
        <f t="shared" si="15"/>
        <v>0</v>
      </c>
    </row>
    <row r="963" spans="1:8" x14ac:dyDescent="0.35">
      <c r="A963" s="11"/>
      <c r="B963" s="11"/>
      <c r="C963" s="16"/>
      <c r="D963" s="1"/>
      <c r="E963" s="1"/>
      <c r="F963" s="4"/>
      <c r="G963" s="4"/>
      <c r="H963" s="4">
        <f t="shared" si="15"/>
        <v>0</v>
      </c>
    </row>
    <row r="964" spans="1:8" x14ac:dyDescent="0.35">
      <c r="A964" s="11"/>
      <c r="B964" s="11"/>
      <c r="C964" s="16"/>
      <c r="D964" s="1"/>
      <c r="E964" s="1"/>
      <c r="F964" s="4"/>
      <c r="G964" s="4"/>
      <c r="H964" s="4">
        <f t="shared" si="15"/>
        <v>0</v>
      </c>
    </row>
    <row r="965" spans="1:8" x14ac:dyDescent="0.35">
      <c r="A965" s="11"/>
      <c r="B965" s="11"/>
      <c r="C965" s="16"/>
      <c r="D965" s="1"/>
      <c r="E965" s="1"/>
      <c r="F965" s="4"/>
      <c r="G965" s="4"/>
      <c r="H965" s="4">
        <f t="shared" si="15"/>
        <v>0</v>
      </c>
    </row>
    <row r="966" spans="1:8" x14ac:dyDescent="0.35">
      <c r="A966" s="11"/>
      <c r="B966" s="11"/>
      <c r="C966" s="16"/>
      <c r="D966" s="1"/>
      <c r="E966" s="1"/>
      <c r="F966" s="4"/>
      <c r="G966" s="4"/>
      <c r="H966" s="4">
        <f t="shared" si="15"/>
        <v>0</v>
      </c>
    </row>
    <row r="967" spans="1:8" x14ac:dyDescent="0.35">
      <c r="A967" s="11"/>
      <c r="B967" s="11"/>
      <c r="C967" s="16"/>
      <c r="D967" s="1"/>
      <c r="E967" s="1"/>
      <c r="F967" s="4"/>
      <c r="G967" s="4"/>
      <c r="H967" s="4">
        <f t="shared" si="15"/>
        <v>0</v>
      </c>
    </row>
    <row r="968" spans="1:8" x14ac:dyDescent="0.35">
      <c r="A968" s="11"/>
      <c r="B968" s="11"/>
      <c r="C968" s="16"/>
      <c r="D968" s="1"/>
      <c r="E968" s="1"/>
      <c r="F968" s="4"/>
      <c r="G968" s="4"/>
      <c r="H968" s="4">
        <f t="shared" si="15"/>
        <v>0</v>
      </c>
    </row>
    <row r="969" spans="1:8" x14ac:dyDescent="0.35">
      <c r="A969" s="11"/>
      <c r="B969" s="11"/>
      <c r="C969" s="16"/>
      <c r="D969" s="1"/>
      <c r="E969" s="1"/>
      <c r="F969" s="4"/>
      <c r="G969" s="4"/>
      <c r="H969" s="4">
        <f t="shared" si="15"/>
        <v>0</v>
      </c>
    </row>
    <row r="970" spans="1:8" x14ac:dyDescent="0.35">
      <c r="A970" s="11"/>
      <c r="B970" s="11"/>
      <c r="C970" s="16"/>
      <c r="D970" s="1"/>
      <c r="E970" s="1"/>
      <c r="F970" s="4"/>
      <c r="G970" s="4"/>
      <c r="H970" s="4">
        <f t="shared" si="15"/>
        <v>0</v>
      </c>
    </row>
    <row r="971" spans="1:8" x14ac:dyDescent="0.35">
      <c r="A971" s="11"/>
      <c r="B971" s="11"/>
      <c r="C971" s="16"/>
      <c r="D971" s="1"/>
      <c r="E971" s="1"/>
      <c r="F971" s="4"/>
      <c r="G971" s="4"/>
      <c r="H971" s="4">
        <f t="shared" si="15"/>
        <v>0</v>
      </c>
    </row>
    <row r="972" spans="1:8" x14ac:dyDescent="0.35">
      <c r="A972" s="11"/>
      <c r="B972" s="11"/>
      <c r="C972" s="16"/>
      <c r="D972" s="1"/>
      <c r="E972" s="1"/>
      <c r="F972" s="4"/>
      <c r="G972" s="4"/>
      <c r="H972" s="4">
        <f t="shared" si="15"/>
        <v>0</v>
      </c>
    </row>
    <row r="973" spans="1:8" x14ac:dyDescent="0.35">
      <c r="A973" s="11"/>
      <c r="B973" s="11"/>
      <c r="C973" s="16"/>
      <c r="D973" s="1"/>
      <c r="E973" s="1"/>
      <c r="F973" s="4"/>
      <c r="G973" s="4"/>
      <c r="H973" s="4">
        <f t="shared" si="15"/>
        <v>0</v>
      </c>
    </row>
    <row r="974" spans="1:8" x14ac:dyDescent="0.35">
      <c r="A974" s="11"/>
      <c r="B974" s="11"/>
      <c r="C974" s="16"/>
      <c r="D974" s="1"/>
      <c r="E974" s="1"/>
      <c r="F974" s="4"/>
      <c r="G974" s="4"/>
      <c r="H974" s="4">
        <f t="shared" si="15"/>
        <v>0</v>
      </c>
    </row>
    <row r="975" spans="1:8" x14ac:dyDescent="0.35">
      <c r="A975" s="11"/>
      <c r="B975" s="11"/>
      <c r="C975" s="16"/>
      <c r="D975" s="1"/>
      <c r="E975" s="1"/>
      <c r="F975" s="4"/>
      <c r="G975" s="4"/>
      <c r="H975" s="4">
        <f t="shared" si="15"/>
        <v>0</v>
      </c>
    </row>
    <row r="976" spans="1:8" x14ac:dyDescent="0.35">
      <c r="A976" s="11"/>
      <c r="B976" s="11"/>
      <c r="C976" s="16"/>
      <c r="D976" s="1"/>
      <c r="E976" s="1"/>
      <c r="F976" s="4"/>
      <c r="G976" s="4"/>
      <c r="H976" s="4">
        <f t="shared" si="15"/>
        <v>0</v>
      </c>
    </row>
    <row r="977" spans="1:8" x14ac:dyDescent="0.35">
      <c r="A977" s="11"/>
      <c r="B977" s="11"/>
      <c r="C977" s="16"/>
      <c r="D977" s="1"/>
      <c r="E977" s="1"/>
      <c r="F977" s="4"/>
      <c r="G977" s="4"/>
      <c r="H977" s="4">
        <f t="shared" si="15"/>
        <v>0</v>
      </c>
    </row>
    <row r="978" spans="1:8" x14ac:dyDescent="0.35">
      <c r="A978" s="11"/>
      <c r="B978" s="11"/>
      <c r="C978" s="16"/>
      <c r="D978" s="1"/>
      <c r="E978" s="1"/>
      <c r="F978" s="4"/>
      <c r="G978" s="4"/>
      <c r="H978" s="4">
        <f t="shared" si="15"/>
        <v>0</v>
      </c>
    </row>
    <row r="979" spans="1:8" x14ac:dyDescent="0.35">
      <c r="A979" s="11"/>
      <c r="B979" s="11"/>
      <c r="C979" s="16"/>
      <c r="D979" s="1"/>
      <c r="E979" s="1"/>
      <c r="F979" s="4"/>
      <c r="G979" s="4"/>
      <c r="H979" s="4">
        <f t="shared" si="15"/>
        <v>0</v>
      </c>
    </row>
    <row r="980" spans="1:8" x14ac:dyDescent="0.35">
      <c r="A980" s="11"/>
      <c r="B980" s="11"/>
      <c r="C980" s="16"/>
      <c r="D980" s="1"/>
      <c r="E980" s="1"/>
      <c r="F980" s="4"/>
      <c r="G980" s="4"/>
      <c r="H980" s="4">
        <f t="shared" si="15"/>
        <v>0</v>
      </c>
    </row>
    <row r="981" spans="1:8" x14ac:dyDescent="0.35">
      <c r="A981" s="11"/>
      <c r="B981" s="11"/>
      <c r="C981" s="16"/>
      <c r="D981" s="1"/>
      <c r="E981" s="1"/>
      <c r="F981" s="4"/>
      <c r="G981" s="4"/>
      <c r="H981" s="4">
        <f t="shared" si="15"/>
        <v>0</v>
      </c>
    </row>
    <row r="982" spans="1:8" x14ac:dyDescent="0.35">
      <c r="A982" s="11"/>
      <c r="B982" s="11"/>
      <c r="C982" s="16"/>
      <c r="D982" s="1"/>
      <c r="E982" s="1"/>
      <c r="F982" s="4"/>
      <c r="G982" s="4"/>
      <c r="H982" s="4">
        <f t="shared" si="15"/>
        <v>0</v>
      </c>
    </row>
    <row r="983" spans="1:8" x14ac:dyDescent="0.35">
      <c r="A983" s="11"/>
      <c r="B983" s="11"/>
      <c r="C983" s="16"/>
      <c r="D983" s="1"/>
      <c r="E983" s="1"/>
      <c r="F983" s="4"/>
      <c r="G983" s="4"/>
      <c r="H983" s="4">
        <f t="shared" si="15"/>
        <v>0</v>
      </c>
    </row>
    <row r="984" spans="1:8" x14ac:dyDescent="0.35">
      <c r="A984" s="11"/>
      <c r="B984" s="11"/>
      <c r="C984" s="16"/>
      <c r="D984" s="1"/>
      <c r="E984" s="1"/>
      <c r="F984" s="4"/>
      <c r="G984" s="4"/>
      <c r="H984" s="4">
        <f t="shared" si="15"/>
        <v>0</v>
      </c>
    </row>
    <row r="985" spans="1:8" x14ac:dyDescent="0.35">
      <c r="A985" s="11"/>
      <c r="B985" s="11"/>
      <c r="C985" s="16"/>
      <c r="D985" s="1"/>
      <c r="E985" s="1"/>
      <c r="F985" s="4"/>
      <c r="G985" s="4"/>
      <c r="H985" s="4">
        <f t="shared" si="15"/>
        <v>0</v>
      </c>
    </row>
    <row r="986" spans="1:8" x14ac:dyDescent="0.35">
      <c r="A986" s="11"/>
      <c r="B986" s="11"/>
      <c r="C986" s="16"/>
      <c r="D986" s="1"/>
      <c r="E986" s="1"/>
      <c r="F986" s="4"/>
      <c r="G986" s="4"/>
      <c r="H986" s="4">
        <f t="shared" si="15"/>
        <v>0</v>
      </c>
    </row>
    <row r="987" spans="1:8" x14ac:dyDescent="0.35">
      <c r="A987" s="11"/>
      <c r="B987" s="11"/>
      <c r="C987" s="16"/>
      <c r="D987" s="1"/>
      <c r="E987" s="1"/>
      <c r="F987" s="4"/>
      <c r="G987" s="4"/>
      <c r="H987" s="4">
        <f t="shared" si="15"/>
        <v>0</v>
      </c>
    </row>
    <row r="988" spans="1:8" x14ac:dyDescent="0.35">
      <c r="A988" s="11"/>
      <c r="B988" s="11"/>
      <c r="C988" s="16"/>
      <c r="D988" s="1"/>
      <c r="E988" s="1"/>
      <c r="F988" s="4"/>
      <c r="G988" s="4"/>
      <c r="H988" s="4">
        <f t="shared" si="15"/>
        <v>0</v>
      </c>
    </row>
    <row r="989" spans="1:8" x14ac:dyDescent="0.35">
      <c r="A989" s="11"/>
      <c r="B989" s="11"/>
      <c r="C989" s="16"/>
      <c r="D989" s="1"/>
      <c r="E989" s="1"/>
      <c r="F989" s="4"/>
      <c r="G989" s="4"/>
      <c r="H989" s="4">
        <f t="shared" si="15"/>
        <v>0</v>
      </c>
    </row>
    <row r="990" spans="1:8" x14ac:dyDescent="0.35">
      <c r="A990" s="11"/>
      <c r="B990" s="11"/>
      <c r="C990" s="16"/>
      <c r="D990" s="1"/>
      <c r="E990" s="1"/>
      <c r="F990" s="4"/>
      <c r="G990" s="4"/>
      <c r="H990" s="4">
        <f t="shared" si="15"/>
        <v>0</v>
      </c>
    </row>
    <row r="991" spans="1:8" x14ac:dyDescent="0.35">
      <c r="A991" s="11"/>
      <c r="B991" s="11"/>
      <c r="C991" s="16"/>
      <c r="D991" s="1"/>
      <c r="E991" s="1"/>
      <c r="F991" s="4"/>
      <c r="G991" s="4"/>
      <c r="H991" s="4">
        <f t="shared" si="15"/>
        <v>0</v>
      </c>
    </row>
    <row r="992" spans="1:8" x14ac:dyDescent="0.35">
      <c r="A992" s="11"/>
      <c r="B992" s="11"/>
      <c r="C992" s="16"/>
      <c r="D992" s="1"/>
      <c r="E992" s="1"/>
      <c r="F992" s="4"/>
      <c r="G992" s="4"/>
      <c r="H992" s="4">
        <f t="shared" si="15"/>
        <v>0</v>
      </c>
    </row>
    <row r="993" spans="1:8" x14ac:dyDescent="0.35">
      <c r="A993" s="11"/>
      <c r="B993" s="11"/>
      <c r="C993" s="16"/>
      <c r="D993" s="1"/>
      <c r="E993" s="1"/>
      <c r="F993" s="4"/>
      <c r="G993" s="4"/>
      <c r="H993" s="4">
        <f t="shared" ref="H993:H1056" si="16">H992+F993-G993</f>
        <v>0</v>
      </c>
    </row>
    <row r="994" spans="1:8" x14ac:dyDescent="0.35">
      <c r="A994" s="11"/>
      <c r="B994" s="11"/>
      <c r="C994" s="16"/>
      <c r="D994" s="1"/>
      <c r="E994" s="1"/>
      <c r="F994" s="4"/>
      <c r="G994" s="4"/>
      <c r="H994" s="4">
        <f t="shared" si="16"/>
        <v>0</v>
      </c>
    </row>
    <row r="995" spans="1:8" x14ac:dyDescent="0.35">
      <c r="A995" s="11"/>
      <c r="B995" s="11"/>
      <c r="C995" s="16"/>
      <c r="D995" s="1"/>
      <c r="E995" s="1"/>
      <c r="F995" s="4"/>
      <c r="G995" s="4"/>
      <c r="H995" s="4">
        <f t="shared" si="16"/>
        <v>0</v>
      </c>
    </row>
    <row r="996" spans="1:8" x14ac:dyDescent="0.35">
      <c r="A996" s="11"/>
      <c r="B996" s="11"/>
      <c r="C996" s="16"/>
      <c r="D996" s="1"/>
      <c r="E996" s="1"/>
      <c r="F996" s="4"/>
      <c r="G996" s="4"/>
      <c r="H996" s="4">
        <f t="shared" si="16"/>
        <v>0</v>
      </c>
    </row>
    <row r="997" spans="1:8" x14ac:dyDescent="0.35">
      <c r="A997" s="11"/>
      <c r="B997" s="11"/>
      <c r="C997" s="16"/>
      <c r="D997" s="1"/>
      <c r="E997" s="1"/>
      <c r="F997" s="4"/>
      <c r="G997" s="4"/>
      <c r="H997" s="4">
        <f t="shared" si="16"/>
        <v>0</v>
      </c>
    </row>
    <row r="998" spans="1:8" x14ac:dyDescent="0.35">
      <c r="A998" s="11"/>
      <c r="B998" s="11"/>
      <c r="C998" s="16"/>
      <c r="D998" s="1"/>
      <c r="E998" s="1"/>
      <c r="F998" s="4"/>
      <c r="G998" s="4"/>
      <c r="H998" s="4">
        <f t="shared" si="16"/>
        <v>0</v>
      </c>
    </row>
    <row r="999" spans="1:8" x14ac:dyDescent="0.35">
      <c r="A999" s="11"/>
      <c r="B999" s="11"/>
      <c r="C999" s="16"/>
      <c r="D999" s="1"/>
      <c r="E999" s="1"/>
      <c r="F999" s="4"/>
      <c r="G999" s="4"/>
      <c r="H999" s="4">
        <f t="shared" si="16"/>
        <v>0</v>
      </c>
    </row>
    <row r="1000" spans="1:8" x14ac:dyDescent="0.35">
      <c r="A1000" s="11"/>
      <c r="B1000" s="11"/>
      <c r="C1000" s="16"/>
      <c r="D1000" s="1"/>
      <c r="E1000" s="1"/>
      <c r="F1000" s="4"/>
      <c r="G1000" s="4"/>
      <c r="H1000" s="4">
        <f t="shared" si="16"/>
        <v>0</v>
      </c>
    </row>
    <row r="1001" spans="1:8" x14ac:dyDescent="0.35">
      <c r="A1001" s="11"/>
      <c r="B1001" s="11"/>
      <c r="C1001" s="16"/>
      <c r="D1001" s="1"/>
      <c r="E1001" s="1"/>
      <c r="F1001" s="4"/>
      <c r="G1001" s="4"/>
      <c r="H1001" s="4">
        <f t="shared" si="16"/>
        <v>0</v>
      </c>
    </row>
    <row r="1002" spans="1:8" x14ac:dyDescent="0.35">
      <c r="A1002" s="11"/>
      <c r="B1002" s="11"/>
      <c r="C1002" s="16"/>
      <c r="D1002" s="1"/>
      <c r="E1002" s="1"/>
      <c r="F1002" s="4"/>
      <c r="G1002" s="4"/>
      <c r="H1002" s="4">
        <f t="shared" si="16"/>
        <v>0</v>
      </c>
    </row>
    <row r="1003" spans="1:8" x14ac:dyDescent="0.35">
      <c r="A1003" s="11"/>
      <c r="B1003" s="11"/>
      <c r="C1003" s="16"/>
      <c r="D1003" s="1"/>
      <c r="E1003" s="1"/>
      <c r="F1003" s="4"/>
      <c r="G1003" s="4"/>
      <c r="H1003" s="4">
        <f t="shared" si="16"/>
        <v>0</v>
      </c>
    </row>
    <row r="1004" spans="1:8" x14ac:dyDescent="0.35">
      <c r="A1004" s="11"/>
      <c r="B1004" s="11"/>
      <c r="C1004" s="16"/>
      <c r="D1004" s="1"/>
      <c r="E1004" s="1"/>
      <c r="F1004" s="4"/>
      <c r="G1004" s="4"/>
      <c r="H1004" s="4">
        <f t="shared" si="16"/>
        <v>0</v>
      </c>
    </row>
    <row r="1005" spans="1:8" x14ac:dyDescent="0.35">
      <c r="A1005" s="11"/>
      <c r="B1005" s="11"/>
      <c r="C1005" s="16"/>
      <c r="D1005" s="1"/>
      <c r="E1005" s="1"/>
      <c r="F1005" s="4"/>
      <c r="G1005" s="4"/>
      <c r="H1005" s="4">
        <f t="shared" si="16"/>
        <v>0</v>
      </c>
    </row>
    <row r="1006" spans="1:8" x14ac:dyDescent="0.35">
      <c r="A1006" s="11"/>
      <c r="B1006" s="11"/>
      <c r="C1006" s="16"/>
      <c r="D1006" s="1"/>
      <c r="E1006" s="1"/>
      <c r="F1006" s="4"/>
      <c r="G1006" s="4"/>
      <c r="H1006" s="4">
        <f t="shared" si="16"/>
        <v>0</v>
      </c>
    </row>
    <row r="1007" spans="1:8" x14ac:dyDescent="0.35">
      <c r="A1007" s="11"/>
      <c r="B1007" s="11"/>
      <c r="C1007" s="16"/>
      <c r="D1007" s="1"/>
      <c r="E1007" s="1"/>
      <c r="F1007" s="4"/>
      <c r="G1007" s="4"/>
      <c r="H1007" s="4">
        <f t="shared" si="16"/>
        <v>0</v>
      </c>
    </row>
    <row r="1008" spans="1:8" x14ac:dyDescent="0.35">
      <c r="A1008" s="11"/>
      <c r="B1008" s="11"/>
      <c r="C1008" s="16"/>
      <c r="D1008" s="1"/>
      <c r="E1008" s="1"/>
      <c r="F1008" s="4"/>
      <c r="G1008" s="4"/>
      <c r="H1008" s="4">
        <f t="shared" si="16"/>
        <v>0</v>
      </c>
    </row>
    <row r="1009" spans="1:8" x14ac:dyDescent="0.35">
      <c r="A1009" s="11"/>
      <c r="B1009" s="11"/>
      <c r="C1009" s="16"/>
      <c r="D1009" s="1"/>
      <c r="E1009" s="1"/>
      <c r="F1009" s="4"/>
      <c r="G1009" s="4"/>
      <c r="H1009" s="4">
        <f t="shared" si="16"/>
        <v>0</v>
      </c>
    </row>
    <row r="1010" spans="1:8" x14ac:dyDescent="0.35">
      <c r="A1010" s="11"/>
      <c r="B1010" s="11"/>
      <c r="C1010" s="16"/>
      <c r="D1010" s="1"/>
      <c r="E1010" s="1"/>
      <c r="F1010" s="4"/>
      <c r="G1010" s="4"/>
      <c r="H1010" s="4">
        <f t="shared" si="16"/>
        <v>0</v>
      </c>
    </row>
    <row r="1011" spans="1:8" x14ac:dyDescent="0.35">
      <c r="A1011" s="11"/>
      <c r="B1011" s="11"/>
      <c r="C1011" s="16"/>
      <c r="D1011" s="1"/>
      <c r="E1011" s="1"/>
      <c r="F1011" s="4"/>
      <c r="G1011" s="4"/>
      <c r="H1011" s="4">
        <f t="shared" si="16"/>
        <v>0</v>
      </c>
    </row>
    <row r="1012" spans="1:8" x14ac:dyDescent="0.35">
      <c r="A1012" s="11"/>
      <c r="B1012" s="11"/>
      <c r="C1012" s="16"/>
      <c r="D1012" s="1"/>
      <c r="E1012" s="1"/>
      <c r="F1012" s="4"/>
      <c r="G1012" s="4"/>
      <c r="H1012" s="4">
        <f t="shared" si="16"/>
        <v>0</v>
      </c>
    </row>
    <row r="1013" spans="1:8" x14ac:dyDescent="0.35">
      <c r="A1013" s="11"/>
      <c r="B1013" s="11"/>
      <c r="C1013" s="16"/>
      <c r="D1013" s="1"/>
      <c r="E1013" s="1"/>
      <c r="F1013" s="4"/>
      <c r="G1013" s="4"/>
      <c r="H1013" s="4">
        <f t="shared" si="16"/>
        <v>0</v>
      </c>
    </row>
    <row r="1014" spans="1:8" x14ac:dyDescent="0.35">
      <c r="A1014" s="11"/>
      <c r="B1014" s="11"/>
      <c r="C1014" s="16"/>
      <c r="D1014" s="1"/>
      <c r="E1014" s="1"/>
      <c r="F1014" s="4"/>
      <c r="G1014" s="4"/>
      <c r="H1014" s="4">
        <f t="shared" si="16"/>
        <v>0</v>
      </c>
    </row>
    <row r="1015" spans="1:8" x14ac:dyDescent="0.35">
      <c r="A1015" s="11"/>
      <c r="B1015" s="11"/>
      <c r="C1015" s="16"/>
      <c r="D1015" s="1"/>
      <c r="E1015" s="1"/>
      <c r="F1015" s="4"/>
      <c r="G1015" s="4"/>
      <c r="H1015" s="4">
        <f t="shared" si="16"/>
        <v>0</v>
      </c>
    </row>
    <row r="1016" spans="1:8" x14ac:dyDescent="0.35">
      <c r="A1016" s="11"/>
      <c r="B1016" s="11"/>
      <c r="C1016" s="16"/>
      <c r="D1016" s="1"/>
      <c r="E1016" s="1"/>
      <c r="F1016" s="4"/>
      <c r="G1016" s="4"/>
      <c r="H1016" s="4">
        <f t="shared" si="16"/>
        <v>0</v>
      </c>
    </row>
    <row r="1017" spans="1:8" x14ac:dyDescent="0.35">
      <c r="A1017" s="11"/>
      <c r="B1017" s="11"/>
      <c r="C1017" s="16"/>
      <c r="D1017" s="1"/>
      <c r="E1017" s="1"/>
      <c r="F1017" s="4"/>
      <c r="G1017" s="4"/>
      <c r="H1017" s="4">
        <f t="shared" si="16"/>
        <v>0</v>
      </c>
    </row>
    <row r="1018" spans="1:8" x14ac:dyDescent="0.35">
      <c r="A1018" s="11"/>
      <c r="B1018" s="11"/>
      <c r="C1018" s="16"/>
      <c r="D1018" s="1"/>
      <c r="E1018" s="1"/>
      <c r="F1018" s="4"/>
      <c r="G1018" s="4"/>
      <c r="H1018" s="4">
        <f t="shared" si="16"/>
        <v>0</v>
      </c>
    </row>
    <row r="1019" spans="1:8" x14ac:dyDescent="0.35">
      <c r="A1019" s="11"/>
      <c r="B1019" s="11"/>
      <c r="C1019" s="16"/>
      <c r="D1019" s="1"/>
      <c r="E1019" s="1"/>
      <c r="F1019" s="4"/>
      <c r="G1019" s="4"/>
      <c r="H1019" s="4">
        <f t="shared" si="16"/>
        <v>0</v>
      </c>
    </row>
    <row r="1020" spans="1:8" x14ac:dyDescent="0.35">
      <c r="A1020" s="11"/>
      <c r="B1020" s="11"/>
      <c r="C1020" s="16"/>
      <c r="D1020" s="1"/>
      <c r="E1020" s="1"/>
      <c r="F1020" s="4"/>
      <c r="G1020" s="4"/>
      <c r="H1020" s="4">
        <f t="shared" si="16"/>
        <v>0</v>
      </c>
    </row>
    <row r="1021" spans="1:8" x14ac:dyDescent="0.35">
      <c r="A1021" s="11"/>
      <c r="B1021" s="11"/>
      <c r="C1021" s="16"/>
      <c r="D1021" s="1"/>
      <c r="E1021" s="1"/>
      <c r="F1021" s="4"/>
      <c r="G1021" s="4"/>
      <c r="H1021" s="4">
        <f t="shared" si="16"/>
        <v>0</v>
      </c>
    </row>
    <row r="1022" spans="1:8" x14ac:dyDescent="0.35">
      <c r="A1022" s="11"/>
      <c r="B1022" s="11"/>
      <c r="C1022" s="16"/>
      <c r="D1022" s="1"/>
      <c r="E1022" s="1"/>
      <c r="F1022" s="4"/>
      <c r="G1022" s="4"/>
      <c r="H1022" s="4">
        <f t="shared" si="16"/>
        <v>0</v>
      </c>
    </row>
    <row r="1023" spans="1:8" x14ac:dyDescent="0.35">
      <c r="A1023" s="11"/>
      <c r="B1023" s="11"/>
      <c r="C1023" s="16"/>
      <c r="D1023" s="1"/>
      <c r="E1023" s="1"/>
      <c r="F1023" s="4"/>
      <c r="G1023" s="4"/>
      <c r="H1023" s="4">
        <f t="shared" si="16"/>
        <v>0</v>
      </c>
    </row>
    <row r="1024" spans="1:8" x14ac:dyDescent="0.35">
      <c r="A1024" s="11"/>
      <c r="B1024" s="11"/>
      <c r="C1024" s="16"/>
      <c r="D1024" s="1"/>
      <c r="E1024" s="1"/>
      <c r="F1024" s="4"/>
      <c r="G1024" s="4"/>
      <c r="H1024" s="4">
        <f t="shared" si="16"/>
        <v>0</v>
      </c>
    </row>
    <row r="1025" spans="1:8" x14ac:dyDescent="0.35">
      <c r="A1025" s="11"/>
      <c r="B1025" s="11"/>
      <c r="C1025" s="16"/>
      <c r="D1025" s="1"/>
      <c r="E1025" s="1"/>
      <c r="F1025" s="4"/>
      <c r="G1025" s="4"/>
      <c r="H1025" s="4">
        <f t="shared" si="16"/>
        <v>0</v>
      </c>
    </row>
    <row r="1026" spans="1:8" x14ac:dyDescent="0.35">
      <c r="A1026" s="11"/>
      <c r="B1026" s="11"/>
      <c r="C1026" s="16"/>
      <c r="D1026" s="1"/>
      <c r="E1026" s="1"/>
      <c r="F1026" s="4"/>
      <c r="G1026" s="4"/>
      <c r="H1026" s="4">
        <f t="shared" si="16"/>
        <v>0</v>
      </c>
    </row>
    <row r="1027" spans="1:8" x14ac:dyDescent="0.35">
      <c r="A1027" s="11"/>
      <c r="B1027" s="11"/>
      <c r="C1027" s="16"/>
      <c r="D1027" s="1"/>
      <c r="E1027" s="1"/>
      <c r="F1027" s="4"/>
      <c r="G1027" s="4"/>
      <c r="H1027" s="4">
        <f t="shared" si="16"/>
        <v>0</v>
      </c>
    </row>
    <row r="1028" spans="1:8" x14ac:dyDescent="0.35">
      <c r="A1028" s="11"/>
      <c r="B1028" s="11"/>
      <c r="C1028" s="16"/>
      <c r="D1028" s="1"/>
      <c r="E1028" s="1"/>
      <c r="F1028" s="4"/>
      <c r="G1028" s="4"/>
      <c r="H1028" s="4">
        <f t="shared" si="16"/>
        <v>0</v>
      </c>
    </row>
    <row r="1029" spans="1:8" x14ac:dyDescent="0.35">
      <c r="A1029" s="11"/>
      <c r="B1029" s="11"/>
      <c r="C1029" s="16"/>
      <c r="D1029" s="1"/>
      <c r="E1029" s="1"/>
      <c r="F1029" s="4"/>
      <c r="G1029" s="4"/>
      <c r="H1029" s="4">
        <f t="shared" si="16"/>
        <v>0</v>
      </c>
    </row>
    <row r="1030" spans="1:8" x14ac:dyDescent="0.35">
      <c r="A1030" s="11"/>
      <c r="B1030" s="11"/>
      <c r="C1030" s="16"/>
      <c r="D1030" s="1"/>
      <c r="E1030" s="1"/>
      <c r="F1030" s="4"/>
      <c r="G1030" s="4"/>
      <c r="H1030" s="4">
        <f t="shared" si="16"/>
        <v>0</v>
      </c>
    </row>
    <row r="1031" spans="1:8" x14ac:dyDescent="0.35">
      <c r="A1031" s="11"/>
      <c r="B1031" s="11"/>
      <c r="C1031" s="16"/>
      <c r="D1031" s="1"/>
      <c r="E1031" s="1"/>
      <c r="F1031" s="4"/>
      <c r="G1031" s="4"/>
      <c r="H1031" s="4">
        <f t="shared" si="16"/>
        <v>0</v>
      </c>
    </row>
    <row r="1032" spans="1:8" x14ac:dyDescent="0.35">
      <c r="A1032" s="11"/>
      <c r="B1032" s="11"/>
      <c r="C1032" s="16"/>
      <c r="D1032" s="1"/>
      <c r="E1032" s="1"/>
      <c r="F1032" s="4"/>
      <c r="G1032" s="4"/>
      <c r="H1032" s="4">
        <f t="shared" si="16"/>
        <v>0</v>
      </c>
    </row>
    <row r="1033" spans="1:8" x14ac:dyDescent="0.35">
      <c r="A1033" s="11"/>
      <c r="B1033" s="11"/>
      <c r="C1033" s="16"/>
      <c r="D1033" s="1"/>
      <c r="E1033" s="1"/>
      <c r="F1033" s="4"/>
      <c r="G1033" s="4"/>
      <c r="H1033" s="4">
        <f t="shared" si="16"/>
        <v>0</v>
      </c>
    </row>
    <row r="1034" spans="1:8" x14ac:dyDescent="0.35">
      <c r="A1034" s="11"/>
      <c r="B1034" s="11"/>
      <c r="C1034" s="16"/>
      <c r="D1034" s="1"/>
      <c r="E1034" s="1"/>
      <c r="F1034" s="4"/>
      <c r="G1034" s="4"/>
      <c r="H1034" s="4">
        <f t="shared" si="16"/>
        <v>0</v>
      </c>
    </row>
    <row r="1035" spans="1:8" x14ac:dyDescent="0.35">
      <c r="A1035" s="11"/>
      <c r="B1035" s="11"/>
      <c r="C1035" s="16"/>
      <c r="D1035" s="1"/>
      <c r="E1035" s="1"/>
      <c r="F1035" s="4"/>
      <c r="G1035" s="4"/>
      <c r="H1035" s="4">
        <f t="shared" si="16"/>
        <v>0</v>
      </c>
    </row>
    <row r="1036" spans="1:8" x14ac:dyDescent="0.35">
      <c r="A1036" s="11"/>
      <c r="B1036" s="11"/>
      <c r="C1036" s="16"/>
      <c r="D1036" s="1"/>
      <c r="E1036" s="1"/>
      <c r="F1036" s="4"/>
      <c r="G1036" s="4"/>
      <c r="H1036" s="4">
        <f t="shared" si="16"/>
        <v>0</v>
      </c>
    </row>
    <row r="1037" spans="1:8" x14ac:dyDescent="0.35">
      <c r="A1037" s="11"/>
      <c r="B1037" s="11"/>
      <c r="C1037" s="16"/>
      <c r="D1037" s="1"/>
      <c r="E1037" s="1"/>
      <c r="F1037" s="4"/>
      <c r="G1037" s="4"/>
      <c r="H1037" s="4">
        <f t="shared" si="16"/>
        <v>0</v>
      </c>
    </row>
    <row r="1038" spans="1:8" x14ac:dyDescent="0.35">
      <c r="A1038" s="11"/>
      <c r="B1038" s="11"/>
      <c r="C1038" s="16"/>
      <c r="D1038" s="1"/>
      <c r="E1038" s="1"/>
      <c r="F1038" s="4"/>
      <c r="G1038" s="4"/>
      <c r="H1038" s="4">
        <f t="shared" si="16"/>
        <v>0</v>
      </c>
    </row>
    <row r="1039" spans="1:8" x14ac:dyDescent="0.35">
      <c r="A1039" s="11"/>
      <c r="B1039" s="11"/>
      <c r="C1039" s="16"/>
      <c r="D1039" s="1"/>
      <c r="E1039" s="1"/>
      <c r="F1039" s="4"/>
      <c r="G1039" s="4"/>
      <c r="H1039" s="4">
        <f t="shared" si="16"/>
        <v>0</v>
      </c>
    </row>
    <row r="1040" spans="1:8" x14ac:dyDescent="0.35">
      <c r="A1040" s="11"/>
      <c r="B1040" s="11"/>
      <c r="C1040" s="16"/>
      <c r="D1040" s="1"/>
      <c r="E1040" s="1"/>
      <c r="F1040" s="4"/>
      <c r="G1040" s="4"/>
      <c r="H1040" s="4">
        <f t="shared" si="16"/>
        <v>0</v>
      </c>
    </row>
    <row r="1041" spans="1:8" x14ac:dyDescent="0.35">
      <c r="A1041" s="11"/>
      <c r="B1041" s="11"/>
      <c r="C1041" s="16"/>
      <c r="D1041" s="1"/>
      <c r="E1041" s="1"/>
      <c r="F1041" s="4"/>
      <c r="G1041" s="4"/>
      <c r="H1041" s="4">
        <f t="shared" si="16"/>
        <v>0</v>
      </c>
    </row>
    <row r="1042" spans="1:8" x14ac:dyDescent="0.35">
      <c r="A1042" s="11"/>
      <c r="B1042" s="11"/>
      <c r="C1042" s="16"/>
      <c r="D1042" s="1"/>
      <c r="E1042" s="1"/>
      <c r="F1042" s="4"/>
      <c r="G1042" s="4"/>
      <c r="H1042" s="4">
        <f t="shared" si="16"/>
        <v>0</v>
      </c>
    </row>
    <row r="1043" spans="1:8" x14ac:dyDescent="0.35">
      <c r="A1043" s="11"/>
      <c r="B1043" s="11"/>
      <c r="C1043" s="16"/>
      <c r="D1043" s="1"/>
      <c r="E1043" s="1"/>
      <c r="F1043" s="4"/>
      <c r="G1043" s="4"/>
      <c r="H1043" s="4">
        <f t="shared" si="16"/>
        <v>0</v>
      </c>
    </row>
    <row r="1044" spans="1:8" x14ac:dyDescent="0.35">
      <c r="A1044" s="11"/>
      <c r="B1044" s="11"/>
      <c r="C1044" s="16"/>
      <c r="D1044" s="1"/>
      <c r="E1044" s="1"/>
      <c r="F1044" s="4"/>
      <c r="G1044" s="4"/>
      <c r="H1044" s="4">
        <f t="shared" si="16"/>
        <v>0</v>
      </c>
    </row>
    <row r="1045" spans="1:8" x14ac:dyDescent="0.35">
      <c r="A1045" s="11"/>
      <c r="B1045" s="11"/>
      <c r="C1045" s="16"/>
      <c r="D1045" s="1"/>
      <c r="E1045" s="1"/>
      <c r="F1045" s="4"/>
      <c r="G1045" s="4"/>
      <c r="H1045" s="4">
        <f t="shared" si="16"/>
        <v>0</v>
      </c>
    </row>
    <row r="1046" spans="1:8" x14ac:dyDescent="0.35">
      <c r="A1046" s="11"/>
      <c r="B1046" s="11"/>
      <c r="C1046" s="16"/>
      <c r="D1046" s="1"/>
      <c r="E1046" s="1"/>
      <c r="F1046" s="4"/>
      <c r="G1046" s="4"/>
      <c r="H1046" s="4">
        <f t="shared" si="16"/>
        <v>0</v>
      </c>
    </row>
    <row r="1047" spans="1:8" x14ac:dyDescent="0.35">
      <c r="A1047" s="11"/>
      <c r="B1047" s="11"/>
      <c r="C1047" s="16"/>
      <c r="D1047" s="1"/>
      <c r="E1047" s="1"/>
      <c r="F1047" s="4"/>
      <c r="G1047" s="4"/>
      <c r="H1047" s="4">
        <f t="shared" si="16"/>
        <v>0</v>
      </c>
    </row>
    <row r="1048" spans="1:8" x14ac:dyDescent="0.35">
      <c r="A1048" s="11"/>
      <c r="B1048" s="11"/>
      <c r="C1048" s="16"/>
      <c r="D1048" s="1"/>
      <c r="E1048" s="1"/>
      <c r="F1048" s="4"/>
      <c r="G1048" s="4"/>
      <c r="H1048" s="4">
        <f t="shared" si="16"/>
        <v>0</v>
      </c>
    </row>
    <row r="1049" spans="1:8" x14ac:dyDescent="0.35">
      <c r="A1049" s="11"/>
      <c r="B1049" s="11"/>
      <c r="C1049" s="16"/>
      <c r="D1049" s="1"/>
      <c r="E1049" s="1"/>
      <c r="F1049" s="4"/>
      <c r="G1049" s="4"/>
      <c r="H1049" s="4">
        <f t="shared" si="16"/>
        <v>0</v>
      </c>
    </row>
    <row r="1050" spans="1:8" x14ac:dyDescent="0.35">
      <c r="A1050" s="11"/>
      <c r="B1050" s="11"/>
      <c r="C1050" s="16"/>
      <c r="D1050" s="1"/>
      <c r="E1050" s="1"/>
      <c r="F1050" s="4"/>
      <c r="G1050" s="4"/>
      <c r="H1050" s="4">
        <f t="shared" si="16"/>
        <v>0</v>
      </c>
    </row>
    <row r="1051" spans="1:8" x14ac:dyDescent="0.35">
      <c r="A1051" s="11"/>
      <c r="B1051" s="11"/>
      <c r="C1051" s="16"/>
      <c r="D1051" s="1"/>
      <c r="E1051" s="1"/>
      <c r="F1051" s="4"/>
      <c r="G1051" s="4"/>
      <c r="H1051" s="4">
        <f t="shared" si="16"/>
        <v>0</v>
      </c>
    </row>
    <row r="1052" spans="1:8" x14ac:dyDescent="0.35">
      <c r="A1052" s="11"/>
      <c r="B1052" s="11"/>
      <c r="C1052" s="16"/>
      <c r="D1052" s="1"/>
      <c r="E1052" s="1"/>
      <c r="F1052" s="4"/>
      <c r="G1052" s="4"/>
      <c r="H1052" s="4">
        <f t="shared" si="16"/>
        <v>0</v>
      </c>
    </row>
    <row r="1053" spans="1:8" x14ac:dyDescent="0.35">
      <c r="A1053" s="11"/>
      <c r="B1053" s="11"/>
      <c r="C1053" s="16"/>
      <c r="D1053" s="1"/>
      <c r="E1053" s="1"/>
      <c r="F1053" s="4"/>
      <c r="G1053" s="4"/>
      <c r="H1053" s="4">
        <f t="shared" si="16"/>
        <v>0</v>
      </c>
    </row>
    <row r="1054" spans="1:8" x14ac:dyDescent="0.35">
      <c r="A1054" s="11"/>
      <c r="B1054" s="11"/>
      <c r="C1054" s="16"/>
      <c r="D1054" s="1"/>
      <c r="E1054" s="1"/>
      <c r="F1054" s="4"/>
      <c r="G1054" s="4"/>
      <c r="H1054" s="4">
        <f t="shared" si="16"/>
        <v>0</v>
      </c>
    </row>
    <row r="1055" spans="1:8" x14ac:dyDescent="0.35">
      <c r="A1055" s="11"/>
      <c r="B1055" s="11"/>
      <c r="C1055" s="16"/>
      <c r="D1055" s="1"/>
      <c r="E1055" s="1"/>
      <c r="F1055" s="4"/>
      <c r="G1055" s="4"/>
      <c r="H1055" s="4">
        <f t="shared" si="16"/>
        <v>0</v>
      </c>
    </row>
    <row r="1056" spans="1:8" x14ac:dyDescent="0.35">
      <c r="A1056" s="11"/>
      <c r="B1056" s="11"/>
      <c r="C1056" s="16"/>
      <c r="D1056" s="1"/>
      <c r="E1056" s="1"/>
      <c r="F1056" s="4"/>
      <c r="G1056" s="4"/>
      <c r="H1056" s="4">
        <f t="shared" si="16"/>
        <v>0</v>
      </c>
    </row>
    <row r="1057" spans="1:8" x14ac:dyDescent="0.35">
      <c r="A1057" s="11"/>
      <c r="B1057" s="11"/>
      <c r="C1057" s="16"/>
      <c r="D1057" s="1"/>
      <c r="E1057" s="1"/>
      <c r="F1057" s="4"/>
      <c r="G1057" s="4"/>
      <c r="H1057" s="4">
        <f t="shared" ref="H1057:H1120" si="17">H1056+F1057-G1057</f>
        <v>0</v>
      </c>
    </row>
    <row r="1058" spans="1:8" x14ac:dyDescent="0.35">
      <c r="A1058" s="11"/>
      <c r="B1058" s="11"/>
      <c r="C1058" s="16"/>
      <c r="D1058" s="1"/>
      <c r="E1058" s="1"/>
      <c r="F1058" s="4"/>
      <c r="G1058" s="4"/>
      <c r="H1058" s="4">
        <f t="shared" si="17"/>
        <v>0</v>
      </c>
    </row>
    <row r="1059" spans="1:8" x14ac:dyDescent="0.35">
      <c r="A1059" s="11"/>
      <c r="B1059" s="11"/>
      <c r="C1059" s="16"/>
      <c r="D1059" s="1"/>
      <c r="E1059" s="1"/>
      <c r="F1059" s="4"/>
      <c r="G1059" s="4"/>
      <c r="H1059" s="4">
        <f t="shared" si="17"/>
        <v>0</v>
      </c>
    </row>
    <row r="1060" spans="1:8" x14ac:dyDescent="0.35">
      <c r="A1060" s="11"/>
      <c r="B1060" s="11"/>
      <c r="C1060" s="16"/>
      <c r="D1060" s="1"/>
      <c r="E1060" s="1"/>
      <c r="F1060" s="4"/>
      <c r="G1060" s="4"/>
      <c r="H1060" s="4">
        <f t="shared" si="17"/>
        <v>0</v>
      </c>
    </row>
    <row r="1061" spans="1:8" x14ac:dyDescent="0.35">
      <c r="A1061" s="11"/>
      <c r="B1061" s="11"/>
      <c r="C1061" s="16"/>
      <c r="D1061" s="1"/>
      <c r="E1061" s="1"/>
      <c r="F1061" s="4"/>
      <c r="G1061" s="4"/>
      <c r="H1061" s="4">
        <f t="shared" si="17"/>
        <v>0</v>
      </c>
    </row>
    <row r="1062" spans="1:8" x14ac:dyDescent="0.35">
      <c r="A1062" s="11"/>
      <c r="B1062" s="11"/>
      <c r="C1062" s="16"/>
      <c r="D1062" s="1"/>
      <c r="E1062" s="1"/>
      <c r="F1062" s="4"/>
      <c r="G1062" s="4"/>
      <c r="H1062" s="4">
        <f t="shared" si="17"/>
        <v>0</v>
      </c>
    </row>
    <row r="1063" spans="1:8" x14ac:dyDescent="0.35">
      <c r="A1063" s="11"/>
      <c r="B1063" s="11"/>
      <c r="C1063" s="16"/>
      <c r="D1063" s="1"/>
      <c r="E1063" s="1"/>
      <c r="F1063" s="4"/>
      <c r="G1063" s="4"/>
      <c r="H1063" s="4">
        <f t="shared" si="17"/>
        <v>0</v>
      </c>
    </row>
    <row r="1064" spans="1:8" x14ac:dyDescent="0.35">
      <c r="A1064" s="11"/>
      <c r="B1064" s="11"/>
      <c r="C1064" s="16"/>
      <c r="D1064" s="1"/>
      <c r="E1064" s="1"/>
      <c r="F1064" s="4"/>
      <c r="G1064" s="4"/>
      <c r="H1064" s="4">
        <f t="shared" si="17"/>
        <v>0</v>
      </c>
    </row>
    <row r="1065" spans="1:8" x14ac:dyDescent="0.35">
      <c r="A1065" s="11"/>
      <c r="B1065" s="11"/>
      <c r="C1065" s="16"/>
      <c r="D1065" s="1"/>
      <c r="E1065" s="1"/>
      <c r="F1065" s="4"/>
      <c r="G1065" s="4"/>
      <c r="H1065" s="4">
        <f t="shared" si="17"/>
        <v>0</v>
      </c>
    </row>
    <row r="1066" spans="1:8" x14ac:dyDescent="0.35">
      <c r="A1066" s="11"/>
      <c r="B1066" s="11"/>
      <c r="C1066" s="16"/>
      <c r="D1066" s="1"/>
      <c r="E1066" s="1"/>
      <c r="F1066" s="4"/>
      <c r="G1066" s="4"/>
      <c r="H1066" s="4">
        <f t="shared" si="17"/>
        <v>0</v>
      </c>
    </row>
    <row r="1067" spans="1:8" x14ac:dyDescent="0.35">
      <c r="A1067" s="11"/>
      <c r="B1067" s="11"/>
      <c r="C1067" s="16"/>
      <c r="D1067" s="1"/>
      <c r="E1067" s="1"/>
      <c r="F1067" s="4"/>
      <c r="G1067" s="4"/>
      <c r="H1067" s="4">
        <f t="shared" si="17"/>
        <v>0</v>
      </c>
    </row>
    <row r="1068" spans="1:8" x14ac:dyDescent="0.35">
      <c r="A1068" s="11"/>
      <c r="B1068" s="11"/>
      <c r="C1068" s="16"/>
      <c r="D1068" s="1"/>
      <c r="E1068" s="1"/>
      <c r="F1068" s="4"/>
      <c r="G1068" s="4"/>
      <c r="H1068" s="4">
        <f t="shared" si="17"/>
        <v>0</v>
      </c>
    </row>
    <row r="1069" spans="1:8" x14ac:dyDescent="0.35">
      <c r="A1069" s="11"/>
      <c r="B1069" s="11"/>
      <c r="C1069" s="16"/>
      <c r="D1069" s="1"/>
      <c r="E1069" s="1"/>
      <c r="F1069" s="4"/>
      <c r="G1069" s="4"/>
      <c r="H1069" s="4">
        <f t="shared" si="17"/>
        <v>0</v>
      </c>
    </row>
    <row r="1070" spans="1:8" x14ac:dyDescent="0.35">
      <c r="A1070" s="11"/>
      <c r="B1070" s="11"/>
      <c r="C1070" s="16"/>
      <c r="D1070" s="1"/>
      <c r="E1070" s="1"/>
      <c r="F1070" s="4"/>
      <c r="G1070" s="4"/>
      <c r="H1070" s="4">
        <f t="shared" si="17"/>
        <v>0</v>
      </c>
    </row>
    <row r="1071" spans="1:8" x14ac:dyDescent="0.35">
      <c r="A1071" s="11"/>
      <c r="B1071" s="11"/>
      <c r="C1071" s="16"/>
      <c r="D1071" s="1"/>
      <c r="E1071" s="1"/>
      <c r="F1071" s="4"/>
      <c r="G1071" s="4"/>
      <c r="H1071" s="4">
        <f t="shared" si="17"/>
        <v>0</v>
      </c>
    </row>
    <row r="1072" spans="1:8" x14ac:dyDescent="0.35">
      <c r="A1072" s="11"/>
      <c r="B1072" s="11"/>
      <c r="C1072" s="16"/>
      <c r="D1072" s="1"/>
      <c r="E1072" s="1"/>
      <c r="F1072" s="4"/>
      <c r="G1072" s="4"/>
      <c r="H1072" s="4">
        <f t="shared" si="17"/>
        <v>0</v>
      </c>
    </row>
    <row r="1073" spans="1:8" x14ac:dyDescent="0.35">
      <c r="A1073" s="11"/>
      <c r="B1073" s="11"/>
      <c r="C1073" s="16"/>
      <c r="D1073" s="1"/>
      <c r="E1073" s="1"/>
      <c r="F1073" s="4"/>
      <c r="G1073" s="4"/>
      <c r="H1073" s="4">
        <f t="shared" si="17"/>
        <v>0</v>
      </c>
    </row>
    <row r="1074" spans="1:8" x14ac:dyDescent="0.35">
      <c r="A1074" s="11"/>
      <c r="B1074" s="11"/>
      <c r="C1074" s="16"/>
      <c r="D1074" s="1"/>
      <c r="E1074" s="1"/>
      <c r="F1074" s="4"/>
      <c r="G1074" s="4"/>
      <c r="H1074" s="4">
        <f t="shared" si="17"/>
        <v>0</v>
      </c>
    </row>
    <row r="1075" spans="1:8" x14ac:dyDescent="0.35">
      <c r="A1075" s="11"/>
      <c r="B1075" s="11"/>
      <c r="C1075" s="16"/>
      <c r="D1075" s="1"/>
      <c r="E1075" s="1"/>
      <c r="F1075" s="4"/>
      <c r="G1075" s="4"/>
      <c r="H1075" s="4">
        <f t="shared" si="17"/>
        <v>0</v>
      </c>
    </row>
    <row r="1076" spans="1:8" x14ac:dyDescent="0.35">
      <c r="A1076" s="11"/>
      <c r="B1076" s="11"/>
      <c r="C1076" s="16"/>
      <c r="D1076" s="1"/>
      <c r="E1076" s="1"/>
      <c r="F1076" s="4"/>
      <c r="G1076" s="4"/>
      <c r="H1076" s="4">
        <f t="shared" si="17"/>
        <v>0</v>
      </c>
    </row>
    <row r="1077" spans="1:8" x14ac:dyDescent="0.35">
      <c r="A1077" s="11"/>
      <c r="B1077" s="11"/>
      <c r="C1077" s="16"/>
      <c r="D1077" s="1"/>
      <c r="E1077" s="1"/>
      <c r="F1077" s="4"/>
      <c r="G1077" s="4"/>
      <c r="H1077" s="4">
        <f t="shared" si="17"/>
        <v>0</v>
      </c>
    </row>
    <row r="1078" spans="1:8" x14ac:dyDescent="0.35">
      <c r="A1078" s="11"/>
      <c r="B1078" s="11"/>
      <c r="C1078" s="16"/>
      <c r="D1078" s="1"/>
      <c r="E1078" s="1"/>
      <c r="F1078" s="4"/>
      <c r="G1078" s="4"/>
      <c r="H1078" s="4">
        <f t="shared" si="17"/>
        <v>0</v>
      </c>
    </row>
    <row r="1079" spans="1:8" x14ac:dyDescent="0.35">
      <c r="A1079" s="11"/>
      <c r="B1079" s="11"/>
      <c r="C1079" s="16"/>
      <c r="D1079" s="1"/>
      <c r="E1079" s="1"/>
      <c r="F1079" s="4"/>
      <c r="G1079" s="4"/>
      <c r="H1079" s="4">
        <f t="shared" si="17"/>
        <v>0</v>
      </c>
    </row>
    <row r="1080" spans="1:8" x14ac:dyDescent="0.35">
      <c r="A1080" s="11"/>
      <c r="B1080" s="11"/>
      <c r="C1080" s="16"/>
      <c r="D1080" s="1"/>
      <c r="E1080" s="1"/>
      <c r="F1080" s="4"/>
      <c r="G1080" s="4"/>
      <c r="H1080" s="4">
        <f t="shared" si="17"/>
        <v>0</v>
      </c>
    </row>
    <row r="1081" spans="1:8" x14ac:dyDescent="0.35">
      <c r="A1081" s="11"/>
      <c r="B1081" s="11"/>
      <c r="C1081" s="16"/>
      <c r="D1081" s="1"/>
      <c r="E1081" s="1"/>
      <c r="F1081" s="4"/>
      <c r="G1081" s="4"/>
      <c r="H1081" s="4">
        <f t="shared" si="17"/>
        <v>0</v>
      </c>
    </row>
    <row r="1082" spans="1:8" x14ac:dyDescent="0.35">
      <c r="A1082" s="11"/>
      <c r="B1082" s="11"/>
      <c r="C1082" s="16"/>
      <c r="D1082" s="1"/>
      <c r="E1082" s="1"/>
      <c r="F1082" s="4"/>
      <c r="G1082" s="4"/>
      <c r="H1082" s="4">
        <f t="shared" si="17"/>
        <v>0</v>
      </c>
    </row>
    <row r="1083" spans="1:8" x14ac:dyDescent="0.35">
      <c r="A1083" s="11"/>
      <c r="B1083" s="11"/>
      <c r="C1083" s="16"/>
      <c r="D1083" s="1"/>
      <c r="E1083" s="1"/>
      <c r="F1083" s="4"/>
      <c r="G1083" s="4"/>
      <c r="H1083" s="4">
        <f t="shared" si="17"/>
        <v>0</v>
      </c>
    </row>
    <row r="1084" spans="1:8" x14ac:dyDescent="0.35">
      <c r="A1084" s="11"/>
      <c r="B1084" s="11"/>
      <c r="C1084" s="16"/>
      <c r="D1084" s="1"/>
      <c r="E1084" s="1"/>
      <c r="F1084" s="4"/>
      <c r="G1084" s="4"/>
      <c r="H1084" s="4">
        <f t="shared" si="17"/>
        <v>0</v>
      </c>
    </row>
    <row r="1085" spans="1:8" x14ac:dyDescent="0.35">
      <c r="A1085" s="11"/>
      <c r="B1085" s="11"/>
      <c r="C1085" s="16"/>
      <c r="D1085" s="1"/>
      <c r="E1085" s="1"/>
      <c r="F1085" s="4"/>
      <c r="G1085" s="4"/>
      <c r="H1085" s="4">
        <f t="shared" si="17"/>
        <v>0</v>
      </c>
    </row>
    <row r="1086" spans="1:8" x14ac:dyDescent="0.35">
      <c r="A1086" s="11"/>
      <c r="B1086" s="11"/>
      <c r="C1086" s="16"/>
      <c r="D1086" s="1"/>
      <c r="E1086" s="1"/>
      <c r="F1086" s="4"/>
      <c r="G1086" s="4"/>
      <c r="H1086" s="4">
        <f t="shared" si="17"/>
        <v>0</v>
      </c>
    </row>
    <row r="1087" spans="1:8" x14ac:dyDescent="0.35">
      <c r="A1087" s="11"/>
      <c r="B1087" s="11"/>
      <c r="C1087" s="16"/>
      <c r="D1087" s="1"/>
      <c r="E1087" s="1"/>
      <c r="F1087" s="4"/>
      <c r="G1087" s="4"/>
      <c r="H1087" s="4">
        <f t="shared" si="17"/>
        <v>0</v>
      </c>
    </row>
    <row r="1088" spans="1:8" x14ac:dyDescent="0.35">
      <c r="A1088" s="11"/>
      <c r="B1088" s="11"/>
      <c r="C1088" s="16"/>
      <c r="D1088" s="1"/>
      <c r="E1088" s="1"/>
      <c r="F1088" s="4"/>
      <c r="G1088" s="4"/>
      <c r="H1088" s="4">
        <f t="shared" si="17"/>
        <v>0</v>
      </c>
    </row>
    <row r="1089" spans="1:8" x14ac:dyDescent="0.35">
      <c r="A1089" s="11"/>
      <c r="B1089" s="11"/>
      <c r="C1089" s="16"/>
      <c r="D1089" s="1"/>
      <c r="E1089" s="1"/>
      <c r="F1089" s="4"/>
      <c r="G1089" s="4"/>
      <c r="H1089" s="4">
        <f t="shared" si="17"/>
        <v>0</v>
      </c>
    </row>
    <row r="1090" spans="1:8" x14ac:dyDescent="0.35">
      <c r="A1090" s="11"/>
      <c r="B1090" s="11"/>
      <c r="C1090" s="16"/>
      <c r="D1090" s="1"/>
      <c r="E1090" s="1"/>
      <c r="F1090" s="4"/>
      <c r="G1090" s="4"/>
      <c r="H1090" s="4">
        <f t="shared" si="17"/>
        <v>0</v>
      </c>
    </row>
    <row r="1091" spans="1:8" x14ac:dyDescent="0.35">
      <c r="A1091" s="11"/>
      <c r="B1091" s="11"/>
      <c r="C1091" s="16"/>
      <c r="D1091" s="1"/>
      <c r="E1091" s="1"/>
      <c r="F1091" s="4"/>
      <c r="G1091" s="4"/>
      <c r="H1091" s="4">
        <f t="shared" si="17"/>
        <v>0</v>
      </c>
    </row>
    <row r="1092" spans="1:8" x14ac:dyDescent="0.35">
      <c r="A1092" s="11"/>
      <c r="B1092" s="11"/>
      <c r="C1092" s="16"/>
      <c r="D1092" s="1"/>
      <c r="E1092" s="1"/>
      <c r="F1092" s="4"/>
      <c r="G1092" s="4"/>
      <c r="H1092" s="4">
        <f t="shared" si="17"/>
        <v>0</v>
      </c>
    </row>
    <row r="1093" spans="1:8" x14ac:dyDescent="0.35">
      <c r="A1093" s="11"/>
      <c r="B1093" s="11"/>
      <c r="C1093" s="16"/>
      <c r="D1093" s="1"/>
      <c r="E1093" s="1"/>
      <c r="F1093" s="4"/>
      <c r="G1093" s="4"/>
      <c r="H1093" s="4">
        <f t="shared" si="17"/>
        <v>0</v>
      </c>
    </row>
    <row r="1094" spans="1:8" x14ac:dyDescent="0.35">
      <c r="A1094" s="11"/>
      <c r="B1094" s="11"/>
      <c r="C1094" s="16"/>
      <c r="D1094" s="1"/>
      <c r="E1094" s="1"/>
      <c r="F1094" s="4"/>
      <c r="G1094" s="4"/>
      <c r="H1094" s="4">
        <f t="shared" si="17"/>
        <v>0</v>
      </c>
    </row>
    <row r="1095" spans="1:8" x14ac:dyDescent="0.35">
      <c r="A1095" s="11"/>
      <c r="B1095" s="11"/>
      <c r="C1095" s="16"/>
      <c r="D1095" s="1"/>
      <c r="E1095" s="1"/>
      <c r="F1095" s="4"/>
      <c r="G1095" s="4"/>
      <c r="H1095" s="4">
        <f t="shared" si="17"/>
        <v>0</v>
      </c>
    </row>
    <row r="1096" spans="1:8" x14ac:dyDescent="0.35">
      <c r="A1096" s="11"/>
      <c r="B1096" s="11"/>
      <c r="C1096" s="16"/>
      <c r="D1096" s="1"/>
      <c r="E1096" s="1"/>
      <c r="F1096" s="4"/>
      <c r="G1096" s="4"/>
      <c r="H1096" s="4">
        <f t="shared" si="17"/>
        <v>0</v>
      </c>
    </row>
    <row r="1097" spans="1:8" x14ac:dyDescent="0.35">
      <c r="A1097" s="11"/>
      <c r="B1097" s="11"/>
      <c r="C1097" s="16"/>
      <c r="D1097" s="1"/>
      <c r="E1097" s="1"/>
      <c r="F1097" s="4"/>
      <c r="G1097" s="4"/>
      <c r="H1097" s="4">
        <f t="shared" si="17"/>
        <v>0</v>
      </c>
    </row>
    <row r="1098" spans="1:8" x14ac:dyDescent="0.35">
      <c r="A1098" s="11"/>
      <c r="B1098" s="11"/>
      <c r="C1098" s="16"/>
      <c r="D1098" s="1"/>
      <c r="E1098" s="1"/>
      <c r="F1098" s="4"/>
      <c r="G1098" s="4"/>
      <c r="H1098" s="4">
        <f t="shared" si="17"/>
        <v>0</v>
      </c>
    </row>
    <row r="1099" spans="1:8" x14ac:dyDescent="0.35">
      <c r="A1099" s="11"/>
      <c r="B1099" s="11"/>
      <c r="C1099" s="16"/>
      <c r="D1099" s="1"/>
      <c r="E1099" s="1"/>
      <c r="F1099" s="4"/>
      <c r="G1099" s="4"/>
      <c r="H1099" s="4">
        <f t="shared" si="17"/>
        <v>0</v>
      </c>
    </row>
    <row r="1100" spans="1:8" x14ac:dyDescent="0.35">
      <c r="A1100" s="11"/>
      <c r="B1100" s="11"/>
      <c r="C1100" s="16"/>
      <c r="D1100" s="1"/>
      <c r="E1100" s="1"/>
      <c r="F1100" s="4"/>
      <c r="G1100" s="4"/>
      <c r="H1100" s="4">
        <f t="shared" si="17"/>
        <v>0</v>
      </c>
    </row>
    <row r="1101" spans="1:8" x14ac:dyDescent="0.35">
      <c r="A1101" s="11"/>
      <c r="B1101" s="11"/>
      <c r="C1101" s="16"/>
      <c r="D1101" s="1"/>
      <c r="E1101" s="1"/>
      <c r="F1101" s="4"/>
      <c r="G1101" s="4"/>
      <c r="H1101" s="4">
        <f t="shared" si="17"/>
        <v>0</v>
      </c>
    </row>
    <row r="1102" spans="1:8" x14ac:dyDescent="0.35">
      <c r="A1102" s="11"/>
      <c r="B1102" s="11"/>
      <c r="C1102" s="16"/>
      <c r="D1102" s="1"/>
      <c r="E1102" s="1"/>
      <c r="F1102" s="4"/>
      <c r="G1102" s="4"/>
      <c r="H1102" s="4">
        <f t="shared" si="17"/>
        <v>0</v>
      </c>
    </row>
    <row r="1103" spans="1:8" x14ac:dyDescent="0.35">
      <c r="A1103" s="11"/>
      <c r="B1103" s="11"/>
      <c r="C1103" s="16"/>
      <c r="D1103" s="1"/>
      <c r="E1103" s="1"/>
      <c r="F1103" s="4"/>
      <c r="G1103" s="4"/>
      <c r="H1103" s="4">
        <f t="shared" si="17"/>
        <v>0</v>
      </c>
    </row>
    <row r="1104" spans="1:8" x14ac:dyDescent="0.35">
      <c r="A1104" s="11"/>
      <c r="B1104" s="11"/>
      <c r="C1104" s="16"/>
      <c r="D1104" s="1"/>
      <c r="E1104" s="1"/>
      <c r="F1104" s="4"/>
      <c r="G1104" s="4"/>
      <c r="H1104" s="4">
        <f t="shared" si="17"/>
        <v>0</v>
      </c>
    </row>
    <row r="1105" spans="1:8" x14ac:dyDescent="0.35">
      <c r="A1105" s="11"/>
      <c r="B1105" s="11"/>
      <c r="C1105" s="16"/>
      <c r="D1105" s="1"/>
      <c r="E1105" s="1"/>
      <c r="F1105" s="4"/>
      <c r="G1105" s="4"/>
      <c r="H1105" s="4">
        <f t="shared" si="17"/>
        <v>0</v>
      </c>
    </row>
    <row r="1106" spans="1:8" x14ac:dyDescent="0.35">
      <c r="A1106" s="11"/>
      <c r="B1106" s="11"/>
      <c r="C1106" s="16"/>
      <c r="D1106" s="1"/>
      <c r="E1106" s="1"/>
      <c r="F1106" s="4"/>
      <c r="G1106" s="4"/>
      <c r="H1106" s="4">
        <f t="shared" si="17"/>
        <v>0</v>
      </c>
    </row>
    <row r="1107" spans="1:8" x14ac:dyDescent="0.35">
      <c r="A1107" s="11"/>
      <c r="B1107" s="11"/>
      <c r="C1107" s="16"/>
      <c r="D1107" s="1"/>
      <c r="E1107" s="1"/>
      <c r="F1107" s="4"/>
      <c r="G1107" s="4"/>
      <c r="H1107" s="4">
        <f t="shared" si="17"/>
        <v>0</v>
      </c>
    </row>
    <row r="1108" spans="1:8" x14ac:dyDescent="0.35">
      <c r="A1108" s="11"/>
      <c r="B1108" s="11"/>
      <c r="C1108" s="16"/>
      <c r="D1108" s="1"/>
      <c r="E1108" s="1"/>
      <c r="F1108" s="4"/>
      <c r="G1108" s="4"/>
      <c r="H1108" s="4">
        <f t="shared" si="17"/>
        <v>0</v>
      </c>
    </row>
    <row r="1109" spans="1:8" x14ac:dyDescent="0.35">
      <c r="A1109" s="11"/>
      <c r="B1109" s="11"/>
      <c r="C1109" s="16"/>
      <c r="D1109" s="1"/>
      <c r="E1109" s="1"/>
      <c r="F1109" s="4"/>
      <c r="G1109" s="4"/>
      <c r="H1109" s="4">
        <f t="shared" si="17"/>
        <v>0</v>
      </c>
    </row>
    <row r="1110" spans="1:8" x14ac:dyDescent="0.35">
      <c r="A1110" s="11"/>
      <c r="B1110" s="11"/>
      <c r="C1110" s="16"/>
      <c r="D1110" s="1"/>
      <c r="E1110" s="1"/>
      <c r="F1110" s="4"/>
      <c r="G1110" s="4"/>
      <c r="H1110" s="4">
        <f t="shared" si="17"/>
        <v>0</v>
      </c>
    </row>
    <row r="1111" spans="1:8" x14ac:dyDescent="0.35">
      <c r="A1111" s="11"/>
      <c r="B1111" s="11"/>
      <c r="C1111" s="16"/>
      <c r="D1111" s="1"/>
      <c r="E1111" s="1"/>
      <c r="F1111" s="4"/>
      <c r="G1111" s="4"/>
      <c r="H1111" s="4">
        <f t="shared" si="17"/>
        <v>0</v>
      </c>
    </row>
    <row r="1112" spans="1:8" x14ac:dyDescent="0.35">
      <c r="A1112" s="11"/>
      <c r="B1112" s="11"/>
      <c r="C1112" s="16"/>
      <c r="D1112" s="1"/>
      <c r="E1112" s="1"/>
      <c r="F1112" s="4"/>
      <c r="G1112" s="4"/>
      <c r="H1112" s="4">
        <f t="shared" si="17"/>
        <v>0</v>
      </c>
    </row>
    <row r="1113" spans="1:8" x14ac:dyDescent="0.35">
      <c r="A1113" s="11"/>
      <c r="B1113" s="11"/>
      <c r="C1113" s="16"/>
      <c r="D1113" s="1"/>
      <c r="E1113" s="1"/>
      <c r="F1113" s="4"/>
      <c r="G1113" s="4"/>
      <c r="H1113" s="4">
        <f t="shared" si="17"/>
        <v>0</v>
      </c>
    </row>
    <row r="1114" spans="1:8" x14ac:dyDescent="0.35">
      <c r="A1114" s="11"/>
      <c r="B1114" s="11"/>
      <c r="C1114" s="16"/>
      <c r="D1114" s="1"/>
      <c r="E1114" s="1"/>
      <c r="F1114" s="4"/>
      <c r="G1114" s="4"/>
      <c r="H1114" s="4">
        <f t="shared" si="17"/>
        <v>0</v>
      </c>
    </row>
    <row r="1115" spans="1:8" x14ac:dyDescent="0.35">
      <c r="A1115" s="11"/>
      <c r="B1115" s="11"/>
      <c r="C1115" s="16"/>
      <c r="D1115" s="1"/>
      <c r="E1115" s="1"/>
      <c r="F1115" s="4"/>
      <c r="G1115" s="4"/>
      <c r="H1115" s="4">
        <f t="shared" si="17"/>
        <v>0</v>
      </c>
    </row>
    <row r="1116" spans="1:8" x14ac:dyDescent="0.35">
      <c r="A1116" s="11"/>
      <c r="B1116" s="11"/>
      <c r="C1116" s="16"/>
      <c r="D1116" s="1"/>
      <c r="E1116" s="1"/>
      <c r="F1116" s="4"/>
      <c r="G1116" s="4"/>
      <c r="H1116" s="4">
        <f t="shared" si="17"/>
        <v>0</v>
      </c>
    </row>
    <row r="1117" spans="1:8" x14ac:dyDescent="0.35">
      <c r="A1117" s="11"/>
      <c r="B1117" s="11"/>
      <c r="C1117" s="16"/>
      <c r="D1117" s="1"/>
      <c r="E1117" s="1"/>
      <c r="F1117" s="4"/>
      <c r="G1117" s="4"/>
      <c r="H1117" s="4">
        <f t="shared" si="17"/>
        <v>0</v>
      </c>
    </row>
    <row r="1118" spans="1:8" x14ac:dyDescent="0.35">
      <c r="A1118" s="11"/>
      <c r="B1118" s="11"/>
      <c r="C1118" s="16"/>
      <c r="D1118" s="1"/>
      <c r="E1118" s="1"/>
      <c r="F1118" s="4"/>
      <c r="G1118" s="4"/>
      <c r="H1118" s="4">
        <f t="shared" si="17"/>
        <v>0</v>
      </c>
    </row>
    <row r="1119" spans="1:8" x14ac:dyDescent="0.35">
      <c r="A1119" s="11"/>
      <c r="B1119" s="11"/>
      <c r="C1119" s="16"/>
      <c r="D1119" s="1"/>
      <c r="E1119" s="1"/>
      <c r="F1119" s="4"/>
      <c r="G1119" s="4"/>
      <c r="H1119" s="4">
        <f t="shared" si="17"/>
        <v>0</v>
      </c>
    </row>
    <row r="1120" spans="1:8" x14ac:dyDescent="0.35">
      <c r="A1120" s="11"/>
      <c r="B1120" s="11"/>
      <c r="C1120" s="16"/>
      <c r="D1120" s="1"/>
      <c r="E1120" s="1"/>
      <c r="F1120" s="4"/>
      <c r="G1120" s="4"/>
      <c r="H1120" s="4">
        <f t="shared" si="17"/>
        <v>0</v>
      </c>
    </row>
    <row r="1121" spans="1:8" x14ac:dyDescent="0.35">
      <c r="A1121" s="11"/>
      <c r="B1121" s="11"/>
      <c r="C1121" s="16"/>
      <c r="D1121" s="1"/>
      <c r="E1121" s="1"/>
      <c r="F1121" s="4"/>
      <c r="G1121" s="4"/>
      <c r="H1121" s="4">
        <f t="shared" ref="H1121:H1184" si="18">H1120+F1121-G1121</f>
        <v>0</v>
      </c>
    </row>
    <row r="1122" spans="1:8" x14ac:dyDescent="0.35">
      <c r="A1122" s="11"/>
      <c r="B1122" s="11"/>
      <c r="C1122" s="16"/>
      <c r="D1122" s="1"/>
      <c r="E1122" s="1"/>
      <c r="F1122" s="4"/>
      <c r="G1122" s="4"/>
      <c r="H1122" s="4">
        <f t="shared" si="18"/>
        <v>0</v>
      </c>
    </row>
    <row r="1123" spans="1:8" x14ac:dyDescent="0.35">
      <c r="A1123" s="11"/>
      <c r="B1123" s="11"/>
      <c r="C1123" s="16"/>
      <c r="D1123" s="1"/>
      <c r="E1123" s="1"/>
      <c r="F1123" s="4"/>
      <c r="G1123" s="4"/>
      <c r="H1123" s="4">
        <f t="shared" si="18"/>
        <v>0</v>
      </c>
    </row>
    <row r="1124" spans="1:8" x14ac:dyDescent="0.35">
      <c r="A1124" s="11"/>
      <c r="B1124" s="11"/>
      <c r="C1124" s="16"/>
      <c r="D1124" s="1"/>
      <c r="E1124" s="1"/>
      <c r="F1124" s="4"/>
      <c r="G1124" s="4"/>
      <c r="H1124" s="4">
        <f t="shared" si="18"/>
        <v>0</v>
      </c>
    </row>
    <row r="1125" spans="1:8" x14ac:dyDescent="0.35">
      <c r="A1125" s="11"/>
      <c r="B1125" s="11"/>
      <c r="C1125" s="16"/>
      <c r="D1125" s="1"/>
      <c r="E1125" s="1"/>
      <c r="F1125" s="4"/>
      <c r="G1125" s="4"/>
      <c r="H1125" s="4">
        <f t="shared" si="18"/>
        <v>0</v>
      </c>
    </row>
    <row r="1126" spans="1:8" x14ac:dyDescent="0.35">
      <c r="A1126" s="11"/>
      <c r="B1126" s="11"/>
      <c r="C1126" s="16"/>
      <c r="D1126" s="1"/>
      <c r="E1126" s="1"/>
      <c r="F1126" s="4"/>
      <c r="G1126" s="4"/>
      <c r="H1126" s="4">
        <f t="shared" si="18"/>
        <v>0</v>
      </c>
    </row>
    <row r="1127" spans="1:8" x14ac:dyDescent="0.35">
      <c r="A1127" s="11"/>
      <c r="B1127" s="11"/>
      <c r="C1127" s="16"/>
      <c r="D1127" s="1"/>
      <c r="E1127" s="1"/>
      <c r="F1127" s="4"/>
      <c r="G1127" s="4"/>
      <c r="H1127" s="4">
        <f t="shared" si="18"/>
        <v>0</v>
      </c>
    </row>
    <row r="1128" spans="1:8" x14ac:dyDescent="0.35">
      <c r="A1128" s="11"/>
      <c r="B1128" s="11"/>
      <c r="C1128" s="16"/>
      <c r="D1128" s="1"/>
      <c r="E1128" s="1"/>
      <c r="F1128" s="4"/>
      <c r="G1128" s="4"/>
      <c r="H1128" s="4">
        <f t="shared" si="18"/>
        <v>0</v>
      </c>
    </row>
    <row r="1129" spans="1:8" x14ac:dyDescent="0.35">
      <c r="A1129" s="11"/>
      <c r="B1129" s="11"/>
      <c r="C1129" s="16"/>
      <c r="D1129" s="1"/>
      <c r="E1129" s="1"/>
      <c r="F1129" s="4"/>
      <c r="G1129" s="4"/>
      <c r="H1129" s="4">
        <f t="shared" si="18"/>
        <v>0</v>
      </c>
    </row>
    <row r="1130" spans="1:8" x14ac:dyDescent="0.35">
      <c r="A1130" s="11"/>
      <c r="B1130" s="11"/>
      <c r="C1130" s="16"/>
      <c r="D1130" s="1"/>
      <c r="E1130" s="1"/>
      <c r="F1130" s="4"/>
      <c r="G1130" s="4"/>
      <c r="H1130" s="4">
        <f t="shared" si="18"/>
        <v>0</v>
      </c>
    </row>
    <row r="1131" spans="1:8" x14ac:dyDescent="0.35">
      <c r="A1131" s="11"/>
      <c r="B1131" s="11"/>
      <c r="C1131" s="16"/>
      <c r="D1131" s="1"/>
      <c r="E1131" s="1"/>
      <c r="F1131" s="4"/>
      <c r="G1131" s="4"/>
      <c r="H1131" s="4">
        <f t="shared" si="18"/>
        <v>0</v>
      </c>
    </row>
    <row r="1132" spans="1:8" x14ac:dyDescent="0.35">
      <c r="A1132" s="11"/>
      <c r="B1132" s="11"/>
      <c r="C1132" s="16"/>
      <c r="D1132" s="1"/>
      <c r="E1132" s="1"/>
      <c r="F1132" s="4"/>
      <c r="G1132" s="4"/>
      <c r="H1132" s="4">
        <f t="shared" si="18"/>
        <v>0</v>
      </c>
    </row>
    <row r="1133" spans="1:8" x14ac:dyDescent="0.35">
      <c r="A1133" s="11"/>
      <c r="B1133" s="11"/>
      <c r="C1133" s="16"/>
      <c r="D1133" s="1"/>
      <c r="E1133" s="1"/>
      <c r="F1133" s="4"/>
      <c r="G1133" s="4"/>
      <c r="H1133" s="4">
        <f t="shared" si="18"/>
        <v>0</v>
      </c>
    </row>
    <row r="1134" spans="1:8" x14ac:dyDescent="0.35">
      <c r="A1134" s="11"/>
      <c r="B1134" s="11"/>
      <c r="C1134" s="16"/>
      <c r="D1134" s="1"/>
      <c r="E1134" s="1"/>
      <c r="F1134" s="4"/>
      <c r="G1134" s="4"/>
      <c r="H1134" s="4">
        <f t="shared" si="18"/>
        <v>0</v>
      </c>
    </row>
    <row r="1135" spans="1:8" x14ac:dyDescent="0.35">
      <c r="A1135" s="11"/>
      <c r="B1135" s="11"/>
      <c r="C1135" s="16"/>
      <c r="D1135" s="1"/>
      <c r="E1135" s="1"/>
      <c r="F1135" s="4"/>
      <c r="G1135" s="4"/>
      <c r="H1135" s="4">
        <f t="shared" si="18"/>
        <v>0</v>
      </c>
    </row>
    <row r="1136" spans="1:8" x14ac:dyDescent="0.35">
      <c r="A1136" s="11"/>
      <c r="B1136" s="11"/>
      <c r="C1136" s="16"/>
      <c r="D1136" s="1"/>
      <c r="E1136" s="1"/>
      <c r="F1136" s="4"/>
      <c r="G1136" s="4"/>
      <c r="H1136" s="4">
        <f t="shared" si="18"/>
        <v>0</v>
      </c>
    </row>
    <row r="1137" spans="1:8" x14ac:dyDescent="0.35">
      <c r="A1137" s="11"/>
      <c r="B1137" s="11"/>
      <c r="C1137" s="16"/>
      <c r="D1137" s="1"/>
      <c r="E1137" s="1"/>
      <c r="F1137" s="4"/>
      <c r="G1137" s="4"/>
      <c r="H1137" s="4">
        <f t="shared" si="18"/>
        <v>0</v>
      </c>
    </row>
    <row r="1138" spans="1:8" x14ac:dyDescent="0.35">
      <c r="A1138" s="11"/>
      <c r="B1138" s="11"/>
      <c r="C1138" s="16"/>
      <c r="D1138" s="1"/>
      <c r="E1138" s="1"/>
      <c r="F1138" s="4"/>
      <c r="G1138" s="4"/>
      <c r="H1138" s="4">
        <f t="shared" si="18"/>
        <v>0</v>
      </c>
    </row>
    <row r="1139" spans="1:8" x14ac:dyDescent="0.35">
      <c r="A1139" s="11"/>
      <c r="B1139" s="11"/>
      <c r="C1139" s="16"/>
      <c r="D1139" s="1"/>
      <c r="E1139" s="1"/>
      <c r="F1139" s="4"/>
      <c r="G1139" s="4"/>
      <c r="H1139" s="4">
        <f t="shared" si="18"/>
        <v>0</v>
      </c>
    </row>
    <row r="1140" spans="1:8" x14ac:dyDescent="0.35">
      <c r="A1140" s="11"/>
      <c r="B1140" s="11"/>
      <c r="C1140" s="16"/>
      <c r="D1140" s="1"/>
      <c r="E1140" s="1"/>
      <c r="F1140" s="4"/>
      <c r="G1140" s="4"/>
      <c r="H1140" s="4">
        <f t="shared" si="18"/>
        <v>0</v>
      </c>
    </row>
    <row r="1141" spans="1:8" x14ac:dyDescent="0.35">
      <c r="A1141" s="11"/>
      <c r="B1141" s="11"/>
      <c r="C1141" s="16"/>
      <c r="D1141" s="1"/>
      <c r="E1141" s="1"/>
      <c r="F1141" s="4"/>
      <c r="G1141" s="4"/>
      <c r="H1141" s="4">
        <f t="shared" si="18"/>
        <v>0</v>
      </c>
    </row>
    <row r="1142" spans="1:8" x14ac:dyDescent="0.35">
      <c r="A1142" s="11"/>
      <c r="B1142" s="11"/>
      <c r="C1142" s="16"/>
      <c r="D1142" s="1"/>
      <c r="E1142" s="1"/>
      <c r="F1142" s="4"/>
      <c r="G1142" s="4"/>
      <c r="H1142" s="4">
        <f t="shared" si="18"/>
        <v>0</v>
      </c>
    </row>
    <row r="1143" spans="1:8" x14ac:dyDescent="0.35">
      <c r="A1143" s="11"/>
      <c r="B1143" s="11"/>
      <c r="C1143" s="16"/>
      <c r="D1143" s="1"/>
      <c r="E1143" s="1"/>
      <c r="F1143" s="4"/>
      <c r="G1143" s="4"/>
      <c r="H1143" s="4">
        <f t="shared" si="18"/>
        <v>0</v>
      </c>
    </row>
    <row r="1144" spans="1:8" x14ac:dyDescent="0.35">
      <c r="A1144" s="11"/>
      <c r="B1144" s="11"/>
      <c r="C1144" s="16"/>
      <c r="D1144" s="1"/>
      <c r="E1144" s="1"/>
      <c r="F1144" s="4"/>
      <c r="G1144" s="4"/>
      <c r="H1144" s="4">
        <f t="shared" si="18"/>
        <v>0</v>
      </c>
    </row>
    <row r="1145" spans="1:8" x14ac:dyDescent="0.35">
      <c r="A1145" s="11"/>
      <c r="B1145" s="11"/>
      <c r="C1145" s="16"/>
      <c r="D1145" s="1"/>
      <c r="E1145" s="1"/>
      <c r="F1145" s="4"/>
      <c r="G1145" s="4"/>
      <c r="H1145" s="4">
        <f t="shared" si="18"/>
        <v>0</v>
      </c>
    </row>
    <row r="1146" spans="1:8" x14ac:dyDescent="0.35">
      <c r="A1146" s="11"/>
      <c r="B1146" s="11"/>
      <c r="C1146" s="16"/>
      <c r="D1146" s="1"/>
      <c r="E1146" s="1"/>
      <c r="F1146" s="4"/>
      <c r="G1146" s="4"/>
      <c r="H1146" s="4">
        <f t="shared" si="18"/>
        <v>0</v>
      </c>
    </row>
    <row r="1147" spans="1:8" x14ac:dyDescent="0.35">
      <c r="A1147" s="11"/>
      <c r="B1147" s="11"/>
      <c r="C1147" s="16"/>
      <c r="D1147" s="1"/>
      <c r="E1147" s="1"/>
      <c r="F1147" s="4"/>
      <c r="G1147" s="4"/>
      <c r="H1147" s="4">
        <f t="shared" si="18"/>
        <v>0</v>
      </c>
    </row>
    <row r="1148" spans="1:8" x14ac:dyDescent="0.35">
      <c r="A1148" s="11"/>
      <c r="B1148" s="11"/>
      <c r="C1148" s="16"/>
      <c r="D1148" s="1"/>
      <c r="E1148" s="1"/>
      <c r="F1148" s="4"/>
      <c r="G1148" s="4"/>
      <c r="H1148" s="4">
        <f t="shared" si="18"/>
        <v>0</v>
      </c>
    </row>
    <row r="1149" spans="1:8" x14ac:dyDescent="0.35">
      <c r="A1149" s="11"/>
      <c r="B1149" s="11"/>
      <c r="C1149" s="16"/>
      <c r="D1149" s="1"/>
      <c r="E1149" s="1"/>
      <c r="F1149" s="4"/>
      <c r="G1149" s="4"/>
      <c r="H1149" s="4">
        <f t="shared" si="18"/>
        <v>0</v>
      </c>
    </row>
    <row r="1150" spans="1:8" x14ac:dyDescent="0.35">
      <c r="A1150" s="11"/>
      <c r="B1150" s="11"/>
      <c r="C1150" s="16"/>
      <c r="D1150" s="1"/>
      <c r="E1150" s="1"/>
      <c r="F1150" s="4"/>
      <c r="G1150" s="4"/>
      <c r="H1150" s="4">
        <f t="shared" si="18"/>
        <v>0</v>
      </c>
    </row>
    <row r="1151" spans="1:8" x14ac:dyDescent="0.35">
      <c r="A1151" s="11"/>
      <c r="B1151" s="11"/>
      <c r="C1151" s="16"/>
      <c r="D1151" s="1"/>
      <c r="E1151" s="1"/>
      <c r="F1151" s="4"/>
      <c r="G1151" s="4"/>
      <c r="H1151" s="4">
        <f t="shared" si="18"/>
        <v>0</v>
      </c>
    </row>
    <row r="1152" spans="1:8" x14ac:dyDescent="0.35">
      <c r="A1152" s="11"/>
      <c r="B1152" s="11"/>
      <c r="C1152" s="16"/>
      <c r="D1152" s="1"/>
      <c r="E1152" s="1"/>
      <c r="F1152" s="4"/>
      <c r="G1152" s="4"/>
      <c r="H1152" s="4">
        <f t="shared" si="18"/>
        <v>0</v>
      </c>
    </row>
    <row r="1153" spans="1:8" x14ac:dyDescent="0.35">
      <c r="A1153" s="11"/>
      <c r="B1153" s="11"/>
      <c r="C1153" s="16"/>
      <c r="D1153" s="1"/>
      <c r="E1153" s="1"/>
      <c r="F1153" s="4"/>
      <c r="G1153" s="4"/>
      <c r="H1153" s="4">
        <f t="shared" si="18"/>
        <v>0</v>
      </c>
    </row>
    <row r="1154" spans="1:8" x14ac:dyDescent="0.35">
      <c r="A1154" s="11"/>
      <c r="B1154" s="11"/>
      <c r="C1154" s="16"/>
      <c r="D1154" s="1"/>
      <c r="E1154" s="1"/>
      <c r="F1154" s="4"/>
      <c r="G1154" s="4"/>
      <c r="H1154" s="4">
        <f t="shared" si="18"/>
        <v>0</v>
      </c>
    </row>
    <row r="1155" spans="1:8" x14ac:dyDescent="0.35">
      <c r="A1155" s="11"/>
      <c r="B1155" s="11"/>
      <c r="C1155" s="16"/>
      <c r="D1155" s="1"/>
      <c r="E1155" s="1"/>
      <c r="F1155" s="4"/>
      <c r="G1155" s="4"/>
      <c r="H1155" s="4">
        <f t="shared" si="18"/>
        <v>0</v>
      </c>
    </row>
    <row r="1156" spans="1:8" x14ac:dyDescent="0.35">
      <c r="A1156" s="11"/>
      <c r="B1156" s="11"/>
      <c r="C1156" s="16"/>
      <c r="D1156" s="1"/>
      <c r="E1156" s="1"/>
      <c r="F1156" s="4"/>
      <c r="G1156" s="4"/>
      <c r="H1156" s="4">
        <f t="shared" si="18"/>
        <v>0</v>
      </c>
    </row>
    <row r="1157" spans="1:8" x14ac:dyDescent="0.35">
      <c r="A1157" s="11"/>
      <c r="B1157" s="11"/>
      <c r="C1157" s="16"/>
      <c r="D1157" s="1"/>
      <c r="E1157" s="1"/>
      <c r="F1157" s="4"/>
      <c r="G1157" s="4"/>
      <c r="H1157" s="4">
        <f t="shared" si="18"/>
        <v>0</v>
      </c>
    </row>
    <row r="1158" spans="1:8" x14ac:dyDescent="0.35">
      <c r="A1158" s="11"/>
      <c r="B1158" s="11"/>
      <c r="C1158" s="16"/>
      <c r="D1158" s="1"/>
      <c r="E1158" s="1"/>
      <c r="F1158" s="4"/>
      <c r="G1158" s="4"/>
      <c r="H1158" s="4">
        <f t="shared" si="18"/>
        <v>0</v>
      </c>
    </row>
    <row r="1159" spans="1:8" x14ac:dyDescent="0.35">
      <c r="A1159" s="11"/>
      <c r="B1159" s="11"/>
      <c r="C1159" s="16"/>
      <c r="D1159" s="1"/>
      <c r="E1159" s="1"/>
      <c r="F1159" s="4"/>
      <c r="G1159" s="4"/>
      <c r="H1159" s="4">
        <f t="shared" si="18"/>
        <v>0</v>
      </c>
    </row>
    <row r="1160" spans="1:8" x14ac:dyDescent="0.35">
      <c r="A1160" s="11"/>
      <c r="B1160" s="11"/>
      <c r="C1160" s="16"/>
      <c r="D1160" s="1"/>
      <c r="E1160" s="1"/>
      <c r="F1160" s="4"/>
      <c r="G1160" s="4"/>
      <c r="H1160" s="4">
        <f t="shared" si="18"/>
        <v>0</v>
      </c>
    </row>
    <row r="1161" spans="1:8" x14ac:dyDescent="0.35">
      <c r="A1161" s="11"/>
      <c r="B1161" s="11"/>
      <c r="C1161" s="16"/>
      <c r="D1161" s="1"/>
      <c r="E1161" s="1"/>
      <c r="F1161" s="4"/>
      <c r="G1161" s="4"/>
      <c r="H1161" s="4">
        <f t="shared" si="18"/>
        <v>0</v>
      </c>
    </row>
    <row r="1162" spans="1:8" x14ac:dyDescent="0.35">
      <c r="A1162" s="11"/>
      <c r="B1162" s="11"/>
      <c r="C1162" s="16"/>
      <c r="D1162" s="1"/>
      <c r="E1162" s="1"/>
      <c r="F1162" s="4"/>
      <c r="G1162" s="4"/>
      <c r="H1162" s="4">
        <f t="shared" si="18"/>
        <v>0</v>
      </c>
    </row>
    <row r="1163" spans="1:8" x14ac:dyDescent="0.35">
      <c r="A1163" s="11"/>
      <c r="B1163" s="11"/>
      <c r="C1163" s="16"/>
      <c r="D1163" s="1"/>
      <c r="E1163" s="1"/>
      <c r="F1163" s="4"/>
      <c r="G1163" s="4"/>
      <c r="H1163" s="4">
        <f t="shared" si="18"/>
        <v>0</v>
      </c>
    </row>
    <row r="1164" spans="1:8" x14ac:dyDescent="0.35">
      <c r="A1164" s="11"/>
      <c r="B1164" s="11"/>
      <c r="C1164" s="16"/>
      <c r="D1164" s="1"/>
      <c r="E1164" s="1"/>
      <c r="F1164" s="4"/>
      <c r="G1164" s="4"/>
      <c r="H1164" s="4">
        <f t="shared" si="18"/>
        <v>0</v>
      </c>
    </row>
    <row r="1165" spans="1:8" x14ac:dyDescent="0.35">
      <c r="A1165" s="11"/>
      <c r="B1165" s="11"/>
      <c r="C1165" s="16"/>
      <c r="D1165" s="1"/>
      <c r="E1165" s="1"/>
      <c r="F1165" s="4"/>
      <c r="G1165" s="4"/>
      <c r="H1165" s="4">
        <f t="shared" si="18"/>
        <v>0</v>
      </c>
    </row>
    <row r="1166" spans="1:8" x14ac:dyDescent="0.35">
      <c r="A1166" s="11"/>
      <c r="B1166" s="11"/>
      <c r="C1166" s="16"/>
      <c r="D1166" s="1"/>
      <c r="E1166" s="1"/>
      <c r="F1166" s="4"/>
      <c r="G1166" s="4"/>
      <c r="H1166" s="4">
        <f t="shared" si="18"/>
        <v>0</v>
      </c>
    </row>
    <row r="1167" spans="1:8" x14ac:dyDescent="0.35">
      <c r="A1167" s="11"/>
      <c r="B1167" s="11"/>
      <c r="C1167" s="16"/>
      <c r="D1167" s="1"/>
      <c r="E1167" s="1"/>
      <c r="F1167" s="4"/>
      <c r="G1167" s="4"/>
      <c r="H1167" s="4">
        <f t="shared" si="18"/>
        <v>0</v>
      </c>
    </row>
    <row r="1168" spans="1:8" x14ac:dyDescent="0.35">
      <c r="A1168" s="11"/>
      <c r="B1168" s="11"/>
      <c r="C1168" s="16"/>
      <c r="D1168" s="1"/>
      <c r="E1168" s="1"/>
      <c r="F1168" s="4"/>
      <c r="G1168" s="4"/>
      <c r="H1168" s="4">
        <f t="shared" si="18"/>
        <v>0</v>
      </c>
    </row>
    <row r="1169" spans="1:8" x14ac:dyDescent="0.35">
      <c r="A1169" s="11"/>
      <c r="B1169" s="11"/>
      <c r="C1169" s="16"/>
      <c r="D1169" s="1"/>
      <c r="E1169" s="1"/>
      <c r="F1169" s="4"/>
      <c r="G1169" s="4"/>
      <c r="H1169" s="4">
        <f t="shared" si="18"/>
        <v>0</v>
      </c>
    </row>
    <row r="1170" spans="1:8" x14ac:dyDescent="0.35">
      <c r="A1170" s="11"/>
      <c r="B1170" s="11"/>
      <c r="C1170" s="16"/>
      <c r="D1170" s="1"/>
      <c r="E1170" s="1"/>
      <c r="F1170" s="4"/>
      <c r="G1170" s="4"/>
      <c r="H1170" s="4">
        <f t="shared" si="18"/>
        <v>0</v>
      </c>
    </row>
    <row r="1171" spans="1:8" x14ac:dyDescent="0.35">
      <c r="A1171" s="11"/>
      <c r="B1171" s="11"/>
      <c r="C1171" s="16"/>
      <c r="D1171" s="1"/>
      <c r="E1171" s="1"/>
      <c r="F1171" s="4"/>
      <c r="G1171" s="4"/>
      <c r="H1171" s="4">
        <f t="shared" si="18"/>
        <v>0</v>
      </c>
    </row>
    <row r="1172" spans="1:8" x14ac:dyDescent="0.35">
      <c r="A1172" s="11"/>
      <c r="B1172" s="11"/>
      <c r="C1172" s="16"/>
      <c r="D1172" s="1"/>
      <c r="E1172" s="1"/>
      <c r="F1172" s="4"/>
      <c r="G1172" s="4"/>
      <c r="H1172" s="4">
        <f t="shared" si="18"/>
        <v>0</v>
      </c>
    </row>
    <row r="1173" spans="1:8" x14ac:dyDescent="0.35">
      <c r="A1173" s="11"/>
      <c r="B1173" s="11"/>
      <c r="C1173" s="16"/>
      <c r="D1173" s="1"/>
      <c r="E1173" s="1"/>
      <c r="F1173" s="4"/>
      <c r="G1173" s="4"/>
      <c r="H1173" s="4">
        <f t="shared" si="18"/>
        <v>0</v>
      </c>
    </row>
    <row r="1174" spans="1:8" x14ac:dyDescent="0.35">
      <c r="A1174" s="11"/>
      <c r="B1174" s="11"/>
      <c r="C1174" s="16"/>
      <c r="D1174" s="1"/>
      <c r="E1174" s="1"/>
      <c r="F1174" s="4"/>
      <c r="G1174" s="4"/>
      <c r="H1174" s="4">
        <f t="shared" si="18"/>
        <v>0</v>
      </c>
    </row>
    <row r="1175" spans="1:8" x14ac:dyDescent="0.35">
      <c r="A1175" s="11"/>
      <c r="B1175" s="11"/>
      <c r="C1175" s="16"/>
      <c r="D1175" s="1"/>
      <c r="E1175" s="1"/>
      <c r="F1175" s="4"/>
      <c r="G1175" s="4"/>
      <c r="H1175" s="4">
        <f t="shared" si="18"/>
        <v>0</v>
      </c>
    </row>
    <row r="1176" spans="1:8" x14ac:dyDescent="0.35">
      <c r="A1176" s="11"/>
      <c r="B1176" s="11"/>
      <c r="C1176" s="16"/>
      <c r="D1176" s="1"/>
      <c r="E1176" s="1"/>
      <c r="F1176" s="4"/>
      <c r="G1176" s="4"/>
      <c r="H1176" s="4">
        <f t="shared" si="18"/>
        <v>0</v>
      </c>
    </row>
    <row r="1177" spans="1:8" x14ac:dyDescent="0.35">
      <c r="A1177" s="11"/>
      <c r="B1177" s="11"/>
      <c r="C1177" s="16"/>
      <c r="D1177" s="1"/>
      <c r="E1177" s="1"/>
      <c r="F1177" s="4"/>
      <c r="G1177" s="4"/>
      <c r="H1177" s="4">
        <f t="shared" si="18"/>
        <v>0</v>
      </c>
    </row>
    <row r="1178" spans="1:8" x14ac:dyDescent="0.35">
      <c r="A1178" s="11"/>
      <c r="B1178" s="11"/>
      <c r="C1178" s="16"/>
      <c r="D1178" s="1"/>
      <c r="E1178" s="1"/>
      <c r="F1178" s="4"/>
      <c r="G1178" s="4"/>
      <c r="H1178" s="4">
        <f t="shared" si="18"/>
        <v>0</v>
      </c>
    </row>
    <row r="1179" spans="1:8" x14ac:dyDescent="0.35">
      <c r="A1179" s="11"/>
      <c r="B1179" s="11"/>
      <c r="C1179" s="16"/>
      <c r="D1179" s="1"/>
      <c r="E1179" s="1"/>
      <c r="F1179" s="4"/>
      <c r="G1179" s="4"/>
      <c r="H1179" s="4">
        <f t="shared" si="18"/>
        <v>0</v>
      </c>
    </row>
    <row r="1180" spans="1:8" x14ac:dyDescent="0.35">
      <c r="A1180" s="11"/>
      <c r="B1180" s="11"/>
      <c r="C1180" s="16"/>
      <c r="D1180" s="1"/>
      <c r="E1180" s="1"/>
      <c r="F1180" s="4"/>
      <c r="G1180" s="4"/>
      <c r="H1180" s="4">
        <f t="shared" si="18"/>
        <v>0</v>
      </c>
    </row>
    <row r="1181" spans="1:8" x14ac:dyDescent="0.35">
      <c r="A1181" s="11"/>
      <c r="B1181" s="11"/>
      <c r="C1181" s="16"/>
      <c r="D1181" s="1"/>
      <c r="E1181" s="1"/>
      <c r="F1181" s="4"/>
      <c r="G1181" s="4"/>
      <c r="H1181" s="4">
        <f t="shared" si="18"/>
        <v>0</v>
      </c>
    </row>
    <row r="1182" spans="1:8" x14ac:dyDescent="0.35">
      <c r="A1182" s="11"/>
      <c r="B1182" s="11"/>
      <c r="C1182" s="16"/>
      <c r="D1182" s="1"/>
      <c r="E1182" s="1"/>
      <c r="F1182" s="4"/>
      <c r="G1182" s="4"/>
      <c r="H1182" s="4">
        <f t="shared" si="18"/>
        <v>0</v>
      </c>
    </row>
    <row r="1183" spans="1:8" x14ac:dyDescent="0.35">
      <c r="A1183" s="11"/>
      <c r="B1183" s="11"/>
      <c r="C1183" s="16"/>
      <c r="D1183" s="1"/>
      <c r="E1183" s="1"/>
      <c r="F1183" s="4"/>
      <c r="G1183" s="4"/>
      <c r="H1183" s="4">
        <f t="shared" si="18"/>
        <v>0</v>
      </c>
    </row>
    <row r="1184" spans="1:8" x14ac:dyDescent="0.35">
      <c r="A1184" s="11"/>
      <c r="B1184" s="11"/>
      <c r="C1184" s="16"/>
      <c r="D1184" s="1"/>
      <c r="E1184" s="1"/>
      <c r="F1184" s="4"/>
      <c r="G1184" s="4"/>
      <c r="H1184" s="4">
        <f t="shared" si="18"/>
        <v>0</v>
      </c>
    </row>
    <row r="1185" spans="1:8" x14ac:dyDescent="0.35">
      <c r="A1185" s="11"/>
      <c r="B1185" s="11"/>
      <c r="C1185" s="16"/>
      <c r="D1185" s="1"/>
      <c r="E1185" s="1"/>
      <c r="F1185" s="4"/>
      <c r="G1185" s="4"/>
      <c r="H1185" s="4">
        <f t="shared" ref="H1185:H1248" si="19">H1184+F1185-G1185</f>
        <v>0</v>
      </c>
    </row>
    <row r="1186" spans="1:8" x14ac:dyDescent="0.35">
      <c r="A1186" s="11"/>
      <c r="B1186" s="11"/>
      <c r="C1186" s="16"/>
      <c r="D1186" s="1"/>
      <c r="E1186" s="1"/>
      <c r="F1186" s="4"/>
      <c r="G1186" s="4"/>
      <c r="H1186" s="4">
        <f t="shared" si="19"/>
        <v>0</v>
      </c>
    </row>
    <row r="1187" spans="1:8" x14ac:dyDescent="0.35">
      <c r="A1187" s="11"/>
      <c r="B1187" s="11"/>
      <c r="C1187" s="16"/>
      <c r="D1187" s="1"/>
      <c r="E1187" s="1"/>
      <c r="F1187" s="4"/>
      <c r="G1187" s="4"/>
      <c r="H1187" s="4">
        <f t="shared" si="19"/>
        <v>0</v>
      </c>
    </row>
    <row r="1188" spans="1:8" x14ac:dyDescent="0.35">
      <c r="A1188" s="11"/>
      <c r="B1188" s="11"/>
      <c r="C1188" s="16"/>
      <c r="D1188" s="1"/>
      <c r="E1188" s="1"/>
      <c r="F1188" s="4"/>
      <c r="G1188" s="4"/>
      <c r="H1188" s="4">
        <f t="shared" si="19"/>
        <v>0</v>
      </c>
    </row>
    <row r="1189" spans="1:8" x14ac:dyDescent="0.35">
      <c r="A1189" s="11"/>
      <c r="B1189" s="11"/>
      <c r="C1189" s="16"/>
      <c r="D1189" s="1"/>
      <c r="E1189" s="1"/>
      <c r="F1189" s="4"/>
      <c r="G1189" s="4"/>
      <c r="H1189" s="4">
        <f t="shared" si="19"/>
        <v>0</v>
      </c>
    </row>
    <row r="1190" spans="1:8" x14ac:dyDescent="0.35">
      <c r="A1190" s="11"/>
      <c r="B1190" s="11"/>
      <c r="C1190" s="16"/>
      <c r="D1190" s="1"/>
      <c r="E1190" s="1"/>
      <c r="F1190" s="4"/>
      <c r="G1190" s="4"/>
      <c r="H1190" s="4">
        <f t="shared" si="19"/>
        <v>0</v>
      </c>
    </row>
    <row r="1191" spans="1:8" x14ac:dyDescent="0.35">
      <c r="A1191" s="11"/>
      <c r="B1191" s="11"/>
      <c r="C1191" s="16"/>
      <c r="D1191" s="1"/>
      <c r="E1191" s="1"/>
      <c r="F1191" s="4"/>
      <c r="G1191" s="4"/>
      <c r="H1191" s="4">
        <f t="shared" si="19"/>
        <v>0</v>
      </c>
    </row>
    <row r="1192" spans="1:8" x14ac:dyDescent="0.35">
      <c r="A1192" s="11"/>
      <c r="B1192" s="11"/>
      <c r="C1192" s="16"/>
      <c r="D1192" s="1"/>
      <c r="E1192" s="1"/>
      <c r="F1192" s="4"/>
      <c r="G1192" s="4"/>
      <c r="H1192" s="4">
        <f t="shared" si="19"/>
        <v>0</v>
      </c>
    </row>
    <row r="1193" spans="1:8" x14ac:dyDescent="0.35">
      <c r="A1193" s="11"/>
      <c r="B1193" s="11"/>
      <c r="C1193" s="16"/>
      <c r="D1193" s="1"/>
      <c r="E1193" s="1"/>
      <c r="F1193" s="4"/>
      <c r="G1193" s="4"/>
      <c r="H1193" s="4">
        <f t="shared" si="19"/>
        <v>0</v>
      </c>
    </row>
    <row r="1194" spans="1:8" x14ac:dyDescent="0.35">
      <c r="A1194" s="11"/>
      <c r="B1194" s="11"/>
      <c r="C1194" s="16"/>
      <c r="D1194" s="1"/>
      <c r="E1194" s="1"/>
      <c r="F1194" s="4"/>
      <c r="G1194" s="4"/>
      <c r="H1194" s="4">
        <f t="shared" si="19"/>
        <v>0</v>
      </c>
    </row>
    <row r="1195" spans="1:8" x14ac:dyDescent="0.35">
      <c r="A1195" s="11"/>
      <c r="B1195" s="11"/>
      <c r="C1195" s="16"/>
      <c r="D1195" s="1"/>
      <c r="E1195" s="1"/>
      <c r="F1195" s="4"/>
      <c r="G1195" s="4"/>
      <c r="H1195" s="4">
        <f t="shared" si="19"/>
        <v>0</v>
      </c>
    </row>
    <row r="1196" spans="1:8" x14ac:dyDescent="0.35">
      <c r="A1196" s="11"/>
      <c r="B1196" s="11"/>
      <c r="C1196" s="16"/>
      <c r="D1196" s="1"/>
      <c r="E1196" s="1"/>
      <c r="F1196" s="4"/>
      <c r="G1196" s="4"/>
      <c r="H1196" s="4">
        <f t="shared" si="19"/>
        <v>0</v>
      </c>
    </row>
    <row r="1197" spans="1:8" x14ac:dyDescent="0.35">
      <c r="A1197" s="11"/>
      <c r="B1197" s="11"/>
      <c r="C1197" s="16"/>
      <c r="D1197" s="1"/>
      <c r="E1197" s="1"/>
      <c r="F1197" s="4"/>
      <c r="G1197" s="4"/>
      <c r="H1197" s="4">
        <f t="shared" si="19"/>
        <v>0</v>
      </c>
    </row>
    <row r="1198" spans="1:8" x14ac:dyDescent="0.35">
      <c r="A1198" s="11"/>
      <c r="B1198" s="11"/>
      <c r="C1198" s="16"/>
      <c r="D1198" s="1"/>
      <c r="E1198" s="1"/>
      <c r="F1198" s="4"/>
      <c r="G1198" s="4"/>
      <c r="H1198" s="4">
        <f t="shared" si="19"/>
        <v>0</v>
      </c>
    </row>
    <row r="1199" spans="1:8" x14ac:dyDescent="0.35">
      <c r="A1199" s="11"/>
      <c r="B1199" s="11"/>
      <c r="C1199" s="16"/>
      <c r="D1199" s="1"/>
      <c r="E1199" s="1"/>
      <c r="F1199" s="4"/>
      <c r="G1199" s="4"/>
      <c r="H1199" s="4">
        <f t="shared" si="19"/>
        <v>0</v>
      </c>
    </row>
    <row r="1200" spans="1:8" x14ac:dyDescent="0.35">
      <c r="A1200" s="11"/>
      <c r="B1200" s="11"/>
      <c r="C1200" s="16"/>
      <c r="D1200" s="1"/>
      <c r="E1200" s="1"/>
      <c r="F1200" s="4"/>
      <c r="G1200" s="4"/>
      <c r="H1200" s="4">
        <f t="shared" si="19"/>
        <v>0</v>
      </c>
    </row>
    <row r="1201" spans="1:8" x14ac:dyDescent="0.35">
      <c r="A1201" s="11"/>
      <c r="B1201" s="11"/>
      <c r="C1201" s="16"/>
      <c r="D1201" s="1"/>
      <c r="E1201" s="1"/>
      <c r="F1201" s="4"/>
      <c r="G1201" s="4"/>
      <c r="H1201" s="4">
        <f t="shared" si="19"/>
        <v>0</v>
      </c>
    </row>
    <row r="1202" spans="1:8" x14ac:dyDescent="0.35">
      <c r="A1202" s="11"/>
      <c r="B1202" s="11"/>
      <c r="C1202" s="16"/>
      <c r="D1202" s="1"/>
      <c r="E1202" s="1"/>
      <c r="F1202" s="4"/>
      <c r="G1202" s="4"/>
      <c r="H1202" s="4">
        <f t="shared" si="19"/>
        <v>0</v>
      </c>
    </row>
    <row r="1203" spans="1:8" x14ac:dyDescent="0.35">
      <c r="A1203" s="11"/>
      <c r="B1203" s="11"/>
      <c r="C1203" s="16"/>
      <c r="D1203" s="1"/>
      <c r="E1203" s="1"/>
      <c r="F1203" s="4"/>
      <c r="G1203" s="4"/>
      <c r="H1203" s="4">
        <f t="shared" si="19"/>
        <v>0</v>
      </c>
    </row>
    <row r="1204" spans="1:8" x14ac:dyDescent="0.35">
      <c r="A1204" s="11"/>
      <c r="B1204" s="11"/>
      <c r="C1204" s="16"/>
      <c r="D1204" s="1"/>
      <c r="E1204" s="1"/>
      <c r="F1204" s="4"/>
      <c r="G1204" s="4"/>
      <c r="H1204" s="4">
        <f t="shared" si="19"/>
        <v>0</v>
      </c>
    </row>
    <row r="1205" spans="1:8" x14ac:dyDescent="0.35">
      <c r="A1205" s="11"/>
      <c r="B1205" s="11"/>
      <c r="C1205" s="16"/>
      <c r="D1205" s="1"/>
      <c r="E1205" s="1"/>
      <c r="F1205" s="4"/>
      <c r="G1205" s="4"/>
      <c r="H1205" s="4">
        <f t="shared" si="19"/>
        <v>0</v>
      </c>
    </row>
    <row r="1206" spans="1:8" x14ac:dyDescent="0.35">
      <c r="A1206" s="11"/>
      <c r="B1206" s="11"/>
      <c r="C1206" s="16"/>
      <c r="D1206" s="1"/>
      <c r="E1206" s="1"/>
      <c r="F1206" s="4"/>
      <c r="G1206" s="4"/>
      <c r="H1206" s="4">
        <f t="shared" si="19"/>
        <v>0</v>
      </c>
    </row>
    <row r="1207" spans="1:8" x14ac:dyDescent="0.35">
      <c r="A1207" s="11"/>
      <c r="B1207" s="11"/>
      <c r="C1207" s="16"/>
      <c r="D1207" s="1"/>
      <c r="E1207" s="1"/>
      <c r="F1207" s="4"/>
      <c r="G1207" s="4"/>
      <c r="H1207" s="4">
        <f t="shared" si="19"/>
        <v>0</v>
      </c>
    </row>
    <row r="1208" spans="1:8" x14ac:dyDescent="0.35">
      <c r="A1208" s="11"/>
      <c r="B1208" s="11"/>
      <c r="C1208" s="16"/>
      <c r="D1208" s="1"/>
      <c r="E1208" s="1"/>
      <c r="F1208" s="4"/>
      <c r="G1208" s="4"/>
      <c r="H1208" s="4">
        <f t="shared" si="19"/>
        <v>0</v>
      </c>
    </row>
    <row r="1209" spans="1:8" x14ac:dyDescent="0.35">
      <c r="A1209" s="11"/>
      <c r="B1209" s="11"/>
      <c r="C1209" s="16"/>
      <c r="D1209" s="1"/>
      <c r="E1209" s="1"/>
      <c r="F1209" s="4"/>
      <c r="G1209" s="4"/>
      <c r="H1209" s="4">
        <f t="shared" si="19"/>
        <v>0</v>
      </c>
    </row>
    <row r="1210" spans="1:8" x14ac:dyDescent="0.35">
      <c r="A1210" s="11"/>
      <c r="B1210" s="11"/>
      <c r="C1210" s="16"/>
      <c r="D1210" s="1"/>
      <c r="E1210" s="1"/>
      <c r="F1210" s="4"/>
      <c r="G1210" s="4"/>
      <c r="H1210" s="4">
        <f t="shared" si="19"/>
        <v>0</v>
      </c>
    </row>
    <row r="1211" spans="1:8" x14ac:dyDescent="0.35">
      <c r="A1211" s="11"/>
      <c r="B1211" s="11"/>
      <c r="C1211" s="16"/>
      <c r="D1211" s="1"/>
      <c r="E1211" s="1"/>
      <c r="F1211" s="4"/>
      <c r="G1211" s="4"/>
      <c r="H1211" s="4">
        <f t="shared" si="19"/>
        <v>0</v>
      </c>
    </row>
    <row r="1212" spans="1:8" x14ac:dyDescent="0.35">
      <c r="A1212" s="11"/>
      <c r="B1212" s="11"/>
      <c r="C1212" s="16"/>
      <c r="D1212" s="1"/>
      <c r="E1212" s="1"/>
      <c r="F1212" s="4"/>
      <c r="G1212" s="4"/>
      <c r="H1212" s="4">
        <f t="shared" si="19"/>
        <v>0</v>
      </c>
    </row>
    <row r="1213" spans="1:8" x14ac:dyDescent="0.35">
      <c r="A1213" s="11"/>
      <c r="B1213" s="11"/>
      <c r="C1213" s="16"/>
      <c r="D1213" s="1"/>
      <c r="E1213" s="1"/>
      <c r="F1213" s="4"/>
      <c r="G1213" s="4"/>
      <c r="H1213" s="4">
        <f t="shared" si="19"/>
        <v>0</v>
      </c>
    </row>
    <row r="1214" spans="1:8" x14ac:dyDescent="0.35">
      <c r="A1214" s="11"/>
      <c r="B1214" s="11"/>
      <c r="C1214" s="16"/>
      <c r="D1214" s="1"/>
      <c r="E1214" s="1"/>
      <c r="F1214" s="4"/>
      <c r="G1214" s="4"/>
      <c r="H1214" s="4">
        <f t="shared" si="19"/>
        <v>0</v>
      </c>
    </row>
    <row r="1215" spans="1:8" x14ac:dyDescent="0.35">
      <c r="A1215" s="11"/>
      <c r="B1215" s="11"/>
      <c r="C1215" s="16"/>
      <c r="D1215" s="1"/>
      <c r="E1215" s="1"/>
      <c r="F1215" s="4"/>
      <c r="G1215" s="4"/>
      <c r="H1215" s="4">
        <f t="shared" si="19"/>
        <v>0</v>
      </c>
    </row>
    <row r="1216" spans="1:8" x14ac:dyDescent="0.35">
      <c r="A1216" s="11"/>
      <c r="B1216" s="11"/>
      <c r="C1216" s="16"/>
      <c r="D1216" s="1"/>
      <c r="E1216" s="1"/>
      <c r="F1216" s="4"/>
      <c r="G1216" s="4"/>
      <c r="H1216" s="4">
        <f t="shared" si="19"/>
        <v>0</v>
      </c>
    </row>
    <row r="1217" spans="1:8" x14ac:dyDescent="0.35">
      <c r="A1217" s="11"/>
      <c r="B1217" s="11"/>
      <c r="C1217" s="16"/>
      <c r="D1217" s="1"/>
      <c r="E1217" s="1"/>
      <c r="F1217" s="4"/>
      <c r="G1217" s="4"/>
      <c r="H1217" s="4">
        <f t="shared" si="19"/>
        <v>0</v>
      </c>
    </row>
    <row r="1218" spans="1:8" x14ac:dyDescent="0.35">
      <c r="A1218" s="11"/>
      <c r="B1218" s="11"/>
      <c r="C1218" s="16"/>
      <c r="D1218" s="1"/>
      <c r="E1218" s="1"/>
      <c r="F1218" s="4"/>
      <c r="G1218" s="4"/>
      <c r="H1218" s="4">
        <f t="shared" si="19"/>
        <v>0</v>
      </c>
    </row>
    <row r="1219" spans="1:8" x14ac:dyDescent="0.35">
      <c r="A1219" s="11"/>
      <c r="B1219" s="11"/>
      <c r="C1219" s="16"/>
      <c r="D1219" s="1"/>
      <c r="E1219" s="1"/>
      <c r="F1219" s="4"/>
      <c r="G1219" s="4"/>
      <c r="H1219" s="4">
        <f t="shared" si="19"/>
        <v>0</v>
      </c>
    </row>
    <row r="1220" spans="1:8" x14ac:dyDescent="0.35">
      <c r="A1220" s="11"/>
      <c r="B1220" s="11"/>
      <c r="C1220" s="16"/>
      <c r="D1220" s="1"/>
      <c r="E1220" s="1"/>
      <c r="F1220" s="4"/>
      <c r="G1220" s="4"/>
      <c r="H1220" s="4">
        <f t="shared" si="19"/>
        <v>0</v>
      </c>
    </row>
    <row r="1221" spans="1:8" x14ac:dyDescent="0.35">
      <c r="A1221" s="11"/>
      <c r="B1221" s="11"/>
      <c r="C1221" s="16"/>
      <c r="D1221" s="1"/>
      <c r="E1221" s="1"/>
      <c r="F1221" s="4"/>
      <c r="G1221" s="4"/>
      <c r="H1221" s="4">
        <f t="shared" si="19"/>
        <v>0</v>
      </c>
    </row>
    <row r="1222" spans="1:8" x14ac:dyDescent="0.35">
      <c r="A1222" s="11"/>
      <c r="B1222" s="11"/>
      <c r="C1222" s="16"/>
      <c r="D1222" s="1"/>
      <c r="E1222" s="1"/>
      <c r="F1222" s="4"/>
      <c r="G1222" s="4"/>
      <c r="H1222" s="4">
        <f t="shared" si="19"/>
        <v>0</v>
      </c>
    </row>
    <row r="1223" spans="1:8" x14ac:dyDescent="0.35">
      <c r="A1223" s="11"/>
      <c r="B1223" s="11"/>
      <c r="C1223" s="16"/>
      <c r="D1223" s="1"/>
      <c r="E1223" s="1"/>
      <c r="F1223" s="4"/>
      <c r="G1223" s="4"/>
      <c r="H1223" s="4">
        <f t="shared" si="19"/>
        <v>0</v>
      </c>
    </row>
    <row r="1224" spans="1:8" x14ac:dyDescent="0.35">
      <c r="A1224" s="11"/>
      <c r="B1224" s="11"/>
      <c r="C1224" s="16"/>
      <c r="D1224" s="1"/>
      <c r="E1224" s="1"/>
      <c r="F1224" s="4"/>
      <c r="G1224" s="4"/>
      <c r="H1224" s="4">
        <f t="shared" si="19"/>
        <v>0</v>
      </c>
    </row>
    <row r="1225" spans="1:8" x14ac:dyDescent="0.35">
      <c r="A1225" s="11"/>
      <c r="B1225" s="11"/>
      <c r="C1225" s="16"/>
      <c r="D1225" s="1"/>
      <c r="E1225" s="1"/>
      <c r="F1225" s="4"/>
      <c r="G1225" s="4"/>
      <c r="H1225" s="4">
        <f t="shared" si="19"/>
        <v>0</v>
      </c>
    </row>
    <row r="1226" spans="1:8" x14ac:dyDescent="0.35">
      <c r="A1226" s="11"/>
      <c r="B1226" s="11"/>
      <c r="C1226" s="16"/>
      <c r="D1226" s="1"/>
      <c r="E1226" s="1"/>
      <c r="F1226" s="4"/>
      <c r="G1226" s="4"/>
      <c r="H1226" s="4">
        <f t="shared" si="19"/>
        <v>0</v>
      </c>
    </row>
    <row r="1227" spans="1:8" x14ac:dyDescent="0.35">
      <c r="A1227" s="11"/>
      <c r="B1227" s="11"/>
      <c r="C1227" s="16"/>
      <c r="D1227" s="1"/>
      <c r="E1227" s="1"/>
      <c r="F1227" s="4"/>
      <c r="G1227" s="4"/>
      <c r="H1227" s="4">
        <f t="shared" si="19"/>
        <v>0</v>
      </c>
    </row>
    <row r="1228" spans="1:8" x14ac:dyDescent="0.35">
      <c r="A1228" s="11"/>
      <c r="B1228" s="11"/>
      <c r="C1228" s="16"/>
      <c r="D1228" s="1"/>
      <c r="E1228" s="1"/>
      <c r="F1228" s="4"/>
      <c r="G1228" s="4"/>
      <c r="H1228" s="4">
        <f t="shared" si="19"/>
        <v>0</v>
      </c>
    </row>
    <row r="1229" spans="1:8" x14ac:dyDescent="0.35">
      <c r="A1229" s="11"/>
      <c r="B1229" s="11"/>
      <c r="C1229" s="16"/>
      <c r="D1229" s="1"/>
      <c r="E1229" s="1"/>
      <c r="F1229" s="4"/>
      <c r="G1229" s="4"/>
      <c r="H1229" s="4">
        <f t="shared" si="19"/>
        <v>0</v>
      </c>
    </row>
    <row r="1230" spans="1:8" x14ac:dyDescent="0.35">
      <c r="A1230" s="11"/>
      <c r="B1230" s="11"/>
      <c r="C1230" s="16"/>
      <c r="D1230" s="1"/>
      <c r="E1230" s="1"/>
      <c r="F1230" s="4"/>
      <c r="G1230" s="4"/>
      <c r="H1230" s="4">
        <f t="shared" si="19"/>
        <v>0</v>
      </c>
    </row>
    <row r="1231" spans="1:8" x14ac:dyDescent="0.35">
      <c r="A1231" s="11"/>
      <c r="B1231" s="11"/>
      <c r="C1231" s="16"/>
      <c r="D1231" s="1"/>
      <c r="E1231" s="1"/>
      <c r="F1231" s="4"/>
      <c r="G1231" s="4"/>
      <c r="H1231" s="4">
        <f t="shared" si="19"/>
        <v>0</v>
      </c>
    </row>
    <row r="1232" spans="1:8" x14ac:dyDescent="0.35">
      <c r="A1232" s="11"/>
      <c r="B1232" s="11"/>
      <c r="C1232" s="16"/>
      <c r="D1232" s="1"/>
      <c r="E1232" s="1"/>
      <c r="F1232" s="4"/>
      <c r="G1232" s="4"/>
      <c r="H1232" s="4">
        <f t="shared" si="19"/>
        <v>0</v>
      </c>
    </row>
    <row r="1233" spans="1:8" x14ac:dyDescent="0.35">
      <c r="A1233" s="11"/>
      <c r="B1233" s="11"/>
      <c r="C1233" s="16"/>
      <c r="D1233" s="1"/>
      <c r="E1233" s="1"/>
      <c r="F1233" s="4"/>
      <c r="G1233" s="4"/>
      <c r="H1233" s="4">
        <f t="shared" si="19"/>
        <v>0</v>
      </c>
    </row>
    <row r="1234" spans="1:8" x14ac:dyDescent="0.35">
      <c r="A1234" s="11"/>
      <c r="B1234" s="11"/>
      <c r="C1234" s="16"/>
      <c r="D1234" s="1"/>
      <c r="E1234" s="1"/>
      <c r="F1234" s="4"/>
      <c r="G1234" s="4"/>
      <c r="H1234" s="4">
        <f t="shared" si="19"/>
        <v>0</v>
      </c>
    </row>
    <row r="1235" spans="1:8" x14ac:dyDescent="0.35">
      <c r="A1235" s="11"/>
      <c r="B1235" s="11"/>
      <c r="C1235" s="16"/>
      <c r="D1235" s="1"/>
      <c r="E1235" s="1"/>
      <c r="F1235" s="4"/>
      <c r="G1235" s="4"/>
      <c r="H1235" s="4">
        <f t="shared" si="19"/>
        <v>0</v>
      </c>
    </row>
    <row r="1236" spans="1:8" x14ac:dyDescent="0.35">
      <c r="A1236" s="11"/>
      <c r="B1236" s="11"/>
      <c r="C1236" s="16"/>
      <c r="D1236" s="1"/>
      <c r="E1236" s="1"/>
      <c r="F1236" s="4"/>
      <c r="G1236" s="4"/>
      <c r="H1236" s="4">
        <f t="shared" si="19"/>
        <v>0</v>
      </c>
    </row>
    <row r="1237" spans="1:8" x14ac:dyDescent="0.35">
      <c r="A1237" s="11"/>
      <c r="B1237" s="11"/>
      <c r="C1237" s="16"/>
      <c r="D1237" s="1"/>
      <c r="E1237" s="1"/>
      <c r="F1237" s="4"/>
      <c r="G1237" s="4"/>
      <c r="H1237" s="4">
        <f t="shared" si="19"/>
        <v>0</v>
      </c>
    </row>
    <row r="1238" spans="1:8" x14ac:dyDescent="0.35">
      <c r="A1238" s="11"/>
      <c r="B1238" s="11"/>
      <c r="C1238" s="16"/>
      <c r="D1238" s="1"/>
      <c r="E1238" s="1"/>
      <c r="F1238" s="4"/>
      <c r="G1238" s="4"/>
      <c r="H1238" s="4">
        <f t="shared" si="19"/>
        <v>0</v>
      </c>
    </row>
    <row r="1239" spans="1:8" x14ac:dyDescent="0.35">
      <c r="A1239" s="11"/>
      <c r="B1239" s="11"/>
      <c r="C1239" s="16"/>
      <c r="D1239" s="1"/>
      <c r="E1239" s="1"/>
      <c r="F1239" s="4"/>
      <c r="G1239" s="4"/>
      <c r="H1239" s="4">
        <f t="shared" si="19"/>
        <v>0</v>
      </c>
    </row>
    <row r="1240" spans="1:8" x14ac:dyDescent="0.35">
      <c r="A1240" s="11"/>
      <c r="B1240" s="11"/>
      <c r="C1240" s="16"/>
      <c r="D1240" s="1"/>
      <c r="E1240" s="1"/>
      <c r="F1240" s="4"/>
      <c r="G1240" s="4"/>
      <c r="H1240" s="4">
        <f t="shared" si="19"/>
        <v>0</v>
      </c>
    </row>
    <row r="1241" spans="1:8" x14ac:dyDescent="0.35">
      <c r="A1241" s="11"/>
      <c r="B1241" s="11"/>
      <c r="C1241" s="16"/>
      <c r="D1241" s="1"/>
      <c r="E1241" s="1"/>
      <c r="F1241" s="4"/>
      <c r="G1241" s="4"/>
      <c r="H1241" s="4">
        <f t="shared" si="19"/>
        <v>0</v>
      </c>
    </row>
    <row r="1242" spans="1:8" x14ac:dyDescent="0.35">
      <c r="A1242" s="11"/>
      <c r="B1242" s="11"/>
      <c r="C1242" s="16"/>
      <c r="D1242" s="1"/>
      <c r="E1242" s="1"/>
      <c r="F1242" s="4"/>
      <c r="G1242" s="4"/>
      <c r="H1242" s="4">
        <f t="shared" si="19"/>
        <v>0</v>
      </c>
    </row>
    <row r="1243" spans="1:8" x14ac:dyDescent="0.35">
      <c r="A1243" s="11"/>
      <c r="B1243" s="11"/>
      <c r="C1243" s="16"/>
      <c r="D1243" s="1"/>
      <c r="E1243" s="1"/>
      <c r="F1243" s="4"/>
      <c r="G1243" s="4"/>
      <c r="H1243" s="4">
        <f t="shared" si="19"/>
        <v>0</v>
      </c>
    </row>
    <row r="1244" spans="1:8" x14ac:dyDescent="0.35">
      <c r="A1244" s="11"/>
      <c r="B1244" s="11"/>
      <c r="C1244" s="16"/>
      <c r="D1244" s="1"/>
      <c r="E1244" s="1"/>
      <c r="F1244" s="4"/>
      <c r="G1244" s="4"/>
      <c r="H1244" s="4">
        <f t="shared" si="19"/>
        <v>0</v>
      </c>
    </row>
    <row r="1245" spans="1:8" x14ac:dyDescent="0.35">
      <c r="A1245" s="11"/>
      <c r="B1245" s="11"/>
      <c r="C1245" s="16"/>
      <c r="D1245" s="1"/>
      <c r="E1245" s="1"/>
      <c r="F1245" s="4"/>
      <c r="G1245" s="4"/>
      <c r="H1245" s="4">
        <f t="shared" si="19"/>
        <v>0</v>
      </c>
    </row>
    <row r="1246" spans="1:8" x14ac:dyDescent="0.35">
      <c r="A1246" s="11"/>
      <c r="B1246" s="11"/>
      <c r="C1246" s="16"/>
      <c r="D1246" s="1"/>
      <c r="E1246" s="1"/>
      <c r="F1246" s="4"/>
      <c r="G1246" s="4"/>
      <c r="H1246" s="4">
        <f t="shared" si="19"/>
        <v>0</v>
      </c>
    </row>
    <row r="1247" spans="1:8" x14ac:dyDescent="0.35">
      <c r="A1247" s="11"/>
      <c r="B1247" s="11"/>
      <c r="C1247" s="16"/>
      <c r="D1247" s="1"/>
      <c r="E1247" s="1"/>
      <c r="F1247" s="4"/>
      <c r="G1247" s="4"/>
      <c r="H1247" s="4">
        <f t="shared" si="19"/>
        <v>0</v>
      </c>
    </row>
    <row r="1248" spans="1:8" x14ac:dyDescent="0.35">
      <c r="A1248" s="11"/>
      <c r="B1248" s="11"/>
      <c r="C1248" s="16"/>
      <c r="D1248" s="1"/>
      <c r="E1248" s="1"/>
      <c r="F1248" s="4"/>
      <c r="G1248" s="4"/>
      <c r="H1248" s="4">
        <f t="shared" si="19"/>
        <v>0</v>
      </c>
    </row>
    <row r="1249" spans="1:8" x14ac:dyDescent="0.35">
      <c r="A1249" s="11"/>
      <c r="B1249" s="11"/>
      <c r="C1249" s="16"/>
      <c r="D1249" s="1"/>
      <c r="E1249" s="1"/>
      <c r="F1249" s="4"/>
      <c r="G1249" s="4"/>
      <c r="H1249" s="4">
        <f t="shared" ref="H1249:H1312" si="20">H1248+F1249-G1249</f>
        <v>0</v>
      </c>
    </row>
    <row r="1250" spans="1:8" x14ac:dyDescent="0.35">
      <c r="A1250" s="11"/>
      <c r="B1250" s="11"/>
      <c r="C1250" s="16"/>
      <c r="D1250" s="1"/>
      <c r="E1250" s="1"/>
      <c r="F1250" s="4"/>
      <c r="G1250" s="4"/>
      <c r="H1250" s="4">
        <f t="shared" si="20"/>
        <v>0</v>
      </c>
    </row>
    <row r="1251" spans="1:8" x14ac:dyDescent="0.35">
      <c r="A1251" s="11"/>
      <c r="B1251" s="11"/>
      <c r="C1251" s="16"/>
      <c r="D1251" s="1"/>
      <c r="E1251" s="1"/>
      <c r="F1251" s="4"/>
      <c r="G1251" s="4"/>
      <c r="H1251" s="4">
        <f t="shared" si="20"/>
        <v>0</v>
      </c>
    </row>
    <row r="1252" spans="1:8" x14ac:dyDescent="0.35">
      <c r="A1252" s="11"/>
      <c r="B1252" s="11"/>
      <c r="C1252" s="16"/>
      <c r="D1252" s="1"/>
      <c r="E1252" s="1"/>
      <c r="F1252" s="4"/>
      <c r="G1252" s="4"/>
      <c r="H1252" s="4">
        <f t="shared" si="20"/>
        <v>0</v>
      </c>
    </row>
    <row r="1253" spans="1:8" x14ac:dyDescent="0.35">
      <c r="A1253" s="11"/>
      <c r="B1253" s="11"/>
      <c r="C1253" s="16"/>
      <c r="D1253" s="1"/>
      <c r="E1253" s="1"/>
      <c r="F1253" s="4"/>
      <c r="G1253" s="4"/>
      <c r="H1253" s="4">
        <f t="shared" si="20"/>
        <v>0</v>
      </c>
    </row>
    <row r="1254" spans="1:8" x14ac:dyDescent="0.35">
      <c r="A1254" s="11"/>
      <c r="B1254" s="11"/>
      <c r="C1254" s="16"/>
      <c r="D1254" s="1"/>
      <c r="E1254" s="1"/>
      <c r="F1254" s="4"/>
      <c r="G1254" s="4"/>
      <c r="H1254" s="4">
        <f t="shared" si="20"/>
        <v>0</v>
      </c>
    </row>
    <row r="1255" spans="1:8" x14ac:dyDescent="0.35">
      <c r="A1255" s="11"/>
      <c r="B1255" s="11"/>
      <c r="C1255" s="16"/>
      <c r="D1255" s="1"/>
      <c r="E1255" s="1"/>
      <c r="F1255" s="4"/>
      <c r="G1255" s="4"/>
      <c r="H1255" s="4">
        <f t="shared" si="20"/>
        <v>0</v>
      </c>
    </row>
    <row r="1256" spans="1:8" x14ac:dyDescent="0.35">
      <c r="A1256" s="11"/>
      <c r="B1256" s="11"/>
      <c r="C1256" s="16"/>
      <c r="D1256" s="1"/>
      <c r="E1256" s="1"/>
      <c r="F1256" s="4"/>
      <c r="G1256" s="4"/>
      <c r="H1256" s="4">
        <f t="shared" si="20"/>
        <v>0</v>
      </c>
    </row>
    <row r="1257" spans="1:8" x14ac:dyDescent="0.35">
      <c r="A1257" s="11"/>
      <c r="B1257" s="11"/>
      <c r="C1257" s="16"/>
      <c r="D1257" s="1"/>
      <c r="E1257" s="1"/>
      <c r="F1257" s="4"/>
      <c r="G1257" s="4"/>
      <c r="H1257" s="4">
        <f t="shared" si="20"/>
        <v>0</v>
      </c>
    </row>
    <row r="1258" spans="1:8" x14ac:dyDescent="0.35">
      <c r="A1258" s="11"/>
      <c r="B1258" s="11"/>
      <c r="C1258" s="16"/>
      <c r="D1258" s="1"/>
      <c r="E1258" s="1"/>
      <c r="F1258" s="4"/>
      <c r="G1258" s="4"/>
      <c r="H1258" s="4">
        <f t="shared" si="20"/>
        <v>0</v>
      </c>
    </row>
    <row r="1259" spans="1:8" x14ac:dyDescent="0.35">
      <c r="A1259" s="11"/>
      <c r="B1259" s="11"/>
      <c r="C1259" s="16"/>
      <c r="D1259" s="1"/>
      <c r="E1259" s="1"/>
      <c r="F1259" s="4"/>
      <c r="G1259" s="4"/>
      <c r="H1259" s="4">
        <f t="shared" si="20"/>
        <v>0</v>
      </c>
    </row>
    <row r="1260" spans="1:8" x14ac:dyDescent="0.35">
      <c r="A1260" s="11"/>
      <c r="B1260" s="11"/>
      <c r="C1260" s="16"/>
      <c r="D1260" s="1"/>
      <c r="E1260" s="1"/>
      <c r="F1260" s="4"/>
      <c r="G1260" s="4"/>
      <c r="H1260" s="4">
        <f t="shared" si="20"/>
        <v>0</v>
      </c>
    </row>
    <row r="1261" spans="1:8" x14ac:dyDescent="0.35">
      <c r="A1261" s="11"/>
      <c r="B1261" s="11"/>
      <c r="C1261" s="16"/>
      <c r="D1261" s="1"/>
      <c r="E1261" s="1"/>
      <c r="F1261" s="4"/>
      <c r="G1261" s="4"/>
      <c r="H1261" s="4">
        <f t="shared" si="20"/>
        <v>0</v>
      </c>
    </row>
    <row r="1262" spans="1:8" x14ac:dyDescent="0.35">
      <c r="A1262" s="11"/>
      <c r="B1262" s="11"/>
      <c r="C1262" s="16"/>
      <c r="D1262" s="1"/>
      <c r="E1262" s="1"/>
      <c r="F1262" s="4"/>
      <c r="G1262" s="4"/>
      <c r="H1262" s="4">
        <f t="shared" si="20"/>
        <v>0</v>
      </c>
    </row>
    <row r="1263" spans="1:8" x14ac:dyDescent="0.35">
      <c r="A1263" s="11"/>
      <c r="B1263" s="11"/>
      <c r="C1263" s="16"/>
      <c r="D1263" s="1"/>
      <c r="E1263" s="1"/>
      <c r="F1263" s="4"/>
      <c r="G1263" s="4"/>
      <c r="H1263" s="4">
        <f t="shared" si="20"/>
        <v>0</v>
      </c>
    </row>
    <row r="1264" spans="1:8" x14ac:dyDescent="0.35">
      <c r="A1264" s="11"/>
      <c r="B1264" s="11"/>
      <c r="C1264" s="16"/>
      <c r="D1264" s="1"/>
      <c r="E1264" s="1"/>
      <c r="F1264" s="4"/>
      <c r="G1264" s="4"/>
      <c r="H1264" s="4">
        <f t="shared" si="20"/>
        <v>0</v>
      </c>
    </row>
    <row r="1265" spans="1:8" x14ac:dyDescent="0.35">
      <c r="A1265" s="11"/>
      <c r="B1265" s="11"/>
      <c r="C1265" s="16"/>
      <c r="D1265" s="1"/>
      <c r="E1265" s="1"/>
      <c r="F1265" s="4"/>
      <c r="G1265" s="4"/>
      <c r="H1265" s="4">
        <f t="shared" si="20"/>
        <v>0</v>
      </c>
    </row>
    <row r="1266" spans="1:8" x14ac:dyDescent="0.35">
      <c r="A1266" s="11"/>
      <c r="B1266" s="11"/>
      <c r="C1266" s="16"/>
      <c r="D1266" s="1"/>
      <c r="E1266" s="1"/>
      <c r="F1266" s="4"/>
      <c r="G1266" s="4"/>
      <c r="H1266" s="4">
        <f t="shared" si="20"/>
        <v>0</v>
      </c>
    </row>
    <row r="1267" spans="1:8" x14ac:dyDescent="0.35">
      <c r="A1267" s="11"/>
      <c r="B1267" s="11"/>
      <c r="C1267" s="16"/>
      <c r="D1267" s="1"/>
      <c r="E1267" s="1"/>
      <c r="F1267" s="4"/>
      <c r="G1267" s="4"/>
      <c r="H1267" s="4">
        <f t="shared" si="20"/>
        <v>0</v>
      </c>
    </row>
    <row r="1268" spans="1:8" x14ac:dyDescent="0.35">
      <c r="A1268" s="11"/>
      <c r="B1268" s="11"/>
      <c r="C1268" s="16"/>
      <c r="D1268" s="1"/>
      <c r="E1268" s="1"/>
      <c r="F1268" s="4"/>
      <c r="G1268" s="4"/>
      <c r="H1268" s="4">
        <f t="shared" si="20"/>
        <v>0</v>
      </c>
    </row>
    <row r="1269" spans="1:8" x14ac:dyDescent="0.35">
      <c r="A1269" s="11"/>
      <c r="B1269" s="11"/>
      <c r="C1269" s="16"/>
      <c r="D1269" s="1"/>
      <c r="E1269" s="1"/>
      <c r="F1269" s="4"/>
      <c r="G1269" s="4"/>
      <c r="H1269" s="4">
        <f t="shared" si="20"/>
        <v>0</v>
      </c>
    </row>
    <row r="1270" spans="1:8" x14ac:dyDescent="0.35">
      <c r="A1270" s="11"/>
      <c r="B1270" s="11"/>
      <c r="C1270" s="16"/>
      <c r="D1270" s="1"/>
      <c r="E1270" s="1"/>
      <c r="F1270" s="4"/>
      <c r="G1270" s="4"/>
      <c r="H1270" s="4">
        <f t="shared" si="20"/>
        <v>0</v>
      </c>
    </row>
    <row r="1271" spans="1:8" x14ac:dyDescent="0.35">
      <c r="A1271" s="11"/>
      <c r="B1271" s="11"/>
      <c r="C1271" s="16"/>
      <c r="D1271" s="1"/>
      <c r="E1271" s="1"/>
      <c r="F1271" s="4"/>
      <c r="G1271" s="4"/>
      <c r="H1271" s="4">
        <f t="shared" si="20"/>
        <v>0</v>
      </c>
    </row>
    <row r="1272" spans="1:8" x14ac:dyDescent="0.35">
      <c r="A1272" s="11"/>
      <c r="B1272" s="11"/>
      <c r="C1272" s="16"/>
      <c r="D1272" s="1"/>
      <c r="E1272" s="1"/>
      <c r="F1272" s="4"/>
      <c r="G1272" s="4"/>
      <c r="H1272" s="4">
        <f t="shared" si="20"/>
        <v>0</v>
      </c>
    </row>
    <row r="1273" spans="1:8" x14ac:dyDescent="0.35">
      <c r="A1273" s="11"/>
      <c r="B1273" s="11"/>
      <c r="C1273" s="16"/>
      <c r="D1273" s="1"/>
      <c r="E1273" s="1"/>
      <c r="F1273" s="4"/>
      <c r="G1273" s="4"/>
      <c r="H1273" s="4">
        <f t="shared" si="20"/>
        <v>0</v>
      </c>
    </row>
    <row r="1274" spans="1:8" x14ac:dyDescent="0.35">
      <c r="A1274" s="11"/>
      <c r="B1274" s="11"/>
      <c r="C1274" s="16"/>
      <c r="D1274" s="1"/>
      <c r="E1274" s="1"/>
      <c r="F1274" s="4"/>
      <c r="G1274" s="4"/>
      <c r="H1274" s="4">
        <f t="shared" si="20"/>
        <v>0</v>
      </c>
    </row>
    <row r="1275" spans="1:8" x14ac:dyDescent="0.35">
      <c r="A1275" s="11"/>
      <c r="B1275" s="11"/>
      <c r="C1275" s="16"/>
      <c r="D1275" s="1"/>
      <c r="E1275" s="1"/>
      <c r="F1275" s="4"/>
      <c r="G1275" s="4"/>
      <c r="H1275" s="4">
        <f t="shared" si="20"/>
        <v>0</v>
      </c>
    </row>
    <row r="1276" spans="1:8" x14ac:dyDescent="0.35">
      <c r="A1276" s="11"/>
      <c r="B1276" s="11"/>
      <c r="C1276" s="16"/>
      <c r="D1276" s="1"/>
      <c r="E1276" s="1"/>
      <c r="F1276" s="4"/>
      <c r="G1276" s="4"/>
      <c r="H1276" s="4">
        <f t="shared" si="20"/>
        <v>0</v>
      </c>
    </row>
    <row r="1277" spans="1:8" x14ac:dyDescent="0.35">
      <c r="A1277" s="11"/>
      <c r="B1277" s="11"/>
      <c r="C1277" s="16"/>
      <c r="D1277" s="1"/>
      <c r="E1277" s="1"/>
      <c r="F1277" s="4"/>
      <c r="G1277" s="4"/>
      <c r="H1277" s="4">
        <f t="shared" si="20"/>
        <v>0</v>
      </c>
    </row>
    <row r="1278" spans="1:8" x14ac:dyDescent="0.35">
      <c r="A1278" s="11"/>
      <c r="B1278" s="11"/>
      <c r="C1278" s="16"/>
      <c r="D1278" s="1"/>
      <c r="E1278" s="1"/>
      <c r="F1278" s="4"/>
      <c r="G1278" s="4"/>
      <c r="H1278" s="4">
        <f t="shared" si="20"/>
        <v>0</v>
      </c>
    </row>
    <row r="1279" spans="1:8" x14ac:dyDescent="0.35">
      <c r="A1279" s="11"/>
      <c r="B1279" s="11"/>
      <c r="C1279" s="16"/>
      <c r="D1279" s="1"/>
      <c r="E1279" s="1"/>
      <c r="F1279" s="4"/>
      <c r="G1279" s="4"/>
      <c r="H1279" s="4">
        <f t="shared" si="20"/>
        <v>0</v>
      </c>
    </row>
    <row r="1280" spans="1:8" x14ac:dyDescent="0.35">
      <c r="A1280" s="11"/>
      <c r="B1280" s="11"/>
      <c r="C1280" s="16"/>
      <c r="D1280" s="1"/>
      <c r="E1280" s="1"/>
      <c r="F1280" s="4"/>
      <c r="G1280" s="4"/>
      <c r="H1280" s="4">
        <f t="shared" si="20"/>
        <v>0</v>
      </c>
    </row>
    <row r="1281" spans="1:8" x14ac:dyDescent="0.35">
      <c r="A1281" s="11"/>
      <c r="B1281" s="11"/>
      <c r="C1281" s="16"/>
      <c r="D1281" s="1"/>
      <c r="E1281" s="1"/>
      <c r="F1281" s="4"/>
      <c r="G1281" s="4"/>
      <c r="H1281" s="4">
        <f t="shared" si="20"/>
        <v>0</v>
      </c>
    </row>
    <row r="1282" spans="1:8" x14ac:dyDescent="0.35">
      <c r="A1282" s="11"/>
      <c r="B1282" s="11"/>
      <c r="C1282" s="16"/>
      <c r="D1282" s="1"/>
      <c r="E1282" s="1"/>
      <c r="F1282" s="4"/>
      <c r="G1282" s="4"/>
      <c r="H1282" s="4">
        <f t="shared" si="20"/>
        <v>0</v>
      </c>
    </row>
    <row r="1283" spans="1:8" x14ac:dyDescent="0.35">
      <c r="A1283" s="11"/>
      <c r="B1283" s="11"/>
      <c r="C1283" s="16"/>
      <c r="D1283" s="1"/>
      <c r="E1283" s="1"/>
      <c r="F1283" s="4"/>
      <c r="G1283" s="4"/>
      <c r="H1283" s="4">
        <f t="shared" si="20"/>
        <v>0</v>
      </c>
    </row>
    <row r="1284" spans="1:8" x14ac:dyDescent="0.35">
      <c r="A1284" s="11"/>
      <c r="B1284" s="11"/>
      <c r="C1284" s="16"/>
      <c r="D1284" s="1"/>
      <c r="E1284" s="1"/>
      <c r="F1284" s="4"/>
      <c r="G1284" s="4"/>
      <c r="H1284" s="4">
        <f t="shared" si="20"/>
        <v>0</v>
      </c>
    </row>
    <row r="1285" spans="1:8" x14ac:dyDescent="0.35">
      <c r="A1285" s="11"/>
      <c r="B1285" s="11"/>
      <c r="C1285" s="16"/>
      <c r="D1285" s="1"/>
      <c r="E1285" s="1"/>
      <c r="F1285" s="4"/>
      <c r="G1285" s="4"/>
      <c r="H1285" s="4">
        <f t="shared" si="20"/>
        <v>0</v>
      </c>
    </row>
    <row r="1286" spans="1:8" x14ac:dyDescent="0.35">
      <c r="A1286" s="11"/>
      <c r="B1286" s="11"/>
      <c r="C1286" s="16"/>
      <c r="D1286" s="1"/>
      <c r="E1286" s="1"/>
      <c r="F1286" s="4"/>
      <c r="G1286" s="4"/>
      <c r="H1286" s="4">
        <f t="shared" si="20"/>
        <v>0</v>
      </c>
    </row>
    <row r="1287" spans="1:8" x14ac:dyDescent="0.35">
      <c r="A1287" s="11"/>
      <c r="B1287" s="11"/>
      <c r="C1287" s="16"/>
      <c r="D1287" s="1"/>
      <c r="E1287" s="1"/>
      <c r="F1287" s="4"/>
      <c r="G1287" s="4"/>
      <c r="H1287" s="4">
        <f t="shared" si="20"/>
        <v>0</v>
      </c>
    </row>
    <row r="1288" spans="1:8" x14ac:dyDescent="0.35">
      <c r="A1288" s="11"/>
      <c r="B1288" s="11"/>
      <c r="C1288" s="16"/>
      <c r="D1288" s="1"/>
      <c r="E1288" s="1"/>
      <c r="F1288" s="4"/>
      <c r="G1288" s="4"/>
      <c r="H1288" s="4">
        <f t="shared" si="20"/>
        <v>0</v>
      </c>
    </row>
    <row r="1289" spans="1:8" x14ac:dyDescent="0.35">
      <c r="A1289" s="11"/>
      <c r="B1289" s="11"/>
      <c r="C1289" s="16"/>
      <c r="D1289" s="1"/>
      <c r="E1289" s="1"/>
      <c r="F1289" s="4"/>
      <c r="G1289" s="4"/>
      <c r="H1289" s="4">
        <f t="shared" si="20"/>
        <v>0</v>
      </c>
    </row>
    <row r="1290" spans="1:8" x14ac:dyDescent="0.35">
      <c r="A1290" s="11"/>
      <c r="B1290" s="11"/>
      <c r="C1290" s="16"/>
      <c r="D1290" s="1"/>
      <c r="E1290" s="1"/>
      <c r="F1290" s="4"/>
      <c r="G1290" s="4"/>
      <c r="H1290" s="4">
        <f t="shared" si="20"/>
        <v>0</v>
      </c>
    </row>
    <row r="1291" spans="1:8" x14ac:dyDescent="0.35">
      <c r="A1291" s="11"/>
      <c r="B1291" s="11"/>
      <c r="C1291" s="16"/>
      <c r="D1291" s="1"/>
      <c r="E1291" s="1"/>
      <c r="F1291" s="4"/>
      <c r="G1291" s="4"/>
      <c r="H1291" s="4">
        <f t="shared" si="20"/>
        <v>0</v>
      </c>
    </row>
    <row r="1292" spans="1:8" x14ac:dyDescent="0.35">
      <c r="A1292" s="11"/>
      <c r="B1292" s="11"/>
      <c r="C1292" s="16"/>
      <c r="D1292" s="1"/>
      <c r="E1292" s="1"/>
      <c r="F1292" s="4"/>
      <c r="G1292" s="4"/>
      <c r="H1292" s="4">
        <f t="shared" si="20"/>
        <v>0</v>
      </c>
    </row>
    <row r="1293" spans="1:8" x14ac:dyDescent="0.35">
      <c r="A1293" s="11"/>
      <c r="B1293" s="11"/>
      <c r="C1293" s="16"/>
      <c r="D1293" s="1"/>
      <c r="E1293" s="1"/>
      <c r="F1293" s="4"/>
      <c r="G1293" s="4"/>
      <c r="H1293" s="4">
        <f t="shared" si="20"/>
        <v>0</v>
      </c>
    </row>
    <row r="1294" spans="1:8" x14ac:dyDescent="0.35">
      <c r="A1294" s="11"/>
      <c r="B1294" s="11"/>
      <c r="C1294" s="16"/>
      <c r="D1294" s="1"/>
      <c r="E1294" s="1"/>
      <c r="F1294" s="4"/>
      <c r="G1294" s="4"/>
      <c r="H1294" s="4">
        <f t="shared" si="20"/>
        <v>0</v>
      </c>
    </row>
    <row r="1295" spans="1:8" x14ac:dyDescent="0.35">
      <c r="A1295" s="11"/>
      <c r="B1295" s="11"/>
      <c r="C1295" s="16"/>
      <c r="D1295" s="1"/>
      <c r="E1295" s="1"/>
      <c r="F1295" s="4"/>
      <c r="G1295" s="4"/>
      <c r="H1295" s="4">
        <f t="shared" si="20"/>
        <v>0</v>
      </c>
    </row>
    <row r="1296" spans="1:8" x14ac:dyDescent="0.35">
      <c r="A1296" s="11"/>
      <c r="B1296" s="11"/>
      <c r="C1296" s="16"/>
      <c r="D1296" s="1"/>
      <c r="E1296" s="1"/>
      <c r="F1296" s="4"/>
      <c r="G1296" s="4"/>
      <c r="H1296" s="4">
        <f t="shared" si="20"/>
        <v>0</v>
      </c>
    </row>
    <row r="1297" spans="1:8" x14ac:dyDescent="0.35">
      <c r="A1297" s="11"/>
      <c r="B1297" s="11"/>
      <c r="C1297" s="16"/>
      <c r="D1297" s="1"/>
      <c r="E1297" s="1"/>
      <c r="F1297" s="4"/>
      <c r="G1297" s="4"/>
      <c r="H1297" s="4">
        <f t="shared" si="20"/>
        <v>0</v>
      </c>
    </row>
    <row r="1298" spans="1:8" x14ac:dyDescent="0.35">
      <c r="A1298" s="11"/>
      <c r="B1298" s="11"/>
      <c r="C1298" s="16"/>
      <c r="D1298" s="1"/>
      <c r="E1298" s="1"/>
      <c r="F1298" s="4"/>
      <c r="G1298" s="4"/>
      <c r="H1298" s="4">
        <f t="shared" si="20"/>
        <v>0</v>
      </c>
    </row>
    <row r="1299" spans="1:8" x14ac:dyDescent="0.35">
      <c r="A1299" s="11"/>
      <c r="B1299" s="11"/>
      <c r="C1299" s="16"/>
      <c r="D1299" s="1"/>
      <c r="E1299" s="1"/>
      <c r="F1299" s="4"/>
      <c r="G1299" s="4"/>
      <c r="H1299" s="4">
        <f t="shared" si="20"/>
        <v>0</v>
      </c>
    </row>
    <row r="1300" spans="1:8" x14ac:dyDescent="0.35">
      <c r="A1300" s="11"/>
      <c r="B1300" s="11"/>
      <c r="C1300" s="16"/>
      <c r="D1300" s="1"/>
      <c r="E1300" s="1"/>
      <c r="F1300" s="4"/>
      <c r="G1300" s="4"/>
      <c r="H1300" s="4">
        <f t="shared" si="20"/>
        <v>0</v>
      </c>
    </row>
    <row r="1301" spans="1:8" x14ac:dyDescent="0.35">
      <c r="A1301" s="11"/>
      <c r="B1301" s="11"/>
      <c r="C1301" s="16"/>
      <c r="D1301" s="1"/>
      <c r="E1301" s="1"/>
      <c r="F1301" s="4"/>
      <c r="G1301" s="4"/>
      <c r="H1301" s="4">
        <f t="shared" si="20"/>
        <v>0</v>
      </c>
    </row>
    <row r="1302" spans="1:8" x14ac:dyDescent="0.35">
      <c r="A1302" s="11"/>
      <c r="B1302" s="11"/>
      <c r="C1302" s="16"/>
      <c r="D1302" s="1"/>
      <c r="E1302" s="1"/>
      <c r="F1302" s="4"/>
      <c r="G1302" s="4"/>
      <c r="H1302" s="4">
        <f t="shared" si="20"/>
        <v>0</v>
      </c>
    </row>
    <row r="1303" spans="1:8" x14ac:dyDescent="0.35">
      <c r="A1303" s="11"/>
      <c r="B1303" s="11"/>
      <c r="C1303" s="16"/>
      <c r="D1303" s="1"/>
      <c r="E1303" s="1"/>
      <c r="F1303" s="4"/>
      <c r="G1303" s="4"/>
      <c r="H1303" s="4">
        <f t="shared" si="20"/>
        <v>0</v>
      </c>
    </row>
    <row r="1304" spans="1:8" x14ac:dyDescent="0.35">
      <c r="A1304" s="11"/>
      <c r="B1304" s="11"/>
      <c r="C1304" s="16"/>
      <c r="D1304" s="1"/>
      <c r="E1304" s="1"/>
      <c r="F1304" s="4"/>
      <c r="G1304" s="4"/>
      <c r="H1304" s="4">
        <f t="shared" si="20"/>
        <v>0</v>
      </c>
    </row>
    <row r="1305" spans="1:8" x14ac:dyDescent="0.35">
      <c r="A1305" s="11"/>
      <c r="B1305" s="11"/>
      <c r="C1305" s="16"/>
      <c r="D1305" s="1"/>
      <c r="E1305" s="1"/>
      <c r="F1305" s="4"/>
      <c r="G1305" s="4"/>
      <c r="H1305" s="4">
        <f t="shared" si="20"/>
        <v>0</v>
      </c>
    </row>
    <row r="1306" spans="1:8" x14ac:dyDescent="0.35">
      <c r="A1306" s="11"/>
      <c r="B1306" s="11"/>
      <c r="C1306" s="16"/>
      <c r="D1306" s="1"/>
      <c r="E1306" s="1"/>
      <c r="F1306" s="4"/>
      <c r="G1306" s="4"/>
      <c r="H1306" s="4">
        <f t="shared" si="20"/>
        <v>0</v>
      </c>
    </row>
    <row r="1307" spans="1:8" x14ac:dyDescent="0.35">
      <c r="A1307" s="11"/>
      <c r="B1307" s="11"/>
      <c r="C1307" s="16"/>
      <c r="D1307" s="1"/>
      <c r="E1307" s="1"/>
      <c r="F1307" s="4"/>
      <c r="G1307" s="4"/>
      <c r="H1307" s="4">
        <f t="shared" si="20"/>
        <v>0</v>
      </c>
    </row>
    <row r="1308" spans="1:8" x14ac:dyDescent="0.35">
      <c r="A1308" s="11"/>
      <c r="B1308" s="11"/>
      <c r="C1308" s="16"/>
      <c r="D1308" s="1"/>
      <c r="E1308" s="1"/>
      <c r="F1308" s="4"/>
      <c r="G1308" s="4"/>
      <c r="H1308" s="4">
        <f t="shared" si="20"/>
        <v>0</v>
      </c>
    </row>
    <row r="1309" spans="1:8" x14ac:dyDescent="0.35">
      <c r="A1309" s="11"/>
      <c r="B1309" s="11"/>
      <c r="C1309" s="16"/>
      <c r="D1309" s="1"/>
      <c r="E1309" s="1"/>
      <c r="F1309" s="4"/>
      <c r="G1309" s="4"/>
      <c r="H1309" s="4">
        <f t="shared" si="20"/>
        <v>0</v>
      </c>
    </row>
    <row r="1310" spans="1:8" x14ac:dyDescent="0.35">
      <c r="A1310" s="11"/>
      <c r="B1310" s="11"/>
      <c r="C1310" s="16"/>
      <c r="D1310" s="1"/>
      <c r="E1310" s="1"/>
      <c r="F1310" s="4"/>
      <c r="G1310" s="4"/>
      <c r="H1310" s="4">
        <f t="shared" si="20"/>
        <v>0</v>
      </c>
    </row>
    <row r="1311" spans="1:8" x14ac:dyDescent="0.35">
      <c r="A1311" s="11"/>
      <c r="B1311" s="11"/>
      <c r="C1311" s="16"/>
      <c r="D1311" s="1"/>
      <c r="E1311" s="1"/>
      <c r="F1311" s="4"/>
      <c r="G1311" s="4"/>
      <c r="H1311" s="4">
        <f t="shared" si="20"/>
        <v>0</v>
      </c>
    </row>
    <row r="1312" spans="1:8" x14ac:dyDescent="0.35">
      <c r="A1312" s="11"/>
      <c r="B1312" s="11"/>
      <c r="C1312" s="16"/>
      <c r="D1312" s="1"/>
      <c r="E1312" s="1"/>
      <c r="F1312" s="4"/>
      <c r="G1312" s="4"/>
      <c r="H1312" s="4">
        <f t="shared" si="20"/>
        <v>0</v>
      </c>
    </row>
    <row r="1313" spans="1:8" x14ac:dyDescent="0.35">
      <c r="A1313" s="11"/>
      <c r="B1313" s="11"/>
      <c r="C1313" s="16"/>
      <c r="D1313" s="1"/>
      <c r="E1313" s="1"/>
      <c r="F1313" s="4"/>
      <c r="G1313" s="4"/>
      <c r="H1313" s="4">
        <f t="shared" ref="H1313:H1376" si="21">H1312+F1313-G1313</f>
        <v>0</v>
      </c>
    </row>
    <row r="1314" spans="1:8" x14ac:dyDescent="0.35">
      <c r="A1314" s="11"/>
      <c r="B1314" s="11"/>
      <c r="C1314" s="16"/>
      <c r="D1314" s="1"/>
      <c r="E1314" s="1"/>
      <c r="F1314" s="4"/>
      <c r="G1314" s="4"/>
      <c r="H1314" s="4">
        <f t="shared" si="21"/>
        <v>0</v>
      </c>
    </row>
    <row r="1315" spans="1:8" x14ac:dyDescent="0.35">
      <c r="A1315" s="11"/>
      <c r="B1315" s="11"/>
      <c r="C1315" s="16"/>
      <c r="D1315" s="1"/>
      <c r="E1315" s="1"/>
      <c r="F1315" s="4"/>
      <c r="G1315" s="4"/>
      <c r="H1315" s="4">
        <f t="shared" si="21"/>
        <v>0</v>
      </c>
    </row>
    <row r="1316" spans="1:8" x14ac:dyDescent="0.35">
      <c r="A1316" s="11"/>
      <c r="B1316" s="11"/>
      <c r="C1316" s="16"/>
      <c r="D1316" s="1"/>
      <c r="E1316" s="1"/>
      <c r="F1316" s="4"/>
      <c r="G1316" s="4"/>
      <c r="H1316" s="4">
        <f t="shared" si="21"/>
        <v>0</v>
      </c>
    </row>
    <row r="1317" spans="1:8" x14ac:dyDescent="0.35">
      <c r="A1317" s="11"/>
      <c r="B1317" s="11"/>
      <c r="C1317" s="16"/>
      <c r="D1317" s="1"/>
      <c r="E1317" s="1"/>
      <c r="F1317" s="4"/>
      <c r="G1317" s="4"/>
      <c r="H1317" s="4">
        <f t="shared" si="21"/>
        <v>0</v>
      </c>
    </row>
    <row r="1318" spans="1:8" x14ac:dyDescent="0.35">
      <c r="A1318" s="11"/>
      <c r="B1318" s="11"/>
      <c r="C1318" s="16"/>
      <c r="D1318" s="1"/>
      <c r="E1318" s="1"/>
      <c r="F1318" s="4"/>
      <c r="G1318" s="4"/>
      <c r="H1318" s="4">
        <f t="shared" si="21"/>
        <v>0</v>
      </c>
    </row>
    <row r="1319" spans="1:8" x14ac:dyDescent="0.35">
      <c r="A1319" s="11"/>
      <c r="B1319" s="11"/>
      <c r="C1319" s="16"/>
      <c r="D1319" s="1"/>
      <c r="E1319" s="1"/>
      <c r="F1319" s="4"/>
      <c r="G1319" s="4"/>
      <c r="H1319" s="4">
        <f t="shared" si="21"/>
        <v>0</v>
      </c>
    </row>
    <row r="1320" spans="1:8" x14ac:dyDescent="0.35">
      <c r="A1320" s="11"/>
      <c r="B1320" s="11"/>
      <c r="C1320" s="16"/>
      <c r="D1320" s="1"/>
      <c r="E1320" s="1"/>
      <c r="F1320" s="4"/>
      <c r="G1320" s="4"/>
      <c r="H1320" s="4">
        <f t="shared" si="21"/>
        <v>0</v>
      </c>
    </row>
    <row r="1321" spans="1:8" x14ac:dyDescent="0.35">
      <c r="A1321" s="11"/>
      <c r="B1321" s="11"/>
      <c r="C1321" s="16"/>
      <c r="D1321" s="1"/>
      <c r="E1321" s="1"/>
      <c r="F1321" s="4"/>
      <c r="G1321" s="4"/>
      <c r="H1321" s="4">
        <f t="shared" si="21"/>
        <v>0</v>
      </c>
    </row>
    <row r="1322" spans="1:8" x14ac:dyDescent="0.35">
      <c r="A1322" s="11"/>
      <c r="B1322" s="11"/>
      <c r="C1322" s="16"/>
      <c r="D1322" s="1"/>
      <c r="E1322" s="1"/>
      <c r="F1322" s="4"/>
      <c r="G1322" s="4"/>
      <c r="H1322" s="4">
        <f t="shared" si="21"/>
        <v>0</v>
      </c>
    </row>
    <row r="1323" spans="1:8" x14ac:dyDescent="0.35">
      <c r="A1323" s="11"/>
      <c r="B1323" s="11"/>
      <c r="C1323" s="16"/>
      <c r="D1323" s="1"/>
      <c r="E1323" s="1"/>
      <c r="F1323" s="4"/>
      <c r="G1323" s="4"/>
      <c r="H1323" s="4">
        <f t="shared" si="21"/>
        <v>0</v>
      </c>
    </row>
    <row r="1324" spans="1:8" x14ac:dyDescent="0.35">
      <c r="A1324" s="11"/>
      <c r="B1324" s="11"/>
      <c r="C1324" s="16"/>
      <c r="D1324" s="1"/>
      <c r="E1324" s="1"/>
      <c r="F1324" s="4"/>
      <c r="G1324" s="4"/>
      <c r="H1324" s="4">
        <f t="shared" si="21"/>
        <v>0</v>
      </c>
    </row>
    <row r="1325" spans="1:8" x14ac:dyDescent="0.35">
      <c r="A1325" s="11"/>
      <c r="B1325" s="11"/>
      <c r="C1325" s="16"/>
      <c r="D1325" s="1"/>
      <c r="E1325" s="1"/>
      <c r="F1325" s="4"/>
      <c r="G1325" s="4"/>
      <c r="H1325" s="4">
        <f t="shared" si="21"/>
        <v>0</v>
      </c>
    </row>
    <row r="1326" spans="1:8" x14ac:dyDescent="0.35">
      <c r="A1326" s="11"/>
      <c r="B1326" s="11"/>
      <c r="C1326" s="16"/>
      <c r="D1326" s="1"/>
      <c r="E1326" s="1"/>
      <c r="F1326" s="4"/>
      <c r="G1326" s="4"/>
      <c r="H1326" s="4">
        <f t="shared" si="21"/>
        <v>0</v>
      </c>
    </row>
    <row r="1327" spans="1:8" x14ac:dyDescent="0.35">
      <c r="A1327" s="11"/>
      <c r="B1327" s="11"/>
      <c r="C1327" s="16"/>
      <c r="D1327" s="1"/>
      <c r="E1327" s="1"/>
      <c r="F1327" s="4"/>
      <c r="G1327" s="4"/>
      <c r="H1327" s="4">
        <f t="shared" si="21"/>
        <v>0</v>
      </c>
    </row>
    <row r="1328" spans="1:8" x14ac:dyDescent="0.35">
      <c r="A1328" s="11"/>
      <c r="B1328" s="11"/>
      <c r="C1328" s="16"/>
      <c r="D1328" s="1"/>
      <c r="E1328" s="1"/>
      <c r="F1328" s="4"/>
      <c r="G1328" s="4"/>
      <c r="H1328" s="4">
        <f t="shared" si="21"/>
        <v>0</v>
      </c>
    </row>
    <row r="1329" spans="1:8" x14ac:dyDescent="0.35">
      <c r="A1329" s="11"/>
      <c r="B1329" s="11"/>
      <c r="C1329" s="16"/>
      <c r="D1329" s="1"/>
      <c r="E1329" s="1"/>
      <c r="F1329" s="4"/>
      <c r="G1329" s="4"/>
      <c r="H1329" s="4">
        <f t="shared" si="21"/>
        <v>0</v>
      </c>
    </row>
    <row r="1330" spans="1:8" x14ac:dyDescent="0.35">
      <c r="A1330" s="11"/>
      <c r="B1330" s="11"/>
      <c r="C1330" s="16"/>
      <c r="D1330" s="1"/>
      <c r="E1330" s="1"/>
      <c r="F1330" s="4"/>
      <c r="G1330" s="4"/>
      <c r="H1330" s="4">
        <f t="shared" si="21"/>
        <v>0</v>
      </c>
    </row>
    <row r="1331" spans="1:8" x14ac:dyDescent="0.35">
      <c r="A1331" s="11"/>
      <c r="B1331" s="11"/>
      <c r="C1331" s="16"/>
      <c r="D1331" s="1"/>
      <c r="E1331" s="1"/>
      <c r="F1331" s="4"/>
      <c r="G1331" s="4"/>
      <c r="H1331" s="4">
        <f t="shared" si="21"/>
        <v>0</v>
      </c>
    </row>
    <row r="1332" spans="1:8" x14ac:dyDescent="0.35">
      <c r="A1332" s="11"/>
      <c r="B1332" s="11"/>
      <c r="C1332" s="16"/>
      <c r="D1332" s="1"/>
      <c r="E1332" s="1"/>
      <c r="F1332" s="4"/>
      <c r="G1332" s="4"/>
      <c r="H1332" s="4">
        <f t="shared" si="21"/>
        <v>0</v>
      </c>
    </row>
    <row r="1333" spans="1:8" x14ac:dyDescent="0.35">
      <c r="A1333" s="11"/>
      <c r="B1333" s="11"/>
      <c r="C1333" s="16"/>
      <c r="D1333" s="1"/>
      <c r="E1333" s="1"/>
      <c r="F1333" s="4"/>
      <c r="G1333" s="4"/>
      <c r="H1333" s="4">
        <f t="shared" si="21"/>
        <v>0</v>
      </c>
    </row>
    <row r="1334" spans="1:8" x14ac:dyDescent="0.35">
      <c r="A1334" s="11"/>
      <c r="B1334" s="11"/>
      <c r="C1334" s="16"/>
      <c r="D1334" s="1"/>
      <c r="E1334" s="1"/>
      <c r="F1334" s="4"/>
      <c r="G1334" s="4"/>
      <c r="H1334" s="4">
        <f t="shared" si="21"/>
        <v>0</v>
      </c>
    </row>
    <row r="1335" spans="1:8" x14ac:dyDescent="0.35">
      <c r="A1335" s="11"/>
      <c r="B1335" s="11"/>
      <c r="C1335" s="16"/>
      <c r="D1335" s="1"/>
      <c r="E1335" s="1"/>
      <c r="F1335" s="4"/>
      <c r="G1335" s="4"/>
      <c r="H1335" s="4">
        <f t="shared" si="21"/>
        <v>0</v>
      </c>
    </row>
    <row r="1336" spans="1:8" x14ac:dyDescent="0.35">
      <c r="A1336" s="11"/>
      <c r="B1336" s="11"/>
      <c r="C1336" s="16"/>
      <c r="D1336" s="1"/>
      <c r="E1336" s="1"/>
      <c r="F1336" s="4"/>
      <c r="G1336" s="4"/>
      <c r="H1336" s="4">
        <f t="shared" si="21"/>
        <v>0</v>
      </c>
    </row>
    <row r="1337" spans="1:8" x14ac:dyDescent="0.35">
      <c r="A1337" s="11"/>
      <c r="B1337" s="11"/>
      <c r="C1337" s="16"/>
      <c r="D1337" s="1"/>
      <c r="E1337" s="1"/>
      <c r="F1337" s="4"/>
      <c r="G1337" s="4"/>
      <c r="H1337" s="4">
        <f t="shared" si="21"/>
        <v>0</v>
      </c>
    </row>
    <row r="1338" spans="1:8" x14ac:dyDescent="0.35">
      <c r="A1338" s="11"/>
      <c r="B1338" s="11"/>
      <c r="C1338" s="16"/>
      <c r="D1338" s="1"/>
      <c r="E1338" s="1"/>
      <c r="F1338" s="4"/>
      <c r="G1338" s="4"/>
      <c r="H1338" s="4">
        <f t="shared" si="21"/>
        <v>0</v>
      </c>
    </row>
    <row r="1339" spans="1:8" x14ac:dyDescent="0.35">
      <c r="A1339" s="11"/>
      <c r="B1339" s="11"/>
      <c r="C1339" s="16"/>
      <c r="D1339" s="1"/>
      <c r="E1339" s="1"/>
      <c r="F1339" s="4"/>
      <c r="G1339" s="4"/>
      <c r="H1339" s="4">
        <f t="shared" si="21"/>
        <v>0</v>
      </c>
    </row>
    <row r="1340" spans="1:8" x14ac:dyDescent="0.35">
      <c r="A1340" s="11"/>
      <c r="B1340" s="11"/>
      <c r="C1340" s="16"/>
      <c r="D1340" s="1"/>
      <c r="E1340" s="1"/>
      <c r="F1340" s="4"/>
      <c r="G1340" s="4"/>
      <c r="H1340" s="4">
        <f t="shared" si="21"/>
        <v>0</v>
      </c>
    </row>
    <row r="1341" spans="1:8" x14ac:dyDescent="0.35">
      <c r="A1341" s="11"/>
      <c r="B1341" s="11"/>
      <c r="C1341" s="16"/>
      <c r="D1341" s="1"/>
      <c r="E1341" s="1"/>
      <c r="F1341" s="4"/>
      <c r="G1341" s="4"/>
      <c r="H1341" s="4">
        <f t="shared" si="21"/>
        <v>0</v>
      </c>
    </row>
    <row r="1342" spans="1:8" x14ac:dyDescent="0.35">
      <c r="A1342" s="11"/>
      <c r="B1342" s="11"/>
      <c r="C1342" s="16"/>
      <c r="D1342" s="1"/>
      <c r="E1342" s="1"/>
      <c r="F1342" s="4"/>
      <c r="G1342" s="4"/>
      <c r="H1342" s="4">
        <f t="shared" si="21"/>
        <v>0</v>
      </c>
    </row>
    <row r="1343" spans="1:8" x14ac:dyDescent="0.35">
      <c r="A1343" s="11"/>
      <c r="B1343" s="11"/>
      <c r="C1343" s="16"/>
      <c r="D1343" s="1"/>
      <c r="E1343" s="1"/>
      <c r="F1343" s="4"/>
      <c r="G1343" s="4"/>
      <c r="H1343" s="4">
        <f t="shared" si="21"/>
        <v>0</v>
      </c>
    </row>
    <row r="1344" spans="1:8" x14ac:dyDescent="0.35">
      <c r="A1344" s="11"/>
      <c r="B1344" s="11"/>
      <c r="C1344" s="16"/>
      <c r="D1344" s="1"/>
      <c r="E1344" s="1"/>
      <c r="F1344" s="4"/>
      <c r="G1344" s="4"/>
      <c r="H1344" s="4">
        <f t="shared" si="21"/>
        <v>0</v>
      </c>
    </row>
    <row r="1345" spans="1:8" x14ac:dyDescent="0.35">
      <c r="A1345" s="11"/>
      <c r="B1345" s="11"/>
      <c r="C1345" s="16"/>
      <c r="D1345" s="1"/>
      <c r="E1345" s="1"/>
      <c r="F1345" s="4"/>
      <c r="G1345" s="4"/>
      <c r="H1345" s="4">
        <f t="shared" si="21"/>
        <v>0</v>
      </c>
    </row>
    <row r="1346" spans="1:8" x14ac:dyDescent="0.35">
      <c r="A1346" s="11"/>
      <c r="B1346" s="11"/>
      <c r="C1346" s="16"/>
      <c r="D1346" s="1"/>
      <c r="E1346" s="1"/>
      <c r="F1346" s="4"/>
      <c r="G1346" s="4"/>
      <c r="H1346" s="4">
        <f t="shared" si="21"/>
        <v>0</v>
      </c>
    </row>
    <row r="1347" spans="1:8" x14ac:dyDescent="0.35">
      <c r="A1347" s="11"/>
      <c r="B1347" s="11"/>
      <c r="C1347" s="16"/>
      <c r="D1347" s="1"/>
      <c r="E1347" s="1"/>
      <c r="F1347" s="4"/>
      <c r="G1347" s="4"/>
      <c r="H1347" s="4">
        <f t="shared" si="21"/>
        <v>0</v>
      </c>
    </row>
    <row r="1348" spans="1:8" x14ac:dyDescent="0.35">
      <c r="A1348" s="11"/>
      <c r="B1348" s="11"/>
      <c r="C1348" s="16"/>
      <c r="D1348" s="1"/>
      <c r="E1348" s="1"/>
      <c r="F1348" s="4"/>
      <c r="G1348" s="4"/>
      <c r="H1348" s="4">
        <f t="shared" si="21"/>
        <v>0</v>
      </c>
    </row>
    <row r="1349" spans="1:8" x14ac:dyDescent="0.35">
      <c r="A1349" s="11"/>
      <c r="B1349" s="11"/>
      <c r="C1349" s="16"/>
      <c r="D1349" s="1"/>
      <c r="E1349" s="1"/>
      <c r="F1349" s="4"/>
      <c r="G1349" s="4"/>
      <c r="H1349" s="4">
        <f t="shared" si="21"/>
        <v>0</v>
      </c>
    </row>
    <row r="1350" spans="1:8" x14ac:dyDescent="0.35">
      <c r="A1350" s="11"/>
      <c r="B1350" s="11"/>
      <c r="C1350" s="16"/>
      <c r="D1350" s="1"/>
      <c r="E1350" s="1"/>
      <c r="F1350" s="4"/>
      <c r="G1350" s="4"/>
      <c r="H1350" s="4">
        <f t="shared" si="21"/>
        <v>0</v>
      </c>
    </row>
    <row r="1351" spans="1:8" x14ac:dyDescent="0.35">
      <c r="A1351" s="11"/>
      <c r="B1351" s="11"/>
      <c r="C1351" s="16"/>
      <c r="D1351" s="1"/>
      <c r="E1351" s="1"/>
      <c r="F1351" s="4"/>
      <c r="G1351" s="4"/>
      <c r="H1351" s="4">
        <f t="shared" si="21"/>
        <v>0</v>
      </c>
    </row>
    <row r="1352" spans="1:8" x14ac:dyDescent="0.35">
      <c r="A1352" s="11"/>
      <c r="B1352" s="11"/>
      <c r="C1352" s="16"/>
      <c r="D1352" s="1"/>
      <c r="E1352" s="1"/>
      <c r="F1352" s="4"/>
      <c r="G1352" s="4"/>
      <c r="H1352" s="4">
        <f t="shared" si="21"/>
        <v>0</v>
      </c>
    </row>
    <row r="1353" spans="1:8" x14ac:dyDescent="0.35">
      <c r="A1353" s="11"/>
      <c r="B1353" s="11"/>
      <c r="C1353" s="16"/>
      <c r="D1353" s="1"/>
      <c r="E1353" s="1"/>
      <c r="F1353" s="4"/>
      <c r="G1353" s="4"/>
      <c r="H1353" s="4">
        <f t="shared" si="21"/>
        <v>0</v>
      </c>
    </row>
    <row r="1354" spans="1:8" x14ac:dyDescent="0.35">
      <c r="A1354" s="11"/>
      <c r="B1354" s="11"/>
      <c r="C1354" s="16"/>
      <c r="D1354" s="1"/>
      <c r="E1354" s="1"/>
      <c r="F1354" s="4"/>
      <c r="G1354" s="4"/>
      <c r="H1354" s="4">
        <f t="shared" si="21"/>
        <v>0</v>
      </c>
    </row>
    <row r="1355" spans="1:8" x14ac:dyDescent="0.35">
      <c r="A1355" s="11"/>
      <c r="B1355" s="11"/>
      <c r="C1355" s="16"/>
      <c r="D1355" s="1"/>
      <c r="E1355" s="1"/>
      <c r="F1355" s="4"/>
      <c r="G1355" s="4"/>
      <c r="H1355" s="4">
        <f t="shared" si="21"/>
        <v>0</v>
      </c>
    </row>
    <row r="1356" spans="1:8" x14ac:dyDescent="0.35">
      <c r="A1356" s="11"/>
      <c r="B1356" s="11"/>
      <c r="C1356" s="16"/>
      <c r="D1356" s="1"/>
      <c r="E1356" s="1"/>
      <c r="F1356" s="4"/>
      <c r="G1356" s="4"/>
      <c r="H1356" s="4">
        <f t="shared" si="21"/>
        <v>0</v>
      </c>
    </row>
    <row r="1357" spans="1:8" x14ac:dyDescent="0.35">
      <c r="A1357" s="11"/>
      <c r="B1357" s="11"/>
      <c r="C1357" s="16"/>
      <c r="D1357" s="1"/>
      <c r="E1357" s="1"/>
      <c r="F1357" s="4"/>
      <c r="G1357" s="4"/>
      <c r="H1357" s="4">
        <f t="shared" si="21"/>
        <v>0</v>
      </c>
    </row>
    <row r="1358" spans="1:8" x14ac:dyDescent="0.35">
      <c r="A1358" s="11"/>
      <c r="B1358" s="11"/>
      <c r="C1358" s="16"/>
      <c r="D1358" s="1"/>
      <c r="E1358" s="1"/>
      <c r="F1358" s="4"/>
      <c r="G1358" s="4"/>
      <c r="H1358" s="4">
        <f t="shared" si="21"/>
        <v>0</v>
      </c>
    </row>
    <row r="1359" spans="1:8" x14ac:dyDescent="0.35">
      <c r="A1359" s="11"/>
      <c r="B1359" s="11"/>
      <c r="C1359" s="16"/>
      <c r="D1359" s="1"/>
      <c r="E1359" s="1"/>
      <c r="F1359" s="4"/>
      <c r="G1359" s="4"/>
      <c r="H1359" s="4">
        <f t="shared" si="21"/>
        <v>0</v>
      </c>
    </row>
    <row r="1360" spans="1:8" x14ac:dyDescent="0.35">
      <c r="A1360" s="11"/>
      <c r="B1360" s="11"/>
      <c r="C1360" s="16"/>
      <c r="D1360" s="1"/>
      <c r="E1360" s="1"/>
      <c r="F1360" s="4"/>
      <c r="G1360" s="4"/>
      <c r="H1360" s="4">
        <f t="shared" si="21"/>
        <v>0</v>
      </c>
    </row>
    <row r="1361" spans="1:8" x14ac:dyDescent="0.35">
      <c r="A1361" s="11"/>
      <c r="B1361" s="11"/>
      <c r="C1361" s="16"/>
      <c r="D1361" s="1"/>
      <c r="E1361" s="1"/>
      <c r="F1361" s="4"/>
      <c r="G1361" s="4"/>
      <c r="H1361" s="4">
        <f t="shared" si="21"/>
        <v>0</v>
      </c>
    </row>
    <row r="1362" spans="1:8" x14ac:dyDescent="0.35">
      <c r="A1362" s="11"/>
      <c r="B1362" s="11"/>
      <c r="C1362" s="16"/>
      <c r="D1362" s="1"/>
      <c r="E1362" s="1"/>
      <c r="F1362" s="4"/>
      <c r="G1362" s="4"/>
      <c r="H1362" s="4">
        <f t="shared" si="21"/>
        <v>0</v>
      </c>
    </row>
    <row r="1363" spans="1:8" x14ac:dyDescent="0.35">
      <c r="A1363" s="11"/>
      <c r="B1363" s="11"/>
      <c r="C1363" s="16"/>
      <c r="D1363" s="1"/>
      <c r="E1363" s="1"/>
      <c r="F1363" s="4"/>
      <c r="G1363" s="4"/>
      <c r="H1363" s="4">
        <f t="shared" si="21"/>
        <v>0</v>
      </c>
    </row>
    <row r="1364" spans="1:8" x14ac:dyDescent="0.35">
      <c r="A1364" s="11"/>
      <c r="B1364" s="11"/>
      <c r="C1364" s="16"/>
      <c r="D1364" s="1"/>
      <c r="E1364" s="1"/>
      <c r="F1364" s="4"/>
      <c r="G1364" s="4"/>
      <c r="H1364" s="4">
        <f t="shared" si="21"/>
        <v>0</v>
      </c>
    </row>
    <row r="1365" spans="1:8" x14ac:dyDescent="0.35">
      <c r="A1365" s="11"/>
      <c r="B1365" s="11"/>
      <c r="C1365" s="16"/>
      <c r="D1365" s="1"/>
      <c r="E1365" s="1"/>
      <c r="F1365" s="4"/>
      <c r="G1365" s="4"/>
      <c r="H1365" s="4">
        <f t="shared" si="21"/>
        <v>0</v>
      </c>
    </row>
    <row r="1366" spans="1:8" x14ac:dyDescent="0.35">
      <c r="A1366" s="11"/>
      <c r="B1366" s="11"/>
      <c r="C1366" s="16"/>
      <c r="D1366" s="1"/>
      <c r="E1366" s="1"/>
      <c r="F1366" s="4"/>
      <c r="G1366" s="4"/>
      <c r="H1366" s="4">
        <f t="shared" si="21"/>
        <v>0</v>
      </c>
    </row>
    <row r="1367" spans="1:8" x14ac:dyDescent="0.35">
      <c r="A1367" s="11"/>
      <c r="B1367" s="11"/>
      <c r="C1367" s="16"/>
      <c r="D1367" s="1"/>
      <c r="E1367" s="1"/>
      <c r="F1367" s="4"/>
      <c r="G1367" s="4"/>
      <c r="H1367" s="4">
        <f t="shared" si="21"/>
        <v>0</v>
      </c>
    </row>
    <row r="1368" spans="1:8" x14ac:dyDescent="0.35">
      <c r="A1368" s="11"/>
      <c r="B1368" s="11"/>
      <c r="C1368" s="16"/>
      <c r="D1368" s="1"/>
      <c r="E1368" s="1"/>
      <c r="F1368" s="4"/>
      <c r="G1368" s="4"/>
      <c r="H1368" s="4">
        <f t="shared" si="21"/>
        <v>0</v>
      </c>
    </row>
    <row r="1369" spans="1:8" x14ac:dyDescent="0.35">
      <c r="A1369" s="11"/>
      <c r="B1369" s="11"/>
      <c r="C1369" s="16"/>
      <c r="D1369" s="1"/>
      <c r="E1369" s="1"/>
      <c r="F1369" s="4"/>
      <c r="G1369" s="4"/>
      <c r="H1369" s="4">
        <f t="shared" si="21"/>
        <v>0</v>
      </c>
    </row>
    <row r="1370" spans="1:8" x14ac:dyDescent="0.35">
      <c r="A1370" s="11"/>
      <c r="B1370" s="11"/>
      <c r="C1370" s="16"/>
      <c r="D1370" s="1"/>
      <c r="E1370" s="1"/>
      <c r="F1370" s="4"/>
      <c r="G1370" s="4"/>
      <c r="H1370" s="4">
        <f t="shared" si="21"/>
        <v>0</v>
      </c>
    </row>
    <row r="1371" spans="1:8" x14ac:dyDescent="0.35">
      <c r="A1371" s="11"/>
      <c r="B1371" s="11"/>
      <c r="C1371" s="16"/>
      <c r="D1371" s="1"/>
      <c r="E1371" s="1"/>
      <c r="F1371" s="4"/>
      <c r="G1371" s="4"/>
      <c r="H1371" s="4">
        <f t="shared" si="21"/>
        <v>0</v>
      </c>
    </row>
    <row r="1372" spans="1:8" x14ac:dyDescent="0.35">
      <c r="A1372" s="11"/>
      <c r="B1372" s="11"/>
      <c r="C1372" s="16"/>
      <c r="D1372" s="1"/>
      <c r="E1372" s="1"/>
      <c r="F1372" s="4"/>
      <c r="G1372" s="4"/>
      <c r="H1372" s="4">
        <f t="shared" si="21"/>
        <v>0</v>
      </c>
    </row>
    <row r="1373" spans="1:8" x14ac:dyDescent="0.35">
      <c r="A1373" s="11"/>
      <c r="B1373" s="11"/>
      <c r="C1373" s="16"/>
      <c r="D1373" s="1"/>
      <c r="E1373" s="1"/>
      <c r="F1373" s="4"/>
      <c r="G1373" s="4"/>
      <c r="H1373" s="4">
        <f t="shared" si="21"/>
        <v>0</v>
      </c>
    </row>
    <row r="1374" spans="1:8" x14ac:dyDescent="0.35">
      <c r="A1374" s="11"/>
      <c r="B1374" s="11"/>
      <c r="C1374" s="16"/>
      <c r="D1374" s="1"/>
      <c r="E1374" s="1"/>
      <c r="F1374" s="4"/>
      <c r="G1374" s="4"/>
      <c r="H1374" s="4">
        <f t="shared" si="21"/>
        <v>0</v>
      </c>
    </row>
    <row r="1375" spans="1:8" x14ac:dyDescent="0.35">
      <c r="A1375" s="11"/>
      <c r="B1375" s="11"/>
      <c r="C1375" s="16"/>
      <c r="D1375" s="1"/>
      <c r="E1375" s="1"/>
      <c r="F1375" s="4"/>
      <c r="G1375" s="4"/>
      <c r="H1375" s="4">
        <f t="shared" si="21"/>
        <v>0</v>
      </c>
    </row>
    <row r="1376" spans="1:8" x14ac:dyDescent="0.35">
      <c r="A1376" s="11"/>
      <c r="B1376" s="11"/>
      <c r="C1376" s="16"/>
      <c r="D1376" s="1"/>
      <c r="E1376" s="1"/>
      <c r="F1376" s="4"/>
      <c r="G1376" s="4"/>
      <c r="H1376" s="4">
        <f t="shared" si="21"/>
        <v>0</v>
      </c>
    </row>
    <row r="1377" spans="1:8" x14ac:dyDescent="0.35">
      <c r="A1377" s="11"/>
      <c r="B1377" s="11"/>
      <c r="C1377" s="16"/>
      <c r="D1377" s="1"/>
      <c r="E1377" s="1"/>
      <c r="F1377" s="4"/>
      <c r="G1377" s="4"/>
      <c r="H1377" s="4">
        <f t="shared" ref="H1377:H1440" si="22">H1376+F1377-G1377</f>
        <v>0</v>
      </c>
    </row>
    <row r="1378" spans="1:8" x14ac:dyDescent="0.35">
      <c r="A1378" s="11"/>
      <c r="B1378" s="11"/>
      <c r="C1378" s="16"/>
      <c r="D1378" s="1"/>
      <c r="E1378" s="1"/>
      <c r="F1378" s="4"/>
      <c r="G1378" s="4"/>
      <c r="H1378" s="4">
        <f t="shared" si="22"/>
        <v>0</v>
      </c>
    </row>
    <row r="1379" spans="1:8" x14ac:dyDescent="0.35">
      <c r="A1379" s="11"/>
      <c r="B1379" s="11"/>
      <c r="C1379" s="16"/>
      <c r="D1379" s="1"/>
      <c r="E1379" s="1"/>
      <c r="F1379" s="4"/>
      <c r="G1379" s="4"/>
      <c r="H1379" s="4">
        <f t="shared" si="22"/>
        <v>0</v>
      </c>
    </row>
    <row r="1380" spans="1:8" x14ac:dyDescent="0.35">
      <c r="A1380" s="11"/>
      <c r="B1380" s="11"/>
      <c r="C1380" s="16"/>
      <c r="D1380" s="1"/>
      <c r="E1380" s="1"/>
      <c r="F1380" s="4"/>
      <c r="G1380" s="4"/>
      <c r="H1380" s="4">
        <f t="shared" si="22"/>
        <v>0</v>
      </c>
    </row>
    <row r="1381" spans="1:8" x14ac:dyDescent="0.35">
      <c r="A1381" s="11"/>
      <c r="B1381" s="11"/>
      <c r="C1381" s="16"/>
      <c r="D1381" s="1"/>
      <c r="E1381" s="1"/>
      <c r="F1381" s="4"/>
      <c r="G1381" s="4"/>
      <c r="H1381" s="4">
        <f t="shared" si="22"/>
        <v>0</v>
      </c>
    </row>
    <row r="1382" spans="1:8" x14ac:dyDescent="0.35">
      <c r="A1382" s="11"/>
      <c r="B1382" s="11"/>
      <c r="C1382" s="16"/>
      <c r="D1382" s="1"/>
      <c r="E1382" s="1"/>
      <c r="F1382" s="4"/>
      <c r="G1382" s="4"/>
      <c r="H1382" s="4">
        <f t="shared" si="22"/>
        <v>0</v>
      </c>
    </row>
    <row r="1383" spans="1:8" x14ac:dyDescent="0.35">
      <c r="A1383" s="11"/>
      <c r="B1383" s="11"/>
      <c r="C1383" s="16"/>
      <c r="D1383" s="1"/>
      <c r="E1383" s="1"/>
      <c r="F1383" s="4"/>
      <c r="G1383" s="4"/>
      <c r="H1383" s="4">
        <f t="shared" si="22"/>
        <v>0</v>
      </c>
    </row>
    <row r="1384" spans="1:8" x14ac:dyDescent="0.35">
      <c r="A1384" s="11"/>
      <c r="B1384" s="11"/>
      <c r="C1384" s="16"/>
      <c r="D1384" s="1"/>
      <c r="E1384" s="1"/>
      <c r="F1384" s="4"/>
      <c r="G1384" s="4"/>
      <c r="H1384" s="4">
        <f t="shared" si="22"/>
        <v>0</v>
      </c>
    </row>
    <row r="1385" spans="1:8" x14ac:dyDescent="0.35">
      <c r="A1385" s="11"/>
      <c r="B1385" s="11"/>
      <c r="C1385" s="16"/>
      <c r="D1385" s="1"/>
      <c r="E1385" s="1"/>
      <c r="F1385" s="4"/>
      <c r="G1385" s="4"/>
      <c r="H1385" s="4">
        <f t="shared" si="22"/>
        <v>0</v>
      </c>
    </row>
    <row r="1386" spans="1:8" x14ac:dyDescent="0.35">
      <c r="A1386" s="11"/>
      <c r="B1386" s="11"/>
      <c r="C1386" s="16"/>
      <c r="D1386" s="1"/>
      <c r="E1386" s="1"/>
      <c r="F1386" s="4"/>
      <c r="G1386" s="4"/>
      <c r="H1386" s="4">
        <f t="shared" si="22"/>
        <v>0</v>
      </c>
    </row>
    <row r="1387" spans="1:8" x14ac:dyDescent="0.35">
      <c r="A1387" s="11"/>
      <c r="B1387" s="11"/>
      <c r="C1387" s="16"/>
      <c r="D1387" s="1"/>
      <c r="E1387" s="1"/>
      <c r="F1387" s="4"/>
      <c r="G1387" s="4"/>
      <c r="H1387" s="4">
        <f t="shared" si="22"/>
        <v>0</v>
      </c>
    </row>
    <row r="1388" spans="1:8" x14ac:dyDescent="0.35">
      <c r="A1388" s="11"/>
      <c r="B1388" s="11"/>
      <c r="C1388" s="16"/>
      <c r="D1388" s="1"/>
      <c r="E1388" s="1"/>
      <c r="F1388" s="4"/>
      <c r="G1388" s="4"/>
      <c r="H1388" s="4">
        <f t="shared" si="22"/>
        <v>0</v>
      </c>
    </row>
    <row r="1389" spans="1:8" x14ac:dyDescent="0.35">
      <c r="A1389" s="11"/>
      <c r="B1389" s="11"/>
      <c r="C1389" s="16"/>
      <c r="D1389" s="1"/>
      <c r="E1389" s="1"/>
      <c r="F1389" s="4"/>
      <c r="G1389" s="4"/>
      <c r="H1389" s="4">
        <f t="shared" si="22"/>
        <v>0</v>
      </c>
    </row>
    <row r="1390" spans="1:8" x14ac:dyDescent="0.35">
      <c r="A1390" s="11"/>
      <c r="B1390" s="11"/>
      <c r="C1390" s="16"/>
      <c r="D1390" s="1"/>
      <c r="E1390" s="1"/>
      <c r="F1390" s="4"/>
      <c r="G1390" s="4"/>
      <c r="H1390" s="4">
        <f t="shared" si="22"/>
        <v>0</v>
      </c>
    </row>
    <row r="1391" spans="1:8" x14ac:dyDescent="0.35">
      <c r="A1391" s="11"/>
      <c r="B1391" s="11"/>
      <c r="C1391" s="16"/>
      <c r="D1391" s="1"/>
      <c r="E1391" s="1"/>
      <c r="F1391" s="4"/>
      <c r="G1391" s="4"/>
      <c r="H1391" s="4">
        <f t="shared" si="22"/>
        <v>0</v>
      </c>
    </row>
    <row r="1392" spans="1:8" x14ac:dyDescent="0.35">
      <c r="A1392" s="11"/>
      <c r="B1392" s="11"/>
      <c r="C1392" s="16"/>
      <c r="D1392" s="1"/>
      <c r="E1392" s="1"/>
      <c r="F1392" s="4"/>
      <c r="G1392" s="4"/>
      <c r="H1392" s="4">
        <f t="shared" si="22"/>
        <v>0</v>
      </c>
    </row>
    <row r="1393" spans="1:8" x14ac:dyDescent="0.35">
      <c r="A1393" s="11"/>
      <c r="B1393" s="11"/>
      <c r="C1393" s="16"/>
      <c r="D1393" s="1"/>
      <c r="E1393" s="1"/>
      <c r="F1393" s="4"/>
      <c r="G1393" s="4"/>
      <c r="H1393" s="4">
        <f t="shared" si="22"/>
        <v>0</v>
      </c>
    </row>
    <row r="1394" spans="1:8" x14ac:dyDescent="0.35">
      <c r="A1394" s="11"/>
      <c r="B1394" s="11"/>
      <c r="C1394" s="16"/>
      <c r="D1394" s="1"/>
      <c r="E1394" s="1"/>
      <c r="F1394" s="4"/>
      <c r="G1394" s="4"/>
      <c r="H1394" s="4">
        <f t="shared" si="22"/>
        <v>0</v>
      </c>
    </row>
    <row r="1395" spans="1:8" x14ac:dyDescent="0.35">
      <c r="A1395" s="11"/>
      <c r="B1395" s="11"/>
      <c r="C1395" s="16"/>
      <c r="D1395" s="1"/>
      <c r="E1395" s="1"/>
      <c r="F1395" s="4"/>
      <c r="G1395" s="4"/>
      <c r="H1395" s="4">
        <f t="shared" si="22"/>
        <v>0</v>
      </c>
    </row>
    <row r="1396" spans="1:8" x14ac:dyDescent="0.35">
      <c r="A1396" s="11"/>
      <c r="B1396" s="11"/>
      <c r="C1396" s="16"/>
      <c r="D1396" s="1"/>
      <c r="E1396" s="1"/>
      <c r="F1396" s="4"/>
      <c r="G1396" s="4"/>
      <c r="H1396" s="4">
        <f t="shared" si="22"/>
        <v>0</v>
      </c>
    </row>
    <row r="1397" spans="1:8" x14ac:dyDescent="0.35">
      <c r="A1397" s="11"/>
      <c r="B1397" s="11"/>
      <c r="C1397" s="16"/>
      <c r="D1397" s="1"/>
      <c r="E1397" s="1"/>
      <c r="F1397" s="4"/>
      <c r="G1397" s="4"/>
      <c r="H1397" s="4">
        <f t="shared" si="22"/>
        <v>0</v>
      </c>
    </row>
    <row r="1398" spans="1:8" x14ac:dyDescent="0.35">
      <c r="A1398" s="11"/>
      <c r="B1398" s="11"/>
      <c r="C1398" s="16"/>
      <c r="D1398" s="1"/>
      <c r="E1398" s="1"/>
      <c r="F1398" s="4"/>
      <c r="G1398" s="4"/>
      <c r="H1398" s="4">
        <f t="shared" si="22"/>
        <v>0</v>
      </c>
    </row>
    <row r="1399" spans="1:8" x14ac:dyDescent="0.35">
      <c r="A1399" s="11"/>
      <c r="B1399" s="11"/>
      <c r="C1399" s="16"/>
      <c r="D1399" s="1"/>
      <c r="E1399" s="1"/>
      <c r="F1399" s="4"/>
      <c r="G1399" s="4"/>
      <c r="H1399" s="4">
        <f t="shared" si="22"/>
        <v>0</v>
      </c>
    </row>
    <row r="1400" spans="1:8" x14ac:dyDescent="0.35">
      <c r="A1400" s="11"/>
      <c r="B1400" s="11"/>
      <c r="C1400" s="16"/>
      <c r="D1400" s="1"/>
      <c r="E1400" s="1"/>
      <c r="F1400" s="4"/>
      <c r="G1400" s="4"/>
      <c r="H1400" s="4">
        <f t="shared" si="22"/>
        <v>0</v>
      </c>
    </row>
    <row r="1401" spans="1:8" x14ac:dyDescent="0.35">
      <c r="A1401" s="11"/>
      <c r="B1401" s="11"/>
      <c r="C1401" s="16"/>
      <c r="D1401" s="1"/>
      <c r="E1401" s="1"/>
      <c r="F1401" s="4"/>
      <c r="G1401" s="4"/>
      <c r="H1401" s="4">
        <f t="shared" si="22"/>
        <v>0</v>
      </c>
    </row>
    <row r="1402" spans="1:8" x14ac:dyDescent="0.35">
      <c r="A1402" s="11"/>
      <c r="B1402" s="11"/>
      <c r="C1402" s="16"/>
      <c r="D1402" s="1"/>
      <c r="E1402" s="1"/>
      <c r="F1402" s="4"/>
      <c r="G1402" s="4"/>
      <c r="H1402" s="4">
        <f t="shared" si="22"/>
        <v>0</v>
      </c>
    </row>
    <row r="1403" spans="1:8" x14ac:dyDescent="0.35">
      <c r="A1403" s="11"/>
      <c r="B1403" s="11"/>
      <c r="C1403" s="16"/>
      <c r="D1403" s="1"/>
      <c r="E1403" s="1"/>
      <c r="F1403" s="4"/>
      <c r="G1403" s="4"/>
      <c r="H1403" s="4">
        <f t="shared" si="22"/>
        <v>0</v>
      </c>
    </row>
    <row r="1404" spans="1:8" x14ac:dyDescent="0.35">
      <c r="A1404" s="11"/>
      <c r="B1404" s="11"/>
      <c r="C1404" s="16"/>
      <c r="D1404" s="1"/>
      <c r="E1404" s="1"/>
      <c r="F1404" s="4"/>
      <c r="G1404" s="4"/>
      <c r="H1404" s="4">
        <f t="shared" si="22"/>
        <v>0</v>
      </c>
    </row>
    <row r="1405" spans="1:8" x14ac:dyDescent="0.35">
      <c r="A1405" s="11"/>
      <c r="B1405" s="11"/>
      <c r="C1405" s="16"/>
      <c r="D1405" s="1"/>
      <c r="E1405" s="1"/>
      <c r="F1405" s="4"/>
      <c r="G1405" s="4"/>
      <c r="H1405" s="4">
        <f t="shared" si="22"/>
        <v>0</v>
      </c>
    </row>
    <row r="1406" spans="1:8" x14ac:dyDescent="0.35">
      <c r="A1406" s="11"/>
      <c r="B1406" s="11"/>
      <c r="C1406" s="16"/>
      <c r="D1406" s="1"/>
      <c r="E1406" s="1"/>
      <c r="F1406" s="4"/>
      <c r="G1406" s="4"/>
      <c r="H1406" s="4">
        <f t="shared" si="22"/>
        <v>0</v>
      </c>
    </row>
    <row r="1407" spans="1:8" x14ac:dyDescent="0.35">
      <c r="A1407" s="11"/>
      <c r="B1407" s="11"/>
      <c r="C1407" s="16"/>
      <c r="D1407" s="1"/>
      <c r="E1407" s="1"/>
      <c r="F1407" s="4"/>
      <c r="G1407" s="4"/>
      <c r="H1407" s="4">
        <f t="shared" si="22"/>
        <v>0</v>
      </c>
    </row>
    <row r="1408" spans="1:8" x14ac:dyDescent="0.35">
      <c r="A1408" s="11"/>
      <c r="B1408" s="11"/>
      <c r="C1408" s="16"/>
      <c r="D1408" s="1"/>
      <c r="E1408" s="1"/>
      <c r="F1408" s="4"/>
      <c r="G1408" s="4"/>
      <c r="H1408" s="4">
        <f t="shared" si="22"/>
        <v>0</v>
      </c>
    </row>
    <row r="1409" spans="1:8" x14ac:dyDescent="0.35">
      <c r="A1409" s="11"/>
      <c r="B1409" s="11"/>
      <c r="C1409" s="16"/>
      <c r="D1409" s="1"/>
      <c r="E1409" s="1"/>
      <c r="F1409" s="4"/>
      <c r="G1409" s="4"/>
      <c r="H1409" s="4">
        <f t="shared" si="22"/>
        <v>0</v>
      </c>
    </row>
    <row r="1410" spans="1:8" x14ac:dyDescent="0.35">
      <c r="A1410" s="11"/>
      <c r="B1410" s="11"/>
      <c r="C1410" s="16"/>
      <c r="D1410" s="1"/>
      <c r="E1410" s="1"/>
      <c r="F1410" s="4"/>
      <c r="G1410" s="4"/>
      <c r="H1410" s="4">
        <f t="shared" si="22"/>
        <v>0</v>
      </c>
    </row>
    <row r="1411" spans="1:8" x14ac:dyDescent="0.35">
      <c r="A1411" s="11"/>
      <c r="B1411" s="11"/>
      <c r="C1411" s="16"/>
      <c r="D1411" s="1"/>
      <c r="E1411" s="1"/>
      <c r="F1411" s="4"/>
      <c r="G1411" s="4"/>
      <c r="H1411" s="4">
        <f t="shared" si="22"/>
        <v>0</v>
      </c>
    </row>
    <row r="1412" spans="1:8" x14ac:dyDescent="0.35">
      <c r="A1412" s="11"/>
      <c r="B1412" s="11"/>
      <c r="C1412" s="16"/>
      <c r="D1412" s="1"/>
      <c r="E1412" s="1"/>
      <c r="F1412" s="4"/>
      <c r="G1412" s="4"/>
      <c r="H1412" s="4">
        <f t="shared" si="22"/>
        <v>0</v>
      </c>
    </row>
    <row r="1413" spans="1:8" x14ac:dyDescent="0.35">
      <c r="A1413" s="11"/>
      <c r="B1413" s="11"/>
      <c r="C1413" s="16"/>
      <c r="D1413" s="1"/>
      <c r="E1413" s="1"/>
      <c r="F1413" s="4"/>
      <c r="G1413" s="4"/>
      <c r="H1413" s="4">
        <f t="shared" si="22"/>
        <v>0</v>
      </c>
    </row>
    <row r="1414" spans="1:8" x14ac:dyDescent="0.35">
      <c r="A1414" s="11"/>
      <c r="B1414" s="11"/>
      <c r="C1414" s="16"/>
      <c r="D1414" s="1"/>
      <c r="E1414" s="1"/>
      <c r="F1414" s="4"/>
      <c r="G1414" s="4"/>
      <c r="H1414" s="4">
        <f t="shared" si="22"/>
        <v>0</v>
      </c>
    </row>
    <row r="1415" spans="1:8" x14ac:dyDescent="0.35">
      <c r="A1415" s="11"/>
      <c r="B1415" s="11"/>
      <c r="C1415" s="16"/>
      <c r="D1415" s="1"/>
      <c r="E1415" s="1"/>
      <c r="F1415" s="4"/>
      <c r="G1415" s="4"/>
      <c r="H1415" s="4">
        <f t="shared" si="22"/>
        <v>0</v>
      </c>
    </row>
    <row r="1416" spans="1:8" x14ac:dyDescent="0.35">
      <c r="A1416" s="11"/>
      <c r="B1416" s="11"/>
      <c r="C1416" s="16"/>
      <c r="D1416" s="1"/>
      <c r="E1416" s="1"/>
      <c r="F1416" s="4"/>
      <c r="G1416" s="4"/>
      <c r="H1416" s="4">
        <f t="shared" si="22"/>
        <v>0</v>
      </c>
    </row>
    <row r="1417" spans="1:8" x14ac:dyDescent="0.35">
      <c r="A1417" s="11"/>
      <c r="B1417" s="11"/>
      <c r="C1417" s="16"/>
      <c r="D1417" s="1"/>
      <c r="E1417" s="1"/>
      <c r="F1417" s="4"/>
      <c r="G1417" s="4"/>
      <c r="H1417" s="4">
        <f t="shared" si="22"/>
        <v>0</v>
      </c>
    </row>
    <row r="1418" spans="1:8" x14ac:dyDescent="0.35">
      <c r="A1418" s="11"/>
      <c r="B1418" s="11"/>
      <c r="C1418" s="16"/>
      <c r="D1418" s="1"/>
      <c r="E1418" s="1"/>
      <c r="F1418" s="4"/>
      <c r="G1418" s="4"/>
      <c r="H1418" s="4">
        <f t="shared" si="22"/>
        <v>0</v>
      </c>
    </row>
    <row r="1419" spans="1:8" x14ac:dyDescent="0.35">
      <c r="A1419" s="11"/>
      <c r="B1419" s="11"/>
      <c r="C1419" s="16"/>
      <c r="D1419" s="1"/>
      <c r="E1419" s="1"/>
      <c r="F1419" s="4"/>
      <c r="G1419" s="4"/>
      <c r="H1419" s="4">
        <f t="shared" si="22"/>
        <v>0</v>
      </c>
    </row>
    <row r="1420" spans="1:8" x14ac:dyDescent="0.35">
      <c r="A1420" s="11"/>
      <c r="B1420" s="11"/>
      <c r="C1420" s="16"/>
      <c r="D1420" s="1"/>
      <c r="E1420" s="1"/>
      <c r="F1420" s="4"/>
      <c r="G1420" s="4"/>
      <c r="H1420" s="4">
        <f t="shared" si="22"/>
        <v>0</v>
      </c>
    </row>
    <row r="1421" spans="1:8" x14ac:dyDescent="0.35">
      <c r="A1421" s="11"/>
      <c r="B1421" s="11"/>
      <c r="C1421" s="16"/>
      <c r="D1421" s="1"/>
      <c r="E1421" s="1"/>
      <c r="F1421" s="4"/>
      <c r="G1421" s="4"/>
      <c r="H1421" s="4">
        <f t="shared" si="22"/>
        <v>0</v>
      </c>
    </row>
    <row r="1422" spans="1:8" x14ac:dyDescent="0.35">
      <c r="A1422" s="11"/>
      <c r="B1422" s="11"/>
      <c r="C1422" s="16"/>
      <c r="D1422" s="1"/>
      <c r="E1422" s="1"/>
      <c r="F1422" s="4"/>
      <c r="G1422" s="4"/>
      <c r="H1422" s="4">
        <f t="shared" si="22"/>
        <v>0</v>
      </c>
    </row>
    <row r="1423" spans="1:8" x14ac:dyDescent="0.35">
      <c r="A1423" s="11"/>
      <c r="B1423" s="11"/>
      <c r="C1423" s="16"/>
      <c r="D1423" s="1"/>
      <c r="E1423" s="1"/>
      <c r="F1423" s="4"/>
      <c r="G1423" s="4"/>
      <c r="H1423" s="4">
        <f t="shared" si="22"/>
        <v>0</v>
      </c>
    </row>
    <row r="1424" spans="1:8" x14ac:dyDescent="0.35">
      <c r="A1424" s="11"/>
      <c r="B1424" s="11"/>
      <c r="C1424" s="16"/>
      <c r="D1424" s="1"/>
      <c r="E1424" s="1"/>
      <c r="F1424" s="4"/>
      <c r="G1424" s="4"/>
      <c r="H1424" s="4">
        <f t="shared" si="22"/>
        <v>0</v>
      </c>
    </row>
    <row r="1425" spans="1:8" x14ac:dyDescent="0.35">
      <c r="A1425" s="11"/>
      <c r="B1425" s="11"/>
      <c r="C1425" s="16"/>
      <c r="D1425" s="1"/>
      <c r="E1425" s="1"/>
      <c r="F1425" s="4"/>
      <c r="G1425" s="4"/>
      <c r="H1425" s="4">
        <f t="shared" si="22"/>
        <v>0</v>
      </c>
    </row>
    <row r="1426" spans="1:8" x14ac:dyDescent="0.35">
      <c r="A1426" s="11"/>
      <c r="B1426" s="11"/>
      <c r="C1426" s="16"/>
      <c r="D1426" s="1"/>
      <c r="E1426" s="1"/>
      <c r="F1426" s="4"/>
      <c r="G1426" s="4"/>
      <c r="H1426" s="4">
        <f t="shared" si="22"/>
        <v>0</v>
      </c>
    </row>
    <row r="1427" spans="1:8" x14ac:dyDescent="0.35">
      <c r="A1427" s="11"/>
      <c r="B1427" s="11"/>
      <c r="C1427" s="16"/>
      <c r="D1427" s="1"/>
      <c r="E1427" s="1"/>
      <c r="F1427" s="4"/>
      <c r="G1427" s="4"/>
      <c r="H1427" s="4">
        <f t="shared" si="22"/>
        <v>0</v>
      </c>
    </row>
    <row r="1428" spans="1:8" x14ac:dyDescent="0.35">
      <c r="A1428" s="11"/>
      <c r="B1428" s="11"/>
      <c r="C1428" s="16"/>
      <c r="D1428" s="1"/>
      <c r="E1428" s="1"/>
      <c r="F1428" s="4"/>
      <c r="G1428" s="4"/>
      <c r="H1428" s="4">
        <f t="shared" si="22"/>
        <v>0</v>
      </c>
    </row>
    <row r="1429" spans="1:8" x14ac:dyDescent="0.35">
      <c r="A1429" s="11"/>
      <c r="B1429" s="11"/>
      <c r="C1429" s="16"/>
      <c r="D1429" s="1"/>
      <c r="E1429" s="1"/>
      <c r="F1429" s="4"/>
      <c r="G1429" s="4"/>
      <c r="H1429" s="4">
        <f t="shared" si="22"/>
        <v>0</v>
      </c>
    </row>
    <row r="1430" spans="1:8" x14ac:dyDescent="0.35">
      <c r="A1430" s="11"/>
      <c r="B1430" s="11"/>
      <c r="C1430" s="16"/>
      <c r="D1430" s="1"/>
      <c r="E1430" s="1"/>
      <c r="F1430" s="4"/>
      <c r="G1430" s="4"/>
      <c r="H1430" s="4">
        <f t="shared" si="22"/>
        <v>0</v>
      </c>
    </row>
    <row r="1431" spans="1:8" x14ac:dyDescent="0.35">
      <c r="A1431" s="11"/>
      <c r="B1431" s="11"/>
      <c r="C1431" s="16"/>
      <c r="D1431" s="1"/>
      <c r="E1431" s="1"/>
      <c r="F1431" s="4"/>
      <c r="G1431" s="4"/>
      <c r="H1431" s="4">
        <f t="shared" si="22"/>
        <v>0</v>
      </c>
    </row>
    <row r="1432" spans="1:8" x14ac:dyDescent="0.35">
      <c r="A1432" s="11"/>
      <c r="B1432" s="11"/>
      <c r="C1432" s="16"/>
      <c r="D1432" s="1"/>
      <c r="E1432" s="1"/>
      <c r="F1432" s="4"/>
      <c r="G1432" s="4"/>
      <c r="H1432" s="4">
        <f t="shared" si="22"/>
        <v>0</v>
      </c>
    </row>
    <row r="1433" spans="1:8" x14ac:dyDescent="0.35">
      <c r="A1433" s="11"/>
      <c r="B1433" s="11"/>
      <c r="C1433" s="16"/>
      <c r="D1433" s="1"/>
      <c r="E1433" s="1"/>
      <c r="F1433" s="4"/>
      <c r="G1433" s="4"/>
      <c r="H1433" s="4">
        <f t="shared" si="22"/>
        <v>0</v>
      </c>
    </row>
    <row r="1434" spans="1:8" x14ac:dyDescent="0.35">
      <c r="A1434" s="11"/>
      <c r="B1434" s="11"/>
      <c r="C1434" s="16"/>
      <c r="D1434" s="1"/>
      <c r="E1434" s="1"/>
      <c r="F1434" s="4"/>
      <c r="G1434" s="4"/>
      <c r="H1434" s="4">
        <f t="shared" si="22"/>
        <v>0</v>
      </c>
    </row>
    <row r="1435" spans="1:8" x14ac:dyDescent="0.35">
      <c r="A1435" s="11"/>
      <c r="B1435" s="11"/>
      <c r="C1435" s="16"/>
      <c r="D1435" s="1"/>
      <c r="E1435" s="1"/>
      <c r="F1435" s="4"/>
      <c r="G1435" s="4"/>
      <c r="H1435" s="4">
        <f t="shared" si="22"/>
        <v>0</v>
      </c>
    </row>
    <row r="1436" spans="1:8" x14ac:dyDescent="0.35">
      <c r="A1436" s="11"/>
      <c r="B1436" s="11"/>
      <c r="C1436" s="16"/>
      <c r="D1436" s="1"/>
      <c r="E1436" s="1"/>
      <c r="F1436" s="4"/>
      <c r="G1436" s="4"/>
      <c r="H1436" s="4">
        <f t="shared" si="22"/>
        <v>0</v>
      </c>
    </row>
    <row r="1437" spans="1:8" x14ac:dyDescent="0.35">
      <c r="A1437" s="11"/>
      <c r="B1437" s="11"/>
      <c r="C1437" s="16"/>
      <c r="D1437" s="1"/>
      <c r="E1437" s="1"/>
      <c r="F1437" s="4"/>
      <c r="G1437" s="4"/>
      <c r="H1437" s="4">
        <f t="shared" si="22"/>
        <v>0</v>
      </c>
    </row>
    <row r="1438" spans="1:8" x14ac:dyDescent="0.35">
      <c r="A1438" s="11"/>
      <c r="B1438" s="11"/>
      <c r="C1438" s="16"/>
      <c r="D1438" s="1"/>
      <c r="E1438" s="1"/>
      <c r="F1438" s="4"/>
      <c r="G1438" s="4"/>
      <c r="H1438" s="4">
        <f t="shared" si="22"/>
        <v>0</v>
      </c>
    </row>
    <row r="1439" spans="1:8" x14ac:dyDescent="0.35">
      <c r="A1439" s="11"/>
      <c r="B1439" s="11"/>
      <c r="C1439" s="16"/>
      <c r="D1439" s="1"/>
      <c r="E1439" s="1"/>
      <c r="F1439" s="4"/>
      <c r="G1439" s="4"/>
      <c r="H1439" s="4">
        <f t="shared" si="22"/>
        <v>0</v>
      </c>
    </row>
    <row r="1440" spans="1:8" x14ac:dyDescent="0.35">
      <c r="A1440" s="11"/>
      <c r="B1440" s="11"/>
      <c r="C1440" s="16"/>
      <c r="D1440" s="1"/>
      <c r="E1440" s="1"/>
      <c r="F1440" s="4"/>
      <c r="G1440" s="4"/>
      <c r="H1440" s="4">
        <f t="shared" si="22"/>
        <v>0</v>
      </c>
    </row>
    <row r="1441" spans="1:8" x14ac:dyDescent="0.35">
      <c r="A1441" s="11"/>
      <c r="B1441" s="11"/>
      <c r="C1441" s="16"/>
      <c r="D1441" s="1"/>
      <c r="E1441" s="1"/>
      <c r="F1441" s="4"/>
      <c r="G1441" s="4"/>
      <c r="H1441" s="4">
        <f t="shared" ref="H1441:H1504" si="23">H1440+F1441-G1441</f>
        <v>0</v>
      </c>
    </row>
    <row r="1442" spans="1:8" x14ac:dyDescent="0.35">
      <c r="A1442" s="11"/>
      <c r="B1442" s="11"/>
      <c r="C1442" s="16"/>
      <c r="D1442" s="1"/>
      <c r="E1442" s="1"/>
      <c r="F1442" s="4"/>
      <c r="G1442" s="4"/>
      <c r="H1442" s="4">
        <f t="shared" si="23"/>
        <v>0</v>
      </c>
    </row>
    <row r="1443" spans="1:8" x14ac:dyDescent="0.35">
      <c r="A1443" s="11"/>
      <c r="B1443" s="11"/>
      <c r="C1443" s="16"/>
      <c r="D1443" s="1"/>
      <c r="E1443" s="1"/>
      <c r="F1443" s="4"/>
      <c r="G1443" s="4"/>
      <c r="H1443" s="4">
        <f t="shared" si="23"/>
        <v>0</v>
      </c>
    </row>
    <row r="1444" spans="1:8" x14ac:dyDescent="0.35">
      <c r="A1444" s="11"/>
      <c r="B1444" s="11"/>
      <c r="C1444" s="16"/>
      <c r="D1444" s="1"/>
      <c r="E1444" s="1"/>
      <c r="F1444" s="4"/>
      <c r="G1444" s="4"/>
      <c r="H1444" s="4">
        <f t="shared" si="23"/>
        <v>0</v>
      </c>
    </row>
    <row r="1445" spans="1:8" x14ac:dyDescent="0.35">
      <c r="A1445" s="11"/>
      <c r="B1445" s="11"/>
      <c r="C1445" s="16"/>
      <c r="D1445" s="1"/>
      <c r="E1445" s="1"/>
      <c r="F1445" s="4"/>
      <c r="G1445" s="4"/>
      <c r="H1445" s="4">
        <f t="shared" si="23"/>
        <v>0</v>
      </c>
    </row>
    <row r="1446" spans="1:8" x14ac:dyDescent="0.35">
      <c r="A1446" s="11"/>
      <c r="B1446" s="11"/>
      <c r="C1446" s="16"/>
      <c r="D1446" s="1"/>
      <c r="E1446" s="1"/>
      <c r="F1446" s="4"/>
      <c r="G1446" s="4"/>
      <c r="H1446" s="4">
        <f t="shared" si="23"/>
        <v>0</v>
      </c>
    </row>
    <row r="1447" spans="1:8" x14ac:dyDescent="0.35">
      <c r="A1447" s="11"/>
      <c r="B1447" s="11"/>
      <c r="C1447" s="16"/>
      <c r="D1447" s="1"/>
      <c r="E1447" s="1"/>
      <c r="F1447" s="4"/>
      <c r="G1447" s="4"/>
      <c r="H1447" s="4">
        <f t="shared" si="23"/>
        <v>0</v>
      </c>
    </row>
    <row r="1448" spans="1:8" x14ac:dyDescent="0.35">
      <c r="A1448" s="11"/>
      <c r="B1448" s="11"/>
      <c r="C1448" s="16"/>
      <c r="D1448" s="1"/>
      <c r="E1448" s="1"/>
      <c r="F1448" s="4"/>
      <c r="G1448" s="4"/>
      <c r="H1448" s="4">
        <f t="shared" si="23"/>
        <v>0</v>
      </c>
    </row>
    <row r="1449" spans="1:8" x14ac:dyDescent="0.35">
      <c r="A1449" s="11"/>
      <c r="B1449" s="11"/>
      <c r="C1449" s="16"/>
      <c r="D1449" s="1"/>
      <c r="E1449" s="1"/>
      <c r="F1449" s="4"/>
      <c r="G1449" s="4"/>
      <c r="H1449" s="4">
        <f t="shared" si="23"/>
        <v>0</v>
      </c>
    </row>
    <row r="1450" spans="1:8" x14ac:dyDescent="0.35">
      <c r="A1450" s="11"/>
      <c r="B1450" s="11"/>
      <c r="C1450" s="16"/>
      <c r="D1450" s="1"/>
      <c r="E1450" s="1"/>
      <c r="F1450" s="4"/>
      <c r="G1450" s="4"/>
      <c r="H1450" s="4">
        <f t="shared" si="23"/>
        <v>0</v>
      </c>
    </row>
    <row r="1451" spans="1:8" x14ac:dyDescent="0.35">
      <c r="A1451" s="11"/>
      <c r="B1451" s="11"/>
      <c r="C1451" s="16"/>
      <c r="D1451" s="1"/>
      <c r="E1451" s="1"/>
      <c r="F1451" s="4"/>
      <c r="G1451" s="4"/>
      <c r="H1451" s="4">
        <f t="shared" si="23"/>
        <v>0</v>
      </c>
    </row>
    <row r="1452" spans="1:8" x14ac:dyDescent="0.35">
      <c r="A1452" s="11"/>
      <c r="B1452" s="11"/>
      <c r="C1452" s="16"/>
      <c r="D1452" s="1"/>
      <c r="E1452" s="1"/>
      <c r="F1452" s="4"/>
      <c r="G1452" s="4"/>
      <c r="H1452" s="4">
        <f t="shared" si="23"/>
        <v>0</v>
      </c>
    </row>
    <row r="1453" spans="1:8" x14ac:dyDescent="0.35">
      <c r="A1453" s="11"/>
      <c r="B1453" s="11"/>
      <c r="C1453" s="16"/>
      <c r="D1453" s="1"/>
      <c r="E1453" s="1"/>
      <c r="F1453" s="4"/>
      <c r="G1453" s="4"/>
      <c r="H1453" s="4">
        <f t="shared" si="23"/>
        <v>0</v>
      </c>
    </row>
    <row r="1454" spans="1:8" x14ac:dyDescent="0.35">
      <c r="A1454" s="11"/>
      <c r="B1454" s="11"/>
      <c r="C1454" s="16"/>
      <c r="D1454" s="1"/>
      <c r="E1454" s="1"/>
      <c r="F1454" s="4"/>
      <c r="G1454" s="4"/>
      <c r="H1454" s="4">
        <f t="shared" si="23"/>
        <v>0</v>
      </c>
    </row>
    <row r="1455" spans="1:8" x14ac:dyDescent="0.35">
      <c r="A1455" s="11"/>
      <c r="B1455" s="11"/>
      <c r="C1455" s="16"/>
      <c r="D1455" s="1"/>
      <c r="E1455" s="1"/>
      <c r="F1455" s="4"/>
      <c r="G1455" s="4"/>
      <c r="H1455" s="4">
        <f t="shared" si="23"/>
        <v>0</v>
      </c>
    </row>
    <row r="1456" spans="1:8" x14ac:dyDescent="0.35">
      <c r="A1456" s="11"/>
      <c r="B1456" s="11"/>
      <c r="C1456" s="16"/>
      <c r="D1456" s="1"/>
      <c r="E1456" s="1"/>
      <c r="F1456" s="4"/>
      <c r="G1456" s="4"/>
      <c r="H1456" s="4">
        <f t="shared" si="23"/>
        <v>0</v>
      </c>
    </row>
    <row r="1457" spans="1:8" x14ac:dyDescent="0.35">
      <c r="A1457" s="11"/>
      <c r="B1457" s="11"/>
      <c r="C1457" s="16"/>
      <c r="D1457" s="1"/>
      <c r="E1457" s="1"/>
      <c r="F1457" s="4"/>
      <c r="G1457" s="4"/>
      <c r="H1457" s="4">
        <f t="shared" si="23"/>
        <v>0</v>
      </c>
    </row>
    <row r="1458" spans="1:8" x14ac:dyDescent="0.35">
      <c r="A1458" s="11"/>
      <c r="B1458" s="11"/>
      <c r="C1458" s="16"/>
      <c r="D1458" s="1"/>
      <c r="E1458" s="1"/>
      <c r="F1458" s="4"/>
      <c r="G1458" s="4"/>
      <c r="H1458" s="4">
        <f t="shared" si="23"/>
        <v>0</v>
      </c>
    </row>
    <row r="1459" spans="1:8" x14ac:dyDescent="0.35">
      <c r="A1459" s="11"/>
      <c r="B1459" s="11"/>
      <c r="C1459" s="16"/>
      <c r="D1459" s="1"/>
      <c r="E1459" s="1"/>
      <c r="F1459" s="4"/>
      <c r="G1459" s="4"/>
      <c r="H1459" s="4">
        <f t="shared" si="23"/>
        <v>0</v>
      </c>
    </row>
    <row r="1460" spans="1:8" x14ac:dyDescent="0.35">
      <c r="A1460" s="11"/>
      <c r="B1460" s="11"/>
      <c r="C1460" s="16"/>
      <c r="D1460" s="1"/>
      <c r="E1460" s="1"/>
      <c r="F1460" s="4"/>
      <c r="G1460" s="4"/>
      <c r="H1460" s="4">
        <f t="shared" si="23"/>
        <v>0</v>
      </c>
    </row>
    <row r="1461" spans="1:8" x14ac:dyDescent="0.35">
      <c r="A1461" s="11"/>
      <c r="B1461" s="11"/>
      <c r="C1461" s="16"/>
      <c r="D1461" s="1"/>
      <c r="E1461" s="1"/>
      <c r="F1461" s="4"/>
      <c r="G1461" s="4"/>
      <c r="H1461" s="4">
        <f t="shared" si="23"/>
        <v>0</v>
      </c>
    </row>
    <row r="1462" spans="1:8" x14ac:dyDescent="0.35">
      <c r="A1462" s="11"/>
      <c r="B1462" s="11"/>
      <c r="C1462" s="16"/>
      <c r="D1462" s="1"/>
      <c r="E1462" s="1"/>
      <c r="F1462" s="4"/>
      <c r="G1462" s="4"/>
      <c r="H1462" s="4">
        <f t="shared" si="23"/>
        <v>0</v>
      </c>
    </row>
    <row r="1463" spans="1:8" x14ac:dyDescent="0.35">
      <c r="A1463" s="11"/>
      <c r="B1463" s="11"/>
      <c r="C1463" s="16"/>
      <c r="D1463" s="1"/>
      <c r="E1463" s="1"/>
      <c r="F1463" s="4"/>
      <c r="G1463" s="4"/>
      <c r="H1463" s="4">
        <f t="shared" si="23"/>
        <v>0</v>
      </c>
    </row>
    <row r="1464" spans="1:8" x14ac:dyDescent="0.35">
      <c r="A1464" s="11"/>
      <c r="B1464" s="11"/>
      <c r="C1464" s="16"/>
      <c r="D1464" s="1"/>
      <c r="E1464" s="1"/>
      <c r="F1464" s="4"/>
      <c r="G1464" s="4"/>
      <c r="H1464" s="4">
        <f t="shared" si="23"/>
        <v>0</v>
      </c>
    </row>
    <row r="1465" spans="1:8" x14ac:dyDescent="0.35">
      <c r="A1465" s="11"/>
      <c r="B1465" s="11"/>
      <c r="C1465" s="16"/>
      <c r="D1465" s="1"/>
      <c r="E1465" s="1"/>
      <c r="F1465" s="4"/>
      <c r="G1465" s="4"/>
      <c r="H1465" s="4">
        <f t="shared" si="23"/>
        <v>0</v>
      </c>
    </row>
    <row r="1466" spans="1:8" x14ac:dyDescent="0.35">
      <c r="A1466" s="11"/>
      <c r="B1466" s="11"/>
      <c r="C1466" s="16"/>
      <c r="D1466" s="1"/>
      <c r="E1466" s="1"/>
      <c r="F1466" s="4"/>
      <c r="G1466" s="4"/>
      <c r="H1466" s="4">
        <f t="shared" si="23"/>
        <v>0</v>
      </c>
    </row>
    <row r="1467" spans="1:8" x14ac:dyDescent="0.35">
      <c r="A1467" s="11"/>
      <c r="B1467" s="11"/>
      <c r="C1467" s="16"/>
      <c r="D1467" s="1"/>
      <c r="E1467" s="1"/>
      <c r="F1467" s="4"/>
      <c r="G1467" s="4"/>
      <c r="H1467" s="4">
        <f t="shared" si="23"/>
        <v>0</v>
      </c>
    </row>
    <row r="1468" spans="1:8" x14ac:dyDescent="0.35">
      <c r="A1468" s="11"/>
      <c r="B1468" s="11"/>
      <c r="C1468" s="16"/>
      <c r="D1468" s="1"/>
      <c r="E1468" s="1"/>
      <c r="F1468" s="4"/>
      <c r="G1468" s="4"/>
      <c r="H1468" s="4">
        <f t="shared" si="23"/>
        <v>0</v>
      </c>
    </row>
    <row r="1469" spans="1:8" x14ac:dyDescent="0.35">
      <c r="A1469" s="11"/>
      <c r="B1469" s="11"/>
      <c r="C1469" s="16"/>
      <c r="D1469" s="1"/>
      <c r="E1469" s="1"/>
      <c r="F1469" s="4"/>
      <c r="G1469" s="4"/>
      <c r="H1469" s="4">
        <f t="shared" si="23"/>
        <v>0</v>
      </c>
    </row>
    <row r="1470" spans="1:8" x14ac:dyDescent="0.35">
      <c r="A1470" s="11"/>
      <c r="B1470" s="11"/>
      <c r="C1470" s="16"/>
      <c r="D1470" s="1"/>
      <c r="E1470" s="1"/>
      <c r="F1470" s="4"/>
      <c r="G1470" s="4"/>
      <c r="H1470" s="4">
        <f t="shared" si="23"/>
        <v>0</v>
      </c>
    </row>
    <row r="1471" spans="1:8" x14ac:dyDescent="0.35">
      <c r="A1471" s="11"/>
      <c r="B1471" s="11"/>
      <c r="C1471" s="16"/>
      <c r="D1471" s="1"/>
      <c r="E1471" s="1"/>
      <c r="F1471" s="4"/>
      <c r="G1471" s="4"/>
      <c r="H1471" s="4">
        <f t="shared" si="23"/>
        <v>0</v>
      </c>
    </row>
    <row r="1472" spans="1:8" x14ac:dyDescent="0.35">
      <c r="A1472" s="11"/>
      <c r="B1472" s="11"/>
      <c r="C1472" s="16"/>
      <c r="D1472" s="1"/>
      <c r="E1472" s="1"/>
      <c r="F1472" s="4"/>
      <c r="G1472" s="4"/>
      <c r="H1472" s="4">
        <f t="shared" si="23"/>
        <v>0</v>
      </c>
    </row>
    <row r="1473" spans="1:8" x14ac:dyDescent="0.35">
      <c r="A1473" s="11"/>
      <c r="B1473" s="11"/>
      <c r="C1473" s="16"/>
      <c r="D1473" s="1"/>
      <c r="E1473" s="1"/>
      <c r="F1473" s="4"/>
      <c r="G1473" s="4"/>
      <c r="H1473" s="4">
        <f t="shared" si="23"/>
        <v>0</v>
      </c>
    </row>
    <row r="1474" spans="1:8" x14ac:dyDescent="0.35">
      <c r="A1474" s="11"/>
      <c r="B1474" s="11"/>
      <c r="C1474" s="16"/>
      <c r="D1474" s="1"/>
      <c r="E1474" s="1"/>
      <c r="F1474" s="4"/>
      <c r="G1474" s="4"/>
      <c r="H1474" s="4">
        <f t="shared" si="23"/>
        <v>0</v>
      </c>
    </row>
    <row r="1475" spans="1:8" x14ac:dyDescent="0.35">
      <c r="A1475" s="11"/>
      <c r="B1475" s="11"/>
      <c r="C1475" s="16"/>
      <c r="D1475" s="1"/>
      <c r="E1475" s="1"/>
      <c r="F1475" s="4"/>
      <c r="G1475" s="4"/>
      <c r="H1475" s="4">
        <f t="shared" si="23"/>
        <v>0</v>
      </c>
    </row>
    <row r="1476" spans="1:8" x14ac:dyDescent="0.35">
      <c r="A1476" s="11"/>
      <c r="B1476" s="11"/>
      <c r="C1476" s="16"/>
      <c r="D1476" s="1"/>
      <c r="E1476" s="1"/>
      <c r="F1476" s="4"/>
      <c r="G1476" s="4"/>
      <c r="H1476" s="4">
        <f t="shared" si="23"/>
        <v>0</v>
      </c>
    </row>
    <row r="1477" spans="1:8" x14ac:dyDescent="0.35">
      <c r="A1477" s="11"/>
      <c r="B1477" s="11"/>
      <c r="C1477" s="16"/>
      <c r="D1477" s="1"/>
      <c r="E1477" s="1"/>
      <c r="F1477" s="4"/>
      <c r="G1477" s="4"/>
      <c r="H1477" s="4">
        <f t="shared" si="23"/>
        <v>0</v>
      </c>
    </row>
    <row r="1478" spans="1:8" x14ac:dyDescent="0.35">
      <c r="A1478" s="11"/>
      <c r="B1478" s="11"/>
      <c r="C1478" s="16"/>
      <c r="D1478" s="1"/>
      <c r="E1478" s="1"/>
      <c r="F1478" s="4"/>
      <c r="G1478" s="4"/>
      <c r="H1478" s="4">
        <f t="shared" si="23"/>
        <v>0</v>
      </c>
    </row>
    <row r="1479" spans="1:8" x14ac:dyDescent="0.35">
      <c r="A1479" s="11"/>
      <c r="B1479" s="11"/>
      <c r="C1479" s="16"/>
      <c r="D1479" s="1"/>
      <c r="E1479" s="1"/>
      <c r="F1479" s="4"/>
      <c r="G1479" s="4"/>
      <c r="H1479" s="4">
        <f t="shared" si="23"/>
        <v>0</v>
      </c>
    </row>
    <row r="1480" spans="1:8" x14ac:dyDescent="0.35">
      <c r="A1480" s="11"/>
      <c r="B1480" s="11"/>
      <c r="C1480" s="16"/>
      <c r="D1480" s="1"/>
      <c r="E1480" s="1"/>
      <c r="F1480" s="4"/>
      <c r="G1480" s="4"/>
      <c r="H1480" s="4">
        <f t="shared" si="23"/>
        <v>0</v>
      </c>
    </row>
    <row r="1481" spans="1:8" x14ac:dyDescent="0.35">
      <c r="A1481" s="11"/>
      <c r="B1481" s="11"/>
      <c r="C1481" s="16"/>
      <c r="D1481" s="1"/>
      <c r="E1481" s="1"/>
      <c r="F1481" s="4"/>
      <c r="G1481" s="4"/>
      <c r="H1481" s="4">
        <f t="shared" si="23"/>
        <v>0</v>
      </c>
    </row>
    <row r="1482" spans="1:8" x14ac:dyDescent="0.35">
      <c r="A1482" s="11"/>
      <c r="B1482" s="11"/>
      <c r="C1482" s="16"/>
      <c r="D1482" s="1"/>
      <c r="E1482" s="1"/>
      <c r="F1482" s="4"/>
      <c r="G1482" s="4"/>
      <c r="H1482" s="4">
        <f t="shared" si="23"/>
        <v>0</v>
      </c>
    </row>
    <row r="1483" spans="1:8" x14ac:dyDescent="0.35">
      <c r="A1483" s="11"/>
      <c r="B1483" s="11"/>
      <c r="C1483" s="16"/>
      <c r="D1483" s="1"/>
      <c r="E1483" s="1"/>
      <c r="F1483" s="4"/>
      <c r="G1483" s="4"/>
      <c r="H1483" s="4">
        <f t="shared" si="23"/>
        <v>0</v>
      </c>
    </row>
    <row r="1484" spans="1:8" x14ac:dyDescent="0.35">
      <c r="A1484" s="11"/>
      <c r="B1484" s="11"/>
      <c r="C1484" s="16"/>
      <c r="D1484" s="1"/>
      <c r="E1484" s="1"/>
      <c r="F1484" s="4"/>
      <c r="G1484" s="4"/>
      <c r="H1484" s="4">
        <f t="shared" si="23"/>
        <v>0</v>
      </c>
    </row>
    <row r="1485" spans="1:8" x14ac:dyDescent="0.35">
      <c r="A1485" s="11"/>
      <c r="B1485" s="11"/>
      <c r="C1485" s="16"/>
      <c r="D1485" s="1"/>
      <c r="E1485" s="1"/>
      <c r="F1485" s="4"/>
      <c r="G1485" s="4"/>
      <c r="H1485" s="4">
        <f t="shared" si="23"/>
        <v>0</v>
      </c>
    </row>
    <row r="1486" spans="1:8" x14ac:dyDescent="0.35">
      <c r="A1486" s="11"/>
      <c r="B1486" s="11"/>
      <c r="C1486" s="16"/>
      <c r="D1486" s="1"/>
      <c r="E1486" s="1"/>
      <c r="F1486" s="4"/>
      <c r="G1486" s="4"/>
      <c r="H1486" s="4">
        <f t="shared" si="23"/>
        <v>0</v>
      </c>
    </row>
    <row r="1487" spans="1:8" x14ac:dyDescent="0.35">
      <c r="A1487" s="11"/>
      <c r="B1487" s="11"/>
      <c r="C1487" s="16"/>
      <c r="D1487" s="1"/>
      <c r="E1487" s="1"/>
      <c r="F1487" s="4"/>
      <c r="G1487" s="4"/>
      <c r="H1487" s="4">
        <f t="shared" si="23"/>
        <v>0</v>
      </c>
    </row>
    <row r="1488" spans="1:8" x14ac:dyDescent="0.35">
      <c r="A1488" s="11"/>
      <c r="B1488" s="11"/>
      <c r="C1488" s="16"/>
      <c r="D1488" s="1"/>
      <c r="E1488" s="1"/>
      <c r="F1488" s="4"/>
      <c r="G1488" s="4"/>
      <c r="H1488" s="4">
        <f t="shared" si="23"/>
        <v>0</v>
      </c>
    </row>
    <row r="1489" spans="1:8" x14ac:dyDescent="0.35">
      <c r="A1489" s="11"/>
      <c r="B1489" s="11"/>
      <c r="C1489" s="16"/>
      <c r="D1489" s="1"/>
      <c r="E1489" s="1"/>
      <c r="F1489" s="4"/>
      <c r="G1489" s="4"/>
      <c r="H1489" s="4">
        <f t="shared" si="23"/>
        <v>0</v>
      </c>
    </row>
    <row r="1490" spans="1:8" x14ac:dyDescent="0.35">
      <c r="A1490" s="11"/>
      <c r="B1490" s="11"/>
      <c r="C1490" s="16"/>
      <c r="D1490" s="1"/>
      <c r="E1490" s="1"/>
      <c r="F1490" s="4"/>
      <c r="G1490" s="4"/>
      <c r="H1490" s="4">
        <f t="shared" si="23"/>
        <v>0</v>
      </c>
    </row>
    <row r="1491" spans="1:8" x14ac:dyDescent="0.35">
      <c r="A1491" s="11"/>
      <c r="B1491" s="11"/>
      <c r="C1491" s="16"/>
      <c r="D1491" s="1"/>
      <c r="E1491" s="1"/>
      <c r="F1491" s="4"/>
      <c r="G1491" s="4"/>
      <c r="H1491" s="4">
        <f t="shared" si="23"/>
        <v>0</v>
      </c>
    </row>
    <row r="1492" spans="1:8" x14ac:dyDescent="0.35">
      <c r="A1492" s="11"/>
      <c r="B1492" s="11"/>
      <c r="C1492" s="16"/>
      <c r="D1492" s="1"/>
      <c r="E1492" s="1"/>
      <c r="F1492" s="4"/>
      <c r="G1492" s="4"/>
      <c r="H1492" s="4">
        <f t="shared" si="23"/>
        <v>0</v>
      </c>
    </row>
    <row r="1493" spans="1:8" x14ac:dyDescent="0.35">
      <c r="A1493" s="11"/>
      <c r="B1493" s="11"/>
      <c r="C1493" s="16"/>
      <c r="D1493" s="1"/>
      <c r="E1493" s="1"/>
      <c r="F1493" s="4"/>
      <c r="G1493" s="4"/>
      <c r="H1493" s="4">
        <f t="shared" si="23"/>
        <v>0</v>
      </c>
    </row>
    <row r="1494" spans="1:8" x14ac:dyDescent="0.35">
      <c r="A1494" s="11"/>
      <c r="B1494" s="11"/>
      <c r="C1494" s="16"/>
      <c r="D1494" s="1"/>
      <c r="E1494" s="1"/>
      <c r="F1494" s="4"/>
      <c r="G1494" s="4"/>
      <c r="H1494" s="4">
        <f t="shared" si="23"/>
        <v>0</v>
      </c>
    </row>
    <row r="1495" spans="1:8" x14ac:dyDescent="0.35">
      <c r="A1495" s="11"/>
      <c r="B1495" s="11"/>
      <c r="C1495" s="16"/>
      <c r="D1495" s="1"/>
      <c r="E1495" s="1"/>
      <c r="F1495" s="4"/>
      <c r="G1495" s="4"/>
      <c r="H1495" s="4">
        <f t="shared" si="23"/>
        <v>0</v>
      </c>
    </row>
    <row r="1496" spans="1:8" x14ac:dyDescent="0.35">
      <c r="A1496" s="11"/>
      <c r="B1496" s="11"/>
      <c r="C1496" s="16"/>
      <c r="D1496" s="1"/>
      <c r="E1496" s="1"/>
      <c r="F1496" s="4"/>
      <c r="G1496" s="4"/>
      <c r="H1496" s="4">
        <f t="shared" si="23"/>
        <v>0</v>
      </c>
    </row>
    <row r="1497" spans="1:8" x14ac:dyDescent="0.35">
      <c r="A1497" s="11"/>
      <c r="B1497" s="11"/>
      <c r="C1497" s="16"/>
      <c r="D1497" s="1"/>
      <c r="E1497" s="1"/>
      <c r="F1497" s="4"/>
      <c r="G1497" s="4"/>
      <c r="H1497" s="4">
        <f t="shared" si="23"/>
        <v>0</v>
      </c>
    </row>
    <row r="1498" spans="1:8" x14ac:dyDescent="0.35">
      <c r="A1498" s="11"/>
      <c r="B1498" s="11"/>
      <c r="C1498" s="16"/>
      <c r="D1498" s="1"/>
      <c r="E1498" s="1"/>
      <c r="F1498" s="4"/>
      <c r="G1498" s="4"/>
      <c r="H1498" s="4">
        <f t="shared" si="23"/>
        <v>0</v>
      </c>
    </row>
    <row r="1499" spans="1:8" x14ac:dyDescent="0.35">
      <c r="A1499" s="11"/>
      <c r="B1499" s="11"/>
      <c r="C1499" s="16"/>
      <c r="D1499" s="1"/>
      <c r="E1499" s="1"/>
      <c r="F1499" s="4"/>
      <c r="G1499" s="4"/>
      <c r="H1499" s="4">
        <f t="shared" si="23"/>
        <v>0</v>
      </c>
    </row>
    <row r="1500" spans="1:8" x14ac:dyDescent="0.35">
      <c r="A1500" s="11"/>
      <c r="B1500" s="11"/>
      <c r="C1500" s="16"/>
      <c r="D1500" s="1"/>
      <c r="E1500" s="1"/>
      <c r="F1500" s="4"/>
      <c r="G1500" s="4"/>
      <c r="H1500" s="4">
        <f t="shared" si="23"/>
        <v>0</v>
      </c>
    </row>
    <row r="1501" spans="1:8" x14ac:dyDescent="0.35">
      <c r="A1501" s="11"/>
      <c r="B1501" s="11"/>
      <c r="C1501" s="16"/>
      <c r="D1501" s="1"/>
      <c r="E1501" s="1"/>
      <c r="F1501" s="4"/>
      <c r="G1501" s="4"/>
      <c r="H1501" s="4">
        <f t="shared" si="23"/>
        <v>0</v>
      </c>
    </row>
    <row r="1502" spans="1:8" x14ac:dyDescent="0.35">
      <c r="A1502" s="11"/>
      <c r="B1502" s="11"/>
      <c r="C1502" s="16"/>
      <c r="D1502" s="1"/>
      <c r="E1502" s="1"/>
      <c r="F1502" s="4"/>
      <c r="G1502" s="4"/>
      <c r="H1502" s="4">
        <f t="shared" si="23"/>
        <v>0</v>
      </c>
    </row>
    <row r="1503" spans="1:8" x14ac:dyDescent="0.35">
      <c r="A1503" s="11"/>
      <c r="B1503" s="11"/>
      <c r="C1503" s="16"/>
      <c r="D1503" s="1"/>
      <c r="E1503" s="1"/>
      <c r="F1503" s="4"/>
      <c r="G1503" s="4"/>
      <c r="H1503" s="4">
        <f t="shared" si="23"/>
        <v>0</v>
      </c>
    </row>
    <row r="1504" spans="1:8" x14ac:dyDescent="0.35">
      <c r="A1504" s="11"/>
      <c r="B1504" s="11"/>
      <c r="C1504" s="16"/>
      <c r="D1504" s="1"/>
      <c r="E1504" s="1"/>
      <c r="F1504" s="4"/>
      <c r="G1504" s="4"/>
      <c r="H1504" s="4">
        <f t="shared" si="23"/>
        <v>0</v>
      </c>
    </row>
    <row r="1505" spans="1:8" x14ac:dyDescent="0.35">
      <c r="A1505" s="11"/>
      <c r="B1505" s="11"/>
      <c r="C1505" s="16"/>
      <c r="D1505" s="1"/>
      <c r="E1505" s="1"/>
      <c r="F1505" s="4"/>
      <c r="G1505" s="4"/>
      <c r="H1505" s="4">
        <f t="shared" ref="H1505:H1568" si="24">H1504+F1505-G1505</f>
        <v>0</v>
      </c>
    </row>
    <row r="1506" spans="1:8" x14ac:dyDescent="0.35">
      <c r="A1506" s="11"/>
      <c r="B1506" s="11"/>
      <c r="C1506" s="16"/>
      <c r="D1506" s="1"/>
      <c r="E1506" s="1"/>
      <c r="F1506" s="4"/>
      <c r="G1506" s="4"/>
      <c r="H1506" s="4">
        <f t="shared" si="24"/>
        <v>0</v>
      </c>
    </row>
    <row r="1507" spans="1:8" x14ac:dyDescent="0.35">
      <c r="A1507" s="11"/>
      <c r="B1507" s="11"/>
      <c r="C1507" s="16"/>
      <c r="D1507" s="1"/>
      <c r="E1507" s="1"/>
      <c r="F1507" s="4"/>
      <c r="G1507" s="4"/>
      <c r="H1507" s="4">
        <f t="shared" si="24"/>
        <v>0</v>
      </c>
    </row>
    <row r="1508" spans="1:8" x14ac:dyDescent="0.35">
      <c r="A1508" s="11"/>
      <c r="B1508" s="11"/>
      <c r="C1508" s="16"/>
      <c r="D1508" s="1"/>
      <c r="E1508" s="1"/>
      <c r="F1508" s="4"/>
      <c r="G1508" s="4"/>
      <c r="H1508" s="4">
        <f t="shared" si="24"/>
        <v>0</v>
      </c>
    </row>
    <row r="1509" spans="1:8" x14ac:dyDescent="0.35">
      <c r="A1509" s="11"/>
      <c r="B1509" s="11"/>
      <c r="C1509" s="16"/>
      <c r="D1509" s="1"/>
      <c r="E1509" s="1"/>
      <c r="F1509" s="4"/>
      <c r="G1509" s="4"/>
      <c r="H1509" s="4">
        <f t="shared" si="24"/>
        <v>0</v>
      </c>
    </row>
    <row r="1510" spans="1:8" x14ac:dyDescent="0.35">
      <c r="A1510" s="11"/>
      <c r="B1510" s="11"/>
      <c r="C1510" s="16"/>
      <c r="D1510" s="1"/>
      <c r="E1510" s="1"/>
      <c r="F1510" s="4"/>
      <c r="G1510" s="4"/>
      <c r="H1510" s="4">
        <f t="shared" si="24"/>
        <v>0</v>
      </c>
    </row>
    <row r="1511" spans="1:8" x14ac:dyDescent="0.35">
      <c r="A1511" s="11"/>
      <c r="B1511" s="11"/>
      <c r="C1511" s="16"/>
      <c r="D1511" s="1"/>
      <c r="E1511" s="1"/>
      <c r="F1511" s="4"/>
      <c r="G1511" s="4"/>
      <c r="H1511" s="4">
        <f t="shared" si="24"/>
        <v>0</v>
      </c>
    </row>
    <row r="1512" spans="1:8" x14ac:dyDescent="0.35">
      <c r="A1512" s="11"/>
      <c r="B1512" s="11"/>
      <c r="C1512" s="16"/>
      <c r="D1512" s="1"/>
      <c r="E1512" s="1"/>
      <c r="F1512" s="4"/>
      <c r="G1512" s="4"/>
      <c r="H1512" s="4">
        <f t="shared" si="24"/>
        <v>0</v>
      </c>
    </row>
    <row r="1513" spans="1:8" x14ac:dyDescent="0.35">
      <c r="A1513" s="11"/>
      <c r="B1513" s="11"/>
      <c r="C1513" s="16"/>
      <c r="D1513" s="1"/>
      <c r="E1513" s="1"/>
      <c r="F1513" s="4"/>
      <c r="G1513" s="4"/>
      <c r="H1513" s="4">
        <f t="shared" si="24"/>
        <v>0</v>
      </c>
    </row>
    <row r="1514" spans="1:8" x14ac:dyDescent="0.35">
      <c r="A1514" s="11"/>
      <c r="B1514" s="11"/>
      <c r="C1514" s="16"/>
      <c r="D1514" s="1"/>
      <c r="E1514" s="1"/>
      <c r="F1514" s="4"/>
      <c r="G1514" s="4"/>
      <c r="H1514" s="4">
        <f t="shared" si="24"/>
        <v>0</v>
      </c>
    </row>
    <row r="1515" spans="1:8" x14ac:dyDescent="0.35">
      <c r="A1515" s="11"/>
      <c r="B1515" s="11"/>
      <c r="C1515" s="16"/>
      <c r="D1515" s="1"/>
      <c r="E1515" s="1"/>
      <c r="F1515" s="4"/>
      <c r="G1515" s="4"/>
      <c r="H1515" s="4">
        <f t="shared" si="24"/>
        <v>0</v>
      </c>
    </row>
    <row r="1516" spans="1:8" x14ac:dyDescent="0.35">
      <c r="A1516" s="11"/>
      <c r="B1516" s="11"/>
      <c r="C1516" s="16"/>
      <c r="D1516" s="1"/>
      <c r="E1516" s="1"/>
      <c r="F1516" s="4"/>
      <c r="G1516" s="4"/>
      <c r="H1516" s="4">
        <f t="shared" si="24"/>
        <v>0</v>
      </c>
    </row>
    <row r="1517" spans="1:8" x14ac:dyDescent="0.35">
      <c r="A1517" s="11"/>
      <c r="B1517" s="11"/>
      <c r="C1517" s="16"/>
      <c r="D1517" s="1"/>
      <c r="E1517" s="1"/>
      <c r="F1517" s="4"/>
      <c r="G1517" s="4"/>
      <c r="H1517" s="4">
        <f t="shared" si="24"/>
        <v>0</v>
      </c>
    </row>
    <row r="1518" spans="1:8" x14ac:dyDescent="0.35">
      <c r="A1518" s="11"/>
      <c r="B1518" s="11"/>
      <c r="C1518" s="16"/>
      <c r="D1518" s="1"/>
      <c r="E1518" s="1"/>
      <c r="F1518" s="4"/>
      <c r="G1518" s="4"/>
      <c r="H1518" s="4">
        <f t="shared" si="24"/>
        <v>0</v>
      </c>
    </row>
    <row r="1519" spans="1:8" x14ac:dyDescent="0.35">
      <c r="A1519" s="11"/>
      <c r="B1519" s="11"/>
      <c r="C1519" s="16"/>
      <c r="D1519" s="1"/>
      <c r="E1519" s="1"/>
      <c r="F1519" s="4"/>
      <c r="G1519" s="4"/>
      <c r="H1519" s="4">
        <f t="shared" si="24"/>
        <v>0</v>
      </c>
    </row>
    <row r="1520" spans="1:8" x14ac:dyDescent="0.35">
      <c r="A1520" s="11"/>
      <c r="B1520" s="11"/>
      <c r="C1520" s="16"/>
      <c r="D1520" s="1"/>
      <c r="E1520" s="1"/>
      <c r="F1520" s="4"/>
      <c r="G1520" s="4"/>
      <c r="H1520" s="4">
        <f t="shared" si="24"/>
        <v>0</v>
      </c>
    </row>
    <row r="1521" spans="1:8" x14ac:dyDescent="0.35">
      <c r="A1521" s="11"/>
      <c r="B1521" s="11"/>
      <c r="C1521" s="16"/>
      <c r="D1521" s="1"/>
      <c r="E1521" s="1"/>
      <c r="F1521" s="4"/>
      <c r="G1521" s="4"/>
      <c r="H1521" s="4">
        <f t="shared" si="24"/>
        <v>0</v>
      </c>
    </row>
    <row r="1522" spans="1:8" x14ac:dyDescent="0.35">
      <c r="A1522" s="11"/>
      <c r="B1522" s="11"/>
      <c r="C1522" s="16"/>
      <c r="D1522" s="1"/>
      <c r="E1522" s="1"/>
      <c r="F1522" s="4"/>
      <c r="G1522" s="4"/>
      <c r="H1522" s="4">
        <f t="shared" si="24"/>
        <v>0</v>
      </c>
    </row>
    <row r="1523" spans="1:8" x14ac:dyDescent="0.35">
      <c r="A1523" s="11"/>
      <c r="B1523" s="11"/>
      <c r="C1523" s="16"/>
      <c r="D1523" s="1"/>
      <c r="E1523" s="1"/>
      <c r="F1523" s="4"/>
      <c r="G1523" s="4"/>
      <c r="H1523" s="4">
        <f t="shared" si="24"/>
        <v>0</v>
      </c>
    </row>
    <row r="1524" spans="1:8" x14ac:dyDescent="0.35">
      <c r="A1524" s="11"/>
      <c r="B1524" s="11"/>
      <c r="C1524" s="16"/>
      <c r="D1524" s="1"/>
      <c r="E1524" s="1"/>
      <c r="F1524" s="4"/>
      <c r="G1524" s="4"/>
      <c r="H1524" s="4">
        <f t="shared" si="24"/>
        <v>0</v>
      </c>
    </row>
    <row r="1525" spans="1:8" x14ac:dyDescent="0.35">
      <c r="A1525" s="11"/>
      <c r="B1525" s="11"/>
      <c r="C1525" s="16"/>
      <c r="D1525" s="1"/>
      <c r="E1525" s="1"/>
      <c r="F1525" s="4"/>
      <c r="G1525" s="4"/>
      <c r="H1525" s="4">
        <f t="shared" si="24"/>
        <v>0</v>
      </c>
    </row>
    <row r="1526" spans="1:8" x14ac:dyDescent="0.35">
      <c r="A1526" s="11"/>
      <c r="B1526" s="11"/>
      <c r="C1526" s="16"/>
      <c r="D1526" s="1"/>
      <c r="E1526" s="1"/>
      <c r="F1526" s="4"/>
      <c r="G1526" s="4"/>
      <c r="H1526" s="4">
        <f t="shared" si="24"/>
        <v>0</v>
      </c>
    </row>
    <row r="1527" spans="1:8" x14ac:dyDescent="0.35">
      <c r="A1527" s="11"/>
      <c r="B1527" s="11"/>
      <c r="C1527" s="16"/>
      <c r="D1527" s="1"/>
      <c r="E1527" s="1"/>
      <c r="F1527" s="4"/>
      <c r="G1527" s="4"/>
      <c r="H1527" s="4">
        <f t="shared" si="24"/>
        <v>0</v>
      </c>
    </row>
    <row r="1528" spans="1:8" x14ac:dyDescent="0.35">
      <c r="A1528" s="11"/>
      <c r="B1528" s="11"/>
      <c r="C1528" s="16"/>
      <c r="D1528" s="1"/>
      <c r="E1528" s="1"/>
      <c r="F1528" s="4"/>
      <c r="G1528" s="4"/>
      <c r="H1528" s="4">
        <f t="shared" si="24"/>
        <v>0</v>
      </c>
    </row>
    <row r="1529" spans="1:8" x14ac:dyDescent="0.35">
      <c r="A1529" s="11"/>
      <c r="B1529" s="11"/>
      <c r="C1529" s="16"/>
      <c r="D1529" s="1"/>
      <c r="E1529" s="1"/>
      <c r="F1529" s="4"/>
      <c r="G1529" s="4"/>
      <c r="H1529" s="4">
        <f t="shared" si="24"/>
        <v>0</v>
      </c>
    </row>
    <row r="1530" spans="1:8" x14ac:dyDescent="0.35">
      <c r="A1530" s="11"/>
      <c r="B1530" s="11"/>
      <c r="C1530" s="16"/>
      <c r="D1530" s="1"/>
      <c r="E1530" s="1"/>
      <c r="F1530" s="4"/>
      <c r="G1530" s="4"/>
      <c r="H1530" s="4">
        <f t="shared" si="24"/>
        <v>0</v>
      </c>
    </row>
    <row r="1531" spans="1:8" x14ac:dyDescent="0.35">
      <c r="A1531" s="11"/>
      <c r="B1531" s="11"/>
      <c r="C1531" s="16"/>
      <c r="D1531" s="1"/>
      <c r="E1531" s="1"/>
      <c r="F1531" s="4"/>
      <c r="G1531" s="4"/>
      <c r="H1531" s="4">
        <f t="shared" si="24"/>
        <v>0</v>
      </c>
    </row>
    <row r="1532" spans="1:8" x14ac:dyDescent="0.35">
      <c r="A1532" s="11"/>
      <c r="B1532" s="11"/>
      <c r="C1532" s="16"/>
      <c r="D1532" s="1"/>
      <c r="E1532" s="1"/>
      <c r="F1532" s="4"/>
      <c r="G1532" s="4"/>
      <c r="H1532" s="4">
        <f t="shared" si="24"/>
        <v>0</v>
      </c>
    </row>
    <row r="1533" spans="1:8" x14ac:dyDescent="0.35">
      <c r="A1533" s="11"/>
      <c r="B1533" s="11"/>
      <c r="C1533" s="16"/>
      <c r="D1533" s="1"/>
      <c r="E1533" s="1"/>
      <c r="F1533" s="4"/>
      <c r="G1533" s="4"/>
      <c r="H1533" s="4">
        <f t="shared" si="24"/>
        <v>0</v>
      </c>
    </row>
    <row r="1534" spans="1:8" x14ac:dyDescent="0.35">
      <c r="A1534" s="11"/>
      <c r="B1534" s="11"/>
      <c r="C1534" s="16"/>
      <c r="D1534" s="1"/>
      <c r="E1534" s="1"/>
      <c r="F1534" s="4"/>
      <c r="G1534" s="4"/>
      <c r="H1534" s="4">
        <f t="shared" si="24"/>
        <v>0</v>
      </c>
    </row>
    <row r="1535" spans="1:8" x14ac:dyDescent="0.35">
      <c r="A1535" s="11"/>
      <c r="B1535" s="11"/>
      <c r="C1535" s="16"/>
      <c r="D1535" s="1"/>
      <c r="E1535" s="1"/>
      <c r="F1535" s="4"/>
      <c r="G1535" s="4"/>
      <c r="H1535" s="4">
        <f t="shared" si="24"/>
        <v>0</v>
      </c>
    </row>
    <row r="1536" spans="1:8" x14ac:dyDescent="0.35">
      <c r="A1536" s="11"/>
      <c r="B1536" s="11"/>
      <c r="C1536" s="16"/>
      <c r="D1536" s="1"/>
      <c r="E1536" s="1"/>
      <c r="F1536" s="4"/>
      <c r="G1536" s="4"/>
      <c r="H1536" s="4">
        <f t="shared" si="24"/>
        <v>0</v>
      </c>
    </row>
    <row r="1537" spans="1:8" x14ac:dyDescent="0.35">
      <c r="A1537" s="11"/>
      <c r="B1537" s="11"/>
      <c r="C1537" s="16"/>
      <c r="D1537" s="1"/>
      <c r="E1537" s="1"/>
      <c r="F1537" s="4"/>
      <c r="G1537" s="4"/>
      <c r="H1537" s="4">
        <f t="shared" si="24"/>
        <v>0</v>
      </c>
    </row>
    <row r="1538" spans="1:8" x14ac:dyDescent="0.35">
      <c r="A1538" s="11"/>
      <c r="B1538" s="11"/>
      <c r="C1538" s="16"/>
      <c r="D1538" s="1"/>
      <c r="E1538" s="1"/>
      <c r="F1538" s="4"/>
      <c r="G1538" s="4"/>
      <c r="H1538" s="4">
        <f t="shared" si="24"/>
        <v>0</v>
      </c>
    </row>
    <row r="1539" spans="1:8" x14ac:dyDescent="0.35">
      <c r="A1539" s="11"/>
      <c r="B1539" s="11"/>
      <c r="C1539" s="16"/>
      <c r="D1539" s="1"/>
      <c r="E1539" s="1"/>
      <c r="F1539" s="4"/>
      <c r="G1539" s="4"/>
      <c r="H1539" s="4">
        <f t="shared" si="24"/>
        <v>0</v>
      </c>
    </row>
    <row r="1540" spans="1:8" x14ac:dyDescent="0.35">
      <c r="A1540" s="11"/>
      <c r="B1540" s="11"/>
      <c r="C1540" s="16"/>
      <c r="D1540" s="1"/>
      <c r="E1540" s="1"/>
      <c r="F1540" s="4"/>
      <c r="G1540" s="4"/>
      <c r="H1540" s="4">
        <f t="shared" si="24"/>
        <v>0</v>
      </c>
    </row>
    <row r="1541" spans="1:8" x14ac:dyDescent="0.35">
      <c r="A1541" s="11"/>
      <c r="B1541" s="11"/>
      <c r="C1541" s="16"/>
      <c r="D1541" s="1"/>
      <c r="E1541" s="1"/>
      <c r="F1541" s="4"/>
      <c r="G1541" s="4"/>
      <c r="H1541" s="4">
        <f t="shared" si="24"/>
        <v>0</v>
      </c>
    </row>
    <row r="1542" spans="1:8" x14ac:dyDescent="0.35">
      <c r="A1542" s="11"/>
      <c r="B1542" s="11"/>
      <c r="C1542" s="16"/>
      <c r="D1542" s="1"/>
      <c r="E1542" s="1"/>
      <c r="F1542" s="4"/>
      <c r="G1542" s="4"/>
      <c r="H1542" s="4">
        <f t="shared" si="24"/>
        <v>0</v>
      </c>
    </row>
    <row r="1543" spans="1:8" x14ac:dyDescent="0.35">
      <c r="A1543" s="11"/>
      <c r="B1543" s="11"/>
      <c r="C1543" s="16"/>
      <c r="D1543" s="1"/>
      <c r="E1543" s="1"/>
      <c r="F1543" s="4"/>
      <c r="G1543" s="4"/>
      <c r="H1543" s="4">
        <f t="shared" si="24"/>
        <v>0</v>
      </c>
    </row>
    <row r="1544" spans="1:8" x14ac:dyDescent="0.35">
      <c r="A1544" s="11"/>
      <c r="B1544" s="11"/>
      <c r="C1544" s="16"/>
      <c r="D1544" s="1"/>
      <c r="E1544" s="1"/>
      <c r="F1544" s="4"/>
      <c r="G1544" s="4"/>
      <c r="H1544" s="4">
        <f t="shared" si="24"/>
        <v>0</v>
      </c>
    </row>
    <row r="1545" spans="1:8" x14ac:dyDescent="0.35">
      <c r="A1545" s="11"/>
      <c r="B1545" s="11"/>
      <c r="C1545" s="16"/>
      <c r="D1545" s="1"/>
      <c r="E1545" s="1"/>
      <c r="F1545" s="4"/>
      <c r="G1545" s="4"/>
      <c r="H1545" s="4">
        <f t="shared" si="24"/>
        <v>0</v>
      </c>
    </row>
    <row r="1546" spans="1:8" x14ac:dyDescent="0.35">
      <c r="A1546" s="11"/>
      <c r="B1546" s="11"/>
      <c r="C1546" s="16"/>
      <c r="D1546" s="1"/>
      <c r="E1546" s="1"/>
      <c r="F1546" s="4"/>
      <c r="G1546" s="4"/>
      <c r="H1546" s="4">
        <f t="shared" si="24"/>
        <v>0</v>
      </c>
    </row>
    <row r="1547" spans="1:8" x14ac:dyDescent="0.35">
      <c r="A1547" s="11"/>
      <c r="B1547" s="11"/>
      <c r="C1547" s="16"/>
      <c r="D1547" s="1"/>
      <c r="E1547" s="1"/>
      <c r="F1547" s="4"/>
      <c r="G1547" s="4"/>
      <c r="H1547" s="4">
        <f t="shared" si="24"/>
        <v>0</v>
      </c>
    </row>
    <row r="1548" spans="1:8" x14ac:dyDescent="0.35">
      <c r="A1548" s="11"/>
      <c r="B1548" s="11"/>
      <c r="C1548" s="16"/>
      <c r="D1548" s="1"/>
      <c r="E1548" s="1"/>
      <c r="F1548" s="4"/>
      <c r="G1548" s="4"/>
      <c r="H1548" s="4">
        <f t="shared" si="24"/>
        <v>0</v>
      </c>
    </row>
    <row r="1549" spans="1:8" x14ac:dyDescent="0.35">
      <c r="A1549" s="11"/>
      <c r="B1549" s="11"/>
      <c r="C1549" s="16"/>
      <c r="D1549" s="1"/>
      <c r="E1549" s="1"/>
      <c r="F1549" s="4"/>
      <c r="G1549" s="4"/>
      <c r="H1549" s="4">
        <f t="shared" si="24"/>
        <v>0</v>
      </c>
    </row>
    <row r="1550" spans="1:8" x14ac:dyDescent="0.35">
      <c r="A1550" s="11"/>
      <c r="B1550" s="11"/>
      <c r="C1550" s="16"/>
      <c r="D1550" s="1"/>
      <c r="E1550" s="1"/>
      <c r="F1550" s="4"/>
      <c r="G1550" s="4"/>
      <c r="H1550" s="4">
        <f t="shared" si="24"/>
        <v>0</v>
      </c>
    </row>
    <row r="1551" spans="1:8" x14ac:dyDescent="0.35">
      <c r="A1551" s="11"/>
      <c r="B1551" s="11"/>
      <c r="C1551" s="16"/>
      <c r="D1551" s="1"/>
      <c r="E1551" s="1"/>
      <c r="F1551" s="4"/>
      <c r="G1551" s="4"/>
      <c r="H1551" s="4">
        <f t="shared" si="24"/>
        <v>0</v>
      </c>
    </row>
    <row r="1552" spans="1:8" x14ac:dyDescent="0.35">
      <c r="A1552" s="11"/>
      <c r="B1552" s="11"/>
      <c r="C1552" s="16"/>
      <c r="D1552" s="1"/>
      <c r="E1552" s="1"/>
      <c r="F1552" s="4"/>
      <c r="G1552" s="4"/>
      <c r="H1552" s="4">
        <f t="shared" si="24"/>
        <v>0</v>
      </c>
    </row>
    <row r="1553" spans="1:8" x14ac:dyDescent="0.35">
      <c r="A1553" s="11"/>
      <c r="B1553" s="11"/>
      <c r="C1553" s="16"/>
      <c r="D1553" s="1"/>
      <c r="E1553" s="1"/>
      <c r="F1553" s="4"/>
      <c r="G1553" s="4"/>
      <c r="H1553" s="4">
        <f t="shared" si="24"/>
        <v>0</v>
      </c>
    </row>
    <row r="1554" spans="1:8" x14ac:dyDescent="0.35">
      <c r="A1554" s="11"/>
      <c r="B1554" s="11"/>
      <c r="C1554" s="16"/>
      <c r="D1554" s="1"/>
      <c r="E1554" s="1"/>
      <c r="F1554" s="4"/>
      <c r="G1554" s="4"/>
      <c r="H1554" s="4">
        <f t="shared" si="24"/>
        <v>0</v>
      </c>
    </row>
    <row r="1555" spans="1:8" x14ac:dyDescent="0.35">
      <c r="A1555" s="11"/>
      <c r="B1555" s="11"/>
      <c r="C1555" s="16"/>
      <c r="D1555" s="1"/>
      <c r="E1555" s="1"/>
      <c r="F1555" s="4"/>
      <c r="G1555" s="4"/>
      <c r="H1555" s="4">
        <f t="shared" si="24"/>
        <v>0</v>
      </c>
    </row>
    <row r="1556" spans="1:8" x14ac:dyDescent="0.35">
      <c r="A1556" s="11"/>
      <c r="B1556" s="11"/>
      <c r="C1556" s="16"/>
      <c r="D1556" s="1"/>
      <c r="E1556" s="1"/>
      <c r="F1556" s="4"/>
      <c r="G1556" s="4"/>
      <c r="H1556" s="4">
        <f t="shared" si="24"/>
        <v>0</v>
      </c>
    </row>
    <row r="1557" spans="1:8" x14ac:dyDescent="0.35">
      <c r="A1557" s="11"/>
      <c r="B1557" s="11"/>
      <c r="C1557" s="16"/>
      <c r="D1557" s="1"/>
      <c r="E1557" s="1"/>
      <c r="F1557" s="4"/>
      <c r="G1557" s="4"/>
      <c r="H1557" s="4">
        <f t="shared" si="24"/>
        <v>0</v>
      </c>
    </row>
    <row r="1558" spans="1:8" x14ac:dyDescent="0.35">
      <c r="A1558" s="11"/>
      <c r="B1558" s="11"/>
      <c r="C1558" s="16"/>
      <c r="D1558" s="1"/>
      <c r="E1558" s="1"/>
      <c r="F1558" s="4"/>
      <c r="G1558" s="4"/>
      <c r="H1558" s="4">
        <f t="shared" si="24"/>
        <v>0</v>
      </c>
    </row>
    <row r="1559" spans="1:8" x14ac:dyDescent="0.35">
      <c r="A1559" s="11"/>
      <c r="B1559" s="11"/>
      <c r="C1559" s="16"/>
      <c r="D1559" s="1"/>
      <c r="E1559" s="1"/>
      <c r="F1559" s="4"/>
      <c r="G1559" s="4"/>
      <c r="H1559" s="4">
        <f t="shared" si="24"/>
        <v>0</v>
      </c>
    </row>
    <row r="1560" spans="1:8" x14ac:dyDescent="0.35">
      <c r="A1560" s="11"/>
      <c r="B1560" s="11"/>
      <c r="C1560" s="16"/>
      <c r="D1560" s="1"/>
      <c r="E1560" s="1"/>
      <c r="F1560" s="4"/>
      <c r="G1560" s="4"/>
      <c r="H1560" s="4">
        <f t="shared" si="24"/>
        <v>0</v>
      </c>
    </row>
    <row r="1561" spans="1:8" x14ac:dyDescent="0.35">
      <c r="A1561" s="11"/>
      <c r="B1561" s="11"/>
      <c r="C1561" s="16"/>
      <c r="D1561" s="1"/>
      <c r="E1561" s="1"/>
      <c r="F1561" s="4"/>
      <c r="G1561" s="4"/>
      <c r="H1561" s="4">
        <f t="shared" si="24"/>
        <v>0</v>
      </c>
    </row>
    <row r="1562" spans="1:8" x14ac:dyDescent="0.35">
      <c r="A1562" s="11"/>
      <c r="B1562" s="11"/>
      <c r="C1562" s="16"/>
      <c r="D1562" s="1"/>
      <c r="E1562" s="1"/>
      <c r="F1562" s="4"/>
      <c r="G1562" s="4"/>
      <c r="H1562" s="4">
        <f t="shared" si="24"/>
        <v>0</v>
      </c>
    </row>
    <row r="1563" spans="1:8" x14ac:dyDescent="0.35">
      <c r="A1563" s="11"/>
      <c r="B1563" s="11"/>
      <c r="C1563" s="16"/>
      <c r="D1563" s="1"/>
      <c r="E1563" s="1"/>
      <c r="F1563" s="4"/>
      <c r="G1563" s="4"/>
      <c r="H1563" s="4">
        <f t="shared" si="24"/>
        <v>0</v>
      </c>
    </row>
    <row r="1564" spans="1:8" x14ac:dyDescent="0.35">
      <c r="A1564" s="11"/>
      <c r="B1564" s="11"/>
      <c r="C1564" s="16"/>
      <c r="D1564" s="1"/>
      <c r="E1564" s="1"/>
      <c r="F1564" s="4"/>
      <c r="G1564" s="4"/>
      <c r="H1564" s="4">
        <f t="shared" si="24"/>
        <v>0</v>
      </c>
    </row>
    <row r="1565" spans="1:8" x14ac:dyDescent="0.35">
      <c r="A1565" s="11"/>
      <c r="B1565" s="11"/>
      <c r="C1565" s="16"/>
      <c r="D1565" s="1"/>
      <c r="E1565" s="1"/>
      <c r="F1565" s="4"/>
      <c r="G1565" s="4"/>
      <c r="H1565" s="4">
        <f t="shared" si="24"/>
        <v>0</v>
      </c>
    </row>
    <row r="1566" spans="1:8" x14ac:dyDescent="0.35">
      <c r="A1566" s="11"/>
      <c r="B1566" s="11"/>
      <c r="C1566" s="16"/>
      <c r="D1566" s="1"/>
      <c r="E1566" s="1"/>
      <c r="F1566" s="4"/>
      <c r="G1566" s="4"/>
      <c r="H1566" s="4">
        <f t="shared" si="24"/>
        <v>0</v>
      </c>
    </row>
    <row r="1567" spans="1:8" x14ac:dyDescent="0.35">
      <c r="A1567" s="11"/>
      <c r="B1567" s="11"/>
      <c r="C1567" s="16"/>
      <c r="D1567" s="1"/>
      <c r="E1567" s="1"/>
      <c r="F1567" s="4"/>
      <c r="G1567" s="4"/>
      <c r="H1567" s="4">
        <f t="shared" si="24"/>
        <v>0</v>
      </c>
    </row>
    <row r="1568" spans="1:8" x14ac:dyDescent="0.35">
      <c r="A1568" s="11"/>
      <c r="B1568" s="11"/>
      <c r="C1568" s="16"/>
      <c r="D1568" s="1"/>
      <c r="E1568" s="1"/>
      <c r="F1568" s="4"/>
      <c r="G1568" s="4"/>
      <c r="H1568" s="4">
        <f t="shared" si="24"/>
        <v>0</v>
      </c>
    </row>
    <row r="1569" spans="1:8" x14ac:dyDescent="0.35">
      <c r="A1569" s="11"/>
      <c r="B1569" s="11"/>
      <c r="C1569" s="16"/>
      <c r="D1569" s="1"/>
      <c r="E1569" s="1"/>
      <c r="F1569" s="4"/>
      <c r="G1569" s="4"/>
      <c r="H1569" s="4">
        <f t="shared" ref="H1569:H1632" si="25">H1568+F1569-G1569</f>
        <v>0</v>
      </c>
    </row>
    <row r="1570" spans="1:8" x14ac:dyDescent="0.35">
      <c r="A1570" s="11"/>
      <c r="B1570" s="11"/>
      <c r="C1570" s="16"/>
      <c r="D1570" s="1"/>
      <c r="E1570" s="1"/>
      <c r="F1570" s="4"/>
      <c r="G1570" s="4"/>
      <c r="H1570" s="4">
        <f t="shared" si="25"/>
        <v>0</v>
      </c>
    </row>
    <row r="1571" spans="1:8" x14ac:dyDescent="0.35">
      <c r="A1571" s="11"/>
      <c r="B1571" s="11"/>
      <c r="C1571" s="16"/>
      <c r="D1571" s="1"/>
      <c r="E1571" s="1"/>
      <c r="F1571" s="4"/>
      <c r="G1571" s="4"/>
      <c r="H1571" s="4">
        <f t="shared" si="25"/>
        <v>0</v>
      </c>
    </row>
    <row r="1572" spans="1:8" x14ac:dyDescent="0.35">
      <c r="A1572" s="11"/>
      <c r="B1572" s="11"/>
      <c r="C1572" s="16"/>
      <c r="D1572" s="1"/>
      <c r="E1572" s="1"/>
      <c r="F1572" s="4"/>
      <c r="G1572" s="4"/>
      <c r="H1572" s="4">
        <f t="shared" si="25"/>
        <v>0</v>
      </c>
    </row>
    <row r="1573" spans="1:8" x14ac:dyDescent="0.35">
      <c r="A1573" s="11"/>
      <c r="B1573" s="11"/>
      <c r="C1573" s="16"/>
      <c r="D1573" s="1"/>
      <c r="E1573" s="1"/>
      <c r="F1573" s="4"/>
      <c r="G1573" s="4"/>
      <c r="H1573" s="4">
        <f t="shared" si="25"/>
        <v>0</v>
      </c>
    </row>
    <row r="1574" spans="1:8" x14ac:dyDescent="0.35">
      <c r="A1574" s="11"/>
      <c r="B1574" s="11"/>
      <c r="C1574" s="16"/>
      <c r="D1574" s="1"/>
      <c r="E1574" s="1"/>
      <c r="F1574" s="4"/>
      <c r="G1574" s="4"/>
      <c r="H1574" s="4">
        <f t="shared" si="25"/>
        <v>0</v>
      </c>
    </row>
    <row r="1575" spans="1:8" x14ac:dyDescent="0.35">
      <c r="A1575" s="11"/>
      <c r="B1575" s="11"/>
      <c r="C1575" s="16"/>
      <c r="D1575" s="1"/>
      <c r="E1575" s="1"/>
      <c r="F1575" s="4"/>
      <c r="G1575" s="4"/>
      <c r="H1575" s="4">
        <f t="shared" si="25"/>
        <v>0</v>
      </c>
    </row>
    <row r="1576" spans="1:8" x14ac:dyDescent="0.35">
      <c r="A1576" s="11"/>
      <c r="B1576" s="11"/>
      <c r="C1576" s="16"/>
      <c r="D1576" s="1"/>
      <c r="E1576" s="1"/>
      <c r="F1576" s="4"/>
      <c r="G1576" s="4"/>
      <c r="H1576" s="4">
        <f t="shared" si="25"/>
        <v>0</v>
      </c>
    </row>
    <row r="1577" spans="1:8" x14ac:dyDescent="0.35">
      <c r="A1577" s="11"/>
      <c r="B1577" s="11"/>
      <c r="C1577" s="16"/>
      <c r="D1577" s="1"/>
      <c r="E1577" s="1"/>
      <c r="F1577" s="4"/>
      <c r="G1577" s="4"/>
      <c r="H1577" s="4">
        <f t="shared" si="25"/>
        <v>0</v>
      </c>
    </row>
    <row r="1578" spans="1:8" x14ac:dyDescent="0.35">
      <c r="A1578" s="11"/>
      <c r="B1578" s="11"/>
      <c r="C1578" s="16"/>
      <c r="D1578" s="1"/>
      <c r="E1578" s="1"/>
      <c r="F1578" s="4"/>
      <c r="G1578" s="4"/>
      <c r="H1578" s="4">
        <f t="shared" si="25"/>
        <v>0</v>
      </c>
    </row>
    <row r="1579" spans="1:8" x14ac:dyDescent="0.35">
      <c r="A1579" s="11"/>
      <c r="B1579" s="11"/>
      <c r="C1579" s="16"/>
      <c r="D1579" s="1"/>
      <c r="E1579" s="1"/>
      <c r="F1579" s="4"/>
      <c r="G1579" s="4"/>
      <c r="H1579" s="4">
        <f t="shared" si="25"/>
        <v>0</v>
      </c>
    </row>
    <row r="1580" spans="1:8" x14ac:dyDescent="0.35">
      <c r="A1580" s="11"/>
      <c r="B1580" s="11"/>
      <c r="C1580" s="16"/>
      <c r="D1580" s="1"/>
      <c r="E1580" s="1"/>
      <c r="F1580" s="4"/>
      <c r="G1580" s="4"/>
      <c r="H1580" s="4">
        <f t="shared" si="25"/>
        <v>0</v>
      </c>
    </row>
    <row r="1581" spans="1:8" x14ac:dyDescent="0.35">
      <c r="A1581" s="11"/>
      <c r="B1581" s="11"/>
      <c r="C1581" s="16"/>
      <c r="D1581" s="1"/>
      <c r="E1581" s="1"/>
      <c r="F1581" s="4"/>
      <c r="G1581" s="4"/>
      <c r="H1581" s="4">
        <f t="shared" si="25"/>
        <v>0</v>
      </c>
    </row>
    <row r="1582" spans="1:8" x14ac:dyDescent="0.35">
      <c r="A1582" s="11"/>
      <c r="B1582" s="11"/>
      <c r="C1582" s="16"/>
      <c r="D1582" s="1"/>
      <c r="E1582" s="1"/>
      <c r="F1582" s="4"/>
      <c r="G1582" s="4"/>
      <c r="H1582" s="4">
        <f t="shared" si="25"/>
        <v>0</v>
      </c>
    </row>
    <row r="1583" spans="1:8" x14ac:dyDescent="0.35">
      <c r="A1583" s="11"/>
      <c r="B1583" s="11"/>
      <c r="C1583" s="16"/>
      <c r="D1583" s="1"/>
      <c r="E1583" s="1"/>
      <c r="F1583" s="4"/>
      <c r="G1583" s="4"/>
      <c r="H1583" s="4">
        <f t="shared" si="25"/>
        <v>0</v>
      </c>
    </row>
    <row r="1584" spans="1:8" x14ac:dyDescent="0.35">
      <c r="A1584" s="11"/>
      <c r="B1584" s="11"/>
      <c r="C1584" s="16"/>
      <c r="D1584" s="1"/>
      <c r="E1584" s="1"/>
      <c r="F1584" s="4"/>
      <c r="G1584" s="4"/>
      <c r="H1584" s="4">
        <f t="shared" si="25"/>
        <v>0</v>
      </c>
    </row>
    <row r="1585" spans="1:8" x14ac:dyDescent="0.35">
      <c r="A1585" s="11"/>
      <c r="B1585" s="11"/>
      <c r="C1585" s="16"/>
      <c r="D1585" s="1"/>
      <c r="E1585" s="1"/>
      <c r="F1585" s="4"/>
      <c r="G1585" s="4"/>
      <c r="H1585" s="4">
        <f t="shared" si="25"/>
        <v>0</v>
      </c>
    </row>
    <row r="1586" spans="1:8" x14ac:dyDescent="0.35">
      <c r="A1586" s="11"/>
      <c r="B1586" s="11"/>
      <c r="C1586" s="16"/>
      <c r="D1586" s="1"/>
      <c r="E1586" s="1"/>
      <c r="F1586" s="4"/>
      <c r="G1586" s="4"/>
      <c r="H1586" s="4">
        <f t="shared" si="25"/>
        <v>0</v>
      </c>
    </row>
    <row r="1587" spans="1:8" x14ac:dyDescent="0.35">
      <c r="A1587" s="11"/>
      <c r="B1587" s="11"/>
      <c r="C1587" s="16"/>
      <c r="D1587" s="1"/>
      <c r="E1587" s="1"/>
      <c r="F1587" s="4"/>
      <c r="G1587" s="4"/>
      <c r="H1587" s="4">
        <f t="shared" si="25"/>
        <v>0</v>
      </c>
    </row>
    <row r="1588" spans="1:8" x14ac:dyDescent="0.35">
      <c r="A1588" s="11"/>
      <c r="B1588" s="11"/>
      <c r="C1588" s="16"/>
      <c r="D1588" s="1"/>
      <c r="E1588" s="1"/>
      <c r="F1588" s="4"/>
      <c r="G1588" s="4"/>
      <c r="H1588" s="4">
        <f t="shared" si="25"/>
        <v>0</v>
      </c>
    </row>
    <row r="1589" spans="1:8" x14ac:dyDescent="0.35">
      <c r="A1589" s="11"/>
      <c r="B1589" s="11"/>
      <c r="C1589" s="16"/>
      <c r="D1589" s="1"/>
      <c r="E1589" s="1"/>
      <c r="F1589" s="4"/>
      <c r="G1589" s="4"/>
      <c r="H1589" s="4">
        <f t="shared" si="25"/>
        <v>0</v>
      </c>
    </row>
    <row r="1590" spans="1:8" x14ac:dyDescent="0.35">
      <c r="A1590" s="11"/>
      <c r="B1590" s="11"/>
      <c r="C1590" s="16"/>
      <c r="D1590" s="1"/>
      <c r="E1590" s="1"/>
      <c r="F1590" s="4"/>
      <c r="G1590" s="4"/>
      <c r="H1590" s="4">
        <f t="shared" si="25"/>
        <v>0</v>
      </c>
    </row>
    <row r="1591" spans="1:8" x14ac:dyDescent="0.35">
      <c r="A1591" s="11"/>
      <c r="B1591" s="11"/>
      <c r="C1591" s="16"/>
      <c r="D1591" s="1"/>
      <c r="E1591" s="1"/>
      <c r="F1591" s="4"/>
      <c r="G1591" s="4"/>
      <c r="H1591" s="4">
        <f t="shared" si="25"/>
        <v>0</v>
      </c>
    </row>
    <row r="1592" spans="1:8" x14ac:dyDescent="0.35">
      <c r="A1592" s="11"/>
      <c r="B1592" s="11"/>
      <c r="C1592" s="16"/>
      <c r="D1592" s="1"/>
      <c r="E1592" s="1"/>
      <c r="F1592" s="4"/>
      <c r="G1592" s="4"/>
      <c r="H1592" s="4">
        <f t="shared" si="25"/>
        <v>0</v>
      </c>
    </row>
    <row r="1593" spans="1:8" x14ac:dyDescent="0.35">
      <c r="A1593" s="11"/>
      <c r="B1593" s="11"/>
      <c r="C1593" s="16"/>
      <c r="D1593" s="1"/>
      <c r="E1593" s="1"/>
      <c r="F1593" s="4"/>
      <c r="G1593" s="4"/>
      <c r="H1593" s="4">
        <f t="shared" si="25"/>
        <v>0</v>
      </c>
    </row>
    <row r="1594" spans="1:8" x14ac:dyDescent="0.35">
      <c r="A1594" s="11"/>
      <c r="B1594" s="11"/>
      <c r="C1594" s="16"/>
      <c r="D1594" s="1"/>
      <c r="E1594" s="1"/>
      <c r="F1594" s="4"/>
      <c r="G1594" s="4"/>
      <c r="H1594" s="4">
        <f t="shared" si="25"/>
        <v>0</v>
      </c>
    </row>
    <row r="1595" spans="1:8" x14ac:dyDescent="0.35">
      <c r="A1595" s="11"/>
      <c r="B1595" s="11"/>
      <c r="C1595" s="16"/>
      <c r="D1595" s="1"/>
      <c r="E1595" s="1"/>
      <c r="F1595" s="4"/>
      <c r="G1595" s="4"/>
      <c r="H1595" s="4">
        <f t="shared" si="25"/>
        <v>0</v>
      </c>
    </row>
    <row r="1596" spans="1:8" x14ac:dyDescent="0.35">
      <c r="A1596" s="11"/>
      <c r="B1596" s="11"/>
      <c r="C1596" s="16"/>
      <c r="D1596" s="1"/>
      <c r="E1596" s="1"/>
      <c r="F1596" s="4"/>
      <c r="G1596" s="4"/>
      <c r="H1596" s="4">
        <f t="shared" si="25"/>
        <v>0</v>
      </c>
    </row>
    <row r="1597" spans="1:8" x14ac:dyDescent="0.35">
      <c r="A1597" s="11"/>
      <c r="B1597" s="11"/>
      <c r="C1597" s="16"/>
      <c r="D1597" s="1"/>
      <c r="E1597" s="1"/>
      <c r="F1597" s="4"/>
      <c r="G1597" s="4"/>
      <c r="H1597" s="4">
        <f t="shared" si="25"/>
        <v>0</v>
      </c>
    </row>
    <row r="1598" spans="1:8" x14ac:dyDescent="0.35">
      <c r="A1598" s="11"/>
      <c r="B1598" s="11"/>
      <c r="C1598" s="16"/>
      <c r="D1598" s="1"/>
      <c r="E1598" s="1"/>
      <c r="F1598" s="4"/>
      <c r="G1598" s="4"/>
      <c r="H1598" s="4">
        <f t="shared" si="25"/>
        <v>0</v>
      </c>
    </row>
    <row r="1599" spans="1:8" x14ac:dyDescent="0.35">
      <c r="A1599" s="11"/>
      <c r="B1599" s="11"/>
      <c r="C1599" s="16"/>
      <c r="D1599" s="1"/>
      <c r="E1599" s="1"/>
      <c r="F1599" s="4"/>
      <c r="G1599" s="4"/>
      <c r="H1599" s="4">
        <f t="shared" si="25"/>
        <v>0</v>
      </c>
    </row>
    <row r="1600" spans="1:8" x14ac:dyDescent="0.35">
      <c r="A1600" s="11"/>
      <c r="B1600" s="11"/>
      <c r="C1600" s="16"/>
      <c r="D1600" s="1"/>
      <c r="E1600" s="1"/>
      <c r="F1600" s="4"/>
      <c r="G1600" s="4"/>
      <c r="H1600" s="4">
        <f t="shared" si="25"/>
        <v>0</v>
      </c>
    </row>
    <row r="1601" spans="1:8" x14ac:dyDescent="0.35">
      <c r="A1601" s="11"/>
      <c r="B1601" s="11"/>
      <c r="C1601" s="16"/>
      <c r="D1601" s="1"/>
      <c r="E1601" s="1"/>
      <c r="F1601" s="4"/>
      <c r="G1601" s="4"/>
      <c r="H1601" s="4">
        <f t="shared" si="25"/>
        <v>0</v>
      </c>
    </row>
    <row r="1602" spans="1:8" x14ac:dyDescent="0.35">
      <c r="A1602" s="11"/>
      <c r="B1602" s="11"/>
      <c r="C1602" s="16"/>
      <c r="D1602" s="1"/>
      <c r="E1602" s="1"/>
      <c r="F1602" s="4"/>
      <c r="G1602" s="4"/>
      <c r="H1602" s="4">
        <f t="shared" si="25"/>
        <v>0</v>
      </c>
    </row>
    <row r="1603" spans="1:8" x14ac:dyDescent="0.35">
      <c r="A1603" s="11"/>
      <c r="B1603" s="11"/>
      <c r="C1603" s="16"/>
      <c r="D1603" s="1"/>
      <c r="E1603" s="1"/>
      <c r="F1603" s="4"/>
      <c r="G1603" s="4"/>
      <c r="H1603" s="4">
        <f t="shared" si="25"/>
        <v>0</v>
      </c>
    </row>
    <row r="1604" spans="1:8" x14ac:dyDescent="0.35">
      <c r="A1604" s="11"/>
      <c r="B1604" s="11"/>
      <c r="C1604" s="16"/>
      <c r="D1604" s="1"/>
      <c r="E1604" s="1"/>
      <c r="F1604" s="4"/>
      <c r="G1604" s="4"/>
      <c r="H1604" s="4">
        <f t="shared" si="25"/>
        <v>0</v>
      </c>
    </row>
    <row r="1605" spans="1:8" x14ac:dyDescent="0.35">
      <c r="A1605" s="11"/>
      <c r="B1605" s="11"/>
      <c r="C1605" s="16"/>
      <c r="D1605" s="1"/>
      <c r="E1605" s="1"/>
      <c r="F1605" s="4"/>
      <c r="G1605" s="4"/>
      <c r="H1605" s="4">
        <f t="shared" si="25"/>
        <v>0</v>
      </c>
    </row>
    <row r="1606" spans="1:8" x14ac:dyDescent="0.35">
      <c r="A1606" s="11"/>
      <c r="B1606" s="11"/>
      <c r="C1606" s="16"/>
      <c r="D1606" s="1"/>
      <c r="E1606" s="1"/>
      <c r="F1606" s="4"/>
      <c r="G1606" s="4"/>
      <c r="H1606" s="4">
        <f t="shared" si="25"/>
        <v>0</v>
      </c>
    </row>
    <row r="1607" spans="1:8" x14ac:dyDescent="0.35">
      <c r="A1607" s="11"/>
      <c r="B1607" s="11"/>
      <c r="C1607" s="16"/>
      <c r="D1607" s="1"/>
      <c r="E1607" s="1"/>
      <c r="F1607" s="4"/>
      <c r="G1607" s="4"/>
      <c r="H1607" s="4">
        <f t="shared" si="25"/>
        <v>0</v>
      </c>
    </row>
    <row r="1608" spans="1:8" x14ac:dyDescent="0.35">
      <c r="A1608" s="11"/>
      <c r="B1608" s="11"/>
      <c r="C1608" s="16"/>
      <c r="D1608" s="1"/>
      <c r="E1608" s="1"/>
      <c r="F1608" s="4"/>
      <c r="G1608" s="4"/>
      <c r="H1608" s="4">
        <f t="shared" si="25"/>
        <v>0</v>
      </c>
    </row>
    <row r="1609" spans="1:8" x14ac:dyDescent="0.35">
      <c r="A1609" s="11"/>
      <c r="B1609" s="11"/>
      <c r="C1609" s="16"/>
      <c r="D1609" s="1"/>
      <c r="E1609" s="1"/>
      <c r="F1609" s="4"/>
      <c r="G1609" s="4"/>
      <c r="H1609" s="4">
        <f t="shared" si="25"/>
        <v>0</v>
      </c>
    </row>
    <row r="1610" spans="1:8" x14ac:dyDescent="0.35">
      <c r="A1610" s="11"/>
      <c r="B1610" s="11"/>
      <c r="C1610" s="16"/>
      <c r="D1610" s="1"/>
      <c r="E1610" s="1"/>
      <c r="F1610" s="4"/>
      <c r="G1610" s="4"/>
      <c r="H1610" s="4">
        <f t="shared" si="25"/>
        <v>0</v>
      </c>
    </row>
    <row r="1611" spans="1:8" x14ac:dyDescent="0.35">
      <c r="A1611" s="11"/>
      <c r="B1611" s="11"/>
      <c r="C1611" s="16"/>
      <c r="D1611" s="1"/>
      <c r="E1611" s="1"/>
      <c r="F1611" s="4"/>
      <c r="G1611" s="4"/>
      <c r="H1611" s="4">
        <f t="shared" si="25"/>
        <v>0</v>
      </c>
    </row>
    <row r="1612" spans="1:8" x14ac:dyDescent="0.35">
      <c r="A1612" s="11"/>
      <c r="B1612" s="11"/>
      <c r="C1612" s="16"/>
      <c r="D1612" s="1"/>
      <c r="E1612" s="1"/>
      <c r="F1612" s="4"/>
      <c r="G1612" s="4"/>
      <c r="H1612" s="4">
        <f t="shared" si="25"/>
        <v>0</v>
      </c>
    </row>
    <row r="1613" spans="1:8" x14ac:dyDescent="0.35">
      <c r="A1613" s="11"/>
      <c r="B1613" s="11"/>
      <c r="C1613" s="16"/>
      <c r="D1613" s="1"/>
      <c r="E1613" s="1"/>
      <c r="F1613" s="4"/>
      <c r="G1613" s="4"/>
      <c r="H1613" s="4">
        <f t="shared" si="25"/>
        <v>0</v>
      </c>
    </row>
    <row r="1614" spans="1:8" x14ac:dyDescent="0.35">
      <c r="A1614" s="11"/>
      <c r="B1614" s="11"/>
      <c r="C1614" s="16"/>
      <c r="D1614" s="1"/>
      <c r="E1614" s="1"/>
      <c r="F1614" s="4"/>
      <c r="G1614" s="4"/>
      <c r="H1614" s="4">
        <f t="shared" si="25"/>
        <v>0</v>
      </c>
    </row>
    <row r="1615" spans="1:8" x14ac:dyDescent="0.35">
      <c r="A1615" s="11"/>
      <c r="B1615" s="11"/>
      <c r="C1615" s="16"/>
      <c r="D1615" s="1"/>
      <c r="E1615" s="1"/>
      <c r="F1615" s="4"/>
      <c r="G1615" s="4"/>
      <c r="H1615" s="4">
        <f t="shared" si="25"/>
        <v>0</v>
      </c>
    </row>
    <row r="1616" spans="1:8" x14ac:dyDescent="0.35">
      <c r="A1616" s="11"/>
      <c r="B1616" s="11"/>
      <c r="C1616" s="16"/>
      <c r="D1616" s="1"/>
      <c r="E1616" s="1"/>
      <c r="F1616" s="4"/>
      <c r="G1616" s="4"/>
      <c r="H1616" s="4">
        <f t="shared" si="25"/>
        <v>0</v>
      </c>
    </row>
    <row r="1617" spans="1:8" x14ac:dyDescent="0.35">
      <c r="A1617" s="11"/>
      <c r="B1617" s="11"/>
      <c r="C1617" s="16"/>
      <c r="D1617" s="1"/>
      <c r="E1617" s="1"/>
      <c r="F1617" s="4"/>
      <c r="G1617" s="4"/>
      <c r="H1617" s="4">
        <f t="shared" si="25"/>
        <v>0</v>
      </c>
    </row>
    <row r="1618" spans="1:8" x14ac:dyDescent="0.35">
      <c r="A1618" s="11"/>
      <c r="B1618" s="11"/>
      <c r="C1618" s="16"/>
      <c r="D1618" s="1"/>
      <c r="E1618" s="1"/>
      <c r="F1618" s="4"/>
      <c r="G1618" s="4"/>
      <c r="H1618" s="4">
        <f t="shared" si="25"/>
        <v>0</v>
      </c>
    </row>
    <row r="1619" spans="1:8" x14ac:dyDescent="0.35">
      <c r="A1619" s="11"/>
      <c r="B1619" s="11"/>
      <c r="C1619" s="16"/>
      <c r="D1619" s="1"/>
      <c r="E1619" s="1"/>
      <c r="F1619" s="4"/>
      <c r="G1619" s="4"/>
      <c r="H1619" s="4">
        <f t="shared" si="25"/>
        <v>0</v>
      </c>
    </row>
    <row r="1620" spans="1:8" x14ac:dyDescent="0.35">
      <c r="A1620" s="11"/>
      <c r="B1620" s="11"/>
      <c r="C1620" s="16"/>
      <c r="D1620" s="1"/>
      <c r="E1620" s="1"/>
      <c r="F1620" s="4"/>
      <c r="G1620" s="4"/>
      <c r="H1620" s="4">
        <f t="shared" si="25"/>
        <v>0</v>
      </c>
    </row>
    <row r="1621" spans="1:8" x14ac:dyDescent="0.35">
      <c r="A1621" s="11"/>
      <c r="B1621" s="11"/>
      <c r="C1621" s="16"/>
      <c r="D1621" s="1"/>
      <c r="E1621" s="1"/>
      <c r="F1621" s="4"/>
      <c r="G1621" s="4"/>
      <c r="H1621" s="4">
        <f t="shared" si="25"/>
        <v>0</v>
      </c>
    </row>
    <row r="1622" spans="1:8" x14ac:dyDescent="0.35">
      <c r="A1622" s="11"/>
      <c r="B1622" s="11"/>
      <c r="C1622" s="16"/>
      <c r="D1622" s="1"/>
      <c r="E1622" s="1"/>
      <c r="F1622" s="4"/>
      <c r="G1622" s="4"/>
      <c r="H1622" s="4">
        <f t="shared" si="25"/>
        <v>0</v>
      </c>
    </row>
    <row r="1623" spans="1:8" x14ac:dyDescent="0.35">
      <c r="A1623" s="11"/>
      <c r="B1623" s="11"/>
      <c r="C1623" s="16"/>
      <c r="D1623" s="1"/>
      <c r="E1623" s="1"/>
      <c r="F1623" s="4"/>
      <c r="G1623" s="4"/>
      <c r="H1623" s="4">
        <f t="shared" si="25"/>
        <v>0</v>
      </c>
    </row>
    <row r="1624" spans="1:8" x14ac:dyDescent="0.35">
      <c r="A1624" s="11"/>
      <c r="B1624" s="11"/>
      <c r="C1624" s="16"/>
      <c r="D1624" s="1"/>
      <c r="E1624" s="1"/>
      <c r="F1624" s="4"/>
      <c r="G1624" s="4"/>
      <c r="H1624" s="4">
        <f t="shared" si="25"/>
        <v>0</v>
      </c>
    </row>
    <row r="1625" spans="1:8" x14ac:dyDescent="0.35">
      <c r="A1625" s="11"/>
      <c r="B1625" s="11"/>
      <c r="C1625" s="16"/>
      <c r="D1625" s="1"/>
      <c r="E1625" s="1"/>
      <c r="F1625" s="4"/>
      <c r="G1625" s="4"/>
      <c r="H1625" s="4">
        <f t="shared" si="25"/>
        <v>0</v>
      </c>
    </row>
    <row r="1626" spans="1:8" x14ac:dyDescent="0.35">
      <c r="A1626" s="11"/>
      <c r="B1626" s="11"/>
      <c r="C1626" s="16"/>
      <c r="D1626" s="1"/>
      <c r="E1626" s="1"/>
      <c r="F1626" s="4"/>
      <c r="G1626" s="4"/>
      <c r="H1626" s="4">
        <f t="shared" si="25"/>
        <v>0</v>
      </c>
    </row>
    <row r="1627" spans="1:8" x14ac:dyDescent="0.35">
      <c r="A1627" s="11"/>
      <c r="B1627" s="11"/>
      <c r="C1627" s="16"/>
      <c r="D1627" s="1"/>
      <c r="E1627" s="1"/>
      <c r="F1627" s="4"/>
      <c r="G1627" s="4"/>
      <c r="H1627" s="4">
        <f t="shared" si="25"/>
        <v>0</v>
      </c>
    </row>
    <row r="1628" spans="1:8" x14ac:dyDescent="0.35">
      <c r="A1628" s="11"/>
      <c r="B1628" s="11"/>
      <c r="C1628" s="16"/>
      <c r="D1628" s="1"/>
      <c r="E1628" s="1"/>
      <c r="F1628" s="4"/>
      <c r="G1628" s="4"/>
      <c r="H1628" s="4">
        <f t="shared" si="25"/>
        <v>0</v>
      </c>
    </row>
    <row r="1629" spans="1:8" x14ac:dyDescent="0.35">
      <c r="A1629" s="11"/>
      <c r="B1629" s="11"/>
      <c r="C1629" s="16"/>
      <c r="D1629" s="1"/>
      <c r="E1629" s="1"/>
      <c r="F1629" s="4"/>
      <c r="G1629" s="4"/>
      <c r="H1629" s="4">
        <f t="shared" si="25"/>
        <v>0</v>
      </c>
    </row>
    <row r="1630" spans="1:8" x14ac:dyDescent="0.35">
      <c r="A1630" s="11"/>
      <c r="B1630" s="11"/>
      <c r="C1630" s="16"/>
      <c r="D1630" s="1"/>
      <c r="E1630" s="1"/>
      <c r="F1630" s="4"/>
      <c r="G1630" s="4"/>
      <c r="H1630" s="4">
        <f t="shared" si="25"/>
        <v>0</v>
      </c>
    </row>
    <row r="1631" spans="1:8" x14ac:dyDescent="0.35">
      <c r="A1631" s="11"/>
      <c r="B1631" s="11"/>
      <c r="C1631" s="16"/>
      <c r="D1631" s="1"/>
      <c r="E1631" s="1"/>
      <c r="F1631" s="4"/>
      <c r="G1631" s="4"/>
      <c r="H1631" s="4">
        <f t="shared" si="25"/>
        <v>0</v>
      </c>
    </row>
    <row r="1632" spans="1:8" x14ac:dyDescent="0.35">
      <c r="A1632" s="11"/>
      <c r="B1632" s="11"/>
      <c r="C1632" s="16"/>
      <c r="D1632" s="1"/>
      <c r="E1632" s="1"/>
      <c r="F1632" s="4"/>
      <c r="G1632" s="4"/>
      <c r="H1632" s="4">
        <f t="shared" si="25"/>
        <v>0</v>
      </c>
    </row>
    <row r="1633" spans="1:8" x14ac:dyDescent="0.35">
      <c r="A1633" s="11"/>
      <c r="B1633" s="11"/>
      <c r="C1633" s="16"/>
      <c r="D1633" s="1"/>
      <c r="E1633" s="1"/>
      <c r="F1633" s="4"/>
      <c r="G1633" s="4"/>
      <c r="H1633" s="4">
        <f t="shared" ref="H1633:H1696" si="26">H1632+F1633-G1633</f>
        <v>0</v>
      </c>
    </row>
    <row r="1634" spans="1:8" x14ac:dyDescent="0.35">
      <c r="A1634" s="11"/>
      <c r="B1634" s="11"/>
      <c r="C1634" s="16"/>
      <c r="D1634" s="1"/>
      <c r="E1634" s="1"/>
      <c r="F1634" s="4"/>
      <c r="G1634" s="4"/>
      <c r="H1634" s="4">
        <f t="shared" si="26"/>
        <v>0</v>
      </c>
    </row>
    <row r="1635" spans="1:8" x14ac:dyDescent="0.35">
      <c r="A1635" s="11"/>
      <c r="B1635" s="11"/>
      <c r="C1635" s="16"/>
      <c r="D1635" s="1"/>
      <c r="E1635" s="1"/>
      <c r="F1635" s="4"/>
      <c r="G1635" s="4"/>
      <c r="H1635" s="4">
        <f t="shared" si="26"/>
        <v>0</v>
      </c>
    </row>
    <row r="1636" spans="1:8" x14ac:dyDescent="0.35">
      <c r="A1636" s="11"/>
      <c r="B1636" s="11"/>
      <c r="C1636" s="16"/>
      <c r="D1636" s="1"/>
      <c r="E1636" s="1"/>
      <c r="F1636" s="4"/>
      <c r="G1636" s="4"/>
      <c r="H1636" s="4">
        <f t="shared" si="26"/>
        <v>0</v>
      </c>
    </row>
    <row r="1637" spans="1:8" x14ac:dyDescent="0.35">
      <c r="A1637" s="11"/>
      <c r="B1637" s="11"/>
      <c r="C1637" s="16"/>
      <c r="D1637" s="1"/>
      <c r="E1637" s="1"/>
      <c r="F1637" s="4"/>
      <c r="G1637" s="4"/>
      <c r="H1637" s="4">
        <f t="shared" si="26"/>
        <v>0</v>
      </c>
    </row>
    <row r="1638" spans="1:8" x14ac:dyDescent="0.35">
      <c r="A1638" s="11"/>
      <c r="B1638" s="11"/>
      <c r="C1638" s="16"/>
      <c r="D1638" s="1"/>
      <c r="E1638" s="1"/>
      <c r="F1638" s="4"/>
      <c r="G1638" s="4"/>
      <c r="H1638" s="4">
        <f t="shared" si="26"/>
        <v>0</v>
      </c>
    </row>
    <row r="1639" spans="1:8" x14ac:dyDescent="0.35">
      <c r="A1639" s="11"/>
      <c r="B1639" s="11"/>
      <c r="C1639" s="16"/>
      <c r="D1639" s="1"/>
      <c r="E1639" s="1"/>
      <c r="F1639" s="4"/>
      <c r="G1639" s="4"/>
      <c r="H1639" s="4">
        <f t="shared" si="26"/>
        <v>0</v>
      </c>
    </row>
    <row r="1640" spans="1:8" x14ac:dyDescent="0.35">
      <c r="A1640" s="11"/>
      <c r="B1640" s="11"/>
      <c r="C1640" s="16"/>
      <c r="D1640" s="1"/>
      <c r="E1640" s="1"/>
      <c r="F1640" s="4"/>
      <c r="G1640" s="4"/>
      <c r="H1640" s="4">
        <f t="shared" si="26"/>
        <v>0</v>
      </c>
    </row>
    <row r="1641" spans="1:8" x14ac:dyDescent="0.35">
      <c r="A1641" s="11"/>
      <c r="B1641" s="11"/>
      <c r="C1641" s="16"/>
      <c r="D1641" s="1"/>
      <c r="E1641" s="1"/>
      <c r="F1641" s="4"/>
      <c r="G1641" s="4"/>
      <c r="H1641" s="4">
        <f t="shared" si="26"/>
        <v>0</v>
      </c>
    </row>
    <row r="1642" spans="1:8" x14ac:dyDescent="0.35">
      <c r="A1642" s="11"/>
      <c r="B1642" s="11"/>
      <c r="C1642" s="16"/>
      <c r="D1642" s="1"/>
      <c r="E1642" s="1"/>
      <c r="F1642" s="4"/>
      <c r="G1642" s="4"/>
      <c r="H1642" s="4">
        <f t="shared" si="26"/>
        <v>0</v>
      </c>
    </row>
    <row r="1643" spans="1:8" x14ac:dyDescent="0.35">
      <c r="A1643" s="11"/>
      <c r="B1643" s="11"/>
      <c r="C1643" s="16"/>
      <c r="D1643" s="1"/>
      <c r="E1643" s="1"/>
      <c r="F1643" s="4"/>
      <c r="G1643" s="4"/>
      <c r="H1643" s="4">
        <f t="shared" si="26"/>
        <v>0</v>
      </c>
    </row>
    <row r="1644" spans="1:8" x14ac:dyDescent="0.35">
      <c r="A1644" s="11"/>
      <c r="B1644" s="11"/>
      <c r="C1644" s="16"/>
      <c r="D1644" s="1"/>
      <c r="E1644" s="1"/>
      <c r="F1644" s="4"/>
      <c r="G1644" s="4"/>
      <c r="H1644" s="4">
        <f t="shared" si="26"/>
        <v>0</v>
      </c>
    </row>
    <row r="1645" spans="1:8" x14ac:dyDescent="0.35">
      <c r="A1645" s="11"/>
      <c r="B1645" s="11"/>
      <c r="C1645" s="16"/>
      <c r="D1645" s="1"/>
      <c r="E1645" s="1"/>
      <c r="F1645" s="4"/>
      <c r="G1645" s="4"/>
      <c r="H1645" s="4">
        <f t="shared" si="26"/>
        <v>0</v>
      </c>
    </row>
    <row r="1646" spans="1:8" x14ac:dyDescent="0.35">
      <c r="A1646" s="11"/>
      <c r="B1646" s="11"/>
      <c r="C1646" s="16"/>
      <c r="D1646" s="1"/>
      <c r="E1646" s="1"/>
      <c r="F1646" s="4"/>
      <c r="G1646" s="4"/>
      <c r="H1646" s="4">
        <f t="shared" si="26"/>
        <v>0</v>
      </c>
    </row>
    <row r="1647" spans="1:8" x14ac:dyDescent="0.35">
      <c r="A1647" s="11"/>
      <c r="B1647" s="11"/>
      <c r="C1647" s="16"/>
      <c r="D1647" s="1"/>
      <c r="E1647" s="1"/>
      <c r="F1647" s="4"/>
      <c r="G1647" s="4"/>
      <c r="H1647" s="4">
        <f t="shared" si="26"/>
        <v>0</v>
      </c>
    </row>
    <row r="1648" spans="1:8" x14ac:dyDescent="0.35">
      <c r="A1648" s="11"/>
      <c r="B1648" s="11"/>
      <c r="C1648" s="16"/>
      <c r="D1648" s="1"/>
      <c r="E1648" s="1"/>
      <c r="F1648" s="4"/>
      <c r="G1648" s="4"/>
      <c r="H1648" s="4">
        <f t="shared" si="26"/>
        <v>0</v>
      </c>
    </row>
    <row r="1649" spans="1:8" x14ac:dyDescent="0.35">
      <c r="A1649" s="11"/>
      <c r="B1649" s="11"/>
      <c r="C1649" s="16"/>
      <c r="D1649" s="1"/>
      <c r="E1649" s="1"/>
      <c r="F1649" s="4"/>
      <c r="G1649" s="4"/>
      <c r="H1649" s="4">
        <f t="shared" si="26"/>
        <v>0</v>
      </c>
    </row>
    <row r="1650" spans="1:8" x14ac:dyDescent="0.35">
      <c r="A1650" s="11"/>
      <c r="B1650" s="11"/>
      <c r="C1650" s="16"/>
      <c r="D1650" s="1"/>
      <c r="E1650" s="1"/>
      <c r="F1650" s="4"/>
      <c r="G1650" s="4"/>
      <c r="H1650" s="4">
        <f t="shared" si="26"/>
        <v>0</v>
      </c>
    </row>
    <row r="1651" spans="1:8" x14ac:dyDescent="0.35">
      <c r="A1651" s="11"/>
      <c r="B1651" s="11"/>
      <c r="C1651" s="16"/>
      <c r="D1651" s="1"/>
      <c r="E1651" s="1"/>
      <c r="F1651" s="4"/>
      <c r="G1651" s="4"/>
      <c r="H1651" s="4">
        <f t="shared" si="26"/>
        <v>0</v>
      </c>
    </row>
    <row r="1652" spans="1:8" x14ac:dyDescent="0.35">
      <c r="A1652" s="11"/>
      <c r="B1652" s="11"/>
      <c r="C1652" s="16"/>
      <c r="D1652" s="1"/>
      <c r="E1652" s="1"/>
      <c r="F1652" s="4"/>
      <c r="G1652" s="4"/>
      <c r="H1652" s="4">
        <f t="shared" si="26"/>
        <v>0</v>
      </c>
    </row>
    <row r="1653" spans="1:8" x14ac:dyDescent="0.35">
      <c r="A1653" s="11"/>
      <c r="B1653" s="11"/>
      <c r="C1653" s="16"/>
      <c r="D1653" s="1"/>
      <c r="E1653" s="1"/>
      <c r="F1653" s="4"/>
      <c r="G1653" s="4"/>
      <c r="H1653" s="4">
        <f t="shared" si="26"/>
        <v>0</v>
      </c>
    </row>
    <row r="1654" spans="1:8" x14ac:dyDescent="0.35">
      <c r="A1654" s="11"/>
      <c r="B1654" s="11"/>
      <c r="C1654" s="16"/>
      <c r="D1654" s="1"/>
      <c r="E1654" s="1"/>
      <c r="F1654" s="4"/>
      <c r="G1654" s="4"/>
      <c r="H1654" s="4">
        <f t="shared" si="26"/>
        <v>0</v>
      </c>
    </row>
    <row r="1655" spans="1:8" x14ac:dyDescent="0.35">
      <c r="A1655" s="11"/>
      <c r="B1655" s="11"/>
      <c r="C1655" s="16"/>
      <c r="D1655" s="1"/>
      <c r="E1655" s="1"/>
      <c r="F1655" s="4"/>
      <c r="G1655" s="4"/>
      <c r="H1655" s="4">
        <f t="shared" si="26"/>
        <v>0</v>
      </c>
    </row>
    <row r="1656" spans="1:8" x14ac:dyDescent="0.35">
      <c r="A1656" s="11"/>
      <c r="B1656" s="11"/>
      <c r="C1656" s="16"/>
      <c r="D1656" s="1"/>
      <c r="E1656" s="1"/>
      <c r="F1656" s="4"/>
      <c r="G1656" s="4"/>
      <c r="H1656" s="4">
        <f t="shared" si="26"/>
        <v>0</v>
      </c>
    </row>
    <row r="1657" spans="1:8" x14ac:dyDescent="0.35">
      <c r="A1657" s="11"/>
      <c r="B1657" s="11"/>
      <c r="C1657" s="16"/>
      <c r="D1657" s="1"/>
      <c r="E1657" s="1"/>
      <c r="F1657" s="4"/>
      <c r="G1657" s="4"/>
      <c r="H1657" s="4">
        <f t="shared" si="26"/>
        <v>0</v>
      </c>
    </row>
    <row r="1658" spans="1:8" x14ac:dyDescent="0.35">
      <c r="A1658" s="11"/>
      <c r="B1658" s="11"/>
      <c r="C1658" s="16"/>
      <c r="D1658" s="1"/>
      <c r="E1658" s="1"/>
      <c r="F1658" s="4"/>
      <c r="G1658" s="4"/>
      <c r="H1658" s="4">
        <f t="shared" si="26"/>
        <v>0</v>
      </c>
    </row>
    <row r="1659" spans="1:8" x14ac:dyDescent="0.35">
      <c r="A1659" s="11"/>
      <c r="B1659" s="11"/>
      <c r="C1659" s="16"/>
      <c r="D1659" s="1"/>
      <c r="E1659" s="1"/>
      <c r="F1659" s="4"/>
      <c r="G1659" s="4"/>
      <c r="H1659" s="4">
        <f t="shared" si="26"/>
        <v>0</v>
      </c>
    </row>
    <row r="1660" spans="1:8" x14ac:dyDescent="0.35">
      <c r="A1660" s="11"/>
      <c r="B1660" s="11"/>
      <c r="C1660" s="16"/>
      <c r="D1660" s="1"/>
      <c r="E1660" s="1"/>
      <c r="F1660" s="4"/>
      <c r="G1660" s="4"/>
      <c r="H1660" s="4">
        <f t="shared" si="26"/>
        <v>0</v>
      </c>
    </row>
    <row r="1661" spans="1:8" x14ac:dyDescent="0.35">
      <c r="A1661" s="11"/>
      <c r="B1661" s="11"/>
      <c r="C1661" s="16"/>
      <c r="D1661" s="1"/>
      <c r="E1661" s="1"/>
      <c r="F1661" s="4"/>
      <c r="G1661" s="4"/>
      <c r="H1661" s="4">
        <f t="shared" si="26"/>
        <v>0</v>
      </c>
    </row>
    <row r="1662" spans="1:8" x14ac:dyDescent="0.35">
      <c r="A1662" s="11"/>
      <c r="B1662" s="11"/>
      <c r="C1662" s="16"/>
      <c r="D1662" s="1"/>
      <c r="E1662" s="1"/>
      <c r="F1662" s="4"/>
      <c r="G1662" s="4"/>
      <c r="H1662" s="4">
        <f t="shared" si="26"/>
        <v>0</v>
      </c>
    </row>
    <row r="1663" spans="1:8" x14ac:dyDescent="0.35">
      <c r="A1663" s="11"/>
      <c r="B1663" s="11"/>
      <c r="C1663" s="16"/>
      <c r="D1663" s="1"/>
      <c r="E1663" s="1"/>
      <c r="F1663" s="4"/>
      <c r="G1663" s="4"/>
      <c r="H1663" s="4">
        <f t="shared" si="26"/>
        <v>0</v>
      </c>
    </row>
    <row r="1664" spans="1:8" x14ac:dyDescent="0.35">
      <c r="A1664" s="11"/>
      <c r="B1664" s="11"/>
      <c r="C1664" s="16"/>
      <c r="D1664" s="1"/>
      <c r="E1664" s="1"/>
      <c r="F1664" s="4"/>
      <c r="G1664" s="4"/>
      <c r="H1664" s="4">
        <f t="shared" si="26"/>
        <v>0</v>
      </c>
    </row>
    <row r="1665" spans="1:8" x14ac:dyDescent="0.35">
      <c r="A1665" s="11"/>
      <c r="B1665" s="11"/>
      <c r="C1665" s="16"/>
      <c r="D1665" s="1"/>
      <c r="E1665" s="1"/>
      <c r="F1665" s="4"/>
      <c r="G1665" s="4"/>
      <c r="H1665" s="4">
        <f t="shared" si="26"/>
        <v>0</v>
      </c>
    </row>
    <row r="1666" spans="1:8" x14ac:dyDescent="0.35">
      <c r="A1666" s="11"/>
      <c r="B1666" s="11"/>
      <c r="C1666" s="16"/>
      <c r="D1666" s="1"/>
      <c r="E1666" s="1"/>
      <c r="F1666" s="4"/>
      <c r="G1666" s="4"/>
      <c r="H1666" s="4">
        <f t="shared" si="26"/>
        <v>0</v>
      </c>
    </row>
    <row r="1667" spans="1:8" x14ac:dyDescent="0.35">
      <c r="A1667" s="11"/>
      <c r="B1667" s="11"/>
      <c r="C1667" s="16"/>
      <c r="D1667" s="1"/>
      <c r="E1667" s="1"/>
      <c r="F1667" s="4"/>
      <c r="G1667" s="4"/>
      <c r="H1667" s="4">
        <f t="shared" si="26"/>
        <v>0</v>
      </c>
    </row>
    <row r="1668" spans="1:8" x14ac:dyDescent="0.35">
      <c r="A1668" s="11"/>
      <c r="B1668" s="11"/>
      <c r="C1668" s="16"/>
      <c r="D1668" s="1"/>
      <c r="E1668" s="1"/>
      <c r="F1668" s="4"/>
      <c r="G1668" s="4"/>
      <c r="H1668" s="4">
        <f t="shared" si="26"/>
        <v>0</v>
      </c>
    </row>
    <row r="1669" spans="1:8" x14ac:dyDescent="0.35">
      <c r="A1669" s="11"/>
      <c r="B1669" s="11"/>
      <c r="C1669" s="16"/>
      <c r="D1669" s="1"/>
      <c r="E1669" s="1"/>
      <c r="F1669" s="4"/>
      <c r="G1669" s="4"/>
      <c r="H1669" s="4">
        <f t="shared" si="26"/>
        <v>0</v>
      </c>
    </row>
    <row r="1670" spans="1:8" x14ac:dyDescent="0.35">
      <c r="A1670" s="11"/>
      <c r="B1670" s="11"/>
      <c r="C1670" s="16"/>
      <c r="D1670" s="1"/>
      <c r="E1670" s="1"/>
      <c r="F1670" s="4"/>
      <c r="G1670" s="4"/>
      <c r="H1670" s="4">
        <f t="shared" si="26"/>
        <v>0</v>
      </c>
    </row>
    <row r="1671" spans="1:8" x14ac:dyDescent="0.35">
      <c r="A1671" s="11"/>
      <c r="B1671" s="11"/>
      <c r="C1671" s="16"/>
      <c r="D1671" s="1"/>
      <c r="E1671" s="1"/>
      <c r="F1671" s="4"/>
      <c r="G1671" s="4"/>
      <c r="H1671" s="4">
        <f t="shared" si="26"/>
        <v>0</v>
      </c>
    </row>
    <row r="1672" spans="1:8" x14ac:dyDescent="0.35">
      <c r="A1672" s="11"/>
      <c r="B1672" s="11"/>
      <c r="C1672" s="16"/>
      <c r="D1672" s="1"/>
      <c r="E1672" s="1"/>
      <c r="F1672" s="4"/>
      <c r="G1672" s="4"/>
      <c r="H1672" s="4">
        <f t="shared" si="26"/>
        <v>0</v>
      </c>
    </row>
    <row r="1673" spans="1:8" x14ac:dyDescent="0.35">
      <c r="A1673" s="11"/>
      <c r="B1673" s="11"/>
      <c r="C1673" s="16"/>
      <c r="D1673" s="1"/>
      <c r="E1673" s="1"/>
      <c r="F1673" s="4"/>
      <c r="G1673" s="4"/>
      <c r="H1673" s="4">
        <f t="shared" si="26"/>
        <v>0</v>
      </c>
    </row>
    <row r="1674" spans="1:8" x14ac:dyDescent="0.35">
      <c r="A1674" s="11"/>
      <c r="B1674" s="11"/>
      <c r="C1674" s="16"/>
      <c r="D1674" s="1"/>
      <c r="E1674" s="1"/>
      <c r="F1674" s="4"/>
      <c r="G1674" s="4"/>
      <c r="H1674" s="4">
        <f t="shared" si="26"/>
        <v>0</v>
      </c>
    </row>
    <row r="1675" spans="1:8" x14ac:dyDescent="0.35">
      <c r="A1675" s="11"/>
      <c r="B1675" s="11"/>
      <c r="C1675" s="16"/>
      <c r="D1675" s="1"/>
      <c r="E1675" s="1"/>
      <c r="F1675" s="4"/>
      <c r="G1675" s="4"/>
      <c r="H1675" s="4">
        <f t="shared" si="26"/>
        <v>0</v>
      </c>
    </row>
    <row r="1676" spans="1:8" x14ac:dyDescent="0.35">
      <c r="A1676" s="11"/>
      <c r="B1676" s="11"/>
      <c r="C1676" s="16"/>
      <c r="D1676" s="1"/>
      <c r="E1676" s="1"/>
      <c r="F1676" s="4"/>
      <c r="G1676" s="4"/>
      <c r="H1676" s="4">
        <f t="shared" si="26"/>
        <v>0</v>
      </c>
    </row>
    <row r="1677" spans="1:8" x14ac:dyDescent="0.35">
      <c r="A1677" s="11"/>
      <c r="B1677" s="11"/>
      <c r="C1677" s="16"/>
      <c r="D1677" s="1"/>
      <c r="E1677" s="1"/>
      <c r="F1677" s="4"/>
      <c r="G1677" s="4"/>
      <c r="H1677" s="4">
        <f t="shared" si="26"/>
        <v>0</v>
      </c>
    </row>
    <row r="1678" spans="1:8" x14ac:dyDescent="0.35">
      <c r="A1678" s="11"/>
      <c r="B1678" s="11"/>
      <c r="C1678" s="16"/>
      <c r="D1678" s="1"/>
      <c r="E1678" s="1"/>
      <c r="F1678" s="4"/>
      <c r="G1678" s="4"/>
      <c r="H1678" s="4">
        <f t="shared" si="26"/>
        <v>0</v>
      </c>
    </row>
    <row r="1679" spans="1:8" x14ac:dyDescent="0.35">
      <c r="A1679" s="11"/>
      <c r="B1679" s="11"/>
      <c r="C1679" s="16"/>
      <c r="D1679" s="1"/>
      <c r="E1679" s="1"/>
      <c r="F1679" s="4"/>
      <c r="G1679" s="4"/>
      <c r="H1679" s="4">
        <f t="shared" si="26"/>
        <v>0</v>
      </c>
    </row>
    <row r="1680" spans="1:8" x14ac:dyDescent="0.35">
      <c r="A1680" s="11"/>
      <c r="B1680" s="11"/>
      <c r="C1680" s="16"/>
      <c r="D1680" s="1"/>
      <c r="E1680" s="1"/>
      <c r="F1680" s="4"/>
      <c r="G1680" s="4"/>
      <c r="H1680" s="4">
        <f t="shared" si="26"/>
        <v>0</v>
      </c>
    </row>
    <row r="1681" spans="1:8" x14ac:dyDescent="0.35">
      <c r="A1681" s="11"/>
      <c r="B1681" s="11"/>
      <c r="C1681" s="16"/>
      <c r="D1681" s="1"/>
      <c r="E1681" s="1"/>
      <c r="F1681" s="4"/>
      <c r="G1681" s="4"/>
      <c r="H1681" s="4">
        <f t="shared" si="26"/>
        <v>0</v>
      </c>
    </row>
    <row r="1682" spans="1:8" x14ac:dyDescent="0.35">
      <c r="A1682" s="11"/>
      <c r="B1682" s="11"/>
      <c r="C1682" s="16"/>
      <c r="D1682" s="1"/>
      <c r="E1682" s="1"/>
      <c r="F1682" s="4"/>
      <c r="G1682" s="4"/>
      <c r="H1682" s="4">
        <f t="shared" si="26"/>
        <v>0</v>
      </c>
    </row>
    <row r="1683" spans="1:8" x14ac:dyDescent="0.35">
      <c r="A1683" s="11"/>
      <c r="B1683" s="11"/>
      <c r="C1683" s="16"/>
      <c r="D1683" s="1"/>
      <c r="E1683" s="1"/>
      <c r="F1683" s="4"/>
      <c r="G1683" s="4"/>
      <c r="H1683" s="4">
        <f t="shared" si="26"/>
        <v>0</v>
      </c>
    </row>
    <row r="1684" spans="1:8" x14ac:dyDescent="0.35">
      <c r="A1684" s="11"/>
      <c r="B1684" s="11"/>
      <c r="C1684" s="16"/>
      <c r="D1684" s="1"/>
      <c r="E1684" s="1"/>
      <c r="F1684" s="4"/>
      <c r="G1684" s="4"/>
      <c r="H1684" s="4">
        <f t="shared" si="26"/>
        <v>0</v>
      </c>
    </row>
    <row r="1685" spans="1:8" x14ac:dyDescent="0.35">
      <c r="A1685" s="11"/>
      <c r="B1685" s="11"/>
      <c r="C1685" s="16"/>
      <c r="D1685" s="1"/>
      <c r="E1685" s="1"/>
      <c r="F1685" s="4"/>
      <c r="G1685" s="4"/>
      <c r="H1685" s="4">
        <f t="shared" si="26"/>
        <v>0</v>
      </c>
    </row>
    <row r="1686" spans="1:8" x14ac:dyDescent="0.35">
      <c r="A1686" s="11"/>
      <c r="B1686" s="11"/>
      <c r="C1686" s="16"/>
      <c r="D1686" s="1"/>
      <c r="E1686" s="1"/>
      <c r="F1686" s="4"/>
      <c r="G1686" s="4"/>
      <c r="H1686" s="4">
        <f t="shared" si="26"/>
        <v>0</v>
      </c>
    </row>
    <row r="1687" spans="1:8" x14ac:dyDescent="0.35">
      <c r="A1687" s="11"/>
      <c r="B1687" s="11"/>
      <c r="C1687" s="16"/>
      <c r="D1687" s="1"/>
      <c r="E1687" s="1"/>
      <c r="F1687" s="4"/>
      <c r="G1687" s="4"/>
      <c r="H1687" s="4">
        <f t="shared" si="26"/>
        <v>0</v>
      </c>
    </row>
    <row r="1688" spans="1:8" x14ac:dyDescent="0.35">
      <c r="A1688" s="11"/>
      <c r="B1688" s="11"/>
      <c r="C1688" s="16"/>
      <c r="D1688" s="1"/>
      <c r="E1688" s="1"/>
      <c r="F1688" s="4"/>
      <c r="G1688" s="4"/>
      <c r="H1688" s="4">
        <f t="shared" si="26"/>
        <v>0</v>
      </c>
    </row>
    <row r="1689" spans="1:8" x14ac:dyDescent="0.35">
      <c r="A1689" s="11"/>
      <c r="B1689" s="11"/>
      <c r="C1689" s="16"/>
      <c r="D1689" s="1"/>
      <c r="E1689" s="1"/>
      <c r="F1689" s="4"/>
      <c r="G1689" s="4"/>
      <c r="H1689" s="4">
        <f t="shared" si="26"/>
        <v>0</v>
      </c>
    </row>
    <row r="1690" spans="1:8" x14ac:dyDescent="0.35">
      <c r="A1690" s="11"/>
      <c r="B1690" s="11"/>
      <c r="C1690" s="16"/>
      <c r="D1690" s="1"/>
      <c r="E1690" s="1"/>
      <c r="F1690" s="4"/>
      <c r="G1690" s="4"/>
      <c r="H1690" s="4">
        <f t="shared" si="26"/>
        <v>0</v>
      </c>
    </row>
    <row r="1691" spans="1:8" x14ac:dyDescent="0.35">
      <c r="A1691" s="11"/>
      <c r="B1691" s="11"/>
      <c r="C1691" s="16"/>
      <c r="D1691" s="1"/>
      <c r="E1691" s="1"/>
      <c r="F1691" s="4"/>
      <c r="G1691" s="4"/>
      <c r="H1691" s="4">
        <f t="shared" si="26"/>
        <v>0</v>
      </c>
    </row>
    <row r="1692" spans="1:8" x14ac:dyDescent="0.35">
      <c r="A1692" s="11"/>
      <c r="B1692" s="11"/>
      <c r="C1692" s="16"/>
      <c r="D1692" s="1"/>
      <c r="E1692" s="1"/>
      <c r="F1692" s="4"/>
      <c r="G1692" s="4"/>
      <c r="H1692" s="4">
        <f t="shared" si="26"/>
        <v>0</v>
      </c>
    </row>
    <row r="1693" spans="1:8" x14ac:dyDescent="0.35">
      <c r="A1693" s="11"/>
      <c r="B1693" s="11"/>
      <c r="C1693" s="16"/>
      <c r="D1693" s="1"/>
      <c r="E1693" s="1"/>
      <c r="F1693" s="4"/>
      <c r="G1693" s="4"/>
      <c r="H1693" s="4">
        <f t="shared" si="26"/>
        <v>0</v>
      </c>
    </row>
    <row r="1694" spans="1:8" x14ac:dyDescent="0.35">
      <c r="A1694" s="11"/>
      <c r="B1694" s="11"/>
      <c r="C1694" s="16"/>
      <c r="D1694" s="1"/>
      <c r="E1694" s="1"/>
      <c r="F1694" s="4"/>
      <c r="G1694" s="4"/>
      <c r="H1694" s="4">
        <f t="shared" si="26"/>
        <v>0</v>
      </c>
    </row>
    <row r="1695" spans="1:8" x14ac:dyDescent="0.35">
      <c r="A1695" s="11"/>
      <c r="B1695" s="11"/>
      <c r="C1695" s="16"/>
      <c r="D1695" s="1"/>
      <c r="E1695" s="1"/>
      <c r="F1695" s="4"/>
      <c r="G1695" s="4"/>
      <c r="H1695" s="4">
        <f t="shared" si="26"/>
        <v>0</v>
      </c>
    </row>
    <row r="1696" spans="1:8" x14ac:dyDescent="0.35">
      <c r="A1696" s="11"/>
      <c r="B1696" s="11"/>
      <c r="C1696" s="16"/>
      <c r="D1696" s="1"/>
      <c r="E1696" s="1"/>
      <c r="F1696" s="4"/>
      <c r="G1696" s="4"/>
      <c r="H1696" s="4">
        <f t="shared" si="26"/>
        <v>0</v>
      </c>
    </row>
    <row r="1697" spans="1:8" x14ac:dyDescent="0.35">
      <c r="A1697" s="11"/>
      <c r="B1697" s="11"/>
      <c r="C1697" s="16"/>
      <c r="D1697" s="1"/>
      <c r="E1697" s="1"/>
      <c r="F1697" s="4"/>
      <c r="G1697" s="4"/>
      <c r="H1697" s="4">
        <f t="shared" ref="H1697:H1760" si="27">H1696+F1697-G1697</f>
        <v>0</v>
      </c>
    </row>
    <row r="1698" spans="1:8" x14ac:dyDescent="0.35">
      <c r="A1698" s="11"/>
      <c r="B1698" s="11"/>
      <c r="C1698" s="16"/>
      <c r="D1698" s="1"/>
      <c r="E1698" s="1"/>
      <c r="F1698" s="4"/>
      <c r="G1698" s="4"/>
      <c r="H1698" s="4">
        <f t="shared" si="27"/>
        <v>0</v>
      </c>
    </row>
    <row r="1699" spans="1:8" x14ac:dyDescent="0.35">
      <c r="A1699" s="11"/>
      <c r="B1699" s="11"/>
      <c r="C1699" s="16"/>
      <c r="D1699" s="1"/>
      <c r="E1699" s="1"/>
      <c r="F1699" s="4"/>
      <c r="G1699" s="4"/>
      <c r="H1699" s="4">
        <f t="shared" si="27"/>
        <v>0</v>
      </c>
    </row>
    <row r="1700" spans="1:8" x14ac:dyDescent="0.35">
      <c r="A1700" s="11"/>
      <c r="B1700" s="11"/>
      <c r="C1700" s="16"/>
      <c r="D1700" s="1"/>
      <c r="E1700" s="1"/>
      <c r="F1700" s="4"/>
      <c r="G1700" s="4"/>
      <c r="H1700" s="4">
        <f t="shared" si="27"/>
        <v>0</v>
      </c>
    </row>
    <row r="1701" spans="1:8" x14ac:dyDescent="0.35">
      <c r="A1701" s="11"/>
      <c r="B1701" s="11"/>
      <c r="C1701" s="16"/>
      <c r="D1701" s="1"/>
      <c r="E1701" s="1"/>
      <c r="F1701" s="4"/>
      <c r="G1701" s="4"/>
      <c r="H1701" s="4">
        <f t="shared" si="27"/>
        <v>0</v>
      </c>
    </row>
    <row r="1702" spans="1:8" x14ac:dyDescent="0.35">
      <c r="A1702" s="11"/>
      <c r="B1702" s="11"/>
      <c r="C1702" s="16"/>
      <c r="D1702" s="1"/>
      <c r="E1702" s="1"/>
      <c r="F1702" s="4"/>
      <c r="G1702" s="4"/>
      <c r="H1702" s="4">
        <f t="shared" si="27"/>
        <v>0</v>
      </c>
    </row>
    <row r="1703" spans="1:8" x14ac:dyDescent="0.35">
      <c r="A1703" s="11"/>
      <c r="B1703" s="11"/>
      <c r="C1703" s="16"/>
      <c r="D1703" s="1"/>
      <c r="E1703" s="1"/>
      <c r="F1703" s="4"/>
      <c r="G1703" s="4"/>
      <c r="H1703" s="4">
        <f t="shared" si="27"/>
        <v>0</v>
      </c>
    </row>
    <row r="1704" spans="1:8" x14ac:dyDescent="0.35">
      <c r="A1704" s="11"/>
      <c r="B1704" s="11"/>
      <c r="C1704" s="16"/>
      <c r="D1704" s="1"/>
      <c r="E1704" s="1"/>
      <c r="F1704" s="4"/>
      <c r="G1704" s="4"/>
      <c r="H1704" s="4">
        <f t="shared" si="27"/>
        <v>0</v>
      </c>
    </row>
    <row r="1705" spans="1:8" x14ac:dyDescent="0.35">
      <c r="A1705" s="11"/>
      <c r="B1705" s="11"/>
      <c r="C1705" s="16"/>
      <c r="D1705" s="1"/>
      <c r="E1705" s="1"/>
      <c r="F1705" s="4"/>
      <c r="G1705" s="4"/>
      <c r="H1705" s="4">
        <f t="shared" si="27"/>
        <v>0</v>
      </c>
    </row>
    <row r="1706" spans="1:8" x14ac:dyDescent="0.35">
      <c r="A1706" s="11"/>
      <c r="B1706" s="11"/>
      <c r="C1706" s="16"/>
      <c r="D1706" s="1"/>
      <c r="E1706" s="1"/>
      <c r="F1706" s="4"/>
      <c r="G1706" s="4"/>
      <c r="H1706" s="4">
        <f t="shared" si="27"/>
        <v>0</v>
      </c>
    </row>
    <row r="1707" spans="1:8" x14ac:dyDescent="0.35">
      <c r="A1707" s="11"/>
      <c r="B1707" s="11"/>
      <c r="C1707" s="16"/>
      <c r="D1707" s="1"/>
      <c r="E1707" s="1"/>
      <c r="F1707" s="4"/>
      <c r="G1707" s="4"/>
      <c r="H1707" s="4">
        <f t="shared" si="27"/>
        <v>0</v>
      </c>
    </row>
    <row r="1708" spans="1:8" x14ac:dyDescent="0.35">
      <c r="A1708" s="11"/>
      <c r="B1708" s="11"/>
      <c r="C1708" s="16"/>
      <c r="D1708" s="1"/>
      <c r="E1708" s="1"/>
      <c r="F1708" s="4"/>
      <c r="G1708" s="4"/>
      <c r="H1708" s="4">
        <f t="shared" si="27"/>
        <v>0</v>
      </c>
    </row>
    <row r="1709" spans="1:8" x14ac:dyDescent="0.35">
      <c r="A1709" s="11"/>
      <c r="B1709" s="11"/>
      <c r="C1709" s="16"/>
      <c r="D1709" s="1"/>
      <c r="E1709" s="1"/>
      <c r="F1709" s="4"/>
      <c r="G1709" s="4"/>
      <c r="H1709" s="4">
        <f t="shared" si="27"/>
        <v>0</v>
      </c>
    </row>
    <row r="1710" spans="1:8" x14ac:dyDescent="0.35">
      <c r="A1710" s="11"/>
      <c r="B1710" s="11"/>
      <c r="C1710" s="16"/>
      <c r="D1710" s="1"/>
      <c r="E1710" s="1"/>
      <c r="F1710" s="4"/>
      <c r="G1710" s="4"/>
      <c r="H1710" s="4">
        <f t="shared" si="27"/>
        <v>0</v>
      </c>
    </row>
    <row r="1711" spans="1:8" x14ac:dyDescent="0.35">
      <c r="A1711" s="11"/>
      <c r="B1711" s="11"/>
      <c r="C1711" s="16"/>
      <c r="D1711" s="1"/>
      <c r="E1711" s="1"/>
      <c r="F1711" s="4"/>
      <c r="G1711" s="4"/>
      <c r="H1711" s="4">
        <f t="shared" si="27"/>
        <v>0</v>
      </c>
    </row>
    <row r="1712" spans="1:8" x14ac:dyDescent="0.35">
      <c r="A1712" s="11"/>
      <c r="B1712" s="11"/>
      <c r="C1712" s="16"/>
      <c r="D1712" s="1"/>
      <c r="E1712" s="1"/>
      <c r="F1712" s="4"/>
      <c r="G1712" s="4"/>
      <c r="H1712" s="4">
        <f t="shared" si="27"/>
        <v>0</v>
      </c>
    </row>
    <row r="1713" spans="1:8" x14ac:dyDescent="0.35">
      <c r="A1713" s="11"/>
      <c r="B1713" s="11"/>
      <c r="C1713" s="16"/>
      <c r="D1713" s="1"/>
      <c r="E1713" s="1"/>
      <c r="F1713" s="4"/>
      <c r="G1713" s="4"/>
      <c r="H1713" s="4">
        <f t="shared" si="27"/>
        <v>0</v>
      </c>
    </row>
    <row r="1714" spans="1:8" x14ac:dyDescent="0.35">
      <c r="A1714" s="11"/>
      <c r="B1714" s="11"/>
      <c r="C1714" s="16"/>
      <c r="D1714" s="1"/>
      <c r="E1714" s="1"/>
      <c r="F1714" s="4"/>
      <c r="G1714" s="4"/>
      <c r="H1714" s="4">
        <f t="shared" si="27"/>
        <v>0</v>
      </c>
    </row>
    <row r="1715" spans="1:8" x14ac:dyDescent="0.35">
      <c r="A1715" s="11"/>
      <c r="B1715" s="11"/>
      <c r="C1715" s="16"/>
      <c r="D1715" s="1"/>
      <c r="E1715" s="1"/>
      <c r="F1715" s="4"/>
      <c r="G1715" s="4"/>
      <c r="H1715" s="4">
        <f t="shared" si="27"/>
        <v>0</v>
      </c>
    </row>
    <row r="1716" spans="1:8" x14ac:dyDescent="0.35">
      <c r="A1716" s="11"/>
      <c r="B1716" s="11"/>
      <c r="C1716" s="16"/>
      <c r="D1716" s="1"/>
      <c r="E1716" s="1"/>
      <c r="F1716" s="4"/>
      <c r="G1716" s="4"/>
      <c r="H1716" s="4">
        <f t="shared" si="27"/>
        <v>0</v>
      </c>
    </row>
    <row r="1717" spans="1:8" x14ac:dyDescent="0.35">
      <c r="A1717" s="11"/>
      <c r="B1717" s="11"/>
      <c r="C1717" s="16"/>
      <c r="D1717" s="1"/>
      <c r="E1717" s="1"/>
      <c r="F1717" s="4"/>
      <c r="G1717" s="4"/>
      <c r="H1717" s="4">
        <f t="shared" si="27"/>
        <v>0</v>
      </c>
    </row>
    <row r="1718" spans="1:8" x14ac:dyDescent="0.35">
      <c r="A1718" s="11"/>
      <c r="B1718" s="11"/>
      <c r="C1718" s="16"/>
      <c r="D1718" s="1"/>
      <c r="E1718" s="1"/>
      <c r="F1718" s="4"/>
      <c r="G1718" s="4"/>
      <c r="H1718" s="4">
        <f t="shared" si="27"/>
        <v>0</v>
      </c>
    </row>
    <row r="1719" spans="1:8" x14ac:dyDescent="0.35">
      <c r="A1719" s="11"/>
      <c r="B1719" s="11"/>
      <c r="C1719" s="16"/>
      <c r="D1719" s="1"/>
      <c r="E1719" s="1"/>
      <c r="F1719" s="4"/>
      <c r="G1719" s="4"/>
      <c r="H1719" s="4">
        <f t="shared" si="27"/>
        <v>0</v>
      </c>
    </row>
    <row r="1720" spans="1:8" x14ac:dyDescent="0.35">
      <c r="A1720" s="11"/>
      <c r="B1720" s="11"/>
      <c r="C1720" s="16"/>
      <c r="D1720" s="1"/>
      <c r="E1720" s="1"/>
      <c r="F1720" s="4"/>
      <c r="G1720" s="4"/>
      <c r="H1720" s="4">
        <f t="shared" si="27"/>
        <v>0</v>
      </c>
    </row>
    <row r="1721" spans="1:8" x14ac:dyDescent="0.35">
      <c r="A1721" s="11"/>
      <c r="B1721" s="11"/>
      <c r="C1721" s="16"/>
      <c r="D1721" s="1"/>
      <c r="E1721" s="1"/>
      <c r="F1721" s="4"/>
      <c r="G1721" s="4"/>
      <c r="H1721" s="4">
        <f t="shared" si="27"/>
        <v>0</v>
      </c>
    </row>
    <row r="1722" spans="1:8" x14ac:dyDescent="0.35">
      <c r="A1722" s="11"/>
      <c r="B1722" s="11"/>
      <c r="C1722" s="16"/>
      <c r="D1722" s="1"/>
      <c r="E1722" s="1"/>
      <c r="F1722" s="4"/>
      <c r="G1722" s="4"/>
      <c r="H1722" s="4">
        <f t="shared" si="27"/>
        <v>0</v>
      </c>
    </row>
    <row r="1723" spans="1:8" x14ac:dyDescent="0.35">
      <c r="A1723" s="11"/>
      <c r="B1723" s="11"/>
      <c r="C1723" s="16"/>
      <c r="D1723" s="1"/>
      <c r="E1723" s="1"/>
      <c r="F1723" s="4"/>
      <c r="G1723" s="4"/>
      <c r="H1723" s="4">
        <f t="shared" si="27"/>
        <v>0</v>
      </c>
    </row>
    <row r="1724" spans="1:8" x14ac:dyDescent="0.35">
      <c r="A1724" s="11"/>
      <c r="B1724" s="11"/>
      <c r="C1724" s="16"/>
      <c r="D1724" s="1"/>
      <c r="E1724" s="1"/>
      <c r="F1724" s="4"/>
      <c r="G1724" s="4"/>
      <c r="H1724" s="4">
        <f t="shared" si="27"/>
        <v>0</v>
      </c>
    </row>
    <row r="1725" spans="1:8" x14ac:dyDescent="0.35">
      <c r="A1725" s="11"/>
      <c r="B1725" s="11"/>
      <c r="C1725" s="16"/>
      <c r="D1725" s="1"/>
      <c r="E1725" s="1"/>
      <c r="F1725" s="4"/>
      <c r="G1725" s="4"/>
      <c r="H1725" s="4">
        <f t="shared" si="27"/>
        <v>0</v>
      </c>
    </row>
    <row r="1726" spans="1:8" x14ac:dyDescent="0.35">
      <c r="A1726" s="11"/>
      <c r="B1726" s="11"/>
      <c r="C1726" s="16"/>
      <c r="D1726" s="1"/>
      <c r="E1726" s="1"/>
      <c r="F1726" s="4"/>
      <c r="G1726" s="4"/>
      <c r="H1726" s="4">
        <f t="shared" si="27"/>
        <v>0</v>
      </c>
    </row>
    <row r="1727" spans="1:8" x14ac:dyDescent="0.35">
      <c r="A1727" s="11"/>
      <c r="B1727" s="11"/>
      <c r="C1727" s="16"/>
      <c r="D1727" s="1"/>
      <c r="E1727" s="1"/>
      <c r="F1727" s="4"/>
      <c r="G1727" s="4"/>
      <c r="H1727" s="4">
        <f t="shared" si="27"/>
        <v>0</v>
      </c>
    </row>
    <row r="1728" spans="1:8" x14ac:dyDescent="0.35">
      <c r="A1728" s="11"/>
      <c r="B1728" s="11"/>
      <c r="C1728" s="16"/>
      <c r="D1728" s="1"/>
      <c r="E1728" s="1"/>
      <c r="F1728" s="4"/>
      <c r="G1728" s="4"/>
      <c r="H1728" s="4">
        <f t="shared" si="27"/>
        <v>0</v>
      </c>
    </row>
    <row r="1729" spans="1:8" x14ac:dyDescent="0.35">
      <c r="A1729" s="11"/>
      <c r="B1729" s="11"/>
      <c r="C1729" s="16"/>
      <c r="D1729" s="1"/>
      <c r="E1729" s="1"/>
      <c r="F1729" s="4"/>
      <c r="G1729" s="4"/>
      <c r="H1729" s="4">
        <f t="shared" si="27"/>
        <v>0</v>
      </c>
    </row>
    <row r="1730" spans="1:8" x14ac:dyDescent="0.35">
      <c r="A1730" s="11"/>
      <c r="B1730" s="11"/>
      <c r="C1730" s="16"/>
      <c r="D1730" s="1"/>
      <c r="E1730" s="1"/>
      <c r="F1730" s="4"/>
      <c r="G1730" s="4"/>
      <c r="H1730" s="4">
        <f t="shared" si="27"/>
        <v>0</v>
      </c>
    </row>
    <row r="1731" spans="1:8" x14ac:dyDescent="0.35">
      <c r="A1731" s="11"/>
      <c r="B1731" s="11"/>
      <c r="C1731" s="16"/>
      <c r="D1731" s="1"/>
      <c r="E1731" s="1"/>
      <c r="F1731" s="4"/>
      <c r="G1731" s="4"/>
      <c r="H1731" s="4">
        <f t="shared" si="27"/>
        <v>0</v>
      </c>
    </row>
    <row r="1732" spans="1:8" x14ac:dyDescent="0.35">
      <c r="A1732" s="11"/>
      <c r="B1732" s="11"/>
      <c r="C1732" s="16"/>
      <c r="D1732" s="1"/>
      <c r="E1732" s="1"/>
      <c r="F1732" s="4"/>
      <c r="G1732" s="4"/>
      <c r="H1732" s="4">
        <f t="shared" si="27"/>
        <v>0</v>
      </c>
    </row>
    <row r="1733" spans="1:8" x14ac:dyDescent="0.35">
      <c r="A1733" s="11"/>
      <c r="B1733" s="11"/>
      <c r="C1733" s="16"/>
      <c r="D1733" s="1"/>
      <c r="E1733" s="1"/>
      <c r="F1733" s="4"/>
      <c r="G1733" s="4"/>
      <c r="H1733" s="4">
        <f t="shared" si="27"/>
        <v>0</v>
      </c>
    </row>
    <row r="1734" spans="1:8" x14ac:dyDescent="0.35">
      <c r="A1734" s="11"/>
      <c r="B1734" s="11"/>
      <c r="C1734" s="16"/>
      <c r="D1734" s="1"/>
      <c r="E1734" s="1"/>
      <c r="F1734" s="4"/>
      <c r="G1734" s="4"/>
      <c r="H1734" s="4">
        <f t="shared" si="27"/>
        <v>0</v>
      </c>
    </row>
    <row r="1735" spans="1:8" x14ac:dyDescent="0.35">
      <c r="A1735" s="11"/>
      <c r="B1735" s="11"/>
      <c r="C1735" s="16"/>
      <c r="D1735" s="1"/>
      <c r="E1735" s="1"/>
      <c r="F1735" s="4"/>
      <c r="G1735" s="4"/>
      <c r="H1735" s="4">
        <f t="shared" si="27"/>
        <v>0</v>
      </c>
    </row>
    <row r="1736" spans="1:8" x14ac:dyDescent="0.35">
      <c r="A1736" s="11"/>
      <c r="B1736" s="11"/>
      <c r="C1736" s="16"/>
      <c r="D1736" s="1"/>
      <c r="E1736" s="1"/>
      <c r="F1736" s="4"/>
      <c r="G1736" s="4"/>
      <c r="H1736" s="4">
        <f t="shared" si="27"/>
        <v>0</v>
      </c>
    </row>
    <row r="1737" spans="1:8" x14ac:dyDescent="0.35">
      <c r="A1737" s="11"/>
      <c r="B1737" s="11"/>
      <c r="C1737" s="16"/>
      <c r="D1737" s="1"/>
      <c r="E1737" s="1"/>
      <c r="F1737" s="4"/>
      <c r="G1737" s="4"/>
      <c r="H1737" s="4">
        <f t="shared" si="27"/>
        <v>0</v>
      </c>
    </row>
    <row r="1738" spans="1:8" x14ac:dyDescent="0.35">
      <c r="A1738" s="11"/>
      <c r="B1738" s="11"/>
      <c r="C1738" s="16"/>
      <c r="D1738" s="1"/>
      <c r="E1738" s="1"/>
      <c r="F1738" s="4"/>
      <c r="G1738" s="4"/>
      <c r="H1738" s="4">
        <f t="shared" si="27"/>
        <v>0</v>
      </c>
    </row>
    <row r="1739" spans="1:8" x14ac:dyDescent="0.35">
      <c r="A1739" s="11"/>
      <c r="B1739" s="11"/>
      <c r="C1739" s="16"/>
      <c r="D1739" s="1"/>
      <c r="E1739" s="1"/>
      <c r="F1739" s="4"/>
      <c r="G1739" s="4"/>
      <c r="H1739" s="4">
        <f t="shared" si="27"/>
        <v>0</v>
      </c>
    </row>
    <row r="1740" spans="1:8" x14ac:dyDescent="0.35">
      <c r="A1740" s="11"/>
      <c r="B1740" s="11"/>
      <c r="C1740" s="16"/>
      <c r="D1740" s="1"/>
      <c r="E1740" s="1"/>
      <c r="F1740" s="4"/>
      <c r="G1740" s="4"/>
      <c r="H1740" s="4">
        <f t="shared" si="27"/>
        <v>0</v>
      </c>
    </row>
    <row r="1741" spans="1:8" x14ac:dyDescent="0.35">
      <c r="A1741" s="11"/>
      <c r="B1741" s="11"/>
      <c r="C1741" s="16"/>
      <c r="D1741" s="1"/>
      <c r="E1741" s="1"/>
      <c r="F1741" s="4"/>
      <c r="G1741" s="4"/>
      <c r="H1741" s="4">
        <f t="shared" si="27"/>
        <v>0</v>
      </c>
    </row>
    <row r="1742" spans="1:8" x14ac:dyDescent="0.35">
      <c r="A1742" s="11"/>
      <c r="B1742" s="11"/>
      <c r="C1742" s="16"/>
      <c r="D1742" s="1"/>
      <c r="E1742" s="1"/>
      <c r="F1742" s="4"/>
      <c r="G1742" s="4"/>
      <c r="H1742" s="4">
        <f t="shared" si="27"/>
        <v>0</v>
      </c>
    </row>
    <row r="1743" spans="1:8" x14ac:dyDescent="0.35">
      <c r="A1743" s="11"/>
      <c r="B1743" s="11"/>
      <c r="C1743" s="16"/>
      <c r="D1743" s="1"/>
      <c r="E1743" s="1"/>
      <c r="F1743" s="4"/>
      <c r="G1743" s="4"/>
      <c r="H1743" s="4">
        <f t="shared" si="27"/>
        <v>0</v>
      </c>
    </row>
    <row r="1744" spans="1:8" x14ac:dyDescent="0.35">
      <c r="A1744" s="11"/>
      <c r="B1744" s="11"/>
      <c r="C1744" s="16"/>
      <c r="D1744" s="1"/>
      <c r="E1744" s="1"/>
      <c r="F1744" s="4"/>
      <c r="G1744" s="4"/>
      <c r="H1744" s="4">
        <f t="shared" si="27"/>
        <v>0</v>
      </c>
    </row>
    <row r="1745" spans="1:8" x14ac:dyDescent="0.35">
      <c r="A1745" s="11"/>
      <c r="B1745" s="11"/>
      <c r="C1745" s="16"/>
      <c r="D1745" s="1"/>
      <c r="E1745" s="1"/>
      <c r="F1745" s="4"/>
      <c r="G1745" s="4"/>
      <c r="H1745" s="4">
        <f t="shared" si="27"/>
        <v>0</v>
      </c>
    </row>
    <row r="1746" spans="1:8" x14ac:dyDescent="0.35">
      <c r="A1746" s="11"/>
      <c r="B1746" s="11"/>
      <c r="C1746" s="16"/>
      <c r="D1746" s="1"/>
      <c r="E1746" s="1"/>
      <c r="F1746" s="4"/>
      <c r="G1746" s="4"/>
      <c r="H1746" s="4">
        <f t="shared" si="27"/>
        <v>0</v>
      </c>
    </row>
    <row r="1747" spans="1:8" x14ac:dyDescent="0.35">
      <c r="A1747" s="11"/>
      <c r="B1747" s="11"/>
      <c r="C1747" s="16"/>
      <c r="D1747" s="1"/>
      <c r="E1747" s="1"/>
      <c r="F1747" s="4"/>
      <c r="G1747" s="4"/>
      <c r="H1747" s="4">
        <f t="shared" si="27"/>
        <v>0</v>
      </c>
    </row>
    <row r="1748" spans="1:8" x14ac:dyDescent="0.35">
      <c r="A1748" s="11"/>
      <c r="B1748" s="11"/>
      <c r="C1748" s="16"/>
      <c r="D1748" s="1"/>
      <c r="E1748" s="1"/>
      <c r="F1748" s="4"/>
      <c r="G1748" s="4"/>
      <c r="H1748" s="4">
        <f t="shared" si="27"/>
        <v>0</v>
      </c>
    </row>
    <row r="1749" spans="1:8" x14ac:dyDescent="0.35">
      <c r="A1749" s="11"/>
      <c r="B1749" s="11"/>
      <c r="C1749" s="16"/>
      <c r="D1749" s="1"/>
      <c r="E1749" s="1"/>
      <c r="F1749" s="4"/>
      <c r="G1749" s="4"/>
      <c r="H1749" s="4">
        <f t="shared" si="27"/>
        <v>0</v>
      </c>
    </row>
    <row r="1750" spans="1:8" x14ac:dyDescent="0.35">
      <c r="A1750" s="11"/>
      <c r="B1750" s="11"/>
      <c r="C1750" s="16"/>
      <c r="D1750" s="1"/>
      <c r="E1750" s="1"/>
      <c r="F1750" s="4"/>
      <c r="G1750" s="4"/>
      <c r="H1750" s="4">
        <f t="shared" si="27"/>
        <v>0</v>
      </c>
    </row>
    <row r="1751" spans="1:8" x14ac:dyDescent="0.35">
      <c r="A1751" s="11"/>
      <c r="B1751" s="11"/>
      <c r="C1751" s="16"/>
      <c r="D1751" s="1"/>
      <c r="E1751" s="1"/>
      <c r="F1751" s="4"/>
      <c r="G1751" s="4"/>
      <c r="H1751" s="4">
        <f t="shared" si="27"/>
        <v>0</v>
      </c>
    </row>
    <row r="1752" spans="1:8" x14ac:dyDescent="0.35">
      <c r="A1752" s="11"/>
      <c r="B1752" s="11"/>
      <c r="C1752" s="16"/>
      <c r="D1752" s="1"/>
      <c r="E1752" s="1"/>
      <c r="F1752" s="4"/>
      <c r="G1752" s="4"/>
      <c r="H1752" s="4">
        <f t="shared" si="27"/>
        <v>0</v>
      </c>
    </row>
    <row r="1753" spans="1:8" x14ac:dyDescent="0.35">
      <c r="A1753" s="11"/>
      <c r="B1753" s="11"/>
      <c r="C1753" s="16"/>
      <c r="D1753" s="1"/>
      <c r="E1753" s="1"/>
      <c r="F1753" s="4"/>
      <c r="G1753" s="4"/>
      <c r="H1753" s="4">
        <f t="shared" si="27"/>
        <v>0</v>
      </c>
    </row>
    <row r="1754" spans="1:8" x14ac:dyDescent="0.35">
      <c r="A1754" s="11"/>
      <c r="B1754" s="11"/>
      <c r="C1754" s="16"/>
      <c r="D1754" s="1"/>
      <c r="E1754" s="1"/>
      <c r="F1754" s="4"/>
      <c r="G1754" s="4"/>
      <c r="H1754" s="4">
        <f t="shared" si="27"/>
        <v>0</v>
      </c>
    </row>
    <row r="1755" spans="1:8" x14ac:dyDescent="0.35">
      <c r="A1755" s="11"/>
      <c r="B1755" s="11"/>
      <c r="C1755" s="16"/>
      <c r="D1755" s="1"/>
      <c r="E1755" s="1"/>
      <c r="F1755" s="4"/>
      <c r="G1755" s="4"/>
      <c r="H1755" s="4">
        <f t="shared" si="27"/>
        <v>0</v>
      </c>
    </row>
    <row r="1756" spans="1:8" x14ac:dyDescent="0.35">
      <c r="A1756" s="11"/>
      <c r="B1756" s="11"/>
      <c r="C1756" s="16"/>
      <c r="D1756" s="1"/>
      <c r="E1756" s="1"/>
      <c r="F1756" s="4"/>
      <c r="G1756" s="4"/>
      <c r="H1756" s="4">
        <f t="shared" si="27"/>
        <v>0</v>
      </c>
    </row>
    <row r="1757" spans="1:8" x14ac:dyDescent="0.35">
      <c r="A1757" s="11"/>
      <c r="B1757" s="11"/>
      <c r="C1757" s="16"/>
      <c r="D1757" s="1"/>
      <c r="E1757" s="1"/>
      <c r="F1757" s="4"/>
      <c r="G1757" s="4"/>
      <c r="H1757" s="4">
        <f t="shared" si="27"/>
        <v>0</v>
      </c>
    </row>
    <row r="1758" spans="1:8" x14ac:dyDescent="0.35">
      <c r="A1758" s="11"/>
      <c r="B1758" s="11"/>
      <c r="C1758" s="16"/>
      <c r="D1758" s="1"/>
      <c r="E1758" s="1"/>
      <c r="F1758" s="4"/>
      <c r="G1758" s="4"/>
      <c r="H1758" s="4">
        <f t="shared" si="27"/>
        <v>0</v>
      </c>
    </row>
    <row r="1759" spans="1:8" x14ac:dyDescent="0.35">
      <c r="A1759" s="11"/>
      <c r="B1759" s="11"/>
      <c r="C1759" s="16"/>
      <c r="D1759" s="1"/>
      <c r="E1759" s="1"/>
      <c r="F1759" s="4"/>
      <c r="G1759" s="4"/>
      <c r="H1759" s="4">
        <f t="shared" si="27"/>
        <v>0</v>
      </c>
    </row>
    <row r="1760" spans="1:8" x14ac:dyDescent="0.35">
      <c r="A1760" s="11"/>
      <c r="B1760" s="11"/>
      <c r="C1760" s="16"/>
      <c r="D1760" s="1"/>
      <c r="E1760" s="1"/>
      <c r="F1760" s="4"/>
      <c r="G1760" s="4"/>
      <c r="H1760" s="4">
        <f t="shared" si="27"/>
        <v>0</v>
      </c>
    </row>
    <row r="1761" spans="1:8" x14ac:dyDescent="0.35">
      <c r="A1761" s="11"/>
      <c r="B1761" s="11"/>
      <c r="C1761" s="16"/>
      <c r="D1761" s="1"/>
      <c r="E1761" s="1"/>
      <c r="F1761" s="4"/>
      <c r="G1761" s="4"/>
      <c r="H1761" s="4">
        <f t="shared" ref="H1761:H1824" si="28">H1760+F1761-G1761</f>
        <v>0</v>
      </c>
    </row>
    <row r="1762" spans="1:8" x14ac:dyDescent="0.35">
      <c r="A1762" s="11"/>
      <c r="B1762" s="11"/>
      <c r="C1762" s="16"/>
      <c r="D1762" s="1"/>
      <c r="E1762" s="1"/>
      <c r="F1762" s="4"/>
      <c r="G1762" s="4"/>
      <c r="H1762" s="4">
        <f t="shared" si="28"/>
        <v>0</v>
      </c>
    </row>
    <row r="1763" spans="1:8" x14ac:dyDescent="0.35">
      <c r="A1763" s="11"/>
      <c r="B1763" s="11"/>
      <c r="C1763" s="16"/>
      <c r="D1763" s="1"/>
      <c r="E1763" s="1"/>
      <c r="F1763" s="4"/>
      <c r="G1763" s="4"/>
      <c r="H1763" s="4">
        <f t="shared" si="28"/>
        <v>0</v>
      </c>
    </row>
    <row r="1764" spans="1:8" x14ac:dyDescent="0.35">
      <c r="A1764" s="11"/>
      <c r="B1764" s="11"/>
      <c r="C1764" s="16"/>
      <c r="D1764" s="1"/>
      <c r="E1764" s="1"/>
      <c r="F1764" s="4"/>
      <c r="G1764" s="4"/>
      <c r="H1764" s="4">
        <f t="shared" si="28"/>
        <v>0</v>
      </c>
    </row>
    <row r="1765" spans="1:8" x14ac:dyDescent="0.35">
      <c r="A1765" s="11"/>
      <c r="B1765" s="11"/>
      <c r="C1765" s="16"/>
      <c r="D1765" s="1"/>
      <c r="E1765" s="1"/>
      <c r="F1765" s="4"/>
      <c r="G1765" s="4"/>
      <c r="H1765" s="4">
        <f t="shared" si="28"/>
        <v>0</v>
      </c>
    </row>
    <row r="1766" spans="1:8" x14ac:dyDescent="0.35">
      <c r="A1766" s="11"/>
      <c r="B1766" s="11"/>
      <c r="C1766" s="16"/>
      <c r="D1766" s="1"/>
      <c r="E1766" s="1"/>
      <c r="F1766" s="4"/>
      <c r="G1766" s="4"/>
      <c r="H1766" s="4">
        <f t="shared" si="28"/>
        <v>0</v>
      </c>
    </row>
    <row r="1767" spans="1:8" x14ac:dyDescent="0.35">
      <c r="A1767" s="11"/>
      <c r="B1767" s="11"/>
      <c r="C1767" s="16"/>
      <c r="D1767" s="1"/>
      <c r="E1767" s="1"/>
      <c r="F1767" s="4"/>
      <c r="G1767" s="4"/>
      <c r="H1767" s="4">
        <f t="shared" si="28"/>
        <v>0</v>
      </c>
    </row>
    <row r="1768" spans="1:8" x14ac:dyDescent="0.35">
      <c r="A1768" s="11"/>
      <c r="B1768" s="11"/>
      <c r="C1768" s="16"/>
      <c r="D1768" s="1"/>
      <c r="E1768" s="1"/>
      <c r="F1768" s="4"/>
      <c r="G1768" s="4"/>
      <c r="H1768" s="4">
        <f t="shared" si="28"/>
        <v>0</v>
      </c>
    </row>
    <row r="1769" spans="1:8" x14ac:dyDescent="0.35">
      <c r="A1769" s="11"/>
      <c r="B1769" s="11"/>
      <c r="C1769" s="16"/>
      <c r="D1769" s="1"/>
      <c r="E1769" s="1"/>
      <c r="F1769" s="4"/>
      <c r="G1769" s="4"/>
      <c r="H1769" s="4">
        <f t="shared" si="28"/>
        <v>0</v>
      </c>
    </row>
    <row r="1770" spans="1:8" x14ac:dyDescent="0.35">
      <c r="A1770" s="11"/>
      <c r="B1770" s="11"/>
      <c r="C1770" s="16"/>
      <c r="D1770" s="1"/>
      <c r="E1770" s="1"/>
      <c r="F1770" s="4"/>
      <c r="G1770" s="4"/>
      <c r="H1770" s="4">
        <f t="shared" si="28"/>
        <v>0</v>
      </c>
    </row>
    <row r="1771" spans="1:8" x14ac:dyDescent="0.35">
      <c r="A1771" s="11"/>
      <c r="B1771" s="11"/>
      <c r="C1771" s="16"/>
      <c r="D1771" s="1"/>
      <c r="E1771" s="1"/>
      <c r="F1771" s="4"/>
      <c r="G1771" s="4"/>
      <c r="H1771" s="4">
        <f t="shared" si="28"/>
        <v>0</v>
      </c>
    </row>
    <row r="1772" spans="1:8" x14ac:dyDescent="0.35">
      <c r="A1772" s="11"/>
      <c r="B1772" s="11"/>
      <c r="C1772" s="16"/>
      <c r="D1772" s="1"/>
      <c r="E1772" s="1"/>
      <c r="F1772" s="4"/>
      <c r="G1772" s="4"/>
      <c r="H1772" s="4">
        <f t="shared" si="28"/>
        <v>0</v>
      </c>
    </row>
    <row r="1773" spans="1:8" x14ac:dyDescent="0.35">
      <c r="A1773" s="11"/>
      <c r="B1773" s="11"/>
      <c r="C1773" s="16"/>
      <c r="D1773" s="1"/>
      <c r="E1773" s="1"/>
      <c r="F1773" s="4"/>
      <c r="G1773" s="4"/>
      <c r="H1773" s="4">
        <f t="shared" si="28"/>
        <v>0</v>
      </c>
    </row>
    <row r="1774" spans="1:8" x14ac:dyDescent="0.35">
      <c r="A1774" s="11"/>
      <c r="B1774" s="11"/>
      <c r="C1774" s="16"/>
      <c r="D1774" s="1"/>
      <c r="E1774" s="1"/>
      <c r="F1774" s="4"/>
      <c r="G1774" s="4"/>
      <c r="H1774" s="4">
        <f t="shared" si="28"/>
        <v>0</v>
      </c>
    </row>
    <row r="1775" spans="1:8" x14ac:dyDescent="0.35">
      <c r="A1775" s="11"/>
      <c r="B1775" s="11"/>
      <c r="C1775" s="16"/>
      <c r="D1775" s="1"/>
      <c r="E1775" s="1"/>
      <c r="F1775" s="4"/>
      <c r="G1775" s="4"/>
      <c r="H1775" s="4">
        <f t="shared" si="28"/>
        <v>0</v>
      </c>
    </row>
    <row r="1776" spans="1:8" x14ac:dyDescent="0.35">
      <c r="A1776" s="11"/>
      <c r="B1776" s="11"/>
      <c r="C1776" s="16"/>
      <c r="D1776" s="1"/>
      <c r="E1776" s="1"/>
      <c r="F1776" s="4"/>
      <c r="G1776" s="4"/>
      <c r="H1776" s="4">
        <f t="shared" si="28"/>
        <v>0</v>
      </c>
    </row>
    <row r="1777" spans="1:8" x14ac:dyDescent="0.35">
      <c r="A1777" s="11"/>
      <c r="B1777" s="11"/>
      <c r="C1777" s="16"/>
      <c r="D1777" s="1"/>
      <c r="E1777" s="1"/>
      <c r="F1777" s="4"/>
      <c r="G1777" s="4"/>
      <c r="H1777" s="4">
        <f t="shared" si="28"/>
        <v>0</v>
      </c>
    </row>
    <row r="1778" spans="1:8" x14ac:dyDescent="0.35">
      <c r="A1778" s="11"/>
      <c r="B1778" s="11"/>
      <c r="C1778" s="16"/>
      <c r="D1778" s="1"/>
      <c r="E1778" s="1"/>
      <c r="F1778" s="4"/>
      <c r="G1778" s="4"/>
      <c r="H1778" s="4">
        <f t="shared" si="28"/>
        <v>0</v>
      </c>
    </row>
    <row r="1779" spans="1:8" x14ac:dyDescent="0.35">
      <c r="A1779" s="11"/>
      <c r="B1779" s="11"/>
      <c r="C1779" s="16"/>
      <c r="D1779" s="1"/>
      <c r="E1779" s="1"/>
      <c r="F1779" s="4"/>
      <c r="G1779" s="4"/>
      <c r="H1779" s="4">
        <f t="shared" si="28"/>
        <v>0</v>
      </c>
    </row>
    <row r="1780" spans="1:8" x14ac:dyDescent="0.35">
      <c r="A1780" s="11"/>
      <c r="B1780" s="11"/>
      <c r="C1780" s="16"/>
      <c r="D1780" s="1"/>
      <c r="E1780" s="1"/>
      <c r="F1780" s="4"/>
      <c r="G1780" s="4"/>
      <c r="H1780" s="4">
        <f t="shared" si="28"/>
        <v>0</v>
      </c>
    </row>
    <row r="1781" spans="1:8" x14ac:dyDescent="0.35">
      <c r="A1781" s="11"/>
      <c r="B1781" s="11"/>
      <c r="C1781" s="16"/>
      <c r="D1781" s="1"/>
      <c r="E1781" s="1"/>
      <c r="F1781" s="4"/>
      <c r="G1781" s="4"/>
      <c r="H1781" s="4">
        <f t="shared" si="28"/>
        <v>0</v>
      </c>
    </row>
    <row r="1782" spans="1:8" x14ac:dyDescent="0.35">
      <c r="A1782" s="11"/>
      <c r="B1782" s="11"/>
      <c r="C1782" s="16"/>
      <c r="D1782" s="1"/>
      <c r="E1782" s="1"/>
      <c r="F1782" s="4"/>
      <c r="G1782" s="4"/>
      <c r="H1782" s="4">
        <f t="shared" si="28"/>
        <v>0</v>
      </c>
    </row>
    <row r="1783" spans="1:8" x14ac:dyDescent="0.35">
      <c r="A1783" s="11"/>
      <c r="B1783" s="11"/>
      <c r="C1783" s="16"/>
      <c r="D1783" s="1"/>
      <c r="E1783" s="1"/>
      <c r="F1783" s="4"/>
      <c r="G1783" s="4"/>
      <c r="H1783" s="4">
        <f t="shared" si="28"/>
        <v>0</v>
      </c>
    </row>
    <row r="1784" spans="1:8" x14ac:dyDescent="0.35">
      <c r="A1784" s="11"/>
      <c r="B1784" s="11"/>
      <c r="C1784" s="16"/>
      <c r="D1784" s="1"/>
      <c r="E1784" s="1"/>
      <c r="F1784" s="4"/>
      <c r="G1784" s="4"/>
      <c r="H1784" s="4">
        <f t="shared" si="28"/>
        <v>0</v>
      </c>
    </row>
    <row r="1785" spans="1:8" x14ac:dyDescent="0.35">
      <c r="A1785" s="11"/>
      <c r="B1785" s="11"/>
      <c r="C1785" s="16"/>
      <c r="D1785" s="1"/>
      <c r="E1785" s="1"/>
      <c r="F1785" s="4"/>
      <c r="G1785" s="4"/>
      <c r="H1785" s="4">
        <f t="shared" si="28"/>
        <v>0</v>
      </c>
    </row>
    <row r="1786" spans="1:8" x14ac:dyDescent="0.35">
      <c r="A1786" s="11"/>
      <c r="B1786" s="11"/>
      <c r="C1786" s="16"/>
      <c r="D1786" s="1"/>
      <c r="E1786" s="1"/>
      <c r="F1786" s="4"/>
      <c r="G1786" s="4"/>
      <c r="H1786" s="4">
        <f t="shared" si="28"/>
        <v>0</v>
      </c>
    </row>
    <row r="1787" spans="1:8" x14ac:dyDescent="0.35">
      <c r="A1787" s="11"/>
      <c r="B1787" s="11"/>
      <c r="C1787" s="16"/>
      <c r="D1787" s="1"/>
      <c r="E1787" s="1"/>
      <c r="F1787" s="4"/>
      <c r="G1787" s="4"/>
      <c r="H1787" s="4">
        <f t="shared" si="28"/>
        <v>0</v>
      </c>
    </row>
    <row r="1788" spans="1:8" x14ac:dyDescent="0.35">
      <c r="A1788" s="11"/>
      <c r="B1788" s="11"/>
      <c r="C1788" s="16"/>
      <c r="D1788" s="1"/>
      <c r="E1788" s="1"/>
      <c r="F1788" s="4"/>
      <c r="G1788" s="4"/>
      <c r="H1788" s="4">
        <f t="shared" si="28"/>
        <v>0</v>
      </c>
    </row>
    <row r="1789" spans="1:8" x14ac:dyDescent="0.35">
      <c r="A1789" s="11"/>
      <c r="B1789" s="11"/>
      <c r="C1789" s="16"/>
      <c r="D1789" s="1"/>
      <c r="E1789" s="1"/>
      <c r="F1789" s="4"/>
      <c r="G1789" s="4"/>
      <c r="H1789" s="4">
        <f t="shared" si="28"/>
        <v>0</v>
      </c>
    </row>
    <row r="1790" spans="1:8" x14ac:dyDescent="0.35">
      <c r="A1790" s="11"/>
      <c r="B1790" s="11"/>
      <c r="C1790" s="16"/>
      <c r="D1790" s="1"/>
      <c r="E1790" s="1"/>
      <c r="F1790" s="4"/>
      <c r="G1790" s="4"/>
      <c r="H1790" s="4">
        <f t="shared" si="28"/>
        <v>0</v>
      </c>
    </row>
    <row r="1791" spans="1:8" x14ac:dyDescent="0.35">
      <c r="A1791" s="11"/>
      <c r="B1791" s="11"/>
      <c r="C1791" s="16"/>
      <c r="D1791" s="1"/>
      <c r="E1791" s="1"/>
      <c r="F1791" s="4"/>
      <c r="G1791" s="4"/>
      <c r="H1791" s="4">
        <f t="shared" si="28"/>
        <v>0</v>
      </c>
    </row>
    <row r="1792" spans="1:8" x14ac:dyDescent="0.35">
      <c r="A1792" s="11"/>
      <c r="B1792" s="11"/>
      <c r="C1792" s="16"/>
      <c r="D1792" s="1"/>
      <c r="E1792" s="1"/>
      <c r="F1792" s="4"/>
      <c r="G1792" s="4"/>
      <c r="H1792" s="4">
        <f t="shared" si="28"/>
        <v>0</v>
      </c>
    </row>
    <row r="1793" spans="1:8" x14ac:dyDescent="0.35">
      <c r="A1793" s="11"/>
      <c r="B1793" s="11"/>
      <c r="C1793" s="16"/>
      <c r="D1793" s="1"/>
      <c r="E1793" s="1"/>
      <c r="F1793" s="4"/>
      <c r="G1793" s="4"/>
      <c r="H1793" s="4">
        <f t="shared" si="28"/>
        <v>0</v>
      </c>
    </row>
    <row r="1794" spans="1:8" x14ac:dyDescent="0.35">
      <c r="A1794" s="11"/>
      <c r="B1794" s="11"/>
      <c r="C1794" s="16"/>
      <c r="D1794" s="1"/>
      <c r="E1794" s="1"/>
      <c r="F1794" s="4"/>
      <c r="G1794" s="4"/>
      <c r="H1794" s="4">
        <f t="shared" si="28"/>
        <v>0</v>
      </c>
    </row>
    <row r="1795" spans="1:8" x14ac:dyDescent="0.35">
      <c r="A1795" s="11"/>
      <c r="B1795" s="11"/>
      <c r="C1795" s="16"/>
      <c r="D1795" s="1"/>
      <c r="E1795" s="1"/>
      <c r="F1795" s="4"/>
      <c r="G1795" s="4"/>
      <c r="H1795" s="4">
        <f t="shared" si="28"/>
        <v>0</v>
      </c>
    </row>
    <row r="1796" spans="1:8" x14ac:dyDescent="0.35">
      <c r="A1796" s="11"/>
      <c r="B1796" s="11"/>
      <c r="C1796" s="16"/>
      <c r="D1796" s="1"/>
      <c r="E1796" s="1"/>
      <c r="F1796" s="4"/>
      <c r="G1796" s="4"/>
      <c r="H1796" s="4">
        <f t="shared" si="28"/>
        <v>0</v>
      </c>
    </row>
    <row r="1797" spans="1:8" x14ac:dyDescent="0.35">
      <c r="A1797" s="11"/>
      <c r="B1797" s="11"/>
      <c r="C1797" s="16"/>
      <c r="D1797" s="1"/>
      <c r="E1797" s="1"/>
      <c r="F1797" s="4"/>
      <c r="G1797" s="4"/>
      <c r="H1797" s="4">
        <f t="shared" si="28"/>
        <v>0</v>
      </c>
    </row>
    <row r="1798" spans="1:8" x14ac:dyDescent="0.35">
      <c r="A1798" s="11"/>
      <c r="B1798" s="11"/>
      <c r="C1798" s="16"/>
      <c r="D1798" s="1"/>
      <c r="E1798" s="1"/>
      <c r="F1798" s="4"/>
      <c r="G1798" s="4"/>
      <c r="H1798" s="4">
        <f t="shared" si="28"/>
        <v>0</v>
      </c>
    </row>
    <row r="1799" spans="1:8" x14ac:dyDescent="0.35">
      <c r="A1799" s="11"/>
      <c r="B1799" s="11"/>
      <c r="C1799" s="16"/>
      <c r="D1799" s="1"/>
      <c r="E1799" s="1"/>
      <c r="F1799" s="4"/>
      <c r="G1799" s="4"/>
      <c r="H1799" s="4">
        <f t="shared" si="28"/>
        <v>0</v>
      </c>
    </row>
    <row r="1800" spans="1:8" x14ac:dyDescent="0.35">
      <c r="A1800" s="11"/>
      <c r="B1800" s="11"/>
      <c r="C1800" s="16"/>
      <c r="D1800" s="1"/>
      <c r="E1800" s="1"/>
      <c r="F1800" s="4"/>
      <c r="G1800" s="4"/>
      <c r="H1800" s="4">
        <f t="shared" si="28"/>
        <v>0</v>
      </c>
    </row>
    <row r="1801" spans="1:8" x14ac:dyDescent="0.35">
      <c r="A1801" s="11"/>
      <c r="B1801" s="11"/>
      <c r="C1801" s="16"/>
      <c r="D1801" s="1"/>
      <c r="E1801" s="1"/>
      <c r="F1801" s="4"/>
      <c r="G1801" s="4"/>
      <c r="H1801" s="4">
        <f t="shared" si="28"/>
        <v>0</v>
      </c>
    </row>
    <row r="1802" spans="1:8" x14ac:dyDescent="0.35">
      <c r="A1802" s="11"/>
      <c r="B1802" s="11"/>
      <c r="C1802" s="16"/>
      <c r="D1802" s="1"/>
      <c r="E1802" s="1"/>
      <c r="F1802" s="4"/>
      <c r="G1802" s="4"/>
      <c r="H1802" s="4">
        <f t="shared" si="28"/>
        <v>0</v>
      </c>
    </row>
    <row r="1803" spans="1:8" x14ac:dyDescent="0.35">
      <c r="A1803" s="11"/>
      <c r="B1803" s="11"/>
      <c r="C1803" s="16"/>
      <c r="D1803" s="1"/>
      <c r="E1803" s="1"/>
      <c r="F1803" s="4"/>
      <c r="G1803" s="4"/>
      <c r="H1803" s="4">
        <f t="shared" si="28"/>
        <v>0</v>
      </c>
    </row>
    <row r="1804" spans="1:8" x14ac:dyDescent="0.35">
      <c r="A1804" s="11"/>
      <c r="B1804" s="11"/>
      <c r="C1804" s="16"/>
      <c r="D1804" s="1"/>
      <c r="E1804" s="1"/>
      <c r="F1804" s="4"/>
      <c r="G1804" s="4"/>
      <c r="H1804" s="4">
        <f t="shared" si="28"/>
        <v>0</v>
      </c>
    </row>
    <row r="1805" spans="1:8" x14ac:dyDescent="0.35">
      <c r="A1805" s="11"/>
      <c r="B1805" s="11"/>
      <c r="C1805" s="16"/>
      <c r="D1805" s="1"/>
      <c r="E1805" s="1"/>
      <c r="F1805" s="4"/>
      <c r="G1805" s="4"/>
      <c r="H1805" s="4">
        <f t="shared" si="28"/>
        <v>0</v>
      </c>
    </row>
    <row r="1806" spans="1:8" x14ac:dyDescent="0.35">
      <c r="A1806" s="11"/>
      <c r="B1806" s="11"/>
      <c r="C1806" s="16"/>
      <c r="D1806" s="1"/>
      <c r="E1806" s="1"/>
      <c r="F1806" s="4"/>
      <c r="G1806" s="4"/>
      <c r="H1806" s="4">
        <f t="shared" si="28"/>
        <v>0</v>
      </c>
    </row>
    <row r="1807" spans="1:8" x14ac:dyDescent="0.35">
      <c r="A1807" s="11"/>
      <c r="B1807" s="11"/>
      <c r="C1807" s="16"/>
      <c r="D1807" s="1"/>
      <c r="E1807" s="1"/>
      <c r="F1807" s="4"/>
      <c r="G1807" s="4"/>
      <c r="H1807" s="4">
        <f t="shared" si="28"/>
        <v>0</v>
      </c>
    </row>
    <row r="1808" spans="1:8" x14ac:dyDescent="0.35">
      <c r="A1808" s="11"/>
      <c r="B1808" s="11"/>
      <c r="C1808" s="16"/>
      <c r="D1808" s="1"/>
      <c r="E1808" s="1"/>
      <c r="F1808" s="4"/>
      <c r="G1808" s="4"/>
      <c r="H1808" s="4">
        <f t="shared" si="28"/>
        <v>0</v>
      </c>
    </row>
    <row r="1809" spans="1:8" x14ac:dyDescent="0.35">
      <c r="A1809" s="11"/>
      <c r="B1809" s="11"/>
      <c r="C1809" s="16"/>
      <c r="D1809" s="1"/>
      <c r="E1809" s="1"/>
      <c r="F1809" s="4"/>
      <c r="G1809" s="4"/>
      <c r="H1809" s="4">
        <f t="shared" si="28"/>
        <v>0</v>
      </c>
    </row>
    <row r="1810" spans="1:8" x14ac:dyDescent="0.35">
      <c r="A1810" s="11"/>
      <c r="B1810" s="11"/>
      <c r="C1810" s="16"/>
      <c r="D1810" s="1"/>
      <c r="E1810" s="1"/>
      <c r="F1810" s="4"/>
      <c r="G1810" s="4"/>
      <c r="H1810" s="4">
        <f t="shared" si="28"/>
        <v>0</v>
      </c>
    </row>
    <row r="1811" spans="1:8" x14ac:dyDescent="0.35">
      <c r="A1811" s="11"/>
      <c r="B1811" s="11"/>
      <c r="C1811" s="16"/>
      <c r="D1811" s="1"/>
      <c r="E1811" s="1"/>
      <c r="F1811" s="4"/>
      <c r="G1811" s="4"/>
      <c r="H1811" s="4">
        <f t="shared" si="28"/>
        <v>0</v>
      </c>
    </row>
    <row r="1812" spans="1:8" x14ac:dyDescent="0.35">
      <c r="A1812" s="11"/>
      <c r="B1812" s="11"/>
      <c r="C1812" s="16"/>
      <c r="D1812" s="1"/>
      <c r="E1812" s="1"/>
      <c r="F1812" s="4"/>
      <c r="G1812" s="4"/>
      <c r="H1812" s="4">
        <f t="shared" si="28"/>
        <v>0</v>
      </c>
    </row>
    <row r="1813" spans="1:8" x14ac:dyDescent="0.35">
      <c r="A1813" s="11"/>
      <c r="B1813" s="11"/>
      <c r="C1813" s="16"/>
      <c r="D1813" s="1"/>
      <c r="E1813" s="1"/>
      <c r="F1813" s="4"/>
      <c r="G1813" s="4"/>
      <c r="H1813" s="4">
        <f t="shared" si="28"/>
        <v>0</v>
      </c>
    </row>
    <row r="1814" spans="1:8" x14ac:dyDescent="0.35">
      <c r="A1814" s="11"/>
      <c r="B1814" s="11"/>
      <c r="C1814" s="16"/>
      <c r="D1814" s="1"/>
      <c r="E1814" s="1"/>
      <c r="F1814" s="4"/>
      <c r="G1814" s="4"/>
      <c r="H1814" s="4">
        <f t="shared" si="28"/>
        <v>0</v>
      </c>
    </row>
    <row r="1815" spans="1:8" x14ac:dyDescent="0.35">
      <c r="A1815" s="11"/>
      <c r="B1815" s="11"/>
      <c r="C1815" s="16"/>
      <c r="D1815" s="1"/>
      <c r="E1815" s="1"/>
      <c r="F1815" s="4"/>
      <c r="G1815" s="4"/>
      <c r="H1815" s="4">
        <f t="shared" si="28"/>
        <v>0</v>
      </c>
    </row>
    <row r="1816" spans="1:8" x14ac:dyDescent="0.35">
      <c r="A1816" s="11"/>
      <c r="B1816" s="11"/>
      <c r="C1816" s="16"/>
      <c r="D1816" s="1"/>
      <c r="E1816" s="1"/>
      <c r="F1816" s="4"/>
      <c r="G1816" s="4"/>
      <c r="H1816" s="4">
        <f t="shared" si="28"/>
        <v>0</v>
      </c>
    </row>
    <row r="1817" spans="1:8" x14ac:dyDescent="0.35">
      <c r="A1817" s="11"/>
      <c r="B1817" s="11"/>
      <c r="C1817" s="16"/>
      <c r="D1817" s="1"/>
      <c r="E1817" s="1"/>
      <c r="F1817" s="4"/>
      <c r="G1817" s="4"/>
      <c r="H1817" s="4">
        <f t="shared" si="28"/>
        <v>0</v>
      </c>
    </row>
    <row r="1818" spans="1:8" x14ac:dyDescent="0.35">
      <c r="A1818" s="11"/>
      <c r="B1818" s="11"/>
      <c r="C1818" s="16"/>
      <c r="D1818" s="1"/>
      <c r="E1818" s="1"/>
      <c r="F1818" s="4"/>
      <c r="G1818" s="4"/>
      <c r="H1818" s="4">
        <f t="shared" si="28"/>
        <v>0</v>
      </c>
    </row>
    <row r="1819" spans="1:8" x14ac:dyDescent="0.35">
      <c r="A1819" s="11"/>
      <c r="B1819" s="11"/>
      <c r="C1819" s="16"/>
      <c r="D1819" s="1"/>
      <c r="E1819" s="1"/>
      <c r="F1819" s="4"/>
      <c r="G1819" s="4"/>
      <c r="H1819" s="4">
        <f t="shared" si="28"/>
        <v>0</v>
      </c>
    </row>
    <row r="1820" spans="1:8" x14ac:dyDescent="0.35">
      <c r="A1820" s="11"/>
      <c r="B1820" s="11"/>
      <c r="C1820" s="16"/>
      <c r="D1820" s="1"/>
      <c r="E1820" s="1"/>
      <c r="F1820" s="4"/>
      <c r="G1820" s="4"/>
      <c r="H1820" s="4">
        <f t="shared" si="28"/>
        <v>0</v>
      </c>
    </row>
    <row r="1821" spans="1:8" x14ac:dyDescent="0.35">
      <c r="A1821" s="11"/>
      <c r="B1821" s="11"/>
      <c r="C1821" s="16"/>
      <c r="D1821" s="1"/>
      <c r="E1821" s="1"/>
      <c r="F1821" s="4"/>
      <c r="G1821" s="4"/>
      <c r="H1821" s="4">
        <f t="shared" si="28"/>
        <v>0</v>
      </c>
    </row>
    <row r="1822" spans="1:8" x14ac:dyDescent="0.35">
      <c r="A1822" s="11"/>
      <c r="B1822" s="11"/>
      <c r="C1822" s="16"/>
      <c r="D1822" s="1"/>
      <c r="E1822" s="1"/>
      <c r="F1822" s="4"/>
      <c r="G1822" s="4"/>
      <c r="H1822" s="4">
        <f t="shared" si="28"/>
        <v>0</v>
      </c>
    </row>
    <row r="1823" spans="1:8" x14ac:dyDescent="0.35">
      <c r="A1823" s="11"/>
      <c r="B1823" s="11"/>
      <c r="C1823" s="16"/>
      <c r="D1823" s="1"/>
      <c r="E1823" s="1"/>
      <c r="F1823" s="4"/>
      <c r="G1823" s="4"/>
      <c r="H1823" s="4">
        <f t="shared" si="28"/>
        <v>0</v>
      </c>
    </row>
    <row r="1824" spans="1:8" x14ac:dyDescent="0.35">
      <c r="A1824" s="11"/>
      <c r="B1824" s="11"/>
      <c r="C1824" s="16"/>
      <c r="D1824" s="1"/>
      <c r="E1824" s="1"/>
      <c r="F1824" s="4"/>
      <c r="G1824" s="4"/>
      <c r="H1824" s="4">
        <f t="shared" si="28"/>
        <v>0</v>
      </c>
    </row>
    <row r="1825" spans="1:8" x14ac:dyDescent="0.35">
      <c r="A1825" s="11"/>
      <c r="B1825" s="11"/>
      <c r="C1825" s="16"/>
      <c r="D1825" s="1"/>
      <c r="E1825" s="1"/>
      <c r="F1825" s="4"/>
      <c r="G1825" s="4"/>
      <c r="H1825" s="4">
        <f t="shared" ref="H1825:H1888" si="29">H1824+F1825-G1825</f>
        <v>0</v>
      </c>
    </row>
    <row r="1826" spans="1:8" x14ac:dyDescent="0.35">
      <c r="A1826" s="11"/>
      <c r="B1826" s="11"/>
      <c r="C1826" s="16"/>
      <c r="D1826" s="1"/>
      <c r="E1826" s="1"/>
      <c r="F1826" s="4"/>
      <c r="G1826" s="4"/>
      <c r="H1826" s="4">
        <f t="shared" si="29"/>
        <v>0</v>
      </c>
    </row>
    <row r="1827" spans="1:8" x14ac:dyDescent="0.35">
      <c r="A1827" s="11"/>
      <c r="B1827" s="11"/>
      <c r="C1827" s="16"/>
      <c r="D1827" s="1"/>
      <c r="E1827" s="1"/>
      <c r="F1827" s="4"/>
      <c r="G1827" s="4"/>
      <c r="H1827" s="4">
        <f t="shared" si="29"/>
        <v>0</v>
      </c>
    </row>
    <row r="1828" spans="1:8" x14ac:dyDescent="0.35">
      <c r="A1828" s="11"/>
      <c r="B1828" s="11"/>
      <c r="C1828" s="16"/>
      <c r="D1828" s="1"/>
      <c r="E1828" s="1"/>
      <c r="F1828" s="4"/>
      <c r="G1828" s="4"/>
      <c r="H1828" s="4">
        <f t="shared" si="29"/>
        <v>0</v>
      </c>
    </row>
    <row r="1829" spans="1:8" x14ac:dyDescent="0.35">
      <c r="A1829" s="11"/>
      <c r="B1829" s="11"/>
      <c r="C1829" s="16"/>
      <c r="D1829" s="1"/>
      <c r="E1829" s="1"/>
      <c r="F1829" s="4"/>
      <c r="G1829" s="4"/>
      <c r="H1829" s="4">
        <f t="shared" si="29"/>
        <v>0</v>
      </c>
    </row>
    <row r="1830" spans="1:8" x14ac:dyDescent="0.35">
      <c r="A1830" s="11"/>
      <c r="B1830" s="11"/>
      <c r="C1830" s="16"/>
      <c r="D1830" s="1"/>
      <c r="E1830" s="1"/>
      <c r="F1830" s="4"/>
      <c r="G1830" s="4"/>
      <c r="H1830" s="4">
        <f t="shared" si="29"/>
        <v>0</v>
      </c>
    </row>
    <row r="1831" spans="1:8" x14ac:dyDescent="0.35">
      <c r="A1831" s="11"/>
      <c r="B1831" s="11"/>
      <c r="C1831" s="16"/>
      <c r="D1831" s="1"/>
      <c r="E1831" s="1"/>
      <c r="F1831" s="4"/>
      <c r="G1831" s="4"/>
      <c r="H1831" s="4">
        <f t="shared" si="29"/>
        <v>0</v>
      </c>
    </row>
    <row r="1832" spans="1:8" x14ac:dyDescent="0.35">
      <c r="A1832" s="11"/>
      <c r="B1832" s="11"/>
      <c r="C1832" s="16"/>
      <c r="D1832" s="1"/>
      <c r="E1832" s="1"/>
      <c r="F1832" s="4"/>
      <c r="G1832" s="4"/>
      <c r="H1832" s="4">
        <f t="shared" si="29"/>
        <v>0</v>
      </c>
    </row>
    <row r="1833" spans="1:8" x14ac:dyDescent="0.35">
      <c r="A1833" s="11"/>
      <c r="B1833" s="11"/>
      <c r="C1833" s="16"/>
      <c r="D1833" s="1"/>
      <c r="E1833" s="1"/>
      <c r="F1833" s="4"/>
      <c r="G1833" s="4"/>
      <c r="H1833" s="4">
        <f t="shared" si="29"/>
        <v>0</v>
      </c>
    </row>
    <row r="1834" spans="1:8" x14ac:dyDescent="0.35">
      <c r="A1834" s="11"/>
      <c r="B1834" s="11"/>
      <c r="C1834" s="16"/>
      <c r="D1834" s="1"/>
      <c r="E1834" s="1"/>
      <c r="F1834" s="4"/>
      <c r="G1834" s="4"/>
      <c r="H1834" s="4">
        <f t="shared" si="29"/>
        <v>0</v>
      </c>
    </row>
    <row r="1835" spans="1:8" x14ac:dyDescent="0.35">
      <c r="A1835" s="11"/>
      <c r="B1835" s="11"/>
      <c r="C1835" s="16"/>
      <c r="D1835" s="1"/>
      <c r="E1835" s="1"/>
      <c r="F1835" s="4"/>
      <c r="G1835" s="4"/>
      <c r="H1835" s="4">
        <f t="shared" si="29"/>
        <v>0</v>
      </c>
    </row>
    <row r="1836" spans="1:8" x14ac:dyDescent="0.35">
      <c r="A1836" s="11"/>
      <c r="B1836" s="11"/>
      <c r="C1836" s="16"/>
      <c r="D1836" s="1"/>
      <c r="E1836" s="1"/>
      <c r="F1836" s="4"/>
      <c r="G1836" s="4"/>
      <c r="H1836" s="4">
        <f t="shared" si="29"/>
        <v>0</v>
      </c>
    </row>
    <row r="1837" spans="1:8" x14ac:dyDescent="0.35">
      <c r="A1837" s="11"/>
      <c r="B1837" s="11"/>
      <c r="C1837" s="16"/>
      <c r="D1837" s="1"/>
      <c r="E1837" s="1"/>
      <c r="F1837" s="4"/>
      <c r="G1837" s="4"/>
      <c r="H1837" s="4">
        <f t="shared" si="29"/>
        <v>0</v>
      </c>
    </row>
    <row r="1838" spans="1:8" x14ac:dyDescent="0.35">
      <c r="A1838" s="11"/>
      <c r="B1838" s="11"/>
      <c r="C1838" s="16"/>
      <c r="D1838" s="1"/>
      <c r="E1838" s="1"/>
      <c r="F1838" s="4"/>
      <c r="G1838" s="4"/>
      <c r="H1838" s="4">
        <f t="shared" si="29"/>
        <v>0</v>
      </c>
    </row>
    <row r="1839" spans="1:8" x14ac:dyDescent="0.35">
      <c r="A1839" s="11"/>
      <c r="B1839" s="11"/>
      <c r="C1839" s="16"/>
      <c r="D1839" s="1"/>
      <c r="E1839" s="1"/>
      <c r="F1839" s="4"/>
      <c r="G1839" s="4"/>
      <c r="H1839" s="4">
        <f t="shared" si="29"/>
        <v>0</v>
      </c>
    </row>
    <row r="1840" spans="1:8" x14ac:dyDescent="0.35">
      <c r="A1840" s="11"/>
      <c r="B1840" s="11"/>
      <c r="C1840" s="16"/>
      <c r="D1840" s="1"/>
      <c r="E1840" s="1"/>
      <c r="F1840" s="4"/>
      <c r="G1840" s="4"/>
      <c r="H1840" s="4">
        <f t="shared" si="29"/>
        <v>0</v>
      </c>
    </row>
    <row r="1841" spans="1:8" x14ac:dyDescent="0.35">
      <c r="A1841" s="11"/>
      <c r="B1841" s="11"/>
      <c r="C1841" s="16"/>
      <c r="D1841" s="1"/>
      <c r="E1841" s="1"/>
      <c r="F1841" s="4"/>
      <c r="G1841" s="4"/>
      <c r="H1841" s="4">
        <f t="shared" si="29"/>
        <v>0</v>
      </c>
    </row>
    <row r="1842" spans="1:8" x14ac:dyDescent="0.35">
      <c r="A1842" s="11"/>
      <c r="B1842" s="11"/>
      <c r="C1842" s="16"/>
      <c r="D1842" s="1"/>
      <c r="E1842" s="1"/>
      <c r="F1842" s="4"/>
      <c r="G1842" s="4"/>
      <c r="H1842" s="4">
        <f t="shared" si="29"/>
        <v>0</v>
      </c>
    </row>
    <row r="1843" spans="1:8" x14ac:dyDescent="0.35">
      <c r="A1843" s="11"/>
      <c r="B1843" s="11"/>
      <c r="C1843" s="16"/>
      <c r="D1843" s="1"/>
      <c r="E1843" s="1"/>
      <c r="F1843" s="4"/>
      <c r="G1843" s="4"/>
      <c r="H1843" s="4">
        <f t="shared" si="29"/>
        <v>0</v>
      </c>
    </row>
    <row r="1844" spans="1:8" x14ac:dyDescent="0.35">
      <c r="A1844" s="11"/>
      <c r="B1844" s="11"/>
      <c r="C1844" s="16"/>
      <c r="D1844" s="1"/>
      <c r="E1844" s="1"/>
      <c r="F1844" s="4"/>
      <c r="G1844" s="4"/>
      <c r="H1844" s="4">
        <f t="shared" si="29"/>
        <v>0</v>
      </c>
    </row>
    <row r="1845" spans="1:8" x14ac:dyDescent="0.35">
      <c r="A1845" s="11"/>
      <c r="B1845" s="11"/>
      <c r="C1845" s="16"/>
      <c r="D1845" s="1"/>
      <c r="E1845" s="1"/>
      <c r="F1845" s="4"/>
      <c r="G1845" s="4"/>
      <c r="H1845" s="4">
        <f t="shared" si="29"/>
        <v>0</v>
      </c>
    </row>
    <row r="1846" spans="1:8" x14ac:dyDescent="0.35">
      <c r="A1846" s="11"/>
      <c r="B1846" s="11"/>
      <c r="C1846" s="16"/>
      <c r="D1846" s="1"/>
      <c r="E1846" s="1"/>
      <c r="F1846" s="4"/>
      <c r="G1846" s="4"/>
      <c r="H1846" s="4">
        <f t="shared" si="29"/>
        <v>0</v>
      </c>
    </row>
    <row r="1847" spans="1:8" x14ac:dyDescent="0.35">
      <c r="A1847" s="11"/>
      <c r="B1847" s="11"/>
      <c r="C1847" s="16"/>
      <c r="D1847" s="1"/>
      <c r="E1847" s="1"/>
      <c r="F1847" s="4"/>
      <c r="G1847" s="4"/>
      <c r="H1847" s="4">
        <f t="shared" si="29"/>
        <v>0</v>
      </c>
    </row>
    <row r="1848" spans="1:8" x14ac:dyDescent="0.35">
      <c r="A1848" s="11"/>
      <c r="B1848" s="11"/>
      <c r="C1848" s="16"/>
      <c r="D1848" s="1"/>
      <c r="E1848" s="1"/>
      <c r="F1848" s="4"/>
      <c r="G1848" s="4"/>
      <c r="H1848" s="4">
        <f t="shared" si="29"/>
        <v>0</v>
      </c>
    </row>
    <row r="1849" spans="1:8" x14ac:dyDescent="0.35">
      <c r="A1849" s="11"/>
      <c r="B1849" s="11"/>
      <c r="C1849" s="16"/>
      <c r="D1849" s="1"/>
      <c r="E1849" s="1"/>
      <c r="F1849" s="4"/>
      <c r="G1849" s="4"/>
      <c r="H1849" s="4">
        <f t="shared" si="29"/>
        <v>0</v>
      </c>
    </row>
    <row r="1850" spans="1:8" x14ac:dyDescent="0.35">
      <c r="A1850" s="11"/>
      <c r="B1850" s="11"/>
      <c r="C1850" s="16"/>
      <c r="D1850" s="1"/>
      <c r="E1850" s="1"/>
      <c r="F1850" s="4"/>
      <c r="G1850" s="4"/>
      <c r="H1850" s="4">
        <f t="shared" si="29"/>
        <v>0</v>
      </c>
    </row>
    <row r="1851" spans="1:8" x14ac:dyDescent="0.35">
      <c r="A1851" s="11"/>
      <c r="B1851" s="11"/>
      <c r="C1851" s="16"/>
      <c r="D1851" s="1"/>
      <c r="E1851" s="1"/>
      <c r="F1851" s="4"/>
      <c r="G1851" s="4"/>
      <c r="H1851" s="4">
        <f t="shared" si="29"/>
        <v>0</v>
      </c>
    </row>
    <row r="1852" spans="1:8" x14ac:dyDescent="0.35">
      <c r="A1852" s="11"/>
      <c r="B1852" s="11"/>
      <c r="C1852" s="16"/>
      <c r="D1852" s="1"/>
      <c r="E1852" s="1"/>
      <c r="F1852" s="4"/>
      <c r="G1852" s="4"/>
      <c r="H1852" s="4">
        <f t="shared" si="29"/>
        <v>0</v>
      </c>
    </row>
    <row r="1853" spans="1:8" x14ac:dyDescent="0.35">
      <c r="A1853" s="11"/>
      <c r="B1853" s="11"/>
      <c r="C1853" s="16"/>
      <c r="D1853" s="1"/>
      <c r="E1853" s="1"/>
      <c r="F1853" s="4"/>
      <c r="G1853" s="4"/>
      <c r="H1853" s="4">
        <f t="shared" si="29"/>
        <v>0</v>
      </c>
    </row>
    <row r="1854" spans="1:8" x14ac:dyDescent="0.35">
      <c r="A1854" s="11"/>
      <c r="B1854" s="11"/>
      <c r="C1854" s="16"/>
      <c r="D1854" s="1"/>
      <c r="E1854" s="1"/>
      <c r="F1854" s="4"/>
      <c r="G1854" s="4"/>
      <c r="H1854" s="4">
        <f t="shared" si="29"/>
        <v>0</v>
      </c>
    </row>
    <row r="1855" spans="1:8" x14ac:dyDescent="0.35">
      <c r="A1855" s="11"/>
      <c r="B1855" s="11"/>
      <c r="C1855" s="16"/>
      <c r="D1855" s="1"/>
      <c r="E1855" s="1"/>
      <c r="F1855" s="4"/>
      <c r="G1855" s="4"/>
      <c r="H1855" s="4">
        <f t="shared" si="29"/>
        <v>0</v>
      </c>
    </row>
    <row r="1856" spans="1:8" x14ac:dyDescent="0.35">
      <c r="A1856" s="11"/>
      <c r="B1856" s="11"/>
      <c r="C1856" s="16"/>
      <c r="D1856" s="1"/>
      <c r="E1856" s="1"/>
      <c r="F1856" s="4"/>
      <c r="G1856" s="4"/>
      <c r="H1856" s="4">
        <f t="shared" si="29"/>
        <v>0</v>
      </c>
    </row>
    <row r="1857" spans="1:8" x14ac:dyDescent="0.35">
      <c r="A1857" s="11"/>
      <c r="B1857" s="11"/>
      <c r="C1857" s="16"/>
      <c r="D1857" s="1"/>
      <c r="E1857" s="1"/>
      <c r="F1857" s="4"/>
      <c r="G1857" s="4"/>
      <c r="H1857" s="4">
        <f t="shared" si="29"/>
        <v>0</v>
      </c>
    </row>
    <row r="1858" spans="1:8" x14ac:dyDescent="0.35">
      <c r="A1858" s="11"/>
      <c r="B1858" s="11"/>
      <c r="C1858" s="16"/>
      <c r="D1858" s="1"/>
      <c r="E1858" s="1"/>
      <c r="F1858" s="4"/>
      <c r="G1858" s="4"/>
      <c r="H1858" s="4">
        <f t="shared" si="29"/>
        <v>0</v>
      </c>
    </row>
    <row r="1859" spans="1:8" x14ac:dyDescent="0.35">
      <c r="A1859" s="11"/>
      <c r="B1859" s="11"/>
      <c r="C1859" s="16"/>
      <c r="D1859" s="1"/>
      <c r="E1859" s="1"/>
      <c r="F1859" s="4"/>
      <c r="G1859" s="4"/>
      <c r="H1859" s="4">
        <f t="shared" si="29"/>
        <v>0</v>
      </c>
    </row>
    <row r="1860" spans="1:8" x14ac:dyDescent="0.35">
      <c r="A1860" s="11"/>
      <c r="B1860" s="11"/>
      <c r="C1860" s="16"/>
      <c r="D1860" s="1"/>
      <c r="E1860" s="1"/>
      <c r="F1860" s="4"/>
      <c r="G1860" s="4"/>
      <c r="H1860" s="4">
        <f t="shared" si="29"/>
        <v>0</v>
      </c>
    </row>
    <row r="1861" spans="1:8" x14ac:dyDescent="0.35">
      <c r="A1861" s="11"/>
      <c r="B1861" s="11"/>
      <c r="C1861" s="16"/>
      <c r="D1861" s="1"/>
      <c r="E1861" s="1"/>
      <c r="F1861" s="4"/>
      <c r="G1861" s="4"/>
      <c r="H1861" s="4">
        <f t="shared" si="29"/>
        <v>0</v>
      </c>
    </row>
    <row r="1862" spans="1:8" x14ac:dyDescent="0.35">
      <c r="A1862" s="11"/>
      <c r="B1862" s="11"/>
      <c r="C1862" s="16"/>
      <c r="D1862" s="1"/>
      <c r="E1862" s="1"/>
      <c r="F1862" s="4"/>
      <c r="G1862" s="4"/>
      <c r="H1862" s="4">
        <f t="shared" si="29"/>
        <v>0</v>
      </c>
    </row>
    <row r="1863" spans="1:8" x14ac:dyDescent="0.35">
      <c r="A1863" s="11"/>
      <c r="B1863" s="11"/>
      <c r="C1863" s="16"/>
      <c r="D1863" s="1"/>
      <c r="E1863" s="1"/>
      <c r="F1863" s="4"/>
      <c r="G1863" s="4"/>
      <c r="H1863" s="4">
        <f t="shared" si="29"/>
        <v>0</v>
      </c>
    </row>
    <row r="1864" spans="1:8" x14ac:dyDescent="0.35">
      <c r="A1864" s="11"/>
      <c r="B1864" s="11"/>
      <c r="C1864" s="16"/>
      <c r="D1864" s="1"/>
      <c r="E1864" s="1"/>
      <c r="F1864" s="4"/>
      <c r="G1864" s="4"/>
      <c r="H1864" s="4">
        <f t="shared" si="29"/>
        <v>0</v>
      </c>
    </row>
    <row r="1865" spans="1:8" x14ac:dyDescent="0.35">
      <c r="A1865" s="11"/>
      <c r="B1865" s="11"/>
      <c r="C1865" s="16"/>
      <c r="D1865" s="1"/>
      <c r="E1865" s="1"/>
      <c r="F1865" s="4"/>
      <c r="G1865" s="4"/>
      <c r="H1865" s="4">
        <f t="shared" si="29"/>
        <v>0</v>
      </c>
    </row>
    <row r="1866" spans="1:8" x14ac:dyDescent="0.35">
      <c r="A1866" s="11"/>
      <c r="B1866" s="11"/>
      <c r="C1866" s="16"/>
      <c r="D1866" s="1"/>
      <c r="E1866" s="1"/>
      <c r="F1866" s="4"/>
      <c r="G1866" s="4"/>
      <c r="H1866" s="4">
        <f t="shared" si="29"/>
        <v>0</v>
      </c>
    </row>
    <row r="1867" spans="1:8" x14ac:dyDescent="0.35">
      <c r="A1867" s="11"/>
      <c r="B1867" s="11"/>
      <c r="C1867" s="16"/>
      <c r="D1867" s="1"/>
      <c r="E1867" s="1"/>
      <c r="F1867" s="4"/>
      <c r="G1867" s="4"/>
      <c r="H1867" s="4">
        <f t="shared" si="29"/>
        <v>0</v>
      </c>
    </row>
    <row r="1868" spans="1:8" x14ac:dyDescent="0.35">
      <c r="A1868" s="11"/>
      <c r="B1868" s="11"/>
      <c r="C1868" s="16"/>
      <c r="D1868" s="1"/>
      <c r="E1868" s="1"/>
      <c r="F1868" s="4"/>
      <c r="G1868" s="4"/>
      <c r="H1868" s="4">
        <f t="shared" si="29"/>
        <v>0</v>
      </c>
    </row>
    <row r="1869" spans="1:8" x14ac:dyDescent="0.35">
      <c r="A1869" s="11"/>
      <c r="B1869" s="11"/>
      <c r="C1869" s="16"/>
      <c r="D1869" s="1"/>
      <c r="E1869" s="1"/>
      <c r="F1869" s="4"/>
      <c r="G1869" s="4"/>
      <c r="H1869" s="4">
        <f t="shared" si="29"/>
        <v>0</v>
      </c>
    </row>
    <row r="1870" spans="1:8" x14ac:dyDescent="0.35">
      <c r="A1870" s="11"/>
      <c r="B1870" s="11"/>
      <c r="C1870" s="16"/>
      <c r="D1870" s="1"/>
      <c r="E1870" s="1"/>
      <c r="F1870" s="4"/>
      <c r="G1870" s="4"/>
      <c r="H1870" s="4">
        <f t="shared" si="29"/>
        <v>0</v>
      </c>
    </row>
    <row r="1871" spans="1:8" x14ac:dyDescent="0.35">
      <c r="A1871" s="11"/>
      <c r="B1871" s="11"/>
      <c r="C1871" s="16"/>
      <c r="D1871" s="1"/>
      <c r="E1871" s="1"/>
      <c r="F1871" s="4"/>
      <c r="G1871" s="4"/>
      <c r="H1871" s="4">
        <f t="shared" si="29"/>
        <v>0</v>
      </c>
    </row>
    <row r="1872" spans="1:8" x14ac:dyDescent="0.35">
      <c r="A1872" s="11"/>
      <c r="B1872" s="11"/>
      <c r="C1872" s="16"/>
      <c r="D1872" s="1"/>
      <c r="E1872" s="1"/>
      <c r="F1872" s="4"/>
      <c r="G1872" s="4"/>
      <c r="H1872" s="4">
        <f t="shared" si="29"/>
        <v>0</v>
      </c>
    </row>
    <row r="1873" spans="1:8" x14ac:dyDescent="0.35">
      <c r="A1873" s="11"/>
      <c r="B1873" s="11"/>
      <c r="C1873" s="16"/>
      <c r="D1873" s="1"/>
      <c r="E1873" s="1"/>
      <c r="F1873" s="4"/>
      <c r="G1873" s="4"/>
      <c r="H1873" s="4">
        <f t="shared" si="29"/>
        <v>0</v>
      </c>
    </row>
    <row r="1874" spans="1:8" x14ac:dyDescent="0.35">
      <c r="A1874" s="11"/>
      <c r="B1874" s="11"/>
      <c r="C1874" s="16"/>
      <c r="D1874" s="1"/>
      <c r="E1874" s="1"/>
      <c r="F1874" s="4"/>
      <c r="G1874" s="4"/>
      <c r="H1874" s="4">
        <f t="shared" si="29"/>
        <v>0</v>
      </c>
    </row>
    <row r="1875" spans="1:8" x14ac:dyDescent="0.35">
      <c r="A1875" s="11"/>
      <c r="B1875" s="11"/>
      <c r="C1875" s="16"/>
      <c r="D1875" s="1"/>
      <c r="E1875" s="1"/>
      <c r="F1875" s="4"/>
      <c r="G1875" s="4"/>
      <c r="H1875" s="4">
        <f t="shared" si="29"/>
        <v>0</v>
      </c>
    </row>
    <row r="1876" spans="1:8" x14ac:dyDescent="0.35">
      <c r="A1876" s="11"/>
      <c r="B1876" s="11"/>
      <c r="C1876" s="16"/>
      <c r="D1876" s="1"/>
      <c r="E1876" s="1"/>
      <c r="F1876" s="4"/>
      <c r="G1876" s="4"/>
      <c r="H1876" s="4">
        <f t="shared" si="29"/>
        <v>0</v>
      </c>
    </row>
    <row r="1877" spans="1:8" x14ac:dyDescent="0.35">
      <c r="A1877" s="11"/>
      <c r="B1877" s="11"/>
      <c r="C1877" s="16"/>
      <c r="D1877" s="1"/>
      <c r="E1877" s="1"/>
      <c r="F1877" s="4"/>
      <c r="G1877" s="4"/>
      <c r="H1877" s="4">
        <f t="shared" si="29"/>
        <v>0</v>
      </c>
    </row>
    <row r="1878" spans="1:8" x14ac:dyDescent="0.35">
      <c r="A1878" s="11"/>
      <c r="B1878" s="11"/>
      <c r="C1878" s="16"/>
      <c r="D1878" s="1"/>
      <c r="E1878" s="1"/>
      <c r="F1878" s="4"/>
      <c r="G1878" s="4"/>
      <c r="H1878" s="4">
        <f t="shared" si="29"/>
        <v>0</v>
      </c>
    </row>
    <row r="1879" spans="1:8" x14ac:dyDescent="0.35">
      <c r="A1879" s="11"/>
      <c r="B1879" s="11"/>
      <c r="C1879" s="16"/>
      <c r="D1879" s="1"/>
      <c r="E1879" s="1"/>
      <c r="F1879" s="4"/>
      <c r="G1879" s="4"/>
      <c r="H1879" s="4">
        <f t="shared" si="29"/>
        <v>0</v>
      </c>
    </row>
    <row r="1880" spans="1:8" x14ac:dyDescent="0.35">
      <c r="A1880" s="11"/>
      <c r="B1880" s="11"/>
      <c r="C1880" s="16"/>
      <c r="D1880" s="1"/>
      <c r="E1880" s="1"/>
      <c r="F1880" s="4"/>
      <c r="G1880" s="4"/>
      <c r="H1880" s="4">
        <f t="shared" si="29"/>
        <v>0</v>
      </c>
    </row>
    <row r="1881" spans="1:8" x14ac:dyDescent="0.35">
      <c r="A1881" s="11"/>
      <c r="B1881" s="11"/>
      <c r="C1881" s="16"/>
      <c r="D1881" s="1"/>
      <c r="E1881" s="1"/>
      <c r="F1881" s="4"/>
      <c r="G1881" s="4"/>
      <c r="H1881" s="4">
        <f t="shared" si="29"/>
        <v>0</v>
      </c>
    </row>
    <row r="1882" spans="1:8" x14ac:dyDescent="0.35">
      <c r="A1882" s="11"/>
      <c r="B1882" s="11"/>
      <c r="C1882" s="16"/>
      <c r="D1882" s="1"/>
      <c r="E1882" s="1"/>
      <c r="F1882" s="4"/>
      <c r="G1882" s="4"/>
      <c r="H1882" s="4">
        <f t="shared" si="29"/>
        <v>0</v>
      </c>
    </row>
    <row r="1883" spans="1:8" x14ac:dyDescent="0.35">
      <c r="A1883" s="11"/>
      <c r="B1883" s="11"/>
      <c r="C1883" s="16"/>
      <c r="D1883" s="1"/>
      <c r="E1883" s="1"/>
      <c r="F1883" s="4"/>
      <c r="G1883" s="4"/>
      <c r="H1883" s="4">
        <f t="shared" si="29"/>
        <v>0</v>
      </c>
    </row>
    <row r="1884" spans="1:8" x14ac:dyDescent="0.35">
      <c r="A1884" s="11"/>
      <c r="B1884" s="11"/>
      <c r="C1884" s="16"/>
      <c r="D1884" s="1"/>
      <c r="E1884" s="1"/>
      <c r="F1884" s="4"/>
      <c r="G1884" s="4"/>
      <c r="H1884" s="4">
        <f t="shared" si="29"/>
        <v>0</v>
      </c>
    </row>
    <row r="1885" spans="1:8" x14ac:dyDescent="0.35">
      <c r="A1885" s="11"/>
      <c r="B1885" s="11"/>
      <c r="C1885" s="16"/>
      <c r="D1885" s="1"/>
      <c r="E1885" s="1"/>
      <c r="F1885" s="4"/>
      <c r="G1885" s="4"/>
      <c r="H1885" s="4">
        <f t="shared" si="29"/>
        <v>0</v>
      </c>
    </row>
    <row r="1886" spans="1:8" x14ac:dyDescent="0.35">
      <c r="A1886" s="11"/>
      <c r="B1886" s="11"/>
      <c r="C1886" s="16"/>
      <c r="D1886" s="1"/>
      <c r="E1886" s="1"/>
      <c r="F1886" s="4"/>
      <c r="G1886" s="4"/>
      <c r="H1886" s="4">
        <f t="shared" si="29"/>
        <v>0</v>
      </c>
    </row>
    <row r="1887" spans="1:8" x14ac:dyDescent="0.35">
      <c r="A1887" s="11"/>
      <c r="B1887" s="11"/>
      <c r="C1887" s="16"/>
      <c r="D1887" s="1"/>
      <c r="E1887" s="1"/>
      <c r="F1887" s="4"/>
      <c r="G1887" s="4"/>
      <c r="H1887" s="4">
        <f t="shared" si="29"/>
        <v>0</v>
      </c>
    </row>
    <row r="1888" spans="1:8" x14ac:dyDescent="0.35">
      <c r="A1888" s="11"/>
      <c r="B1888" s="11"/>
      <c r="C1888" s="16"/>
      <c r="D1888" s="1"/>
      <c r="E1888" s="1"/>
      <c r="F1888" s="4"/>
      <c r="G1888" s="4"/>
      <c r="H1888" s="4">
        <f t="shared" si="29"/>
        <v>0</v>
      </c>
    </row>
    <row r="1889" spans="1:8" x14ac:dyDescent="0.35">
      <c r="A1889" s="11"/>
      <c r="B1889" s="11"/>
      <c r="C1889" s="16"/>
      <c r="D1889" s="1"/>
      <c r="E1889" s="1"/>
      <c r="F1889" s="4"/>
      <c r="G1889" s="4"/>
      <c r="H1889" s="4">
        <f t="shared" ref="H1889:H1952" si="30">H1888+F1889-G1889</f>
        <v>0</v>
      </c>
    </row>
    <row r="1890" spans="1:8" x14ac:dyDescent="0.35">
      <c r="A1890" s="11"/>
      <c r="B1890" s="11"/>
      <c r="C1890" s="16"/>
      <c r="D1890" s="1"/>
      <c r="E1890" s="1"/>
      <c r="F1890" s="4"/>
      <c r="G1890" s="4"/>
      <c r="H1890" s="4">
        <f t="shared" si="30"/>
        <v>0</v>
      </c>
    </row>
    <row r="1891" spans="1:8" x14ac:dyDescent="0.35">
      <c r="A1891" s="11"/>
      <c r="B1891" s="11"/>
      <c r="C1891" s="16"/>
      <c r="D1891" s="1"/>
      <c r="E1891" s="1"/>
      <c r="F1891" s="4"/>
      <c r="G1891" s="4"/>
      <c r="H1891" s="4">
        <f t="shared" si="30"/>
        <v>0</v>
      </c>
    </row>
    <row r="1892" spans="1:8" x14ac:dyDescent="0.35">
      <c r="A1892" s="11"/>
      <c r="B1892" s="11"/>
      <c r="C1892" s="16"/>
      <c r="D1892" s="1"/>
      <c r="E1892" s="1"/>
      <c r="F1892" s="4"/>
      <c r="G1892" s="4"/>
      <c r="H1892" s="4">
        <f t="shared" si="30"/>
        <v>0</v>
      </c>
    </row>
    <row r="1893" spans="1:8" x14ac:dyDescent="0.35">
      <c r="A1893" s="11"/>
      <c r="B1893" s="11"/>
      <c r="C1893" s="16"/>
      <c r="D1893" s="1"/>
      <c r="E1893" s="1"/>
      <c r="F1893" s="4"/>
      <c r="G1893" s="4"/>
      <c r="H1893" s="4">
        <f t="shared" si="30"/>
        <v>0</v>
      </c>
    </row>
    <row r="1894" spans="1:8" x14ac:dyDescent="0.35">
      <c r="A1894" s="11"/>
      <c r="B1894" s="11"/>
      <c r="C1894" s="16"/>
      <c r="D1894" s="1"/>
      <c r="E1894" s="1"/>
      <c r="F1894" s="4"/>
      <c r="G1894" s="4"/>
      <c r="H1894" s="4">
        <f t="shared" si="30"/>
        <v>0</v>
      </c>
    </row>
    <row r="1895" spans="1:8" x14ac:dyDescent="0.35">
      <c r="A1895" s="11"/>
      <c r="B1895" s="11"/>
      <c r="C1895" s="16"/>
      <c r="D1895" s="1"/>
      <c r="E1895" s="1"/>
      <c r="F1895" s="4"/>
      <c r="G1895" s="4"/>
      <c r="H1895" s="4">
        <f t="shared" si="30"/>
        <v>0</v>
      </c>
    </row>
    <row r="1896" spans="1:8" x14ac:dyDescent="0.35">
      <c r="A1896" s="11"/>
      <c r="B1896" s="11"/>
      <c r="C1896" s="16"/>
      <c r="D1896" s="1"/>
      <c r="E1896" s="1"/>
      <c r="F1896" s="4"/>
      <c r="G1896" s="4"/>
      <c r="H1896" s="4">
        <f t="shared" si="30"/>
        <v>0</v>
      </c>
    </row>
    <row r="1897" spans="1:8" x14ac:dyDescent="0.35">
      <c r="A1897" s="11"/>
      <c r="B1897" s="11"/>
      <c r="C1897" s="16"/>
      <c r="D1897" s="1"/>
      <c r="E1897" s="1"/>
      <c r="F1897" s="4"/>
      <c r="G1897" s="4"/>
      <c r="H1897" s="4">
        <f t="shared" si="30"/>
        <v>0</v>
      </c>
    </row>
    <row r="1898" spans="1:8" x14ac:dyDescent="0.35">
      <c r="A1898" s="11"/>
      <c r="B1898" s="11"/>
      <c r="C1898" s="16"/>
      <c r="D1898" s="1"/>
      <c r="E1898" s="1"/>
      <c r="F1898" s="4"/>
      <c r="G1898" s="4"/>
      <c r="H1898" s="4">
        <f t="shared" si="30"/>
        <v>0</v>
      </c>
    </row>
    <row r="1899" spans="1:8" x14ac:dyDescent="0.35">
      <c r="A1899" s="11"/>
      <c r="B1899" s="11"/>
      <c r="C1899" s="16"/>
      <c r="D1899" s="1"/>
      <c r="E1899" s="1"/>
      <c r="F1899" s="4"/>
      <c r="G1899" s="4"/>
      <c r="H1899" s="4">
        <f t="shared" si="30"/>
        <v>0</v>
      </c>
    </row>
    <row r="1900" spans="1:8" x14ac:dyDescent="0.35">
      <c r="A1900" s="11"/>
      <c r="B1900" s="11"/>
      <c r="C1900" s="16"/>
      <c r="D1900" s="1"/>
      <c r="E1900" s="1"/>
      <c r="F1900" s="4"/>
      <c r="G1900" s="4"/>
      <c r="H1900" s="4">
        <f t="shared" si="30"/>
        <v>0</v>
      </c>
    </row>
    <row r="1901" spans="1:8" x14ac:dyDescent="0.35">
      <c r="A1901" s="11"/>
      <c r="B1901" s="11"/>
      <c r="C1901" s="16"/>
      <c r="D1901" s="1"/>
      <c r="E1901" s="1"/>
      <c r="F1901" s="4"/>
      <c r="G1901" s="4"/>
      <c r="H1901" s="4">
        <f t="shared" si="30"/>
        <v>0</v>
      </c>
    </row>
    <row r="1902" spans="1:8" x14ac:dyDescent="0.35">
      <c r="A1902" s="11"/>
      <c r="B1902" s="11"/>
      <c r="C1902" s="16"/>
      <c r="D1902" s="1"/>
      <c r="E1902" s="1"/>
      <c r="F1902" s="4"/>
      <c r="G1902" s="4"/>
      <c r="H1902" s="4">
        <f t="shared" si="30"/>
        <v>0</v>
      </c>
    </row>
    <row r="1903" spans="1:8" x14ac:dyDescent="0.35">
      <c r="A1903" s="11"/>
      <c r="B1903" s="11"/>
      <c r="C1903" s="16"/>
      <c r="D1903" s="18"/>
      <c r="E1903" s="18"/>
      <c r="F1903" s="4"/>
      <c r="G1903" s="4"/>
      <c r="H1903" s="4">
        <f t="shared" si="30"/>
        <v>0</v>
      </c>
    </row>
    <row r="1904" spans="1:8" x14ac:dyDescent="0.35">
      <c r="A1904" s="11"/>
      <c r="B1904" s="11"/>
      <c r="C1904" s="16"/>
      <c r="D1904" s="18"/>
      <c r="E1904" s="18"/>
      <c r="F1904" s="4"/>
      <c r="G1904" s="4"/>
      <c r="H1904" s="4">
        <f t="shared" si="30"/>
        <v>0</v>
      </c>
    </row>
    <row r="1905" spans="1:8" x14ac:dyDescent="0.35">
      <c r="A1905" s="11"/>
      <c r="B1905" s="11"/>
      <c r="C1905" s="16"/>
      <c r="D1905" s="18"/>
      <c r="E1905" s="18"/>
      <c r="F1905" s="4"/>
      <c r="G1905" s="4"/>
      <c r="H1905" s="4">
        <f t="shared" si="30"/>
        <v>0</v>
      </c>
    </row>
    <row r="1906" spans="1:8" x14ac:dyDescent="0.35">
      <c r="A1906" s="11"/>
      <c r="B1906" s="11"/>
      <c r="C1906" s="16"/>
      <c r="D1906" s="18"/>
      <c r="E1906" s="18"/>
      <c r="F1906" s="4"/>
      <c r="G1906" s="4"/>
      <c r="H1906" s="4">
        <f t="shared" si="30"/>
        <v>0</v>
      </c>
    </row>
    <row r="1907" spans="1:8" x14ac:dyDescent="0.35">
      <c r="A1907" s="11"/>
      <c r="B1907" s="11"/>
      <c r="C1907" s="16"/>
      <c r="D1907" s="18"/>
      <c r="E1907" s="18"/>
      <c r="F1907" s="4"/>
      <c r="G1907" s="4"/>
      <c r="H1907" s="4">
        <f t="shared" si="30"/>
        <v>0</v>
      </c>
    </row>
    <row r="1908" spans="1:8" x14ac:dyDescent="0.35">
      <c r="A1908" s="11"/>
      <c r="B1908" s="11"/>
      <c r="C1908" s="16"/>
      <c r="D1908" s="1"/>
      <c r="E1908" s="1"/>
      <c r="F1908" s="4"/>
      <c r="G1908" s="4"/>
      <c r="H1908" s="4">
        <f t="shared" si="30"/>
        <v>0</v>
      </c>
    </row>
    <row r="1909" spans="1:8" x14ac:dyDescent="0.35">
      <c r="A1909" s="11"/>
      <c r="B1909" s="11"/>
      <c r="C1909" s="16"/>
      <c r="D1909" s="1"/>
      <c r="E1909" s="1"/>
      <c r="F1909" s="4"/>
      <c r="G1909" s="4"/>
      <c r="H1909" s="4">
        <f t="shared" si="30"/>
        <v>0</v>
      </c>
    </row>
    <row r="1910" spans="1:8" x14ac:dyDescent="0.35">
      <c r="A1910" s="11"/>
      <c r="B1910" s="11"/>
      <c r="C1910" s="16"/>
      <c r="D1910" s="1"/>
      <c r="E1910" s="1"/>
      <c r="F1910" s="4"/>
      <c r="G1910" s="4"/>
      <c r="H1910" s="4">
        <f t="shared" si="30"/>
        <v>0</v>
      </c>
    </row>
    <row r="1911" spans="1:8" x14ac:dyDescent="0.35">
      <c r="A1911" s="11"/>
      <c r="B1911" s="11"/>
      <c r="C1911" s="16"/>
      <c r="D1911" s="1"/>
      <c r="E1911" s="1"/>
      <c r="F1911" s="4"/>
      <c r="G1911" s="4"/>
      <c r="H1911" s="4">
        <f t="shared" si="30"/>
        <v>0</v>
      </c>
    </row>
    <row r="1912" spans="1:8" x14ac:dyDescent="0.35">
      <c r="A1912" s="11"/>
      <c r="B1912" s="11"/>
      <c r="C1912" s="16"/>
      <c r="D1912" s="1"/>
      <c r="E1912" s="1"/>
      <c r="F1912" s="4"/>
      <c r="G1912" s="4"/>
      <c r="H1912" s="4">
        <f t="shared" si="30"/>
        <v>0</v>
      </c>
    </row>
    <row r="1913" spans="1:8" x14ac:dyDescent="0.35">
      <c r="A1913" s="11"/>
      <c r="B1913" s="11"/>
      <c r="C1913" s="16"/>
      <c r="D1913" s="1"/>
      <c r="E1913" s="1"/>
      <c r="F1913" s="4"/>
      <c r="G1913" s="4"/>
      <c r="H1913" s="4">
        <f t="shared" si="30"/>
        <v>0</v>
      </c>
    </row>
    <row r="1914" spans="1:8" x14ac:dyDescent="0.35">
      <c r="A1914" s="11"/>
      <c r="B1914" s="11"/>
      <c r="C1914" s="16"/>
      <c r="D1914" s="1"/>
      <c r="E1914" s="1"/>
      <c r="F1914" s="4"/>
      <c r="G1914" s="4"/>
      <c r="H1914" s="4">
        <f t="shared" si="30"/>
        <v>0</v>
      </c>
    </row>
    <row r="1915" spans="1:8" x14ac:dyDescent="0.35">
      <c r="A1915" s="11"/>
      <c r="B1915" s="11"/>
      <c r="C1915" s="16"/>
      <c r="D1915" s="1"/>
      <c r="E1915" s="1"/>
      <c r="F1915" s="4"/>
      <c r="G1915" s="4"/>
      <c r="H1915" s="4">
        <f t="shared" si="30"/>
        <v>0</v>
      </c>
    </row>
    <row r="1916" spans="1:8" x14ac:dyDescent="0.35">
      <c r="A1916" s="11"/>
      <c r="B1916" s="11"/>
      <c r="C1916" s="16"/>
      <c r="D1916" s="1"/>
      <c r="E1916" s="1"/>
      <c r="F1916" s="4"/>
      <c r="G1916" s="4"/>
      <c r="H1916" s="4">
        <f t="shared" si="30"/>
        <v>0</v>
      </c>
    </row>
    <row r="1917" spans="1:8" x14ac:dyDescent="0.35">
      <c r="A1917" s="11"/>
      <c r="B1917" s="11"/>
      <c r="C1917" s="16"/>
      <c r="D1917" s="1"/>
      <c r="E1917" s="1"/>
      <c r="F1917" s="4"/>
      <c r="G1917" s="4"/>
      <c r="H1917" s="4">
        <f t="shared" si="30"/>
        <v>0</v>
      </c>
    </row>
    <row r="1918" spans="1:8" x14ac:dyDescent="0.35">
      <c r="A1918" s="11"/>
      <c r="B1918" s="11"/>
      <c r="C1918" s="16"/>
      <c r="D1918" s="1"/>
      <c r="E1918" s="1"/>
      <c r="F1918" s="4"/>
      <c r="G1918" s="4"/>
      <c r="H1918" s="4">
        <f t="shared" si="30"/>
        <v>0</v>
      </c>
    </row>
    <row r="1919" spans="1:8" x14ac:dyDescent="0.35">
      <c r="A1919" s="11"/>
      <c r="B1919" s="11"/>
      <c r="C1919" s="16"/>
      <c r="D1919" s="1"/>
      <c r="E1919" s="1"/>
      <c r="F1919" s="4"/>
      <c r="G1919" s="4"/>
      <c r="H1919" s="4">
        <f t="shared" si="30"/>
        <v>0</v>
      </c>
    </row>
    <row r="1920" spans="1:8" x14ac:dyDescent="0.35">
      <c r="A1920" s="11"/>
      <c r="B1920" s="11"/>
      <c r="C1920" s="16"/>
      <c r="D1920" s="1"/>
      <c r="E1920" s="1"/>
      <c r="F1920" s="4"/>
      <c r="G1920" s="4"/>
      <c r="H1920" s="4">
        <f t="shared" si="30"/>
        <v>0</v>
      </c>
    </row>
    <row r="1921" spans="1:8" x14ac:dyDescent="0.35">
      <c r="A1921" s="11"/>
      <c r="B1921" s="11"/>
      <c r="C1921" s="16"/>
      <c r="D1921" s="1"/>
      <c r="E1921" s="1"/>
      <c r="F1921" s="4"/>
      <c r="G1921" s="4"/>
      <c r="H1921" s="4">
        <f t="shared" si="30"/>
        <v>0</v>
      </c>
    </row>
    <row r="1922" spans="1:8" x14ac:dyDescent="0.35">
      <c r="A1922" s="11"/>
      <c r="B1922" s="11"/>
      <c r="C1922" s="16"/>
      <c r="D1922" s="1"/>
      <c r="E1922" s="1"/>
      <c r="F1922" s="4"/>
      <c r="G1922" s="4"/>
      <c r="H1922" s="4">
        <f t="shared" si="30"/>
        <v>0</v>
      </c>
    </row>
    <row r="1923" spans="1:8" x14ac:dyDescent="0.35">
      <c r="A1923" s="11"/>
      <c r="B1923" s="11"/>
      <c r="C1923" s="16"/>
      <c r="D1923" s="1"/>
      <c r="E1923" s="1"/>
      <c r="F1923" s="4"/>
      <c r="G1923" s="4"/>
      <c r="H1923" s="4">
        <f t="shared" si="30"/>
        <v>0</v>
      </c>
    </row>
    <row r="1924" spans="1:8" x14ac:dyDescent="0.35">
      <c r="A1924" s="11"/>
      <c r="B1924" s="11"/>
      <c r="C1924" s="16"/>
      <c r="D1924" s="1"/>
      <c r="E1924" s="1"/>
      <c r="F1924" s="4"/>
      <c r="G1924" s="4"/>
      <c r="H1924" s="4">
        <f t="shared" si="30"/>
        <v>0</v>
      </c>
    </row>
    <row r="1925" spans="1:8" x14ac:dyDescent="0.35">
      <c r="A1925" s="11"/>
      <c r="B1925" s="11"/>
      <c r="C1925" s="16"/>
      <c r="D1925" s="1"/>
      <c r="E1925" s="1"/>
      <c r="F1925" s="4"/>
      <c r="G1925" s="4"/>
      <c r="H1925" s="4">
        <f t="shared" si="30"/>
        <v>0</v>
      </c>
    </row>
    <row r="1926" spans="1:8" x14ac:dyDescent="0.35">
      <c r="A1926" s="11"/>
      <c r="B1926" s="11"/>
      <c r="C1926" s="16"/>
      <c r="D1926" s="1"/>
      <c r="E1926" s="1"/>
      <c r="F1926" s="4"/>
      <c r="G1926" s="4"/>
      <c r="H1926" s="4">
        <f t="shared" si="30"/>
        <v>0</v>
      </c>
    </row>
    <row r="1927" spans="1:8" x14ac:dyDescent="0.35">
      <c r="A1927" s="11"/>
      <c r="B1927" s="11"/>
      <c r="C1927" s="16"/>
      <c r="D1927" s="1"/>
      <c r="E1927" s="1"/>
      <c r="F1927" s="4"/>
      <c r="G1927" s="4"/>
      <c r="H1927" s="4">
        <f t="shared" si="30"/>
        <v>0</v>
      </c>
    </row>
    <row r="1928" spans="1:8" x14ac:dyDescent="0.35">
      <c r="A1928" s="11"/>
      <c r="B1928" s="11"/>
      <c r="C1928" s="16"/>
      <c r="D1928" s="1"/>
      <c r="E1928" s="1"/>
      <c r="F1928" s="4"/>
      <c r="G1928" s="4"/>
      <c r="H1928" s="4">
        <f t="shared" si="30"/>
        <v>0</v>
      </c>
    </row>
    <row r="1929" spans="1:8" x14ac:dyDescent="0.35">
      <c r="A1929" s="11"/>
      <c r="B1929" s="11"/>
      <c r="C1929" s="16"/>
      <c r="D1929" s="1"/>
      <c r="E1929" s="1"/>
      <c r="F1929" s="4"/>
      <c r="G1929" s="4"/>
      <c r="H1929" s="4">
        <f t="shared" si="30"/>
        <v>0</v>
      </c>
    </row>
    <row r="1930" spans="1:8" x14ac:dyDescent="0.35">
      <c r="A1930" s="11"/>
      <c r="B1930" s="11"/>
      <c r="C1930" s="16"/>
      <c r="D1930" s="1"/>
      <c r="E1930" s="1"/>
      <c r="F1930" s="4"/>
      <c r="G1930" s="4"/>
      <c r="H1930" s="4">
        <f t="shared" si="30"/>
        <v>0</v>
      </c>
    </row>
    <row r="1931" spans="1:8" x14ac:dyDescent="0.35">
      <c r="A1931" s="11"/>
      <c r="B1931" s="11"/>
      <c r="C1931" s="16"/>
      <c r="D1931" s="1"/>
      <c r="E1931" s="1"/>
      <c r="F1931" s="4"/>
      <c r="G1931" s="4"/>
      <c r="H1931" s="4">
        <f t="shared" si="30"/>
        <v>0</v>
      </c>
    </row>
    <row r="1932" spans="1:8" x14ac:dyDescent="0.35">
      <c r="A1932" s="11"/>
      <c r="B1932" s="11"/>
      <c r="C1932" s="16"/>
      <c r="D1932" s="1"/>
      <c r="E1932" s="1"/>
      <c r="F1932" s="4"/>
      <c r="G1932" s="4"/>
      <c r="H1932" s="4">
        <f t="shared" si="30"/>
        <v>0</v>
      </c>
    </row>
    <row r="1933" spans="1:8" x14ac:dyDescent="0.35">
      <c r="A1933" s="11"/>
      <c r="B1933" s="11"/>
      <c r="C1933" s="16"/>
      <c r="D1933" s="1"/>
      <c r="E1933" s="1"/>
      <c r="F1933" s="4"/>
      <c r="G1933" s="4"/>
      <c r="H1933" s="4">
        <f t="shared" si="30"/>
        <v>0</v>
      </c>
    </row>
    <row r="1934" spans="1:8" x14ac:dyDescent="0.35">
      <c r="A1934" s="11"/>
      <c r="B1934" s="11"/>
      <c r="C1934" s="16"/>
      <c r="D1934" s="1"/>
      <c r="E1934" s="1"/>
      <c r="F1934" s="4"/>
      <c r="G1934" s="4"/>
      <c r="H1934" s="4">
        <f t="shared" si="30"/>
        <v>0</v>
      </c>
    </row>
    <row r="1935" spans="1:8" x14ac:dyDescent="0.35">
      <c r="A1935" s="11"/>
      <c r="B1935" s="11"/>
      <c r="C1935" s="16"/>
      <c r="D1935" s="1"/>
      <c r="E1935" s="1"/>
      <c r="F1935" s="4"/>
      <c r="G1935" s="4"/>
      <c r="H1935" s="4">
        <f t="shared" si="30"/>
        <v>0</v>
      </c>
    </row>
    <row r="1936" spans="1:8" x14ac:dyDescent="0.35">
      <c r="A1936" s="11"/>
      <c r="B1936" s="11"/>
      <c r="C1936" s="16"/>
      <c r="D1936" s="1"/>
      <c r="E1936" s="1"/>
      <c r="F1936" s="4"/>
      <c r="G1936" s="4"/>
      <c r="H1936" s="4">
        <f t="shared" si="30"/>
        <v>0</v>
      </c>
    </row>
    <row r="1937" spans="1:8" x14ac:dyDescent="0.35">
      <c r="A1937" s="11"/>
      <c r="B1937" s="11"/>
      <c r="C1937" s="16"/>
      <c r="D1937" s="1"/>
      <c r="E1937" s="1"/>
      <c r="F1937" s="4"/>
      <c r="G1937" s="4"/>
      <c r="H1937" s="4">
        <f t="shared" si="30"/>
        <v>0</v>
      </c>
    </row>
    <row r="1938" spans="1:8" x14ac:dyDescent="0.35">
      <c r="A1938" s="11"/>
      <c r="B1938" s="11"/>
      <c r="C1938" s="16"/>
      <c r="D1938" s="1"/>
      <c r="E1938" s="1"/>
      <c r="F1938" s="4"/>
      <c r="G1938" s="4"/>
      <c r="H1938" s="4">
        <f t="shared" si="30"/>
        <v>0</v>
      </c>
    </row>
    <row r="1939" spans="1:8" x14ac:dyDescent="0.35">
      <c r="A1939" s="11"/>
      <c r="B1939" s="11"/>
      <c r="C1939" s="16"/>
      <c r="D1939" s="1"/>
      <c r="E1939" s="1"/>
      <c r="F1939" s="4"/>
      <c r="G1939" s="4"/>
      <c r="H1939" s="4">
        <f t="shared" si="30"/>
        <v>0</v>
      </c>
    </row>
    <row r="1940" spans="1:8" x14ac:dyDescent="0.35">
      <c r="A1940" s="11"/>
      <c r="B1940" s="11"/>
      <c r="C1940" s="16"/>
      <c r="D1940" s="1"/>
      <c r="E1940" s="1"/>
      <c r="F1940" s="4"/>
      <c r="G1940" s="4"/>
      <c r="H1940" s="4">
        <f t="shared" si="30"/>
        <v>0</v>
      </c>
    </row>
    <row r="1941" spans="1:8" x14ac:dyDescent="0.35">
      <c r="A1941" s="11"/>
      <c r="B1941" s="11"/>
      <c r="C1941" s="16"/>
      <c r="D1941" s="1"/>
      <c r="E1941" s="1"/>
      <c r="F1941" s="4"/>
      <c r="G1941" s="4"/>
      <c r="H1941" s="4">
        <f t="shared" si="30"/>
        <v>0</v>
      </c>
    </row>
    <row r="1942" spans="1:8" x14ac:dyDescent="0.35">
      <c r="A1942" s="11"/>
      <c r="B1942" s="11"/>
      <c r="C1942" s="16"/>
      <c r="D1942" s="1"/>
      <c r="E1942" s="1"/>
      <c r="F1942" s="4"/>
      <c r="G1942" s="4"/>
      <c r="H1942" s="4">
        <f t="shared" si="30"/>
        <v>0</v>
      </c>
    </row>
    <row r="1943" spans="1:8" x14ac:dyDescent="0.35">
      <c r="A1943" s="11"/>
      <c r="B1943" s="11"/>
      <c r="C1943" s="16"/>
      <c r="D1943" s="1"/>
      <c r="E1943" s="1"/>
      <c r="F1943" s="4"/>
      <c r="G1943" s="4"/>
      <c r="H1943" s="4">
        <f t="shared" si="30"/>
        <v>0</v>
      </c>
    </row>
    <row r="1944" spans="1:8" x14ac:dyDescent="0.35">
      <c r="A1944" s="11"/>
      <c r="B1944" s="11"/>
      <c r="C1944" s="16"/>
      <c r="D1944" s="1"/>
      <c r="E1944" s="1"/>
      <c r="F1944" s="4"/>
      <c r="G1944" s="4"/>
      <c r="H1944" s="4">
        <f t="shared" si="30"/>
        <v>0</v>
      </c>
    </row>
    <row r="1945" spans="1:8" x14ac:dyDescent="0.35">
      <c r="A1945" s="11"/>
      <c r="B1945" s="11"/>
      <c r="C1945" s="16"/>
      <c r="D1945" s="1"/>
      <c r="E1945" s="1"/>
      <c r="F1945" s="4"/>
      <c r="G1945" s="4"/>
      <c r="H1945" s="4">
        <f t="shared" si="30"/>
        <v>0</v>
      </c>
    </row>
    <row r="1946" spans="1:8" x14ac:dyDescent="0.35">
      <c r="A1946" s="11"/>
      <c r="B1946" s="11"/>
      <c r="C1946" s="16"/>
      <c r="D1946" s="1"/>
      <c r="E1946" s="1"/>
      <c r="F1946" s="4"/>
      <c r="G1946" s="4"/>
      <c r="H1946" s="4">
        <f t="shared" si="30"/>
        <v>0</v>
      </c>
    </row>
    <row r="1947" spans="1:8" x14ac:dyDescent="0.35">
      <c r="A1947" s="11"/>
      <c r="B1947" s="11"/>
      <c r="C1947" s="16"/>
      <c r="D1947" s="1"/>
      <c r="E1947" s="1"/>
      <c r="F1947" s="4"/>
      <c r="G1947" s="4"/>
      <c r="H1947" s="4">
        <f t="shared" si="30"/>
        <v>0</v>
      </c>
    </row>
    <row r="1948" spans="1:8" x14ac:dyDescent="0.35">
      <c r="A1948" s="11"/>
      <c r="B1948" s="11"/>
      <c r="C1948" s="16"/>
      <c r="D1948" s="1"/>
      <c r="E1948" s="1"/>
      <c r="F1948" s="4"/>
      <c r="G1948" s="4"/>
      <c r="H1948" s="4">
        <f t="shared" si="30"/>
        <v>0</v>
      </c>
    </row>
    <row r="1949" spans="1:8" x14ac:dyDescent="0.35">
      <c r="A1949" s="11"/>
      <c r="B1949" s="11"/>
      <c r="C1949" s="16"/>
      <c r="D1949" s="1"/>
      <c r="E1949" s="1"/>
      <c r="F1949" s="4"/>
      <c r="G1949" s="4"/>
      <c r="H1949" s="4">
        <f t="shared" si="30"/>
        <v>0</v>
      </c>
    </row>
    <row r="1950" spans="1:8" x14ac:dyDescent="0.35">
      <c r="A1950" s="11"/>
      <c r="B1950" s="11"/>
      <c r="C1950" s="16"/>
      <c r="D1950" s="1"/>
      <c r="E1950" s="1"/>
      <c r="F1950" s="4"/>
      <c r="G1950" s="4"/>
      <c r="H1950" s="4">
        <f t="shared" si="30"/>
        <v>0</v>
      </c>
    </row>
    <row r="1951" spans="1:8" x14ac:dyDescent="0.35">
      <c r="A1951" s="11"/>
      <c r="B1951" s="11"/>
      <c r="C1951" s="16"/>
      <c r="D1951" s="1"/>
      <c r="E1951" s="1"/>
      <c r="F1951" s="4"/>
      <c r="G1951" s="4"/>
      <c r="H1951" s="4">
        <f t="shared" si="30"/>
        <v>0</v>
      </c>
    </row>
    <row r="1952" spans="1:8" x14ac:dyDescent="0.35">
      <c r="A1952" s="11"/>
      <c r="B1952" s="11"/>
      <c r="C1952" s="16"/>
      <c r="D1952" s="1"/>
      <c r="E1952" s="1"/>
      <c r="F1952" s="4"/>
      <c r="G1952" s="4"/>
      <c r="H1952" s="4">
        <f t="shared" si="30"/>
        <v>0</v>
      </c>
    </row>
    <row r="1953" spans="1:8" x14ac:dyDescent="0.35">
      <c r="A1953" s="11"/>
      <c r="B1953" s="11"/>
      <c r="C1953" s="16"/>
      <c r="D1953" s="1"/>
      <c r="E1953" s="1"/>
      <c r="F1953" s="4"/>
      <c r="G1953" s="4"/>
      <c r="H1953" s="4">
        <f t="shared" ref="H1953:H2016" si="31">H1952+F1953-G1953</f>
        <v>0</v>
      </c>
    </row>
    <row r="1954" spans="1:8" x14ac:dyDescent="0.35">
      <c r="A1954" s="11"/>
      <c r="B1954" s="11"/>
      <c r="C1954" s="16"/>
      <c r="D1954" s="1"/>
      <c r="E1954" s="1"/>
      <c r="F1954" s="4"/>
      <c r="G1954" s="4"/>
      <c r="H1954" s="4">
        <f t="shared" si="31"/>
        <v>0</v>
      </c>
    </row>
    <row r="1955" spans="1:8" x14ac:dyDescent="0.35">
      <c r="A1955" s="11"/>
      <c r="B1955" s="11"/>
      <c r="C1955" s="16"/>
      <c r="D1955" s="1"/>
      <c r="E1955" s="1"/>
      <c r="F1955" s="4"/>
      <c r="G1955" s="4"/>
      <c r="H1955" s="4">
        <f t="shared" si="31"/>
        <v>0</v>
      </c>
    </row>
    <row r="1956" spans="1:8" x14ac:dyDescent="0.35">
      <c r="A1956" s="11"/>
      <c r="B1956" s="11"/>
      <c r="C1956" s="16"/>
      <c r="D1956" s="1"/>
      <c r="E1956" s="1"/>
      <c r="F1956" s="4"/>
      <c r="G1956" s="4"/>
      <c r="H1956" s="4">
        <f t="shared" si="31"/>
        <v>0</v>
      </c>
    </row>
    <row r="1957" spans="1:8" x14ac:dyDescent="0.35">
      <c r="A1957" s="11"/>
      <c r="B1957" s="11"/>
      <c r="C1957" s="16"/>
      <c r="D1957" s="1"/>
      <c r="E1957" s="1"/>
      <c r="F1957" s="4"/>
      <c r="G1957" s="4"/>
      <c r="H1957" s="4">
        <f t="shared" si="31"/>
        <v>0</v>
      </c>
    </row>
    <row r="1958" spans="1:8" x14ac:dyDescent="0.35">
      <c r="A1958" s="11"/>
      <c r="B1958" s="11"/>
      <c r="C1958" s="16"/>
      <c r="D1958" s="1"/>
      <c r="E1958" s="1"/>
      <c r="F1958" s="4"/>
      <c r="G1958" s="4"/>
      <c r="H1958" s="4">
        <f t="shared" si="31"/>
        <v>0</v>
      </c>
    </row>
    <row r="1959" spans="1:8" x14ac:dyDescent="0.35">
      <c r="A1959" s="11"/>
      <c r="B1959" s="11"/>
      <c r="C1959" s="16"/>
      <c r="D1959" s="1"/>
      <c r="E1959" s="1"/>
      <c r="F1959" s="4"/>
      <c r="G1959" s="4"/>
      <c r="H1959" s="4">
        <f t="shared" si="31"/>
        <v>0</v>
      </c>
    </row>
    <row r="1960" spans="1:8" x14ac:dyDescent="0.35">
      <c r="A1960" s="11"/>
      <c r="B1960" s="11"/>
      <c r="C1960" s="16"/>
      <c r="D1960" s="1"/>
      <c r="E1960" s="1"/>
      <c r="F1960" s="4"/>
      <c r="G1960" s="4"/>
      <c r="H1960" s="4">
        <f t="shared" si="31"/>
        <v>0</v>
      </c>
    </row>
    <row r="1961" spans="1:8" x14ac:dyDescent="0.35">
      <c r="A1961" s="11"/>
      <c r="B1961" s="11"/>
      <c r="C1961" s="16"/>
      <c r="D1961" s="1"/>
      <c r="E1961" s="1"/>
      <c r="F1961" s="4"/>
      <c r="G1961" s="4"/>
      <c r="H1961" s="4">
        <f t="shared" si="31"/>
        <v>0</v>
      </c>
    </row>
    <row r="1962" spans="1:8" x14ac:dyDescent="0.35">
      <c r="A1962" s="11"/>
      <c r="B1962" s="11"/>
      <c r="C1962" s="16"/>
      <c r="D1962" s="1"/>
      <c r="E1962" s="1"/>
      <c r="F1962" s="4"/>
      <c r="G1962" s="4"/>
      <c r="H1962" s="4">
        <f t="shared" si="31"/>
        <v>0</v>
      </c>
    </row>
    <row r="1963" spans="1:8" x14ac:dyDescent="0.35">
      <c r="A1963" s="11"/>
      <c r="B1963" s="11"/>
      <c r="C1963" s="16"/>
      <c r="D1963" s="1"/>
      <c r="E1963" s="1"/>
      <c r="F1963" s="4"/>
      <c r="G1963" s="4"/>
      <c r="H1963" s="4">
        <f t="shared" si="31"/>
        <v>0</v>
      </c>
    </row>
    <row r="1964" spans="1:8" x14ac:dyDescent="0.35">
      <c r="A1964" s="11"/>
      <c r="B1964" s="11"/>
      <c r="C1964" s="16"/>
      <c r="D1964" s="1"/>
      <c r="E1964" s="1"/>
      <c r="F1964" s="4"/>
      <c r="G1964" s="4"/>
      <c r="H1964" s="4">
        <f t="shared" si="31"/>
        <v>0</v>
      </c>
    </row>
    <row r="1965" spans="1:8" x14ac:dyDescent="0.35">
      <c r="A1965" s="11"/>
      <c r="B1965" s="11"/>
      <c r="C1965" s="16"/>
      <c r="D1965" s="1"/>
      <c r="E1965" s="1"/>
      <c r="F1965" s="4"/>
      <c r="G1965" s="4"/>
      <c r="H1965" s="4">
        <f t="shared" si="31"/>
        <v>0</v>
      </c>
    </row>
    <row r="1966" spans="1:8" x14ac:dyDescent="0.35">
      <c r="A1966" s="11"/>
      <c r="B1966" s="11"/>
      <c r="C1966" s="16"/>
      <c r="D1966" s="1"/>
      <c r="E1966" s="1"/>
      <c r="F1966" s="4"/>
      <c r="G1966" s="4"/>
      <c r="H1966" s="4">
        <f t="shared" si="31"/>
        <v>0</v>
      </c>
    </row>
    <row r="1967" spans="1:8" x14ac:dyDescent="0.35">
      <c r="A1967" s="11"/>
      <c r="B1967" s="11"/>
      <c r="C1967" s="16"/>
      <c r="D1967" s="1"/>
      <c r="E1967" s="1"/>
      <c r="F1967" s="4"/>
      <c r="G1967" s="4"/>
      <c r="H1967" s="4">
        <f t="shared" si="31"/>
        <v>0</v>
      </c>
    </row>
    <row r="1968" spans="1:8" x14ac:dyDescent="0.35">
      <c r="A1968" s="11"/>
      <c r="B1968" s="11"/>
      <c r="C1968" s="16"/>
      <c r="D1968" s="1"/>
      <c r="E1968" s="1"/>
      <c r="F1968" s="4"/>
      <c r="G1968" s="4"/>
      <c r="H1968" s="4">
        <f t="shared" si="31"/>
        <v>0</v>
      </c>
    </row>
    <row r="1969" spans="1:8" x14ac:dyDescent="0.35">
      <c r="A1969" s="11"/>
      <c r="B1969" s="11"/>
      <c r="C1969" s="16"/>
      <c r="D1969" s="1"/>
      <c r="E1969" s="1"/>
      <c r="F1969" s="4"/>
      <c r="G1969" s="4"/>
      <c r="H1969" s="4">
        <f t="shared" si="31"/>
        <v>0</v>
      </c>
    </row>
    <row r="1970" spans="1:8" x14ac:dyDescent="0.35">
      <c r="A1970" s="11"/>
      <c r="B1970" s="11"/>
      <c r="C1970" s="16"/>
      <c r="D1970" s="1"/>
      <c r="E1970" s="1"/>
      <c r="F1970" s="4"/>
      <c r="G1970" s="4"/>
      <c r="H1970" s="4">
        <f t="shared" si="31"/>
        <v>0</v>
      </c>
    </row>
    <row r="1971" spans="1:8" x14ac:dyDescent="0.35">
      <c r="A1971" s="11"/>
      <c r="B1971" s="11"/>
      <c r="C1971" s="16"/>
      <c r="D1971" s="1"/>
      <c r="E1971" s="1"/>
      <c r="F1971" s="4"/>
      <c r="G1971" s="4"/>
      <c r="H1971" s="4">
        <f t="shared" si="31"/>
        <v>0</v>
      </c>
    </row>
    <row r="1972" spans="1:8" x14ac:dyDescent="0.35">
      <c r="A1972" s="11"/>
      <c r="B1972" s="11"/>
      <c r="C1972" s="16"/>
      <c r="D1972" s="1"/>
      <c r="E1972" s="1"/>
      <c r="F1972" s="4"/>
      <c r="G1972" s="4"/>
      <c r="H1972" s="4">
        <f t="shared" si="31"/>
        <v>0</v>
      </c>
    </row>
    <row r="1973" spans="1:8" x14ac:dyDescent="0.35">
      <c r="A1973" s="11"/>
      <c r="B1973" s="11"/>
      <c r="C1973" s="16"/>
      <c r="D1973" s="1"/>
      <c r="E1973" s="1"/>
      <c r="F1973" s="4"/>
      <c r="G1973" s="4"/>
      <c r="H1973" s="4">
        <f t="shared" si="31"/>
        <v>0</v>
      </c>
    </row>
    <row r="1974" spans="1:8" x14ac:dyDescent="0.35">
      <c r="A1974" s="11"/>
      <c r="B1974" s="11"/>
      <c r="C1974" s="16"/>
      <c r="D1974" s="1"/>
      <c r="E1974" s="1"/>
      <c r="F1974" s="4"/>
      <c r="G1974" s="4"/>
      <c r="H1974" s="4">
        <f t="shared" si="31"/>
        <v>0</v>
      </c>
    </row>
    <row r="1975" spans="1:8" x14ac:dyDescent="0.35">
      <c r="A1975" s="11"/>
      <c r="B1975" s="11"/>
      <c r="C1975" s="16"/>
      <c r="D1975" s="1"/>
      <c r="E1975" s="1"/>
      <c r="F1975" s="4"/>
      <c r="G1975" s="4"/>
      <c r="H1975" s="4">
        <f t="shared" si="31"/>
        <v>0</v>
      </c>
    </row>
    <row r="1976" spans="1:8" x14ac:dyDescent="0.35">
      <c r="A1976" s="11"/>
      <c r="B1976" s="11"/>
      <c r="C1976" s="16"/>
      <c r="D1976" s="1"/>
      <c r="E1976" s="1"/>
      <c r="F1976" s="4"/>
      <c r="G1976" s="4"/>
      <c r="H1976" s="4">
        <f t="shared" si="31"/>
        <v>0</v>
      </c>
    </row>
    <row r="1977" spans="1:8" x14ac:dyDescent="0.35">
      <c r="A1977" s="11"/>
      <c r="B1977" s="11"/>
      <c r="C1977" s="16"/>
      <c r="D1977" s="1"/>
      <c r="E1977" s="1"/>
      <c r="F1977" s="4"/>
      <c r="G1977" s="4"/>
      <c r="H1977" s="4">
        <f t="shared" si="31"/>
        <v>0</v>
      </c>
    </row>
    <row r="1978" spans="1:8" x14ac:dyDescent="0.35">
      <c r="A1978" s="11"/>
      <c r="B1978" s="11"/>
      <c r="C1978" s="16"/>
      <c r="D1978" s="1"/>
      <c r="E1978" s="1"/>
      <c r="F1978" s="4"/>
      <c r="G1978" s="4"/>
      <c r="H1978" s="4">
        <f t="shared" si="31"/>
        <v>0</v>
      </c>
    </row>
    <row r="1979" spans="1:8" x14ac:dyDescent="0.35">
      <c r="A1979" s="11"/>
      <c r="B1979" s="11"/>
      <c r="C1979" s="16"/>
      <c r="D1979" s="1"/>
      <c r="E1979" s="1"/>
      <c r="F1979" s="4"/>
      <c r="G1979" s="4"/>
      <c r="H1979" s="4">
        <f t="shared" si="31"/>
        <v>0</v>
      </c>
    </row>
    <row r="1980" spans="1:8" x14ac:dyDescent="0.35">
      <c r="A1980" s="11"/>
      <c r="B1980" s="11"/>
      <c r="C1980" s="16"/>
      <c r="D1980" s="1"/>
      <c r="E1980" s="1"/>
      <c r="F1980" s="4"/>
      <c r="G1980" s="4"/>
      <c r="H1980" s="4">
        <f t="shared" si="31"/>
        <v>0</v>
      </c>
    </row>
    <row r="1981" spans="1:8" x14ac:dyDescent="0.35">
      <c r="A1981" s="11"/>
      <c r="B1981" s="11"/>
      <c r="C1981" s="16"/>
      <c r="D1981" s="1"/>
      <c r="E1981" s="1"/>
      <c r="F1981" s="4"/>
      <c r="G1981" s="4"/>
      <c r="H1981" s="4">
        <f t="shared" si="31"/>
        <v>0</v>
      </c>
    </row>
    <row r="1982" spans="1:8" x14ac:dyDescent="0.35">
      <c r="A1982" s="11"/>
      <c r="B1982" s="11"/>
      <c r="C1982" s="16"/>
      <c r="D1982" s="1"/>
      <c r="E1982" s="1"/>
      <c r="F1982" s="4"/>
      <c r="G1982" s="4"/>
      <c r="H1982" s="4">
        <f t="shared" si="31"/>
        <v>0</v>
      </c>
    </row>
    <row r="1983" spans="1:8" x14ac:dyDescent="0.35">
      <c r="A1983" s="11"/>
      <c r="B1983" s="11"/>
      <c r="C1983" s="16"/>
      <c r="D1983" s="1"/>
      <c r="E1983" s="1"/>
      <c r="F1983" s="4"/>
      <c r="G1983" s="4"/>
      <c r="H1983" s="4">
        <f t="shared" si="31"/>
        <v>0</v>
      </c>
    </row>
    <row r="1984" spans="1:8" x14ac:dyDescent="0.35">
      <c r="A1984" s="11"/>
      <c r="B1984" s="11"/>
      <c r="C1984" s="16"/>
      <c r="D1984" s="1"/>
      <c r="E1984" s="1"/>
      <c r="F1984" s="4"/>
      <c r="G1984" s="4"/>
      <c r="H1984" s="4">
        <f t="shared" si="31"/>
        <v>0</v>
      </c>
    </row>
    <row r="1985" spans="1:8" x14ac:dyDescent="0.35">
      <c r="A1985" s="11"/>
      <c r="B1985" s="11"/>
      <c r="C1985" s="16"/>
      <c r="D1985" s="1"/>
      <c r="E1985" s="1"/>
      <c r="F1985" s="4"/>
      <c r="G1985" s="4"/>
      <c r="H1985" s="4">
        <f t="shared" si="31"/>
        <v>0</v>
      </c>
    </row>
    <row r="1986" spans="1:8" x14ac:dyDescent="0.35">
      <c r="A1986" s="11"/>
      <c r="B1986" s="11"/>
      <c r="C1986" s="16"/>
      <c r="D1986" s="1"/>
      <c r="E1986" s="1"/>
      <c r="F1986" s="4"/>
      <c r="G1986" s="4"/>
      <c r="H1986" s="4">
        <f t="shared" si="31"/>
        <v>0</v>
      </c>
    </row>
    <row r="1987" spans="1:8" x14ac:dyDescent="0.35">
      <c r="A1987" s="11"/>
      <c r="B1987" s="11"/>
      <c r="C1987" s="16"/>
      <c r="D1987" s="1"/>
      <c r="E1987" s="1"/>
      <c r="F1987" s="4"/>
      <c r="G1987" s="4"/>
      <c r="H1987" s="4">
        <f t="shared" si="31"/>
        <v>0</v>
      </c>
    </row>
    <row r="1988" spans="1:8" x14ac:dyDescent="0.35">
      <c r="A1988" s="11"/>
      <c r="B1988" s="11"/>
      <c r="C1988" s="16"/>
      <c r="D1988" s="1"/>
      <c r="E1988" s="1"/>
      <c r="F1988" s="4"/>
      <c r="G1988" s="4"/>
      <c r="H1988" s="4">
        <f t="shared" si="31"/>
        <v>0</v>
      </c>
    </row>
    <row r="1989" spans="1:8" x14ac:dyDescent="0.35">
      <c r="A1989" s="11"/>
      <c r="B1989" s="11"/>
      <c r="C1989" s="16"/>
      <c r="D1989" s="1"/>
      <c r="E1989" s="1"/>
      <c r="F1989" s="4"/>
      <c r="G1989" s="4"/>
      <c r="H1989" s="4">
        <f t="shared" si="31"/>
        <v>0</v>
      </c>
    </row>
    <row r="1990" spans="1:8" x14ac:dyDescent="0.35">
      <c r="A1990" s="11"/>
      <c r="B1990" s="11"/>
      <c r="C1990" s="16"/>
      <c r="D1990" s="1"/>
      <c r="E1990" s="1"/>
      <c r="F1990" s="4"/>
      <c r="G1990" s="4"/>
      <c r="H1990" s="4">
        <f t="shared" si="31"/>
        <v>0</v>
      </c>
    </row>
    <row r="1991" spans="1:8" x14ac:dyDescent="0.35">
      <c r="A1991" s="11"/>
      <c r="B1991" s="11"/>
      <c r="C1991" s="16"/>
      <c r="D1991" s="1"/>
      <c r="E1991" s="1"/>
      <c r="F1991" s="4"/>
      <c r="G1991" s="4"/>
      <c r="H1991" s="4">
        <f t="shared" si="31"/>
        <v>0</v>
      </c>
    </row>
    <row r="1992" spans="1:8" x14ac:dyDescent="0.35">
      <c r="A1992" s="11"/>
      <c r="B1992" s="11"/>
      <c r="C1992" s="16"/>
      <c r="D1992" s="1"/>
      <c r="E1992" s="1"/>
      <c r="F1992" s="4"/>
      <c r="G1992" s="4"/>
      <c r="H1992" s="4">
        <f t="shared" si="31"/>
        <v>0</v>
      </c>
    </row>
    <row r="1993" spans="1:8" x14ac:dyDescent="0.35">
      <c r="A1993" s="11"/>
      <c r="B1993" s="11"/>
      <c r="C1993" s="16"/>
      <c r="D1993" s="1"/>
      <c r="E1993" s="1"/>
      <c r="F1993" s="4"/>
      <c r="G1993" s="4"/>
      <c r="H1993" s="4">
        <f t="shared" si="31"/>
        <v>0</v>
      </c>
    </row>
    <row r="1994" spans="1:8" x14ac:dyDescent="0.35">
      <c r="A1994" s="11"/>
      <c r="B1994" s="11"/>
      <c r="C1994" s="16"/>
      <c r="D1994" s="1"/>
      <c r="E1994" s="1"/>
      <c r="F1994" s="4"/>
      <c r="G1994" s="4"/>
      <c r="H1994" s="4">
        <f t="shared" si="31"/>
        <v>0</v>
      </c>
    </row>
    <row r="1995" spans="1:8" x14ac:dyDescent="0.35">
      <c r="A1995" s="11"/>
      <c r="B1995" s="11"/>
      <c r="C1995" s="16"/>
      <c r="D1995" s="1"/>
      <c r="E1995" s="1"/>
      <c r="F1995" s="4"/>
      <c r="G1995" s="4"/>
      <c r="H1995" s="4">
        <f t="shared" si="31"/>
        <v>0</v>
      </c>
    </row>
    <row r="1996" spans="1:8" x14ac:dyDescent="0.35">
      <c r="A1996" s="11"/>
      <c r="B1996" s="11"/>
      <c r="C1996" s="16"/>
      <c r="D1996" s="1"/>
      <c r="E1996" s="1"/>
      <c r="F1996" s="4"/>
      <c r="G1996" s="4"/>
      <c r="H1996" s="4">
        <f t="shared" si="31"/>
        <v>0</v>
      </c>
    </row>
    <row r="1997" spans="1:8" x14ac:dyDescent="0.35">
      <c r="A1997" s="11"/>
      <c r="B1997" s="11"/>
      <c r="C1997" s="16"/>
      <c r="D1997" s="1"/>
      <c r="E1997" s="1"/>
      <c r="F1997" s="4"/>
      <c r="G1997" s="4"/>
      <c r="H1997" s="4">
        <f t="shared" si="31"/>
        <v>0</v>
      </c>
    </row>
    <row r="1998" spans="1:8" x14ac:dyDescent="0.35">
      <c r="A1998" s="11"/>
      <c r="B1998" s="11"/>
      <c r="C1998" s="16"/>
      <c r="D1998" s="1"/>
      <c r="E1998" s="1"/>
      <c r="F1998" s="4"/>
      <c r="G1998" s="4"/>
      <c r="H1998" s="4">
        <f t="shared" si="31"/>
        <v>0</v>
      </c>
    </row>
    <row r="1999" spans="1:8" x14ac:dyDescent="0.35">
      <c r="A1999" s="11"/>
      <c r="B1999" s="11"/>
      <c r="C1999" s="16"/>
      <c r="D1999" s="1"/>
      <c r="E1999" s="1"/>
      <c r="F1999" s="4"/>
      <c r="G1999" s="4"/>
      <c r="H1999" s="4">
        <f t="shared" si="31"/>
        <v>0</v>
      </c>
    </row>
    <row r="2000" spans="1:8" x14ac:dyDescent="0.35">
      <c r="A2000" s="11"/>
      <c r="B2000" s="11"/>
      <c r="C2000" s="16"/>
      <c r="D2000" s="1"/>
      <c r="E2000" s="1"/>
      <c r="F2000" s="4"/>
      <c r="G2000" s="4"/>
      <c r="H2000" s="4">
        <f t="shared" si="31"/>
        <v>0</v>
      </c>
    </row>
    <row r="2001" spans="1:8" x14ac:dyDescent="0.35">
      <c r="A2001" s="11"/>
      <c r="B2001" s="11"/>
      <c r="C2001" s="16"/>
      <c r="D2001" s="1"/>
      <c r="E2001" s="1"/>
      <c r="F2001" s="4"/>
      <c r="G2001" s="4"/>
      <c r="H2001" s="4">
        <f t="shared" si="31"/>
        <v>0</v>
      </c>
    </row>
    <row r="2002" spans="1:8" x14ac:dyDescent="0.35">
      <c r="A2002" s="11"/>
      <c r="B2002" s="11"/>
      <c r="C2002" s="16"/>
      <c r="D2002" s="1"/>
      <c r="E2002" s="1"/>
      <c r="F2002" s="4"/>
      <c r="G2002" s="4"/>
      <c r="H2002" s="4">
        <f t="shared" si="31"/>
        <v>0</v>
      </c>
    </row>
    <row r="2003" spans="1:8" x14ac:dyDescent="0.35">
      <c r="A2003" s="11"/>
      <c r="B2003" s="11"/>
      <c r="C2003" s="16"/>
      <c r="D2003" s="1"/>
      <c r="E2003" s="1"/>
      <c r="F2003" s="4"/>
      <c r="G2003" s="4"/>
      <c r="H2003" s="4">
        <f t="shared" si="31"/>
        <v>0</v>
      </c>
    </row>
    <row r="2004" spans="1:8" x14ac:dyDescent="0.35">
      <c r="A2004" s="11"/>
      <c r="B2004" s="11"/>
      <c r="C2004" s="16"/>
      <c r="D2004" s="1"/>
      <c r="E2004" s="1"/>
      <c r="F2004" s="4"/>
      <c r="G2004" s="4"/>
      <c r="H2004" s="4">
        <f t="shared" si="31"/>
        <v>0</v>
      </c>
    </row>
    <row r="2005" spans="1:8" x14ac:dyDescent="0.35">
      <c r="A2005" s="11"/>
      <c r="B2005" s="11"/>
      <c r="C2005" s="16"/>
      <c r="D2005" s="1"/>
      <c r="E2005" s="1"/>
      <c r="F2005" s="4"/>
      <c r="G2005" s="4"/>
      <c r="H2005" s="4">
        <f t="shared" si="31"/>
        <v>0</v>
      </c>
    </row>
    <row r="2006" spans="1:8" x14ac:dyDescent="0.35">
      <c r="A2006" s="11"/>
      <c r="B2006" s="11"/>
      <c r="C2006" s="16"/>
      <c r="D2006" s="1"/>
      <c r="E2006" s="1"/>
      <c r="F2006" s="4"/>
      <c r="G2006" s="4"/>
      <c r="H2006" s="4">
        <f t="shared" si="31"/>
        <v>0</v>
      </c>
    </row>
    <row r="2007" spans="1:8" x14ac:dyDescent="0.35">
      <c r="A2007" s="11"/>
      <c r="B2007" s="11"/>
      <c r="C2007" s="16"/>
      <c r="D2007" s="1"/>
      <c r="E2007" s="1"/>
      <c r="F2007" s="4"/>
      <c r="G2007" s="4"/>
      <c r="H2007" s="4">
        <f t="shared" si="31"/>
        <v>0</v>
      </c>
    </row>
    <row r="2008" spans="1:8" x14ac:dyDescent="0.35">
      <c r="A2008" s="11"/>
      <c r="B2008" s="11"/>
      <c r="C2008" s="16"/>
      <c r="D2008" s="1"/>
      <c r="E2008" s="1"/>
      <c r="F2008" s="4"/>
      <c r="G2008" s="4"/>
      <c r="H2008" s="4">
        <f t="shared" si="31"/>
        <v>0</v>
      </c>
    </row>
    <row r="2009" spans="1:8" x14ac:dyDescent="0.35">
      <c r="A2009" s="11"/>
      <c r="B2009" s="11"/>
      <c r="C2009" s="16"/>
      <c r="D2009" s="1"/>
      <c r="E2009" s="1"/>
      <c r="F2009" s="4"/>
      <c r="G2009" s="4"/>
      <c r="H2009" s="4">
        <f t="shared" si="31"/>
        <v>0</v>
      </c>
    </row>
    <row r="2010" spans="1:8" x14ac:dyDescent="0.35">
      <c r="A2010" s="11"/>
      <c r="B2010" s="11"/>
      <c r="C2010" s="16"/>
      <c r="D2010" s="1"/>
      <c r="E2010" s="1"/>
      <c r="F2010" s="4"/>
      <c r="G2010" s="4"/>
      <c r="H2010" s="4">
        <f t="shared" si="31"/>
        <v>0</v>
      </c>
    </row>
    <row r="2011" spans="1:8" x14ac:dyDescent="0.35">
      <c r="A2011" s="11"/>
      <c r="B2011" s="11"/>
      <c r="C2011" s="16"/>
      <c r="D2011" s="1"/>
      <c r="E2011" s="1"/>
      <c r="F2011" s="4"/>
      <c r="G2011" s="4"/>
      <c r="H2011" s="4">
        <f t="shared" si="31"/>
        <v>0</v>
      </c>
    </row>
    <row r="2012" spans="1:8" x14ac:dyDescent="0.35">
      <c r="A2012" s="11"/>
      <c r="B2012" s="11"/>
      <c r="C2012" s="16"/>
      <c r="D2012" s="1"/>
      <c r="E2012" s="1"/>
      <c r="F2012" s="4"/>
      <c r="G2012" s="4"/>
      <c r="H2012" s="4">
        <f t="shared" si="31"/>
        <v>0</v>
      </c>
    </row>
    <row r="2013" spans="1:8" x14ac:dyDescent="0.35">
      <c r="A2013" s="11"/>
      <c r="B2013" s="11"/>
      <c r="C2013" s="16"/>
      <c r="D2013" s="1"/>
      <c r="E2013" s="1"/>
      <c r="F2013" s="4"/>
      <c r="G2013" s="4"/>
      <c r="H2013" s="4">
        <f t="shared" si="31"/>
        <v>0</v>
      </c>
    </row>
    <row r="2014" spans="1:8" x14ac:dyDescent="0.35">
      <c r="A2014" s="11"/>
      <c r="B2014" s="11"/>
      <c r="C2014" s="16"/>
      <c r="D2014" s="1"/>
      <c r="E2014" s="1"/>
      <c r="F2014" s="4"/>
      <c r="G2014" s="4"/>
      <c r="H2014" s="4">
        <f t="shared" si="31"/>
        <v>0</v>
      </c>
    </row>
    <row r="2015" spans="1:8" x14ac:dyDescent="0.35">
      <c r="A2015" s="11"/>
      <c r="B2015" s="11"/>
      <c r="C2015" s="16"/>
      <c r="D2015" s="1"/>
      <c r="E2015" s="1"/>
      <c r="F2015" s="4"/>
      <c r="G2015" s="4"/>
      <c r="H2015" s="4">
        <f t="shared" si="31"/>
        <v>0</v>
      </c>
    </row>
    <row r="2016" spans="1:8" x14ac:dyDescent="0.35">
      <c r="A2016" s="11"/>
      <c r="B2016" s="11"/>
      <c r="C2016" s="16"/>
      <c r="D2016" s="1"/>
      <c r="E2016" s="1"/>
      <c r="F2016" s="4"/>
      <c r="G2016" s="4"/>
      <c r="H2016" s="4">
        <f t="shared" si="31"/>
        <v>0</v>
      </c>
    </row>
    <row r="2017" spans="1:8" x14ac:dyDescent="0.35">
      <c r="A2017" s="11"/>
      <c r="B2017" s="11"/>
      <c r="C2017" s="16"/>
      <c r="D2017" s="1"/>
      <c r="E2017" s="1"/>
      <c r="F2017" s="4"/>
      <c r="G2017" s="4"/>
      <c r="H2017" s="4">
        <f t="shared" ref="H2017:H2046" si="32">H2016+F2017-G2017</f>
        <v>0</v>
      </c>
    </row>
    <row r="2018" spans="1:8" x14ac:dyDescent="0.35">
      <c r="A2018" s="11"/>
      <c r="B2018" s="11"/>
      <c r="C2018" s="16"/>
      <c r="D2018" s="1"/>
      <c r="E2018" s="1"/>
      <c r="F2018" s="4"/>
      <c r="G2018" s="4"/>
      <c r="H2018" s="4">
        <f t="shared" si="32"/>
        <v>0</v>
      </c>
    </row>
    <row r="2019" spans="1:8" x14ac:dyDescent="0.35">
      <c r="A2019" s="11"/>
      <c r="B2019" s="11"/>
      <c r="C2019" s="16"/>
      <c r="D2019" s="1"/>
      <c r="E2019" s="1"/>
      <c r="F2019" s="4"/>
      <c r="G2019" s="4"/>
      <c r="H2019" s="4">
        <f t="shared" si="32"/>
        <v>0</v>
      </c>
    </row>
    <row r="2020" spans="1:8" x14ac:dyDescent="0.35">
      <c r="A2020" s="11"/>
      <c r="B2020" s="11"/>
      <c r="C2020" s="16"/>
      <c r="D2020" s="1"/>
      <c r="E2020" s="1"/>
      <c r="F2020" s="4"/>
      <c r="G2020" s="4"/>
      <c r="H2020" s="4">
        <f t="shared" si="32"/>
        <v>0</v>
      </c>
    </row>
    <row r="2021" spans="1:8" x14ac:dyDescent="0.35">
      <c r="A2021" s="11"/>
      <c r="B2021" s="11"/>
      <c r="C2021" s="16"/>
      <c r="D2021" s="1"/>
      <c r="E2021" s="1"/>
      <c r="F2021" s="4"/>
      <c r="G2021" s="4"/>
      <c r="H2021" s="4">
        <f t="shared" si="32"/>
        <v>0</v>
      </c>
    </row>
    <row r="2022" spans="1:8" x14ac:dyDescent="0.35">
      <c r="A2022" s="11"/>
      <c r="B2022" s="11"/>
      <c r="C2022" s="16"/>
      <c r="D2022" s="1"/>
      <c r="E2022" s="1"/>
      <c r="F2022" s="4"/>
      <c r="G2022" s="4"/>
      <c r="H2022" s="4">
        <f t="shared" si="32"/>
        <v>0</v>
      </c>
    </row>
    <row r="2023" spans="1:8" x14ac:dyDescent="0.35">
      <c r="A2023" s="11"/>
      <c r="B2023" s="11"/>
      <c r="C2023" s="16"/>
      <c r="D2023" s="1"/>
      <c r="E2023" s="1"/>
      <c r="F2023" s="4"/>
      <c r="G2023" s="4"/>
      <c r="H2023" s="4">
        <f t="shared" si="32"/>
        <v>0</v>
      </c>
    </row>
    <row r="2024" spans="1:8" x14ac:dyDescent="0.35">
      <c r="A2024" s="11"/>
      <c r="B2024" s="11"/>
      <c r="C2024" s="16"/>
      <c r="D2024" s="1"/>
      <c r="E2024" s="1"/>
      <c r="F2024" s="4"/>
      <c r="G2024" s="4"/>
      <c r="H2024" s="4">
        <f t="shared" si="32"/>
        <v>0</v>
      </c>
    </row>
    <row r="2025" spans="1:8" x14ac:dyDescent="0.35">
      <c r="A2025" s="11"/>
      <c r="B2025" s="11"/>
      <c r="C2025" s="16"/>
      <c r="D2025" s="1"/>
      <c r="E2025" s="1"/>
      <c r="F2025" s="4"/>
      <c r="G2025" s="4"/>
      <c r="H2025" s="4">
        <f t="shared" si="32"/>
        <v>0</v>
      </c>
    </row>
    <row r="2026" spans="1:8" x14ac:dyDescent="0.35">
      <c r="A2026" s="11"/>
      <c r="B2026" s="11"/>
      <c r="C2026" s="16"/>
      <c r="D2026" s="1"/>
      <c r="E2026" s="1"/>
      <c r="F2026" s="4"/>
      <c r="G2026" s="4"/>
      <c r="H2026" s="4">
        <f t="shared" si="32"/>
        <v>0</v>
      </c>
    </row>
    <row r="2027" spans="1:8" x14ac:dyDescent="0.35">
      <c r="A2027" s="11"/>
      <c r="B2027" s="11"/>
      <c r="C2027" s="16"/>
      <c r="D2027" s="1"/>
      <c r="E2027" s="1"/>
      <c r="F2027" s="4"/>
      <c r="G2027" s="4"/>
      <c r="H2027" s="4">
        <f t="shared" si="32"/>
        <v>0</v>
      </c>
    </row>
    <row r="2028" spans="1:8" x14ac:dyDescent="0.35">
      <c r="A2028" s="11"/>
      <c r="B2028" s="11"/>
      <c r="C2028" s="16"/>
      <c r="D2028" s="1"/>
      <c r="E2028" s="1"/>
      <c r="F2028" s="2"/>
      <c r="G2028" s="2"/>
      <c r="H2028" s="4">
        <f t="shared" si="32"/>
        <v>0</v>
      </c>
    </row>
    <row r="2029" spans="1:8" x14ac:dyDescent="0.35">
      <c r="A2029" s="11"/>
      <c r="B2029" s="11"/>
      <c r="C2029" s="16"/>
      <c r="D2029" s="1"/>
      <c r="E2029" s="1"/>
      <c r="F2029" s="2"/>
      <c r="G2029" s="2"/>
      <c r="H2029" s="4">
        <f t="shared" si="32"/>
        <v>0</v>
      </c>
    </row>
    <row r="2030" spans="1:8" x14ac:dyDescent="0.35">
      <c r="A2030" s="11"/>
      <c r="B2030" s="11"/>
      <c r="C2030" s="16"/>
      <c r="D2030" s="1"/>
      <c r="E2030" s="1"/>
      <c r="F2030" s="2"/>
      <c r="G2030" s="2"/>
      <c r="H2030" s="4">
        <f t="shared" si="32"/>
        <v>0</v>
      </c>
    </row>
    <row r="2031" spans="1:8" x14ac:dyDescent="0.35">
      <c r="A2031" s="11"/>
      <c r="B2031" s="11"/>
      <c r="C2031" s="16"/>
      <c r="D2031" s="1"/>
      <c r="E2031" s="1"/>
      <c r="F2031" s="2"/>
      <c r="G2031" s="2"/>
      <c r="H2031" s="4">
        <f t="shared" si="32"/>
        <v>0</v>
      </c>
    </row>
    <row r="2032" spans="1:8" x14ac:dyDescent="0.35">
      <c r="A2032" s="11"/>
      <c r="B2032" s="11"/>
      <c r="C2032" s="16"/>
      <c r="D2032" s="1"/>
      <c r="E2032" s="1"/>
      <c r="F2032" s="2"/>
      <c r="G2032" s="2"/>
      <c r="H2032" s="4">
        <f t="shared" si="32"/>
        <v>0</v>
      </c>
    </row>
    <row r="2033" spans="1:8" x14ac:dyDescent="0.35">
      <c r="A2033" s="11"/>
      <c r="B2033" s="11"/>
      <c r="C2033" s="16"/>
      <c r="D2033" s="1"/>
      <c r="E2033" s="1"/>
      <c r="F2033" s="2"/>
      <c r="G2033" s="2"/>
      <c r="H2033" s="4">
        <f t="shared" si="32"/>
        <v>0</v>
      </c>
    </row>
    <row r="2034" spans="1:8" x14ac:dyDescent="0.35">
      <c r="A2034" s="11"/>
      <c r="B2034" s="11"/>
      <c r="C2034" s="16"/>
      <c r="D2034" s="1"/>
      <c r="E2034" s="1"/>
      <c r="F2034" s="2"/>
      <c r="G2034" s="2"/>
      <c r="H2034" s="4">
        <f t="shared" si="32"/>
        <v>0</v>
      </c>
    </row>
    <row r="2035" spans="1:8" x14ac:dyDescent="0.35">
      <c r="A2035" s="11"/>
      <c r="B2035" s="11"/>
      <c r="C2035" s="16"/>
      <c r="D2035" s="1"/>
      <c r="E2035" s="1"/>
      <c r="F2035" s="2"/>
      <c r="G2035" s="2"/>
      <c r="H2035" s="4">
        <f t="shared" si="32"/>
        <v>0</v>
      </c>
    </row>
    <row r="2036" spans="1:8" x14ac:dyDescent="0.35">
      <c r="A2036" s="11"/>
      <c r="B2036" s="11"/>
      <c r="C2036" s="16"/>
      <c r="D2036" s="1"/>
      <c r="E2036" s="1"/>
      <c r="F2036" s="2"/>
      <c r="G2036" s="2"/>
      <c r="H2036" s="4">
        <f t="shared" si="32"/>
        <v>0</v>
      </c>
    </row>
    <row r="2037" spans="1:8" x14ac:dyDescent="0.35">
      <c r="A2037" s="11"/>
      <c r="B2037" s="11"/>
      <c r="C2037" s="16"/>
      <c r="D2037" s="1"/>
      <c r="E2037" s="1"/>
      <c r="F2037" s="2"/>
      <c r="G2037" s="2"/>
      <c r="H2037" s="4">
        <f t="shared" si="32"/>
        <v>0</v>
      </c>
    </row>
    <row r="2038" spans="1:8" x14ac:dyDescent="0.35">
      <c r="A2038" s="11"/>
      <c r="B2038" s="11"/>
      <c r="C2038" s="16"/>
      <c r="D2038" s="1"/>
      <c r="E2038" s="1"/>
      <c r="F2038" s="2"/>
      <c r="G2038" s="2"/>
      <c r="H2038" s="4">
        <f t="shared" si="32"/>
        <v>0</v>
      </c>
    </row>
    <row r="2039" spans="1:8" x14ac:dyDescent="0.35">
      <c r="A2039" s="11"/>
      <c r="B2039" s="11"/>
      <c r="C2039" s="16"/>
      <c r="D2039" s="1"/>
      <c r="E2039" s="1"/>
      <c r="F2039" s="2"/>
      <c r="G2039" s="2"/>
      <c r="H2039" s="4">
        <f t="shared" si="32"/>
        <v>0</v>
      </c>
    </row>
    <row r="2040" spans="1:8" x14ac:dyDescent="0.35">
      <c r="A2040" s="11"/>
      <c r="B2040" s="11"/>
      <c r="C2040" s="16"/>
      <c r="D2040" s="1"/>
      <c r="E2040" s="1"/>
      <c r="F2040" s="2"/>
      <c r="G2040" s="2"/>
      <c r="H2040" s="4">
        <f t="shared" si="32"/>
        <v>0</v>
      </c>
    </row>
    <row r="2041" spans="1:8" x14ac:dyDescent="0.35">
      <c r="A2041" s="11"/>
      <c r="B2041" s="11"/>
      <c r="C2041" s="16"/>
      <c r="D2041" s="1"/>
      <c r="E2041" s="1"/>
      <c r="F2041" s="2"/>
      <c r="G2041" s="2"/>
      <c r="H2041" s="4">
        <f t="shared" si="32"/>
        <v>0</v>
      </c>
    </row>
    <row r="2042" spans="1:8" x14ac:dyDescent="0.35">
      <c r="A2042" s="11"/>
      <c r="B2042" s="11"/>
      <c r="C2042" s="16"/>
      <c r="D2042" s="1"/>
      <c r="E2042" s="1"/>
      <c r="F2042" s="2"/>
      <c r="G2042" s="2"/>
      <c r="H2042" s="4">
        <f t="shared" si="32"/>
        <v>0</v>
      </c>
    </row>
    <row r="2043" spans="1:8" x14ac:dyDescent="0.35">
      <c r="A2043" s="11"/>
      <c r="B2043" s="11"/>
      <c r="C2043" s="16"/>
      <c r="D2043" s="1"/>
      <c r="E2043" s="1"/>
      <c r="F2043" s="2"/>
      <c r="G2043" s="2"/>
      <c r="H2043" s="4">
        <f t="shared" si="32"/>
        <v>0</v>
      </c>
    </row>
    <row r="2044" spans="1:8" x14ac:dyDescent="0.35">
      <c r="A2044" s="11"/>
      <c r="B2044" s="11"/>
      <c r="C2044" s="16"/>
      <c r="D2044" s="1"/>
      <c r="E2044" s="1"/>
      <c r="F2044" s="2"/>
      <c r="G2044" s="2"/>
      <c r="H2044" s="4">
        <f t="shared" si="32"/>
        <v>0</v>
      </c>
    </row>
    <row r="2045" spans="1:8" x14ac:dyDescent="0.35">
      <c r="A2045" s="11"/>
      <c r="B2045" s="11"/>
      <c r="C2045" s="16"/>
      <c r="D2045" s="1"/>
      <c r="E2045" s="1"/>
      <c r="F2045" s="2"/>
      <c r="G2045" s="2"/>
      <c r="H2045" s="4">
        <f t="shared" si="32"/>
        <v>0</v>
      </c>
    </row>
    <row r="2046" spans="1:8" x14ac:dyDescent="0.35">
      <c r="A2046" s="11"/>
      <c r="B2046" s="11"/>
      <c r="C2046" s="16"/>
      <c r="D2046" s="1"/>
      <c r="E2046" s="1"/>
      <c r="F2046" s="2"/>
      <c r="G2046" s="2"/>
      <c r="H2046" s="4">
        <f t="shared" si="32"/>
        <v>0</v>
      </c>
    </row>
    <row r="2047" spans="1:8" x14ac:dyDescent="0.35">
      <c r="A2047" s="27"/>
      <c r="B2047" s="5"/>
      <c r="C2047" s="17">
        <v>1</v>
      </c>
      <c r="D2047" s="5" t="s">
        <v>5</v>
      </c>
      <c r="E2047" s="5"/>
      <c r="F2047" s="8">
        <f>SUM(F7:F2046)</f>
        <v>0</v>
      </c>
      <c r="G2047" s="8">
        <f>SUM(G7:G2046)</f>
        <v>0</v>
      </c>
      <c r="H2047" s="8"/>
    </row>
    <row r="2049" spans="7:7" x14ac:dyDescent="0.35">
      <c r="G2049" s="3">
        <v>4</v>
      </c>
    </row>
  </sheetData>
  <autoFilter ref="A5:H2046" xr:uid="{00000000-0009-0000-0000-000007000000}"/>
  <mergeCells count="3">
    <mergeCell ref="B1:H1"/>
    <mergeCell ref="B2:H2"/>
    <mergeCell ref="B3:H3"/>
  </mergeCells>
  <dataValidations count="2">
    <dataValidation type="list" allowBlank="1" showInputMessage="1" showErrorMessage="1" sqref="C73:C75 C53:C68 C82:C2046 C7:C51" xr:uid="{00000000-0002-0000-0700-000000000000}">
      <formula1>"Pendapatan,Biaya Jasa,Gaji,Listrik Internet PDAM,BPJS,Operasional,Pemasaran,Transport,Pemeliharaan,Sewa,Administrasi &amp; Umum,Pajak,PLU,BLU,Kas,Aset Tetap,PPN Masukan,PPN Keluaran,PPh 23,PPh 22,PPh 25,Piutang,Hutang,Modal,Prive/Dividen"</formula1>
    </dataValidation>
    <dataValidation type="list" allowBlank="1" showInputMessage="1" showErrorMessage="1" sqref="C52 C69:C72 C76:C81" xr:uid="{00000000-0002-0000-0700-000001000000}">
      <formula1>"Pendapatan,HPP,Gaji,Listrik Internet PDAM,BPJS Kes,Operasional,Pemasaran,Transport,Pemeliharaan,Sewa,Administrasi &amp; Umum,Pajak,PLU,BLU,Kas,Aset Tetap,PPN Masukan,PPN Keluaran,PPh 23,PPh 22,Piutang,Hutang,Modal,Prive"</formula1>
    </dataValidation>
  </dataValidations>
  <pageMargins left="0.7" right="0.7" top="0.75" bottom="0.75" header="0.3" footer="0.3"/>
  <pageSetup paperSize="9" orientation="portrait" horizontalDpi="4294967292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H1437"/>
  <sheetViews>
    <sheetView showGridLines="0" zoomScaleNormal="100" workbookViewId="0">
      <selection activeCell="E14" sqref="E14"/>
    </sheetView>
  </sheetViews>
  <sheetFormatPr defaultColWidth="8.90625" defaultRowHeight="14" x14ac:dyDescent="0.4"/>
  <cols>
    <col min="1" max="1" width="5.08984375" style="88" customWidth="1"/>
    <col min="2" max="2" width="11.36328125" style="117" customWidth="1"/>
    <col min="3" max="3" width="21.08984375" style="89" customWidth="1"/>
    <col min="4" max="4" width="35.54296875" style="88" customWidth="1"/>
    <col min="5" max="5" width="17.36328125" style="88" customWidth="1"/>
    <col min="6" max="6" width="13.6328125" style="90" customWidth="1"/>
    <col min="7" max="8" width="15.36328125" style="90" customWidth="1"/>
    <col min="9" max="9" width="5.6328125" style="88" customWidth="1"/>
    <col min="10" max="16384" width="8.90625" style="88"/>
  </cols>
  <sheetData>
    <row r="1" spans="1:8" x14ac:dyDescent="0.4">
      <c r="A1" s="213"/>
      <c r="B1" s="319" t="s">
        <v>121</v>
      </c>
      <c r="C1" s="319"/>
      <c r="D1" s="319"/>
      <c r="E1" s="319"/>
      <c r="F1" s="319"/>
      <c r="G1" s="319"/>
      <c r="H1" s="319"/>
    </row>
    <row r="2" spans="1:8" x14ac:dyDescent="0.4">
      <c r="A2" s="213"/>
      <c r="B2" s="319" t="str">
        <f>KAS!B2:H2</f>
        <v xml:space="preserve">PT EDU MEDIA DIGITAL </v>
      </c>
      <c r="C2" s="319"/>
      <c r="D2" s="319"/>
      <c r="E2" s="319"/>
      <c r="F2" s="319"/>
      <c r="G2" s="319"/>
      <c r="H2" s="319"/>
    </row>
    <row r="3" spans="1:8" x14ac:dyDescent="0.4">
      <c r="A3" s="213"/>
      <c r="B3" s="317" t="str">
        <f>KAS!B3:H3</f>
        <v>2026</v>
      </c>
      <c r="C3" s="317"/>
      <c r="D3" s="317"/>
      <c r="E3" s="317"/>
      <c r="F3" s="317"/>
      <c r="G3" s="317"/>
      <c r="H3" s="317"/>
    </row>
    <row r="4" spans="1:8" x14ac:dyDescent="0.4">
      <c r="F4" s="90">
        <f>SUBTOTAL(9,F7:F1434)</f>
        <v>0</v>
      </c>
      <c r="G4" s="90">
        <f>SUBTOTAL(9,G7:G1434)</f>
        <v>0</v>
      </c>
    </row>
    <row r="5" spans="1:8" x14ac:dyDescent="0.4">
      <c r="A5" s="212" t="s">
        <v>24</v>
      </c>
      <c r="B5" s="119" t="s">
        <v>0</v>
      </c>
      <c r="C5" s="94" t="s">
        <v>6</v>
      </c>
      <c r="D5" s="95" t="s">
        <v>9</v>
      </c>
      <c r="E5" s="95" t="s">
        <v>88</v>
      </c>
      <c r="F5" s="94" t="s">
        <v>1</v>
      </c>
      <c r="G5" s="94" t="s">
        <v>2</v>
      </c>
      <c r="H5" s="94" t="s">
        <v>3</v>
      </c>
    </row>
    <row r="6" spans="1:8" x14ac:dyDescent="0.4">
      <c r="A6" s="115"/>
      <c r="B6" s="120"/>
      <c r="C6" s="98"/>
      <c r="D6" s="99"/>
      <c r="E6" s="99"/>
      <c r="F6" s="100"/>
      <c r="G6" s="100"/>
      <c r="H6" s="100"/>
    </row>
    <row r="7" spans="1:8" x14ac:dyDescent="0.4">
      <c r="A7" s="115"/>
      <c r="B7" s="101"/>
      <c r="C7" s="102"/>
      <c r="D7" s="103"/>
      <c r="E7" s="103"/>
      <c r="F7" s="104"/>
      <c r="G7" s="104"/>
      <c r="H7" s="105">
        <f>H6+F7-G7</f>
        <v>0</v>
      </c>
    </row>
    <row r="8" spans="1:8" x14ac:dyDescent="0.4">
      <c r="A8" s="115"/>
      <c r="B8" s="101"/>
      <c r="C8" s="102"/>
      <c r="D8" s="103"/>
      <c r="E8" s="103"/>
      <c r="F8" s="104"/>
      <c r="G8" s="104"/>
      <c r="H8" s="105">
        <f t="shared" ref="H8:H79" si="0">H7+F8-G8</f>
        <v>0</v>
      </c>
    </row>
    <row r="9" spans="1:8" x14ac:dyDescent="0.4">
      <c r="A9" s="115"/>
      <c r="B9" s="101"/>
      <c r="C9" s="102"/>
      <c r="D9" s="103"/>
      <c r="E9" s="103"/>
      <c r="F9" s="104"/>
      <c r="G9" s="104"/>
      <c r="H9" s="105">
        <f t="shared" si="0"/>
        <v>0</v>
      </c>
    </row>
    <row r="10" spans="1:8" x14ac:dyDescent="0.4">
      <c r="A10" s="115"/>
      <c r="B10" s="121"/>
      <c r="C10" s="102"/>
      <c r="D10" s="115"/>
      <c r="E10" s="115"/>
      <c r="F10" s="105"/>
      <c r="G10" s="105"/>
      <c r="H10" s="105">
        <f t="shared" si="0"/>
        <v>0</v>
      </c>
    </row>
    <row r="11" spans="1:8" x14ac:dyDescent="0.4">
      <c r="A11" s="115"/>
      <c r="B11" s="101"/>
      <c r="C11" s="102"/>
      <c r="D11" s="103"/>
      <c r="E11" s="103"/>
      <c r="F11" s="104"/>
      <c r="G11" s="104"/>
      <c r="H11" s="105">
        <f t="shared" si="0"/>
        <v>0</v>
      </c>
    </row>
    <row r="12" spans="1:8" x14ac:dyDescent="0.4">
      <c r="A12" s="115"/>
      <c r="B12" s="101"/>
      <c r="C12" s="102"/>
      <c r="D12" s="103"/>
      <c r="E12" s="103"/>
      <c r="F12" s="104"/>
      <c r="G12" s="104"/>
      <c r="H12" s="105">
        <f t="shared" si="0"/>
        <v>0</v>
      </c>
    </row>
    <row r="13" spans="1:8" x14ac:dyDescent="0.4">
      <c r="A13" s="115"/>
      <c r="B13" s="101"/>
      <c r="C13" s="102"/>
      <c r="D13" s="103"/>
      <c r="E13" s="103"/>
      <c r="F13" s="104"/>
      <c r="G13" s="104"/>
      <c r="H13" s="105">
        <f t="shared" si="0"/>
        <v>0</v>
      </c>
    </row>
    <row r="14" spans="1:8" x14ac:dyDescent="0.4">
      <c r="A14" s="115"/>
      <c r="B14" s="121"/>
      <c r="C14" s="102"/>
      <c r="D14" s="115"/>
      <c r="E14" s="115"/>
      <c r="F14" s="105"/>
      <c r="G14" s="105"/>
      <c r="H14" s="105">
        <f t="shared" si="0"/>
        <v>0</v>
      </c>
    </row>
    <row r="15" spans="1:8" x14ac:dyDescent="0.4">
      <c r="A15" s="115"/>
      <c r="B15" s="121"/>
      <c r="C15" s="102"/>
      <c r="D15" s="103"/>
      <c r="E15" s="103"/>
      <c r="F15" s="104"/>
      <c r="G15" s="104"/>
      <c r="H15" s="105">
        <f t="shared" si="0"/>
        <v>0</v>
      </c>
    </row>
    <row r="16" spans="1:8" x14ac:dyDescent="0.4">
      <c r="A16" s="115"/>
      <c r="B16" s="121"/>
      <c r="C16" s="102"/>
      <c r="D16" s="103"/>
      <c r="E16" s="103"/>
      <c r="F16" s="104"/>
      <c r="G16" s="104"/>
      <c r="H16" s="105">
        <f t="shared" si="0"/>
        <v>0</v>
      </c>
    </row>
    <row r="17" spans="1:8" x14ac:dyDescent="0.4">
      <c r="A17" s="115"/>
      <c r="B17" s="121"/>
      <c r="C17" s="102"/>
      <c r="D17" s="103"/>
      <c r="E17" s="103"/>
      <c r="F17" s="104"/>
      <c r="G17" s="104"/>
      <c r="H17" s="105">
        <f t="shared" si="0"/>
        <v>0</v>
      </c>
    </row>
    <row r="18" spans="1:8" x14ac:dyDescent="0.4">
      <c r="A18" s="115"/>
      <c r="B18" s="121"/>
      <c r="C18" s="102"/>
      <c r="D18" s="115"/>
      <c r="E18" s="115"/>
      <c r="F18" s="105"/>
      <c r="G18" s="105"/>
      <c r="H18" s="105">
        <f t="shared" si="0"/>
        <v>0</v>
      </c>
    </row>
    <row r="19" spans="1:8" x14ac:dyDescent="0.4">
      <c r="A19" s="115"/>
      <c r="B19" s="121"/>
      <c r="C19" s="102"/>
      <c r="D19" s="115"/>
      <c r="E19" s="115"/>
      <c r="F19" s="105"/>
      <c r="G19" s="105"/>
      <c r="H19" s="105">
        <f t="shared" si="0"/>
        <v>0</v>
      </c>
    </row>
    <row r="20" spans="1:8" x14ac:dyDescent="0.4">
      <c r="A20" s="115"/>
      <c r="B20" s="121"/>
      <c r="C20" s="102"/>
      <c r="D20" s="115"/>
      <c r="E20" s="115"/>
      <c r="F20" s="105"/>
      <c r="G20" s="105"/>
      <c r="H20" s="105">
        <f t="shared" si="0"/>
        <v>0</v>
      </c>
    </row>
    <row r="21" spans="1:8" x14ac:dyDescent="0.4">
      <c r="A21" s="115"/>
      <c r="B21" s="121"/>
      <c r="C21" s="102"/>
      <c r="D21" s="115"/>
      <c r="E21" s="115"/>
      <c r="F21" s="105"/>
      <c r="G21" s="105"/>
      <c r="H21" s="105">
        <f t="shared" si="0"/>
        <v>0</v>
      </c>
    </row>
    <row r="22" spans="1:8" x14ac:dyDescent="0.4">
      <c r="A22" s="115"/>
      <c r="B22" s="121"/>
      <c r="C22" s="102"/>
      <c r="D22" s="115"/>
      <c r="E22" s="115"/>
      <c r="F22" s="105"/>
      <c r="G22" s="105"/>
      <c r="H22" s="105">
        <f t="shared" si="0"/>
        <v>0</v>
      </c>
    </row>
    <row r="23" spans="1:8" x14ac:dyDescent="0.4">
      <c r="A23" s="115"/>
      <c r="B23" s="121"/>
      <c r="C23" s="102"/>
      <c r="D23" s="115"/>
      <c r="E23" s="115"/>
      <c r="F23" s="105"/>
      <c r="G23" s="105"/>
      <c r="H23" s="105">
        <f t="shared" si="0"/>
        <v>0</v>
      </c>
    </row>
    <row r="24" spans="1:8" x14ac:dyDescent="0.4">
      <c r="A24" s="115"/>
      <c r="B24" s="121"/>
      <c r="C24" s="102"/>
      <c r="D24" s="115"/>
      <c r="E24" s="115"/>
      <c r="F24" s="105"/>
      <c r="G24" s="105"/>
      <c r="H24" s="105">
        <f t="shared" si="0"/>
        <v>0</v>
      </c>
    </row>
    <row r="25" spans="1:8" x14ac:dyDescent="0.4">
      <c r="A25" s="115"/>
      <c r="B25" s="121"/>
      <c r="C25" s="102"/>
      <c r="D25" s="115"/>
      <c r="E25" s="115"/>
      <c r="F25" s="105"/>
      <c r="G25" s="105"/>
      <c r="H25" s="105">
        <f t="shared" si="0"/>
        <v>0</v>
      </c>
    </row>
    <row r="26" spans="1:8" x14ac:dyDescent="0.4">
      <c r="A26" s="115"/>
      <c r="B26" s="121"/>
      <c r="C26" s="102"/>
      <c r="D26" s="115"/>
      <c r="E26" s="115"/>
      <c r="F26" s="105"/>
      <c r="G26" s="105"/>
      <c r="H26" s="105">
        <f t="shared" si="0"/>
        <v>0</v>
      </c>
    </row>
    <row r="27" spans="1:8" x14ac:dyDescent="0.4">
      <c r="A27" s="115"/>
      <c r="B27" s="121"/>
      <c r="C27" s="102"/>
      <c r="D27" s="115"/>
      <c r="E27" s="115"/>
      <c r="F27" s="105"/>
      <c r="G27" s="105"/>
      <c r="H27" s="105">
        <f t="shared" si="0"/>
        <v>0</v>
      </c>
    </row>
    <row r="28" spans="1:8" x14ac:dyDescent="0.4">
      <c r="A28" s="115"/>
      <c r="B28" s="121"/>
      <c r="C28" s="102"/>
      <c r="D28" s="115"/>
      <c r="E28" s="115"/>
      <c r="F28" s="105"/>
      <c r="G28" s="105"/>
      <c r="H28" s="105">
        <f t="shared" si="0"/>
        <v>0</v>
      </c>
    </row>
    <row r="29" spans="1:8" x14ac:dyDescent="0.4">
      <c r="A29" s="115"/>
      <c r="B29" s="121"/>
      <c r="C29" s="102"/>
      <c r="D29" s="115"/>
      <c r="E29" s="115"/>
      <c r="F29" s="105"/>
      <c r="G29" s="105"/>
      <c r="H29" s="105">
        <f t="shared" si="0"/>
        <v>0</v>
      </c>
    </row>
    <row r="30" spans="1:8" x14ac:dyDescent="0.4">
      <c r="A30" s="115"/>
      <c r="B30" s="121"/>
      <c r="C30" s="102"/>
      <c r="D30" s="115"/>
      <c r="E30" s="115"/>
      <c r="F30" s="105"/>
      <c r="G30" s="105"/>
      <c r="H30" s="105">
        <f t="shared" si="0"/>
        <v>0</v>
      </c>
    </row>
    <row r="31" spans="1:8" x14ac:dyDescent="0.4">
      <c r="A31" s="115"/>
      <c r="B31" s="121"/>
      <c r="C31" s="102"/>
      <c r="D31" s="115"/>
      <c r="E31" s="115"/>
      <c r="F31" s="105"/>
      <c r="G31" s="105"/>
      <c r="H31" s="105">
        <f t="shared" si="0"/>
        <v>0</v>
      </c>
    </row>
    <row r="32" spans="1:8" x14ac:dyDescent="0.4">
      <c r="A32" s="115"/>
      <c r="B32" s="121"/>
      <c r="C32" s="102"/>
      <c r="D32" s="115"/>
      <c r="E32" s="115"/>
      <c r="F32" s="105"/>
      <c r="G32" s="105"/>
      <c r="H32" s="105">
        <f t="shared" si="0"/>
        <v>0</v>
      </c>
    </row>
    <row r="33" spans="1:8" x14ac:dyDescent="0.4">
      <c r="A33" s="115"/>
      <c r="B33" s="121"/>
      <c r="C33" s="102"/>
      <c r="D33" s="115"/>
      <c r="E33" s="115"/>
      <c r="F33" s="105"/>
      <c r="G33" s="105"/>
      <c r="H33" s="105">
        <f t="shared" si="0"/>
        <v>0</v>
      </c>
    </row>
    <row r="34" spans="1:8" x14ac:dyDescent="0.4">
      <c r="A34" s="115"/>
      <c r="B34" s="121"/>
      <c r="C34" s="102"/>
      <c r="D34" s="115"/>
      <c r="E34" s="115"/>
      <c r="F34" s="105"/>
      <c r="G34" s="105"/>
      <c r="H34" s="105">
        <f t="shared" si="0"/>
        <v>0</v>
      </c>
    </row>
    <row r="35" spans="1:8" x14ac:dyDescent="0.4">
      <c r="A35" s="115"/>
      <c r="B35" s="121"/>
      <c r="C35" s="102"/>
      <c r="D35" s="115"/>
      <c r="E35" s="115"/>
      <c r="F35" s="105"/>
      <c r="G35" s="105"/>
      <c r="H35" s="105">
        <f t="shared" si="0"/>
        <v>0</v>
      </c>
    </row>
    <row r="36" spans="1:8" x14ac:dyDescent="0.4">
      <c r="A36" s="115"/>
      <c r="B36" s="121"/>
      <c r="C36" s="102"/>
      <c r="D36" s="115"/>
      <c r="E36" s="115"/>
      <c r="F36" s="105"/>
      <c r="G36" s="105"/>
      <c r="H36" s="105">
        <f t="shared" si="0"/>
        <v>0</v>
      </c>
    </row>
    <row r="37" spans="1:8" x14ac:dyDescent="0.4">
      <c r="A37" s="115"/>
      <c r="B37" s="121"/>
      <c r="C37" s="102"/>
      <c r="D37" s="115"/>
      <c r="E37" s="115"/>
      <c r="F37" s="105"/>
      <c r="G37" s="105"/>
      <c r="H37" s="105">
        <f t="shared" si="0"/>
        <v>0</v>
      </c>
    </row>
    <row r="38" spans="1:8" x14ac:dyDescent="0.4">
      <c r="A38" s="115"/>
      <c r="B38" s="121"/>
      <c r="C38" s="102"/>
      <c r="D38" s="115"/>
      <c r="E38" s="115"/>
      <c r="F38" s="105"/>
      <c r="G38" s="105"/>
      <c r="H38" s="105">
        <f t="shared" si="0"/>
        <v>0</v>
      </c>
    </row>
    <row r="39" spans="1:8" x14ac:dyDescent="0.4">
      <c r="A39" s="115"/>
      <c r="B39" s="121"/>
      <c r="C39" s="102"/>
      <c r="D39" s="115"/>
      <c r="E39" s="115"/>
      <c r="F39" s="105"/>
      <c r="G39" s="105"/>
      <c r="H39" s="105">
        <f t="shared" si="0"/>
        <v>0</v>
      </c>
    </row>
    <row r="40" spans="1:8" x14ac:dyDescent="0.4">
      <c r="A40" s="115"/>
      <c r="B40" s="121"/>
      <c r="C40" s="102"/>
      <c r="D40" s="115"/>
      <c r="E40" s="115"/>
      <c r="F40" s="105"/>
      <c r="G40" s="105"/>
      <c r="H40" s="105">
        <f t="shared" si="0"/>
        <v>0</v>
      </c>
    </row>
    <row r="41" spans="1:8" x14ac:dyDescent="0.4">
      <c r="A41" s="115"/>
      <c r="B41" s="121"/>
      <c r="C41" s="102"/>
      <c r="D41" s="115"/>
      <c r="E41" s="115"/>
      <c r="F41" s="105"/>
      <c r="G41" s="105"/>
      <c r="H41" s="105">
        <f t="shared" si="0"/>
        <v>0</v>
      </c>
    </row>
    <row r="42" spans="1:8" x14ac:dyDescent="0.4">
      <c r="A42" s="115"/>
      <c r="B42" s="121"/>
      <c r="C42" s="102"/>
      <c r="D42" s="115"/>
      <c r="E42" s="115"/>
      <c r="F42" s="105"/>
      <c r="G42" s="105"/>
      <c r="H42" s="105">
        <f t="shared" si="0"/>
        <v>0</v>
      </c>
    </row>
    <row r="43" spans="1:8" x14ac:dyDescent="0.4">
      <c r="A43" s="115"/>
      <c r="B43" s="121"/>
      <c r="C43" s="102"/>
      <c r="D43" s="115"/>
      <c r="E43" s="115"/>
      <c r="F43" s="105"/>
      <c r="G43" s="105"/>
      <c r="H43" s="105">
        <f t="shared" si="0"/>
        <v>0</v>
      </c>
    </row>
    <row r="44" spans="1:8" x14ac:dyDescent="0.4">
      <c r="A44" s="115"/>
      <c r="B44" s="121"/>
      <c r="C44" s="102"/>
      <c r="D44" s="115"/>
      <c r="E44" s="115"/>
      <c r="F44" s="105"/>
      <c r="G44" s="105"/>
      <c r="H44" s="105">
        <f t="shared" si="0"/>
        <v>0</v>
      </c>
    </row>
    <row r="45" spans="1:8" x14ac:dyDescent="0.4">
      <c r="A45" s="115"/>
      <c r="B45" s="121"/>
      <c r="C45" s="102"/>
      <c r="D45" s="115"/>
      <c r="E45" s="115"/>
      <c r="F45" s="105"/>
      <c r="G45" s="105"/>
      <c r="H45" s="105">
        <f t="shared" si="0"/>
        <v>0</v>
      </c>
    </row>
    <row r="46" spans="1:8" x14ac:dyDescent="0.4">
      <c r="A46" s="115"/>
      <c r="B46" s="121"/>
      <c r="C46" s="102"/>
      <c r="D46" s="115"/>
      <c r="E46" s="115"/>
      <c r="F46" s="105"/>
      <c r="G46" s="105"/>
      <c r="H46" s="105">
        <f t="shared" si="0"/>
        <v>0</v>
      </c>
    </row>
    <row r="47" spans="1:8" x14ac:dyDescent="0.4">
      <c r="A47" s="115"/>
      <c r="B47" s="121"/>
      <c r="C47" s="102"/>
      <c r="D47" s="115"/>
      <c r="E47" s="115"/>
      <c r="F47" s="105"/>
      <c r="G47" s="105"/>
      <c r="H47" s="105">
        <f t="shared" si="0"/>
        <v>0</v>
      </c>
    </row>
    <row r="48" spans="1:8" x14ac:dyDescent="0.4">
      <c r="A48" s="115"/>
      <c r="B48" s="121"/>
      <c r="C48" s="102"/>
      <c r="D48" s="115"/>
      <c r="E48" s="115"/>
      <c r="F48" s="105"/>
      <c r="G48" s="105"/>
      <c r="H48" s="105">
        <f t="shared" si="0"/>
        <v>0</v>
      </c>
    </row>
    <row r="49" spans="1:8" x14ac:dyDescent="0.4">
      <c r="A49" s="115"/>
      <c r="B49" s="121"/>
      <c r="C49" s="102"/>
      <c r="D49" s="115"/>
      <c r="E49" s="115"/>
      <c r="F49" s="105"/>
      <c r="G49" s="105"/>
      <c r="H49" s="105">
        <f t="shared" si="0"/>
        <v>0</v>
      </c>
    </row>
    <row r="50" spans="1:8" x14ac:dyDescent="0.4">
      <c r="A50" s="115"/>
      <c r="B50" s="121"/>
      <c r="C50" s="102"/>
      <c r="D50" s="115"/>
      <c r="E50" s="115"/>
      <c r="F50" s="105"/>
      <c r="G50" s="105"/>
      <c r="H50" s="105">
        <f t="shared" si="0"/>
        <v>0</v>
      </c>
    </row>
    <row r="51" spans="1:8" x14ac:dyDescent="0.4">
      <c r="A51" s="115"/>
      <c r="B51" s="121"/>
      <c r="C51" s="102"/>
      <c r="D51" s="115"/>
      <c r="E51" s="115"/>
      <c r="F51" s="105"/>
      <c r="G51" s="105"/>
      <c r="H51" s="105">
        <f t="shared" si="0"/>
        <v>0</v>
      </c>
    </row>
    <row r="52" spans="1:8" x14ac:dyDescent="0.4">
      <c r="A52" s="115"/>
      <c r="B52" s="121"/>
      <c r="C52" s="102"/>
      <c r="D52" s="115"/>
      <c r="E52" s="115"/>
      <c r="F52" s="105"/>
      <c r="G52" s="105"/>
      <c r="H52" s="105">
        <f t="shared" si="0"/>
        <v>0</v>
      </c>
    </row>
    <row r="53" spans="1:8" x14ac:dyDescent="0.4">
      <c r="A53" s="115"/>
      <c r="B53" s="121"/>
      <c r="C53" s="102"/>
      <c r="D53" s="115"/>
      <c r="E53" s="115"/>
      <c r="F53" s="105"/>
      <c r="G53" s="105"/>
      <c r="H53" s="105">
        <f t="shared" si="0"/>
        <v>0</v>
      </c>
    </row>
    <row r="54" spans="1:8" x14ac:dyDescent="0.4">
      <c r="A54" s="115"/>
      <c r="B54" s="121"/>
      <c r="C54" s="102"/>
      <c r="D54" s="115"/>
      <c r="E54" s="115"/>
      <c r="F54" s="105"/>
      <c r="G54" s="105"/>
      <c r="H54" s="105">
        <f t="shared" si="0"/>
        <v>0</v>
      </c>
    </row>
    <row r="55" spans="1:8" x14ac:dyDescent="0.4">
      <c r="A55" s="115"/>
      <c r="B55" s="121"/>
      <c r="C55" s="102"/>
      <c r="D55" s="115"/>
      <c r="E55" s="115"/>
      <c r="F55" s="105"/>
      <c r="G55" s="105"/>
      <c r="H55" s="105">
        <f t="shared" si="0"/>
        <v>0</v>
      </c>
    </row>
    <row r="56" spans="1:8" x14ac:dyDescent="0.4">
      <c r="A56" s="115"/>
      <c r="B56" s="121"/>
      <c r="C56" s="102"/>
      <c r="D56" s="115"/>
      <c r="E56" s="115"/>
      <c r="F56" s="105"/>
      <c r="G56" s="105"/>
      <c r="H56" s="105">
        <f t="shared" si="0"/>
        <v>0</v>
      </c>
    </row>
    <row r="57" spans="1:8" x14ac:dyDescent="0.4">
      <c r="A57" s="115"/>
      <c r="B57" s="121"/>
      <c r="C57" s="102"/>
      <c r="D57" s="115"/>
      <c r="E57" s="115"/>
      <c r="F57" s="105"/>
      <c r="G57" s="105"/>
      <c r="H57" s="105">
        <f t="shared" si="0"/>
        <v>0</v>
      </c>
    </row>
    <row r="58" spans="1:8" x14ac:dyDescent="0.4">
      <c r="A58" s="115"/>
      <c r="B58" s="121"/>
      <c r="C58" s="102"/>
      <c r="D58" s="115"/>
      <c r="E58" s="115"/>
      <c r="F58" s="105"/>
      <c r="G58" s="105"/>
      <c r="H58" s="105">
        <f t="shared" si="0"/>
        <v>0</v>
      </c>
    </row>
    <row r="59" spans="1:8" x14ac:dyDescent="0.4">
      <c r="A59" s="115"/>
      <c r="B59" s="121"/>
      <c r="C59" s="102"/>
      <c r="D59" s="115"/>
      <c r="E59" s="115"/>
      <c r="F59" s="105"/>
      <c r="G59" s="105"/>
      <c r="H59" s="105">
        <f t="shared" si="0"/>
        <v>0</v>
      </c>
    </row>
    <row r="60" spans="1:8" x14ac:dyDescent="0.4">
      <c r="A60" s="115"/>
      <c r="B60" s="121"/>
      <c r="C60" s="102"/>
      <c r="D60" s="115"/>
      <c r="E60" s="115"/>
      <c r="F60" s="105"/>
      <c r="G60" s="105"/>
      <c r="H60" s="105">
        <f t="shared" si="0"/>
        <v>0</v>
      </c>
    </row>
    <row r="61" spans="1:8" x14ac:dyDescent="0.4">
      <c r="A61" s="115"/>
      <c r="B61" s="121"/>
      <c r="C61" s="102"/>
      <c r="D61" s="115"/>
      <c r="E61" s="115"/>
      <c r="F61" s="105"/>
      <c r="G61" s="105"/>
      <c r="H61" s="105">
        <f t="shared" si="0"/>
        <v>0</v>
      </c>
    </row>
    <row r="62" spans="1:8" x14ac:dyDescent="0.4">
      <c r="A62" s="115"/>
      <c r="B62" s="121"/>
      <c r="C62" s="102"/>
      <c r="D62" s="115"/>
      <c r="E62" s="115"/>
      <c r="F62" s="105"/>
      <c r="G62" s="105"/>
      <c r="H62" s="105">
        <f t="shared" si="0"/>
        <v>0</v>
      </c>
    </row>
    <row r="63" spans="1:8" x14ac:dyDescent="0.4">
      <c r="A63" s="115"/>
      <c r="B63" s="121"/>
      <c r="C63" s="102"/>
      <c r="D63" s="115"/>
      <c r="E63" s="115"/>
      <c r="F63" s="105"/>
      <c r="G63" s="105"/>
      <c r="H63" s="105">
        <f t="shared" si="0"/>
        <v>0</v>
      </c>
    </row>
    <row r="64" spans="1:8" x14ac:dyDescent="0.4">
      <c r="A64" s="115"/>
      <c r="B64" s="121"/>
      <c r="C64" s="102"/>
      <c r="D64" s="115"/>
      <c r="E64" s="115"/>
      <c r="F64" s="105"/>
      <c r="G64" s="105"/>
      <c r="H64" s="105">
        <f t="shared" si="0"/>
        <v>0</v>
      </c>
    </row>
    <row r="65" spans="1:8" x14ac:dyDescent="0.4">
      <c r="A65" s="115"/>
      <c r="B65" s="121"/>
      <c r="C65" s="102"/>
      <c r="D65" s="115"/>
      <c r="E65" s="115"/>
      <c r="F65" s="105"/>
      <c r="G65" s="105"/>
      <c r="H65" s="105">
        <f t="shared" si="0"/>
        <v>0</v>
      </c>
    </row>
    <row r="66" spans="1:8" x14ac:dyDescent="0.4">
      <c r="A66" s="115"/>
      <c r="B66" s="121"/>
      <c r="C66" s="102"/>
      <c r="D66" s="115"/>
      <c r="E66" s="115"/>
      <c r="F66" s="105"/>
      <c r="G66" s="105"/>
      <c r="H66" s="105">
        <f t="shared" si="0"/>
        <v>0</v>
      </c>
    </row>
    <row r="67" spans="1:8" x14ac:dyDescent="0.4">
      <c r="A67" s="115"/>
      <c r="B67" s="121"/>
      <c r="C67" s="102"/>
      <c r="D67" s="115"/>
      <c r="E67" s="115"/>
      <c r="F67" s="105"/>
      <c r="G67" s="105"/>
      <c r="H67" s="105">
        <f t="shared" si="0"/>
        <v>0</v>
      </c>
    </row>
    <row r="68" spans="1:8" x14ac:dyDescent="0.4">
      <c r="A68" s="115"/>
      <c r="B68" s="121"/>
      <c r="C68" s="102"/>
      <c r="D68" s="115"/>
      <c r="E68" s="115"/>
      <c r="F68" s="105"/>
      <c r="G68" s="105"/>
      <c r="H68" s="105">
        <f t="shared" si="0"/>
        <v>0</v>
      </c>
    </row>
    <row r="69" spans="1:8" x14ac:dyDescent="0.4">
      <c r="A69" s="115"/>
      <c r="B69" s="121"/>
      <c r="C69" s="102"/>
      <c r="D69" s="115"/>
      <c r="E69" s="115"/>
      <c r="F69" s="105"/>
      <c r="G69" s="105"/>
      <c r="H69" s="105">
        <f t="shared" si="0"/>
        <v>0</v>
      </c>
    </row>
    <row r="70" spans="1:8" x14ac:dyDescent="0.4">
      <c r="A70" s="115"/>
      <c r="B70" s="121"/>
      <c r="C70" s="102"/>
      <c r="D70" s="115"/>
      <c r="E70" s="115"/>
      <c r="F70" s="105"/>
      <c r="G70" s="105"/>
      <c r="H70" s="105">
        <f t="shared" si="0"/>
        <v>0</v>
      </c>
    </row>
    <row r="71" spans="1:8" x14ac:dyDescent="0.4">
      <c r="A71" s="115"/>
      <c r="B71" s="121"/>
      <c r="C71" s="102"/>
      <c r="D71" s="115"/>
      <c r="E71" s="115"/>
      <c r="F71" s="105"/>
      <c r="G71" s="105"/>
      <c r="H71" s="105">
        <f t="shared" si="0"/>
        <v>0</v>
      </c>
    </row>
    <row r="72" spans="1:8" x14ac:dyDescent="0.4">
      <c r="A72" s="115"/>
      <c r="B72" s="121"/>
      <c r="C72" s="102"/>
      <c r="D72" s="115"/>
      <c r="E72" s="115"/>
      <c r="F72" s="105"/>
      <c r="G72" s="105"/>
      <c r="H72" s="105">
        <f t="shared" si="0"/>
        <v>0</v>
      </c>
    </row>
    <row r="73" spans="1:8" x14ac:dyDescent="0.4">
      <c r="A73" s="115"/>
      <c r="B73" s="121"/>
      <c r="C73" s="102"/>
      <c r="D73" s="115"/>
      <c r="E73" s="115"/>
      <c r="F73" s="105"/>
      <c r="G73" s="105"/>
      <c r="H73" s="105">
        <f t="shared" si="0"/>
        <v>0</v>
      </c>
    </row>
    <row r="74" spans="1:8" x14ac:dyDescent="0.4">
      <c r="A74" s="115"/>
      <c r="B74" s="121"/>
      <c r="C74" s="102"/>
      <c r="D74" s="115"/>
      <c r="E74" s="115"/>
      <c r="F74" s="105"/>
      <c r="G74" s="105"/>
      <c r="H74" s="105">
        <f t="shared" si="0"/>
        <v>0</v>
      </c>
    </row>
    <row r="75" spans="1:8" x14ac:dyDescent="0.4">
      <c r="A75" s="115"/>
      <c r="B75" s="121"/>
      <c r="C75" s="102"/>
      <c r="D75" s="115"/>
      <c r="E75" s="115"/>
      <c r="F75" s="105"/>
      <c r="G75" s="105"/>
      <c r="H75" s="105">
        <f t="shared" si="0"/>
        <v>0</v>
      </c>
    </row>
    <row r="76" spans="1:8" x14ac:dyDescent="0.4">
      <c r="A76" s="115"/>
      <c r="B76" s="121"/>
      <c r="C76" s="102"/>
      <c r="D76" s="115"/>
      <c r="E76" s="115"/>
      <c r="F76" s="105"/>
      <c r="G76" s="105"/>
      <c r="H76" s="105">
        <f t="shared" si="0"/>
        <v>0</v>
      </c>
    </row>
    <row r="77" spans="1:8" x14ac:dyDescent="0.4">
      <c r="A77" s="115"/>
      <c r="B77" s="121"/>
      <c r="C77" s="102"/>
      <c r="D77" s="115"/>
      <c r="E77" s="115"/>
      <c r="F77" s="105"/>
      <c r="G77" s="105"/>
      <c r="H77" s="105">
        <f t="shared" si="0"/>
        <v>0</v>
      </c>
    </row>
    <row r="78" spans="1:8" x14ac:dyDescent="0.4">
      <c r="A78" s="115"/>
      <c r="B78" s="121"/>
      <c r="C78" s="102"/>
      <c r="D78" s="115"/>
      <c r="E78" s="115"/>
      <c r="F78" s="105"/>
      <c r="G78" s="105"/>
      <c r="H78" s="105">
        <f t="shared" si="0"/>
        <v>0</v>
      </c>
    </row>
    <row r="79" spans="1:8" x14ac:dyDescent="0.4">
      <c r="A79" s="115"/>
      <c r="B79" s="121"/>
      <c r="C79" s="102"/>
      <c r="D79" s="115"/>
      <c r="E79" s="115"/>
      <c r="F79" s="105"/>
      <c r="G79" s="105"/>
      <c r="H79" s="105">
        <f t="shared" si="0"/>
        <v>0</v>
      </c>
    </row>
    <row r="80" spans="1:8" x14ac:dyDescent="0.4">
      <c r="A80" s="115"/>
      <c r="B80" s="121"/>
      <c r="C80" s="102"/>
      <c r="D80" s="115"/>
      <c r="E80" s="115"/>
      <c r="F80" s="105"/>
      <c r="G80" s="105"/>
      <c r="H80" s="105">
        <f t="shared" ref="H80:H143" si="1">H79+F80-G80</f>
        <v>0</v>
      </c>
    </row>
    <row r="81" spans="1:8" x14ac:dyDescent="0.4">
      <c r="A81" s="115"/>
      <c r="B81" s="121"/>
      <c r="C81" s="102"/>
      <c r="D81" s="115"/>
      <c r="E81" s="115"/>
      <c r="F81" s="105"/>
      <c r="G81" s="105"/>
      <c r="H81" s="105">
        <f t="shared" si="1"/>
        <v>0</v>
      </c>
    </row>
    <row r="82" spans="1:8" x14ac:dyDescent="0.4">
      <c r="A82" s="115"/>
      <c r="B82" s="121"/>
      <c r="C82" s="102"/>
      <c r="D82" s="115"/>
      <c r="E82" s="115"/>
      <c r="F82" s="105"/>
      <c r="G82" s="105"/>
      <c r="H82" s="105">
        <f t="shared" si="1"/>
        <v>0</v>
      </c>
    </row>
    <row r="83" spans="1:8" x14ac:dyDescent="0.4">
      <c r="A83" s="115"/>
      <c r="B83" s="121"/>
      <c r="C83" s="102"/>
      <c r="D83" s="115"/>
      <c r="E83" s="115"/>
      <c r="F83" s="105"/>
      <c r="G83" s="105"/>
      <c r="H83" s="105">
        <f t="shared" si="1"/>
        <v>0</v>
      </c>
    </row>
    <row r="84" spans="1:8" x14ac:dyDescent="0.4">
      <c r="A84" s="115"/>
      <c r="B84" s="121"/>
      <c r="C84" s="102"/>
      <c r="D84" s="115"/>
      <c r="E84" s="115"/>
      <c r="F84" s="105"/>
      <c r="G84" s="105"/>
      <c r="H84" s="105">
        <f t="shared" si="1"/>
        <v>0</v>
      </c>
    </row>
    <row r="85" spans="1:8" x14ac:dyDescent="0.4">
      <c r="A85" s="115"/>
      <c r="B85" s="121"/>
      <c r="C85" s="102"/>
      <c r="D85" s="115"/>
      <c r="E85" s="115"/>
      <c r="F85" s="105"/>
      <c r="G85" s="105"/>
      <c r="H85" s="105">
        <f t="shared" si="1"/>
        <v>0</v>
      </c>
    </row>
    <row r="86" spans="1:8" x14ac:dyDescent="0.4">
      <c r="A86" s="115"/>
      <c r="B86" s="121"/>
      <c r="C86" s="102"/>
      <c r="D86" s="115"/>
      <c r="E86" s="115"/>
      <c r="F86" s="105"/>
      <c r="G86" s="105"/>
      <c r="H86" s="105">
        <f t="shared" si="1"/>
        <v>0</v>
      </c>
    </row>
    <row r="87" spans="1:8" x14ac:dyDescent="0.4">
      <c r="A87" s="115"/>
      <c r="B87" s="121"/>
      <c r="C87" s="102"/>
      <c r="D87" s="115"/>
      <c r="E87" s="115"/>
      <c r="F87" s="105"/>
      <c r="G87" s="105"/>
      <c r="H87" s="105">
        <f t="shared" si="1"/>
        <v>0</v>
      </c>
    </row>
    <row r="88" spans="1:8" x14ac:dyDescent="0.4">
      <c r="A88" s="115"/>
      <c r="B88" s="121"/>
      <c r="C88" s="102"/>
      <c r="D88" s="115"/>
      <c r="E88" s="115"/>
      <c r="F88" s="105"/>
      <c r="G88" s="105"/>
      <c r="H88" s="105">
        <f t="shared" si="1"/>
        <v>0</v>
      </c>
    </row>
    <row r="89" spans="1:8" x14ac:dyDescent="0.4">
      <c r="A89" s="115"/>
      <c r="B89" s="121"/>
      <c r="C89" s="102"/>
      <c r="D89" s="115"/>
      <c r="E89" s="115"/>
      <c r="F89" s="105"/>
      <c r="G89" s="105"/>
      <c r="H89" s="105">
        <f t="shared" si="1"/>
        <v>0</v>
      </c>
    </row>
    <row r="90" spans="1:8" x14ac:dyDescent="0.4">
      <c r="A90" s="115"/>
      <c r="B90" s="121"/>
      <c r="C90" s="102"/>
      <c r="D90" s="115"/>
      <c r="E90" s="115"/>
      <c r="F90" s="105"/>
      <c r="G90" s="105"/>
      <c r="H90" s="105">
        <f t="shared" si="1"/>
        <v>0</v>
      </c>
    </row>
    <row r="91" spans="1:8" x14ac:dyDescent="0.4">
      <c r="A91" s="115"/>
      <c r="B91" s="121"/>
      <c r="C91" s="102"/>
      <c r="D91" s="115"/>
      <c r="E91" s="115"/>
      <c r="F91" s="105"/>
      <c r="G91" s="105"/>
      <c r="H91" s="105">
        <f t="shared" si="1"/>
        <v>0</v>
      </c>
    </row>
    <row r="92" spans="1:8" x14ac:dyDescent="0.4">
      <c r="A92" s="115"/>
      <c r="B92" s="121"/>
      <c r="C92" s="102"/>
      <c r="D92" s="115"/>
      <c r="E92" s="115"/>
      <c r="F92" s="105"/>
      <c r="G92" s="105"/>
      <c r="H92" s="105">
        <f t="shared" si="1"/>
        <v>0</v>
      </c>
    </row>
    <row r="93" spans="1:8" x14ac:dyDescent="0.4">
      <c r="A93" s="115"/>
      <c r="B93" s="121"/>
      <c r="C93" s="102"/>
      <c r="D93" s="115"/>
      <c r="E93" s="115"/>
      <c r="F93" s="105"/>
      <c r="G93" s="105"/>
      <c r="H93" s="105">
        <f t="shared" si="1"/>
        <v>0</v>
      </c>
    </row>
    <row r="94" spans="1:8" x14ac:dyDescent="0.4">
      <c r="A94" s="115"/>
      <c r="B94" s="121"/>
      <c r="C94" s="102"/>
      <c r="D94" s="115"/>
      <c r="E94" s="115"/>
      <c r="F94" s="105"/>
      <c r="G94" s="105"/>
      <c r="H94" s="105">
        <f t="shared" si="1"/>
        <v>0</v>
      </c>
    </row>
    <row r="95" spans="1:8" x14ac:dyDescent="0.4">
      <c r="A95" s="115"/>
      <c r="B95" s="121"/>
      <c r="C95" s="102"/>
      <c r="D95" s="115"/>
      <c r="E95" s="115"/>
      <c r="F95" s="105"/>
      <c r="G95" s="105"/>
      <c r="H95" s="105">
        <f t="shared" si="1"/>
        <v>0</v>
      </c>
    </row>
    <row r="96" spans="1:8" x14ac:dyDescent="0.4">
      <c r="A96" s="115"/>
      <c r="B96" s="121"/>
      <c r="C96" s="102"/>
      <c r="D96" s="115"/>
      <c r="E96" s="115"/>
      <c r="F96" s="105"/>
      <c r="G96" s="105"/>
      <c r="H96" s="105">
        <f t="shared" si="1"/>
        <v>0</v>
      </c>
    </row>
    <row r="97" spans="1:8" x14ac:dyDescent="0.4">
      <c r="A97" s="115"/>
      <c r="B97" s="121"/>
      <c r="C97" s="102"/>
      <c r="D97" s="115"/>
      <c r="E97" s="115"/>
      <c r="F97" s="105"/>
      <c r="G97" s="105"/>
      <c r="H97" s="105">
        <f t="shared" si="1"/>
        <v>0</v>
      </c>
    </row>
    <row r="98" spans="1:8" x14ac:dyDescent="0.4">
      <c r="A98" s="115"/>
      <c r="B98" s="121"/>
      <c r="C98" s="102"/>
      <c r="D98" s="115"/>
      <c r="E98" s="115"/>
      <c r="F98" s="105"/>
      <c r="G98" s="105"/>
      <c r="H98" s="105">
        <f t="shared" si="1"/>
        <v>0</v>
      </c>
    </row>
    <row r="99" spans="1:8" x14ac:dyDescent="0.4">
      <c r="A99" s="115"/>
      <c r="B99" s="121"/>
      <c r="C99" s="102"/>
      <c r="D99" s="115"/>
      <c r="E99" s="115"/>
      <c r="F99" s="105"/>
      <c r="G99" s="105"/>
      <c r="H99" s="105">
        <f t="shared" si="1"/>
        <v>0</v>
      </c>
    </row>
    <row r="100" spans="1:8" x14ac:dyDescent="0.4">
      <c r="A100" s="115"/>
      <c r="B100" s="121"/>
      <c r="C100" s="102"/>
      <c r="D100" s="115"/>
      <c r="E100" s="115"/>
      <c r="F100" s="105"/>
      <c r="G100" s="105"/>
      <c r="H100" s="105">
        <f t="shared" si="1"/>
        <v>0</v>
      </c>
    </row>
    <row r="101" spans="1:8" x14ac:dyDescent="0.4">
      <c r="A101" s="115"/>
      <c r="B101" s="121"/>
      <c r="C101" s="102"/>
      <c r="D101" s="115"/>
      <c r="E101" s="115"/>
      <c r="F101" s="105"/>
      <c r="G101" s="105"/>
      <c r="H101" s="105">
        <f t="shared" si="1"/>
        <v>0</v>
      </c>
    </row>
    <row r="102" spans="1:8" x14ac:dyDescent="0.4">
      <c r="A102" s="115"/>
      <c r="B102" s="121"/>
      <c r="C102" s="102"/>
      <c r="D102" s="115"/>
      <c r="E102" s="115"/>
      <c r="F102" s="105"/>
      <c r="G102" s="105"/>
      <c r="H102" s="105">
        <f t="shared" si="1"/>
        <v>0</v>
      </c>
    </row>
    <row r="103" spans="1:8" x14ac:dyDescent="0.4">
      <c r="A103" s="115"/>
      <c r="B103" s="121"/>
      <c r="C103" s="102"/>
      <c r="D103" s="115"/>
      <c r="E103" s="115"/>
      <c r="F103" s="105"/>
      <c r="G103" s="105"/>
      <c r="H103" s="105">
        <f t="shared" si="1"/>
        <v>0</v>
      </c>
    </row>
    <row r="104" spans="1:8" x14ac:dyDescent="0.4">
      <c r="A104" s="115"/>
      <c r="B104" s="121"/>
      <c r="C104" s="102"/>
      <c r="D104" s="115"/>
      <c r="E104" s="115"/>
      <c r="F104" s="105"/>
      <c r="G104" s="105"/>
      <c r="H104" s="105">
        <f t="shared" si="1"/>
        <v>0</v>
      </c>
    </row>
    <row r="105" spans="1:8" x14ac:dyDescent="0.4">
      <c r="A105" s="115"/>
      <c r="B105" s="121"/>
      <c r="C105" s="102"/>
      <c r="D105" s="115"/>
      <c r="E105" s="115"/>
      <c r="F105" s="105"/>
      <c r="G105" s="105"/>
      <c r="H105" s="105">
        <f t="shared" si="1"/>
        <v>0</v>
      </c>
    </row>
    <row r="106" spans="1:8" x14ac:dyDescent="0.4">
      <c r="A106" s="115"/>
      <c r="B106" s="121"/>
      <c r="C106" s="102"/>
      <c r="D106" s="115"/>
      <c r="E106" s="115"/>
      <c r="F106" s="105"/>
      <c r="G106" s="105"/>
      <c r="H106" s="105">
        <f t="shared" si="1"/>
        <v>0</v>
      </c>
    </row>
    <row r="107" spans="1:8" x14ac:dyDescent="0.4">
      <c r="A107" s="115"/>
      <c r="B107" s="121"/>
      <c r="C107" s="102"/>
      <c r="D107" s="115"/>
      <c r="E107" s="115"/>
      <c r="F107" s="105"/>
      <c r="G107" s="105"/>
      <c r="H107" s="105">
        <f t="shared" si="1"/>
        <v>0</v>
      </c>
    </row>
    <row r="108" spans="1:8" x14ac:dyDescent="0.4">
      <c r="A108" s="115"/>
      <c r="B108" s="121"/>
      <c r="C108" s="102"/>
      <c r="D108" s="115"/>
      <c r="E108" s="115"/>
      <c r="F108" s="105"/>
      <c r="G108" s="105"/>
      <c r="H108" s="105">
        <f t="shared" si="1"/>
        <v>0</v>
      </c>
    </row>
    <row r="109" spans="1:8" x14ac:dyDescent="0.4">
      <c r="A109" s="115"/>
      <c r="B109" s="121"/>
      <c r="C109" s="102"/>
      <c r="D109" s="115"/>
      <c r="E109" s="115"/>
      <c r="F109" s="105"/>
      <c r="G109" s="105"/>
      <c r="H109" s="105">
        <f t="shared" si="1"/>
        <v>0</v>
      </c>
    </row>
    <row r="110" spans="1:8" x14ac:dyDescent="0.4">
      <c r="A110" s="115"/>
      <c r="B110" s="121"/>
      <c r="C110" s="102"/>
      <c r="D110" s="115"/>
      <c r="E110" s="115"/>
      <c r="F110" s="114"/>
      <c r="G110" s="105"/>
      <c r="H110" s="105">
        <f t="shared" si="1"/>
        <v>0</v>
      </c>
    </row>
    <row r="111" spans="1:8" x14ac:dyDescent="0.4">
      <c r="A111" s="115"/>
      <c r="B111" s="121"/>
      <c r="C111" s="102"/>
      <c r="D111" s="115"/>
      <c r="E111" s="115"/>
      <c r="F111" s="114"/>
      <c r="G111" s="105"/>
      <c r="H111" s="105">
        <f t="shared" si="1"/>
        <v>0</v>
      </c>
    </row>
    <row r="112" spans="1:8" x14ac:dyDescent="0.4">
      <c r="A112" s="115"/>
      <c r="B112" s="121"/>
      <c r="C112" s="102"/>
      <c r="D112" s="115"/>
      <c r="E112" s="115"/>
      <c r="F112" s="105"/>
      <c r="G112" s="114"/>
      <c r="H112" s="105">
        <f t="shared" si="1"/>
        <v>0</v>
      </c>
    </row>
    <row r="113" spans="1:8" x14ac:dyDescent="0.4">
      <c r="A113" s="115"/>
      <c r="B113" s="121"/>
      <c r="C113" s="102"/>
      <c r="D113" s="115"/>
      <c r="E113" s="115"/>
      <c r="F113" s="105"/>
      <c r="G113" s="114"/>
      <c r="H113" s="105">
        <f t="shared" si="1"/>
        <v>0</v>
      </c>
    </row>
    <row r="114" spans="1:8" x14ac:dyDescent="0.4">
      <c r="A114" s="115"/>
      <c r="B114" s="121"/>
      <c r="C114" s="102"/>
      <c r="D114" s="115"/>
      <c r="E114" s="115"/>
      <c r="F114" s="105"/>
      <c r="G114" s="114"/>
      <c r="H114" s="105">
        <f t="shared" si="1"/>
        <v>0</v>
      </c>
    </row>
    <row r="115" spans="1:8" x14ac:dyDescent="0.4">
      <c r="A115" s="115"/>
      <c r="B115" s="121"/>
      <c r="C115" s="102"/>
      <c r="D115" s="115"/>
      <c r="E115" s="115"/>
      <c r="F115" s="114"/>
      <c r="G115" s="105"/>
      <c r="H115" s="105">
        <f t="shared" si="1"/>
        <v>0</v>
      </c>
    </row>
    <row r="116" spans="1:8" x14ac:dyDescent="0.4">
      <c r="A116" s="115"/>
      <c r="B116" s="121"/>
      <c r="C116" s="102"/>
      <c r="D116" s="115"/>
      <c r="E116" s="115"/>
      <c r="F116" s="114"/>
      <c r="G116" s="105"/>
      <c r="H116" s="105">
        <f t="shared" si="1"/>
        <v>0</v>
      </c>
    </row>
    <row r="117" spans="1:8" x14ac:dyDescent="0.4">
      <c r="A117" s="115"/>
      <c r="B117" s="121"/>
      <c r="C117" s="102"/>
      <c r="D117" s="115"/>
      <c r="E117" s="115"/>
      <c r="F117" s="114"/>
      <c r="G117" s="114"/>
      <c r="H117" s="105">
        <f t="shared" si="1"/>
        <v>0</v>
      </c>
    </row>
    <row r="118" spans="1:8" x14ac:dyDescent="0.4">
      <c r="A118" s="115"/>
      <c r="B118" s="121"/>
      <c r="C118" s="102"/>
      <c r="D118" s="115"/>
      <c r="E118" s="115"/>
      <c r="F118" s="114"/>
      <c r="G118" s="114"/>
      <c r="H118" s="105">
        <f t="shared" si="1"/>
        <v>0</v>
      </c>
    </row>
    <row r="119" spans="1:8" x14ac:dyDescent="0.4">
      <c r="A119" s="115"/>
      <c r="B119" s="121"/>
      <c r="C119" s="102"/>
      <c r="D119" s="115"/>
      <c r="E119" s="115"/>
      <c r="F119" s="114"/>
      <c r="G119" s="114"/>
      <c r="H119" s="105">
        <f t="shared" si="1"/>
        <v>0</v>
      </c>
    </row>
    <row r="120" spans="1:8" x14ac:dyDescent="0.4">
      <c r="A120" s="115"/>
      <c r="B120" s="121"/>
      <c r="C120" s="102"/>
      <c r="D120" s="115"/>
      <c r="E120" s="115"/>
      <c r="F120" s="114"/>
      <c r="G120" s="114"/>
      <c r="H120" s="105">
        <f t="shared" si="1"/>
        <v>0</v>
      </c>
    </row>
    <row r="121" spans="1:8" x14ac:dyDescent="0.4">
      <c r="A121" s="115"/>
      <c r="B121" s="121"/>
      <c r="C121" s="102"/>
      <c r="D121" s="115"/>
      <c r="E121" s="115"/>
      <c r="F121" s="114"/>
      <c r="G121" s="114"/>
      <c r="H121" s="105">
        <f t="shared" si="1"/>
        <v>0</v>
      </c>
    </row>
    <row r="122" spans="1:8" x14ac:dyDescent="0.4">
      <c r="A122" s="115"/>
      <c r="B122" s="121"/>
      <c r="C122" s="102"/>
      <c r="D122" s="115"/>
      <c r="E122" s="115"/>
      <c r="F122" s="114"/>
      <c r="G122" s="114"/>
      <c r="H122" s="105">
        <f t="shared" si="1"/>
        <v>0</v>
      </c>
    </row>
    <row r="123" spans="1:8" x14ac:dyDescent="0.4">
      <c r="A123" s="115"/>
      <c r="B123" s="121"/>
      <c r="C123" s="102"/>
      <c r="D123" s="115"/>
      <c r="E123" s="115"/>
      <c r="F123" s="114"/>
      <c r="G123" s="114"/>
      <c r="H123" s="105">
        <f t="shared" si="1"/>
        <v>0</v>
      </c>
    </row>
    <row r="124" spans="1:8" x14ac:dyDescent="0.4">
      <c r="A124" s="115"/>
      <c r="B124" s="121"/>
      <c r="C124" s="102"/>
      <c r="D124" s="115"/>
      <c r="E124" s="115"/>
      <c r="F124" s="114"/>
      <c r="G124" s="114"/>
      <c r="H124" s="105">
        <f t="shared" si="1"/>
        <v>0</v>
      </c>
    </row>
    <row r="125" spans="1:8" x14ac:dyDescent="0.4">
      <c r="A125" s="115"/>
      <c r="B125" s="121"/>
      <c r="C125" s="102"/>
      <c r="D125" s="115"/>
      <c r="E125" s="115"/>
      <c r="F125" s="114"/>
      <c r="G125" s="114"/>
      <c r="H125" s="105">
        <f t="shared" si="1"/>
        <v>0</v>
      </c>
    </row>
    <row r="126" spans="1:8" x14ac:dyDescent="0.4">
      <c r="A126" s="115"/>
      <c r="B126" s="121"/>
      <c r="C126" s="102"/>
      <c r="D126" s="115"/>
      <c r="E126" s="115"/>
      <c r="F126" s="114"/>
      <c r="G126" s="114"/>
      <c r="H126" s="105">
        <f t="shared" si="1"/>
        <v>0</v>
      </c>
    </row>
    <row r="127" spans="1:8" x14ac:dyDescent="0.4">
      <c r="A127" s="115"/>
      <c r="B127" s="121"/>
      <c r="C127" s="102"/>
      <c r="D127" s="115"/>
      <c r="E127" s="115"/>
      <c r="F127" s="114"/>
      <c r="G127" s="114"/>
      <c r="H127" s="105">
        <f t="shared" si="1"/>
        <v>0</v>
      </c>
    </row>
    <row r="128" spans="1:8" x14ac:dyDescent="0.4">
      <c r="A128" s="115"/>
      <c r="B128" s="121"/>
      <c r="C128" s="102"/>
      <c r="D128" s="115"/>
      <c r="E128" s="115"/>
      <c r="F128" s="114"/>
      <c r="G128" s="114"/>
      <c r="H128" s="105">
        <f t="shared" si="1"/>
        <v>0</v>
      </c>
    </row>
    <row r="129" spans="1:8" x14ac:dyDescent="0.4">
      <c r="A129" s="115"/>
      <c r="B129" s="121"/>
      <c r="C129" s="102"/>
      <c r="D129" s="115"/>
      <c r="E129" s="115"/>
      <c r="F129" s="114"/>
      <c r="G129" s="114"/>
      <c r="H129" s="105">
        <f t="shared" si="1"/>
        <v>0</v>
      </c>
    </row>
    <row r="130" spans="1:8" x14ac:dyDescent="0.4">
      <c r="A130" s="115"/>
      <c r="B130" s="121"/>
      <c r="C130" s="102"/>
      <c r="D130" s="115"/>
      <c r="E130" s="115"/>
      <c r="F130" s="114"/>
      <c r="G130" s="114"/>
      <c r="H130" s="105">
        <f t="shared" si="1"/>
        <v>0</v>
      </c>
    </row>
    <row r="131" spans="1:8" x14ac:dyDescent="0.4">
      <c r="A131" s="115"/>
      <c r="B131" s="121"/>
      <c r="C131" s="102"/>
      <c r="D131" s="115"/>
      <c r="E131" s="115"/>
      <c r="F131" s="114"/>
      <c r="G131" s="114"/>
      <c r="H131" s="105">
        <f t="shared" si="1"/>
        <v>0</v>
      </c>
    </row>
    <row r="132" spans="1:8" x14ac:dyDescent="0.4">
      <c r="A132" s="115"/>
      <c r="B132" s="121"/>
      <c r="C132" s="102"/>
      <c r="D132" s="115"/>
      <c r="E132" s="115"/>
      <c r="F132" s="114"/>
      <c r="G132" s="114"/>
      <c r="H132" s="105">
        <f t="shared" si="1"/>
        <v>0</v>
      </c>
    </row>
    <row r="133" spans="1:8" x14ac:dyDescent="0.4">
      <c r="A133" s="115"/>
      <c r="B133" s="121"/>
      <c r="C133" s="102"/>
      <c r="D133" s="115"/>
      <c r="E133" s="115"/>
      <c r="F133" s="114"/>
      <c r="G133" s="114"/>
      <c r="H133" s="105">
        <f t="shared" si="1"/>
        <v>0</v>
      </c>
    </row>
    <row r="134" spans="1:8" x14ac:dyDescent="0.4">
      <c r="A134" s="115"/>
      <c r="B134" s="121"/>
      <c r="C134" s="102"/>
      <c r="D134" s="115"/>
      <c r="E134" s="115"/>
      <c r="F134" s="114"/>
      <c r="G134" s="114"/>
      <c r="H134" s="105">
        <f t="shared" si="1"/>
        <v>0</v>
      </c>
    </row>
    <row r="135" spans="1:8" x14ac:dyDescent="0.4">
      <c r="A135" s="115"/>
      <c r="B135" s="121"/>
      <c r="C135" s="102"/>
      <c r="D135" s="115"/>
      <c r="E135" s="115"/>
      <c r="F135" s="114"/>
      <c r="G135" s="114"/>
      <c r="H135" s="105">
        <f t="shared" si="1"/>
        <v>0</v>
      </c>
    </row>
    <row r="136" spans="1:8" x14ac:dyDescent="0.4">
      <c r="A136" s="115"/>
      <c r="B136" s="121"/>
      <c r="C136" s="102"/>
      <c r="D136" s="115"/>
      <c r="E136" s="115"/>
      <c r="F136" s="114"/>
      <c r="G136" s="114"/>
      <c r="H136" s="105">
        <f t="shared" si="1"/>
        <v>0</v>
      </c>
    </row>
    <row r="137" spans="1:8" x14ac:dyDescent="0.4">
      <c r="A137" s="115"/>
      <c r="B137" s="121"/>
      <c r="C137" s="102"/>
      <c r="D137" s="115"/>
      <c r="E137" s="115"/>
      <c r="F137" s="114"/>
      <c r="G137" s="114"/>
      <c r="H137" s="105">
        <f t="shared" si="1"/>
        <v>0</v>
      </c>
    </row>
    <row r="138" spans="1:8" x14ac:dyDescent="0.4">
      <c r="A138" s="115"/>
      <c r="B138" s="121"/>
      <c r="C138" s="102"/>
      <c r="D138" s="115"/>
      <c r="E138" s="115"/>
      <c r="F138" s="114"/>
      <c r="G138" s="114"/>
      <c r="H138" s="105">
        <f t="shared" si="1"/>
        <v>0</v>
      </c>
    </row>
    <row r="139" spans="1:8" x14ac:dyDescent="0.4">
      <c r="A139" s="115"/>
      <c r="B139" s="121"/>
      <c r="C139" s="102"/>
      <c r="D139" s="115"/>
      <c r="E139" s="115"/>
      <c r="F139" s="114"/>
      <c r="G139" s="114"/>
      <c r="H139" s="105">
        <f t="shared" si="1"/>
        <v>0</v>
      </c>
    </row>
    <row r="140" spans="1:8" x14ac:dyDescent="0.4">
      <c r="A140" s="115"/>
      <c r="B140" s="121"/>
      <c r="C140" s="102"/>
      <c r="D140" s="115"/>
      <c r="E140" s="115"/>
      <c r="F140" s="114"/>
      <c r="G140" s="114"/>
      <c r="H140" s="105">
        <f t="shared" si="1"/>
        <v>0</v>
      </c>
    </row>
    <row r="141" spans="1:8" x14ac:dyDescent="0.4">
      <c r="A141" s="115"/>
      <c r="B141" s="121"/>
      <c r="C141" s="102"/>
      <c r="D141" s="115"/>
      <c r="E141" s="115"/>
      <c r="F141" s="114"/>
      <c r="G141" s="114"/>
      <c r="H141" s="105">
        <f t="shared" si="1"/>
        <v>0</v>
      </c>
    </row>
    <row r="142" spans="1:8" x14ac:dyDescent="0.4">
      <c r="A142" s="115"/>
      <c r="B142" s="121"/>
      <c r="C142" s="102"/>
      <c r="D142" s="115"/>
      <c r="E142" s="115"/>
      <c r="F142" s="114"/>
      <c r="G142" s="114"/>
      <c r="H142" s="105">
        <f t="shared" si="1"/>
        <v>0</v>
      </c>
    </row>
    <row r="143" spans="1:8" x14ac:dyDescent="0.4">
      <c r="A143" s="115"/>
      <c r="B143" s="121"/>
      <c r="C143" s="102"/>
      <c r="D143" s="115"/>
      <c r="E143" s="115"/>
      <c r="F143" s="114"/>
      <c r="G143" s="114"/>
      <c r="H143" s="105">
        <f t="shared" si="1"/>
        <v>0</v>
      </c>
    </row>
    <row r="144" spans="1:8" x14ac:dyDescent="0.4">
      <c r="A144" s="115"/>
      <c r="B144" s="121"/>
      <c r="C144" s="102"/>
      <c r="D144" s="115"/>
      <c r="E144" s="115"/>
      <c r="F144" s="114"/>
      <c r="G144" s="114"/>
      <c r="H144" s="105">
        <f t="shared" ref="H144:H207" si="2">H143+F144-G144</f>
        <v>0</v>
      </c>
    </row>
    <row r="145" spans="1:8" x14ac:dyDescent="0.4">
      <c r="A145" s="115"/>
      <c r="B145" s="121"/>
      <c r="C145" s="102"/>
      <c r="D145" s="115"/>
      <c r="E145" s="115"/>
      <c r="F145" s="114"/>
      <c r="G145" s="114"/>
      <c r="H145" s="105">
        <f t="shared" si="2"/>
        <v>0</v>
      </c>
    </row>
    <row r="146" spans="1:8" x14ac:dyDescent="0.4">
      <c r="A146" s="115"/>
      <c r="B146" s="121"/>
      <c r="C146" s="102"/>
      <c r="D146" s="115"/>
      <c r="E146" s="115"/>
      <c r="F146" s="114"/>
      <c r="G146" s="114"/>
      <c r="H146" s="105">
        <f t="shared" si="2"/>
        <v>0</v>
      </c>
    </row>
    <row r="147" spans="1:8" x14ac:dyDescent="0.4">
      <c r="A147" s="115"/>
      <c r="B147" s="121"/>
      <c r="C147" s="102"/>
      <c r="D147" s="115"/>
      <c r="E147" s="115"/>
      <c r="F147" s="114"/>
      <c r="G147" s="114"/>
      <c r="H147" s="105">
        <f t="shared" si="2"/>
        <v>0</v>
      </c>
    </row>
    <row r="148" spans="1:8" x14ac:dyDescent="0.4">
      <c r="A148" s="115"/>
      <c r="B148" s="121"/>
      <c r="C148" s="102"/>
      <c r="D148" s="115"/>
      <c r="E148" s="115"/>
      <c r="F148" s="114"/>
      <c r="G148" s="114"/>
      <c r="H148" s="105">
        <f t="shared" si="2"/>
        <v>0</v>
      </c>
    </row>
    <row r="149" spans="1:8" x14ac:dyDescent="0.4">
      <c r="A149" s="115"/>
      <c r="B149" s="121"/>
      <c r="C149" s="102"/>
      <c r="D149" s="115"/>
      <c r="E149" s="115"/>
      <c r="F149" s="114"/>
      <c r="G149" s="114"/>
      <c r="H149" s="105">
        <f t="shared" si="2"/>
        <v>0</v>
      </c>
    </row>
    <row r="150" spans="1:8" x14ac:dyDescent="0.4">
      <c r="A150" s="115"/>
      <c r="B150" s="121"/>
      <c r="C150" s="102"/>
      <c r="D150" s="115"/>
      <c r="E150" s="115"/>
      <c r="F150" s="114"/>
      <c r="G150" s="114"/>
      <c r="H150" s="105">
        <f t="shared" si="2"/>
        <v>0</v>
      </c>
    </row>
    <row r="151" spans="1:8" x14ac:dyDescent="0.4">
      <c r="A151" s="115"/>
      <c r="B151" s="121"/>
      <c r="C151" s="102"/>
      <c r="D151" s="115"/>
      <c r="E151" s="115"/>
      <c r="F151" s="114"/>
      <c r="G151" s="114"/>
      <c r="H151" s="105">
        <f t="shared" si="2"/>
        <v>0</v>
      </c>
    </row>
    <row r="152" spans="1:8" x14ac:dyDescent="0.4">
      <c r="A152" s="115"/>
      <c r="B152" s="121"/>
      <c r="C152" s="102"/>
      <c r="D152" s="115"/>
      <c r="E152" s="115"/>
      <c r="F152" s="114"/>
      <c r="G152" s="114"/>
      <c r="H152" s="105">
        <f t="shared" si="2"/>
        <v>0</v>
      </c>
    </row>
    <row r="153" spans="1:8" x14ac:dyDescent="0.4">
      <c r="A153" s="115"/>
      <c r="B153" s="121"/>
      <c r="C153" s="102"/>
      <c r="D153" s="115"/>
      <c r="E153" s="115"/>
      <c r="F153" s="114"/>
      <c r="G153" s="114"/>
      <c r="H153" s="105">
        <f t="shared" si="2"/>
        <v>0</v>
      </c>
    </row>
    <row r="154" spans="1:8" x14ac:dyDescent="0.4">
      <c r="A154" s="115"/>
      <c r="B154" s="121"/>
      <c r="C154" s="102"/>
      <c r="D154" s="115"/>
      <c r="E154" s="115"/>
      <c r="F154" s="114"/>
      <c r="G154" s="114"/>
      <c r="H154" s="105">
        <f t="shared" si="2"/>
        <v>0</v>
      </c>
    </row>
    <row r="155" spans="1:8" x14ac:dyDescent="0.4">
      <c r="A155" s="115"/>
      <c r="B155" s="121"/>
      <c r="C155" s="102"/>
      <c r="D155" s="115"/>
      <c r="E155" s="115"/>
      <c r="F155" s="114"/>
      <c r="G155" s="114"/>
      <c r="H155" s="105">
        <f t="shared" si="2"/>
        <v>0</v>
      </c>
    </row>
    <row r="156" spans="1:8" x14ac:dyDescent="0.4">
      <c r="A156" s="115"/>
      <c r="B156" s="121"/>
      <c r="C156" s="102"/>
      <c r="D156" s="115"/>
      <c r="E156" s="115"/>
      <c r="F156" s="114"/>
      <c r="G156" s="114"/>
      <c r="H156" s="105">
        <f t="shared" si="2"/>
        <v>0</v>
      </c>
    </row>
    <row r="157" spans="1:8" x14ac:dyDescent="0.4">
      <c r="A157" s="115"/>
      <c r="B157" s="121"/>
      <c r="C157" s="102"/>
      <c r="D157" s="115"/>
      <c r="E157" s="115"/>
      <c r="F157" s="114"/>
      <c r="G157" s="114"/>
      <c r="H157" s="105">
        <f t="shared" si="2"/>
        <v>0</v>
      </c>
    </row>
    <row r="158" spans="1:8" x14ac:dyDescent="0.4">
      <c r="A158" s="115"/>
      <c r="B158" s="121"/>
      <c r="C158" s="102"/>
      <c r="D158" s="115"/>
      <c r="E158" s="115"/>
      <c r="F158" s="114"/>
      <c r="G158" s="114"/>
      <c r="H158" s="105">
        <f t="shared" si="2"/>
        <v>0</v>
      </c>
    </row>
    <row r="159" spans="1:8" x14ac:dyDescent="0.4">
      <c r="A159" s="115"/>
      <c r="B159" s="121"/>
      <c r="C159" s="102"/>
      <c r="D159" s="115"/>
      <c r="E159" s="115"/>
      <c r="F159" s="114"/>
      <c r="G159" s="114"/>
      <c r="H159" s="105">
        <f t="shared" si="2"/>
        <v>0</v>
      </c>
    </row>
    <row r="160" spans="1:8" x14ac:dyDescent="0.4">
      <c r="A160" s="115"/>
      <c r="B160" s="121"/>
      <c r="C160" s="102"/>
      <c r="D160" s="115"/>
      <c r="E160" s="115"/>
      <c r="F160" s="114"/>
      <c r="G160" s="114"/>
      <c r="H160" s="105">
        <f t="shared" si="2"/>
        <v>0</v>
      </c>
    </row>
    <row r="161" spans="1:8" x14ac:dyDescent="0.4">
      <c r="A161" s="115"/>
      <c r="B161" s="121"/>
      <c r="C161" s="102"/>
      <c r="D161" s="115"/>
      <c r="E161" s="115"/>
      <c r="F161" s="114"/>
      <c r="G161" s="114"/>
      <c r="H161" s="105">
        <f t="shared" si="2"/>
        <v>0</v>
      </c>
    </row>
    <row r="162" spans="1:8" x14ac:dyDescent="0.4">
      <c r="A162" s="115"/>
      <c r="B162" s="121"/>
      <c r="C162" s="102"/>
      <c r="D162" s="115"/>
      <c r="E162" s="115"/>
      <c r="F162" s="114"/>
      <c r="G162" s="114"/>
      <c r="H162" s="105">
        <f t="shared" si="2"/>
        <v>0</v>
      </c>
    </row>
    <row r="163" spans="1:8" x14ac:dyDescent="0.4">
      <c r="A163" s="115"/>
      <c r="B163" s="121"/>
      <c r="C163" s="102"/>
      <c r="D163" s="115"/>
      <c r="E163" s="115"/>
      <c r="F163" s="114"/>
      <c r="G163" s="114"/>
      <c r="H163" s="105">
        <f t="shared" si="2"/>
        <v>0</v>
      </c>
    </row>
    <row r="164" spans="1:8" x14ac:dyDescent="0.4">
      <c r="A164" s="115"/>
      <c r="B164" s="121"/>
      <c r="C164" s="102"/>
      <c r="D164" s="115"/>
      <c r="E164" s="115"/>
      <c r="F164" s="114"/>
      <c r="G164" s="114"/>
      <c r="H164" s="105">
        <f t="shared" si="2"/>
        <v>0</v>
      </c>
    </row>
    <row r="165" spans="1:8" x14ac:dyDescent="0.4">
      <c r="A165" s="115"/>
      <c r="B165" s="121"/>
      <c r="C165" s="102"/>
      <c r="D165" s="115"/>
      <c r="E165" s="115"/>
      <c r="F165" s="114"/>
      <c r="G165" s="114"/>
      <c r="H165" s="105">
        <f t="shared" si="2"/>
        <v>0</v>
      </c>
    </row>
    <row r="166" spans="1:8" x14ac:dyDescent="0.4">
      <c r="A166" s="115"/>
      <c r="B166" s="121"/>
      <c r="C166" s="102"/>
      <c r="D166" s="115"/>
      <c r="E166" s="115"/>
      <c r="F166" s="114"/>
      <c r="G166" s="114"/>
      <c r="H166" s="105">
        <f t="shared" si="2"/>
        <v>0</v>
      </c>
    </row>
    <row r="167" spans="1:8" x14ac:dyDescent="0.4">
      <c r="A167" s="115"/>
      <c r="B167" s="121"/>
      <c r="C167" s="102"/>
      <c r="D167" s="115"/>
      <c r="E167" s="115"/>
      <c r="F167" s="114"/>
      <c r="G167" s="114"/>
      <c r="H167" s="105">
        <f t="shared" si="2"/>
        <v>0</v>
      </c>
    </row>
    <row r="168" spans="1:8" x14ac:dyDescent="0.4">
      <c r="A168" s="115"/>
      <c r="B168" s="121"/>
      <c r="C168" s="102"/>
      <c r="D168" s="115"/>
      <c r="E168" s="115"/>
      <c r="F168" s="114"/>
      <c r="G168" s="114"/>
      <c r="H168" s="105">
        <f t="shared" si="2"/>
        <v>0</v>
      </c>
    </row>
    <row r="169" spans="1:8" x14ac:dyDescent="0.4">
      <c r="A169" s="115"/>
      <c r="B169" s="121"/>
      <c r="C169" s="102"/>
      <c r="D169" s="115"/>
      <c r="E169" s="115"/>
      <c r="F169" s="114"/>
      <c r="G169" s="114"/>
      <c r="H169" s="105">
        <f t="shared" si="2"/>
        <v>0</v>
      </c>
    </row>
    <row r="170" spans="1:8" x14ac:dyDescent="0.4">
      <c r="A170" s="115"/>
      <c r="B170" s="121"/>
      <c r="C170" s="102"/>
      <c r="D170" s="115"/>
      <c r="E170" s="115"/>
      <c r="F170" s="114"/>
      <c r="G170" s="114"/>
      <c r="H170" s="105">
        <f t="shared" si="2"/>
        <v>0</v>
      </c>
    </row>
    <row r="171" spans="1:8" x14ac:dyDescent="0.4">
      <c r="A171" s="115"/>
      <c r="B171" s="121"/>
      <c r="C171" s="102"/>
      <c r="D171" s="115"/>
      <c r="E171" s="115"/>
      <c r="F171" s="114"/>
      <c r="G171" s="114"/>
      <c r="H171" s="105">
        <f t="shared" si="2"/>
        <v>0</v>
      </c>
    </row>
    <row r="172" spans="1:8" x14ac:dyDescent="0.4">
      <c r="A172" s="115"/>
      <c r="B172" s="121"/>
      <c r="C172" s="102"/>
      <c r="D172" s="115"/>
      <c r="E172" s="115"/>
      <c r="F172" s="114"/>
      <c r="G172" s="114"/>
      <c r="H172" s="105">
        <f t="shared" si="2"/>
        <v>0</v>
      </c>
    </row>
    <row r="173" spans="1:8" x14ac:dyDescent="0.4">
      <c r="A173" s="115"/>
      <c r="B173" s="121"/>
      <c r="C173" s="102"/>
      <c r="D173" s="115"/>
      <c r="E173" s="115"/>
      <c r="F173" s="114"/>
      <c r="G173" s="114"/>
      <c r="H173" s="105">
        <f t="shared" si="2"/>
        <v>0</v>
      </c>
    </row>
    <row r="174" spans="1:8" x14ac:dyDescent="0.4">
      <c r="A174" s="115"/>
      <c r="B174" s="121"/>
      <c r="C174" s="102"/>
      <c r="D174" s="115"/>
      <c r="E174" s="115"/>
      <c r="F174" s="114"/>
      <c r="G174" s="114"/>
      <c r="H174" s="105">
        <f t="shared" si="2"/>
        <v>0</v>
      </c>
    </row>
    <row r="175" spans="1:8" x14ac:dyDescent="0.4">
      <c r="A175" s="115"/>
      <c r="B175" s="121"/>
      <c r="C175" s="102"/>
      <c r="D175" s="115"/>
      <c r="E175" s="115"/>
      <c r="F175" s="114"/>
      <c r="G175" s="114"/>
      <c r="H175" s="105">
        <f t="shared" si="2"/>
        <v>0</v>
      </c>
    </row>
    <row r="176" spans="1:8" x14ac:dyDescent="0.4">
      <c r="A176" s="115"/>
      <c r="B176" s="121"/>
      <c r="C176" s="102"/>
      <c r="D176" s="115"/>
      <c r="E176" s="115"/>
      <c r="F176" s="114"/>
      <c r="G176" s="114"/>
      <c r="H176" s="105">
        <f t="shared" si="2"/>
        <v>0</v>
      </c>
    </row>
    <row r="177" spans="1:8" x14ac:dyDescent="0.4">
      <c r="A177" s="115"/>
      <c r="B177" s="121"/>
      <c r="C177" s="102"/>
      <c r="D177" s="115"/>
      <c r="E177" s="115"/>
      <c r="F177" s="114"/>
      <c r="G177" s="114"/>
      <c r="H177" s="105">
        <f t="shared" si="2"/>
        <v>0</v>
      </c>
    </row>
    <row r="178" spans="1:8" x14ac:dyDescent="0.4">
      <c r="A178" s="115"/>
      <c r="B178" s="121"/>
      <c r="C178" s="102"/>
      <c r="D178" s="115"/>
      <c r="E178" s="115"/>
      <c r="F178" s="114"/>
      <c r="G178" s="114"/>
      <c r="H178" s="105">
        <f t="shared" si="2"/>
        <v>0</v>
      </c>
    </row>
    <row r="179" spans="1:8" x14ac:dyDescent="0.4">
      <c r="A179" s="115"/>
      <c r="B179" s="121"/>
      <c r="C179" s="102"/>
      <c r="D179" s="115"/>
      <c r="E179" s="115"/>
      <c r="F179" s="114"/>
      <c r="G179" s="114"/>
      <c r="H179" s="105">
        <f t="shared" si="2"/>
        <v>0</v>
      </c>
    </row>
    <row r="180" spans="1:8" x14ac:dyDescent="0.4">
      <c r="A180" s="115"/>
      <c r="B180" s="121"/>
      <c r="C180" s="102"/>
      <c r="D180" s="115"/>
      <c r="E180" s="115"/>
      <c r="F180" s="114"/>
      <c r="G180" s="114"/>
      <c r="H180" s="105">
        <f t="shared" si="2"/>
        <v>0</v>
      </c>
    </row>
    <row r="181" spans="1:8" x14ac:dyDescent="0.4">
      <c r="A181" s="115"/>
      <c r="B181" s="121"/>
      <c r="C181" s="102"/>
      <c r="D181" s="115"/>
      <c r="E181" s="115"/>
      <c r="F181" s="114"/>
      <c r="G181" s="114"/>
      <c r="H181" s="105">
        <f t="shared" si="2"/>
        <v>0</v>
      </c>
    </row>
    <row r="182" spans="1:8" x14ac:dyDescent="0.4">
      <c r="A182" s="115"/>
      <c r="B182" s="121"/>
      <c r="C182" s="102"/>
      <c r="D182" s="115"/>
      <c r="E182" s="115"/>
      <c r="F182" s="114"/>
      <c r="G182" s="114"/>
      <c r="H182" s="105">
        <f t="shared" si="2"/>
        <v>0</v>
      </c>
    </row>
    <row r="183" spans="1:8" x14ac:dyDescent="0.4">
      <c r="A183" s="115"/>
      <c r="B183" s="121"/>
      <c r="C183" s="102"/>
      <c r="D183" s="115"/>
      <c r="E183" s="115"/>
      <c r="F183" s="114"/>
      <c r="G183" s="114"/>
      <c r="H183" s="105">
        <f t="shared" si="2"/>
        <v>0</v>
      </c>
    </row>
    <row r="184" spans="1:8" x14ac:dyDescent="0.4">
      <c r="A184" s="115"/>
      <c r="B184" s="121"/>
      <c r="C184" s="102"/>
      <c r="D184" s="115"/>
      <c r="E184" s="115"/>
      <c r="F184" s="114"/>
      <c r="G184" s="114"/>
      <c r="H184" s="105">
        <f t="shared" si="2"/>
        <v>0</v>
      </c>
    </row>
    <row r="185" spans="1:8" x14ac:dyDescent="0.4">
      <c r="A185" s="115"/>
      <c r="B185" s="121"/>
      <c r="C185" s="102"/>
      <c r="D185" s="115"/>
      <c r="E185" s="115"/>
      <c r="F185" s="114"/>
      <c r="G185" s="114"/>
      <c r="H185" s="105">
        <f t="shared" si="2"/>
        <v>0</v>
      </c>
    </row>
    <row r="186" spans="1:8" x14ac:dyDescent="0.4">
      <c r="A186" s="115"/>
      <c r="B186" s="121"/>
      <c r="C186" s="102"/>
      <c r="D186" s="115"/>
      <c r="E186" s="115"/>
      <c r="F186" s="114"/>
      <c r="G186" s="114"/>
      <c r="H186" s="105">
        <f t="shared" si="2"/>
        <v>0</v>
      </c>
    </row>
    <row r="187" spans="1:8" x14ac:dyDescent="0.4">
      <c r="A187" s="115"/>
      <c r="B187" s="121"/>
      <c r="C187" s="102"/>
      <c r="D187" s="115"/>
      <c r="E187" s="115"/>
      <c r="F187" s="114"/>
      <c r="G187" s="114"/>
      <c r="H187" s="105">
        <f t="shared" si="2"/>
        <v>0</v>
      </c>
    </row>
    <row r="188" spans="1:8" x14ac:dyDescent="0.4">
      <c r="A188" s="115"/>
      <c r="B188" s="121"/>
      <c r="C188" s="102"/>
      <c r="D188" s="115"/>
      <c r="E188" s="115"/>
      <c r="F188" s="114"/>
      <c r="G188" s="114"/>
      <c r="H188" s="105">
        <f t="shared" si="2"/>
        <v>0</v>
      </c>
    </row>
    <row r="189" spans="1:8" x14ac:dyDescent="0.4">
      <c r="A189" s="115"/>
      <c r="B189" s="121"/>
      <c r="C189" s="102"/>
      <c r="D189" s="115"/>
      <c r="E189" s="115"/>
      <c r="F189" s="114"/>
      <c r="G189" s="114"/>
      <c r="H189" s="105">
        <f t="shared" si="2"/>
        <v>0</v>
      </c>
    </row>
    <row r="190" spans="1:8" x14ac:dyDescent="0.4">
      <c r="A190" s="115"/>
      <c r="B190" s="121"/>
      <c r="C190" s="102"/>
      <c r="D190" s="115"/>
      <c r="E190" s="115"/>
      <c r="F190" s="114"/>
      <c r="G190" s="114"/>
      <c r="H190" s="105">
        <f t="shared" si="2"/>
        <v>0</v>
      </c>
    </row>
    <row r="191" spans="1:8" x14ac:dyDescent="0.4">
      <c r="A191" s="115"/>
      <c r="B191" s="121"/>
      <c r="C191" s="102"/>
      <c r="D191" s="115"/>
      <c r="E191" s="115"/>
      <c r="F191" s="114"/>
      <c r="G191" s="114"/>
      <c r="H191" s="105">
        <f t="shared" si="2"/>
        <v>0</v>
      </c>
    </row>
    <row r="192" spans="1:8" x14ac:dyDescent="0.4">
      <c r="A192" s="115"/>
      <c r="B192" s="121"/>
      <c r="C192" s="102"/>
      <c r="D192" s="115"/>
      <c r="E192" s="115"/>
      <c r="F192" s="114"/>
      <c r="G192" s="114"/>
      <c r="H192" s="105">
        <f t="shared" si="2"/>
        <v>0</v>
      </c>
    </row>
    <row r="193" spans="1:8" x14ac:dyDescent="0.4">
      <c r="A193" s="115"/>
      <c r="B193" s="121"/>
      <c r="C193" s="102"/>
      <c r="D193" s="115"/>
      <c r="E193" s="115"/>
      <c r="F193" s="114"/>
      <c r="G193" s="114"/>
      <c r="H193" s="105">
        <f t="shared" si="2"/>
        <v>0</v>
      </c>
    </row>
    <row r="194" spans="1:8" x14ac:dyDescent="0.4">
      <c r="A194" s="115"/>
      <c r="B194" s="121"/>
      <c r="C194" s="102"/>
      <c r="D194" s="115"/>
      <c r="E194" s="115"/>
      <c r="F194" s="114"/>
      <c r="G194" s="114"/>
      <c r="H194" s="105">
        <f t="shared" si="2"/>
        <v>0</v>
      </c>
    </row>
    <row r="195" spans="1:8" x14ac:dyDescent="0.4">
      <c r="A195" s="115"/>
      <c r="B195" s="121"/>
      <c r="C195" s="102"/>
      <c r="D195" s="115"/>
      <c r="E195" s="115"/>
      <c r="F195" s="114"/>
      <c r="G195" s="114"/>
      <c r="H195" s="105">
        <f t="shared" si="2"/>
        <v>0</v>
      </c>
    </row>
    <row r="196" spans="1:8" x14ac:dyDescent="0.4">
      <c r="A196" s="115"/>
      <c r="B196" s="121"/>
      <c r="C196" s="102"/>
      <c r="D196" s="115"/>
      <c r="E196" s="115"/>
      <c r="F196" s="114"/>
      <c r="G196" s="114"/>
      <c r="H196" s="105">
        <f t="shared" si="2"/>
        <v>0</v>
      </c>
    </row>
    <row r="197" spans="1:8" x14ac:dyDescent="0.4">
      <c r="A197" s="115"/>
      <c r="B197" s="121"/>
      <c r="C197" s="102"/>
      <c r="D197" s="115"/>
      <c r="E197" s="115"/>
      <c r="F197" s="114"/>
      <c r="G197" s="114"/>
      <c r="H197" s="105">
        <f t="shared" si="2"/>
        <v>0</v>
      </c>
    </row>
    <row r="198" spans="1:8" x14ac:dyDescent="0.4">
      <c r="A198" s="115"/>
      <c r="B198" s="121"/>
      <c r="C198" s="102"/>
      <c r="D198" s="115"/>
      <c r="E198" s="115"/>
      <c r="F198" s="114"/>
      <c r="G198" s="114"/>
      <c r="H198" s="105">
        <f t="shared" si="2"/>
        <v>0</v>
      </c>
    </row>
    <row r="199" spans="1:8" x14ac:dyDescent="0.4">
      <c r="A199" s="115"/>
      <c r="B199" s="121"/>
      <c r="C199" s="102"/>
      <c r="D199" s="115"/>
      <c r="E199" s="115"/>
      <c r="F199" s="114"/>
      <c r="G199" s="114"/>
      <c r="H199" s="105">
        <f t="shared" si="2"/>
        <v>0</v>
      </c>
    </row>
    <row r="200" spans="1:8" x14ac:dyDescent="0.4">
      <c r="A200" s="115"/>
      <c r="B200" s="121"/>
      <c r="C200" s="102"/>
      <c r="D200" s="115"/>
      <c r="E200" s="115"/>
      <c r="F200" s="114"/>
      <c r="G200" s="114"/>
      <c r="H200" s="105">
        <f t="shared" si="2"/>
        <v>0</v>
      </c>
    </row>
    <row r="201" spans="1:8" x14ac:dyDescent="0.4">
      <c r="A201" s="115"/>
      <c r="B201" s="121"/>
      <c r="C201" s="102"/>
      <c r="D201" s="115"/>
      <c r="E201" s="115"/>
      <c r="F201" s="114"/>
      <c r="G201" s="114"/>
      <c r="H201" s="105">
        <f t="shared" si="2"/>
        <v>0</v>
      </c>
    </row>
    <row r="202" spans="1:8" x14ac:dyDescent="0.4">
      <c r="A202" s="115"/>
      <c r="B202" s="121"/>
      <c r="C202" s="102"/>
      <c r="D202" s="115"/>
      <c r="E202" s="115"/>
      <c r="F202" s="114"/>
      <c r="G202" s="114"/>
      <c r="H202" s="105">
        <f t="shared" si="2"/>
        <v>0</v>
      </c>
    </row>
    <row r="203" spans="1:8" x14ac:dyDescent="0.4">
      <c r="A203" s="115"/>
      <c r="B203" s="121"/>
      <c r="C203" s="102"/>
      <c r="D203" s="115"/>
      <c r="E203" s="115"/>
      <c r="F203" s="114"/>
      <c r="G203" s="114"/>
      <c r="H203" s="105">
        <f t="shared" si="2"/>
        <v>0</v>
      </c>
    </row>
    <row r="204" spans="1:8" x14ac:dyDescent="0.4">
      <c r="A204" s="115"/>
      <c r="B204" s="121"/>
      <c r="C204" s="102"/>
      <c r="D204" s="115"/>
      <c r="E204" s="115"/>
      <c r="F204" s="114"/>
      <c r="G204" s="114"/>
      <c r="H204" s="105">
        <f t="shared" si="2"/>
        <v>0</v>
      </c>
    </row>
    <row r="205" spans="1:8" x14ac:dyDescent="0.4">
      <c r="A205" s="115"/>
      <c r="B205" s="121"/>
      <c r="C205" s="102"/>
      <c r="D205" s="115"/>
      <c r="E205" s="115"/>
      <c r="F205" s="114"/>
      <c r="G205" s="114"/>
      <c r="H205" s="105">
        <f t="shared" si="2"/>
        <v>0</v>
      </c>
    </row>
    <row r="206" spans="1:8" x14ac:dyDescent="0.4">
      <c r="A206" s="115"/>
      <c r="B206" s="121"/>
      <c r="C206" s="102"/>
      <c r="D206" s="115"/>
      <c r="E206" s="115"/>
      <c r="F206" s="114"/>
      <c r="G206" s="114"/>
      <c r="H206" s="105">
        <f t="shared" si="2"/>
        <v>0</v>
      </c>
    </row>
    <row r="207" spans="1:8" x14ac:dyDescent="0.4">
      <c r="A207" s="115"/>
      <c r="B207" s="121"/>
      <c r="C207" s="102"/>
      <c r="D207" s="115"/>
      <c r="E207" s="115"/>
      <c r="F207" s="114"/>
      <c r="G207" s="114"/>
      <c r="H207" s="105">
        <f t="shared" si="2"/>
        <v>0</v>
      </c>
    </row>
    <row r="208" spans="1:8" x14ac:dyDescent="0.4">
      <c r="A208" s="115"/>
      <c r="B208" s="121"/>
      <c r="C208" s="102"/>
      <c r="D208" s="115"/>
      <c r="E208" s="115"/>
      <c r="F208" s="114"/>
      <c r="G208" s="114"/>
      <c r="H208" s="105">
        <f t="shared" ref="H208:H271" si="3">H207+F208-G208</f>
        <v>0</v>
      </c>
    </row>
    <row r="209" spans="1:8" x14ac:dyDescent="0.4">
      <c r="A209" s="115"/>
      <c r="B209" s="121"/>
      <c r="C209" s="102"/>
      <c r="D209" s="115"/>
      <c r="E209" s="115"/>
      <c r="F209" s="114"/>
      <c r="G209" s="114"/>
      <c r="H209" s="105">
        <f t="shared" si="3"/>
        <v>0</v>
      </c>
    </row>
    <row r="210" spans="1:8" x14ac:dyDescent="0.4">
      <c r="A210" s="115"/>
      <c r="B210" s="121"/>
      <c r="C210" s="102"/>
      <c r="D210" s="115"/>
      <c r="E210" s="115"/>
      <c r="F210" s="114"/>
      <c r="G210" s="114"/>
      <c r="H210" s="105">
        <f t="shared" si="3"/>
        <v>0</v>
      </c>
    </row>
    <row r="211" spans="1:8" x14ac:dyDescent="0.4">
      <c r="A211" s="115"/>
      <c r="B211" s="121"/>
      <c r="C211" s="102"/>
      <c r="D211" s="115"/>
      <c r="E211" s="115"/>
      <c r="F211" s="114"/>
      <c r="G211" s="114"/>
      <c r="H211" s="105">
        <f t="shared" si="3"/>
        <v>0</v>
      </c>
    </row>
    <row r="212" spans="1:8" x14ac:dyDescent="0.4">
      <c r="A212" s="115"/>
      <c r="B212" s="121"/>
      <c r="C212" s="102"/>
      <c r="D212" s="115"/>
      <c r="E212" s="115"/>
      <c r="F212" s="114"/>
      <c r="G212" s="114"/>
      <c r="H212" s="105">
        <f t="shared" si="3"/>
        <v>0</v>
      </c>
    </row>
    <row r="213" spans="1:8" x14ac:dyDescent="0.4">
      <c r="A213" s="115"/>
      <c r="B213" s="121"/>
      <c r="C213" s="102"/>
      <c r="D213" s="115"/>
      <c r="E213" s="115"/>
      <c r="F213" s="114"/>
      <c r="G213" s="114"/>
      <c r="H213" s="105">
        <f t="shared" si="3"/>
        <v>0</v>
      </c>
    </row>
    <row r="214" spans="1:8" x14ac:dyDescent="0.4">
      <c r="A214" s="115"/>
      <c r="B214" s="121"/>
      <c r="C214" s="102"/>
      <c r="D214" s="115"/>
      <c r="E214" s="115"/>
      <c r="F214" s="114"/>
      <c r="G214" s="114"/>
      <c r="H214" s="105">
        <f t="shared" si="3"/>
        <v>0</v>
      </c>
    </row>
    <row r="215" spans="1:8" x14ac:dyDescent="0.4">
      <c r="A215" s="115"/>
      <c r="B215" s="121"/>
      <c r="C215" s="102"/>
      <c r="D215" s="115"/>
      <c r="E215" s="115"/>
      <c r="F215" s="114"/>
      <c r="G215" s="114"/>
      <c r="H215" s="105">
        <f t="shared" si="3"/>
        <v>0</v>
      </c>
    </row>
    <row r="216" spans="1:8" x14ac:dyDescent="0.4">
      <c r="A216" s="115"/>
      <c r="B216" s="121"/>
      <c r="C216" s="102"/>
      <c r="D216" s="115"/>
      <c r="E216" s="115"/>
      <c r="F216" s="114"/>
      <c r="G216" s="114"/>
      <c r="H216" s="105">
        <f t="shared" si="3"/>
        <v>0</v>
      </c>
    </row>
    <row r="217" spans="1:8" x14ac:dyDescent="0.4">
      <c r="A217" s="115"/>
      <c r="B217" s="121"/>
      <c r="C217" s="102"/>
      <c r="D217" s="115"/>
      <c r="E217" s="115"/>
      <c r="F217" s="114"/>
      <c r="G217" s="114"/>
      <c r="H217" s="105">
        <f t="shared" si="3"/>
        <v>0</v>
      </c>
    </row>
    <row r="218" spans="1:8" x14ac:dyDescent="0.4">
      <c r="A218" s="115"/>
      <c r="B218" s="121"/>
      <c r="C218" s="102"/>
      <c r="D218" s="115"/>
      <c r="E218" s="115"/>
      <c r="F218" s="114"/>
      <c r="G218" s="114"/>
      <c r="H218" s="105">
        <f t="shared" si="3"/>
        <v>0</v>
      </c>
    </row>
    <row r="219" spans="1:8" x14ac:dyDescent="0.4">
      <c r="A219" s="115"/>
      <c r="B219" s="121"/>
      <c r="C219" s="102"/>
      <c r="D219" s="115"/>
      <c r="E219" s="115"/>
      <c r="F219" s="114"/>
      <c r="G219" s="114"/>
      <c r="H219" s="105">
        <f t="shared" si="3"/>
        <v>0</v>
      </c>
    </row>
    <row r="220" spans="1:8" x14ac:dyDescent="0.4">
      <c r="A220" s="115"/>
      <c r="B220" s="121"/>
      <c r="C220" s="102"/>
      <c r="D220" s="115"/>
      <c r="E220" s="115"/>
      <c r="F220" s="114"/>
      <c r="G220" s="114"/>
      <c r="H220" s="105">
        <f t="shared" si="3"/>
        <v>0</v>
      </c>
    </row>
    <row r="221" spans="1:8" x14ac:dyDescent="0.4">
      <c r="A221" s="115"/>
      <c r="B221" s="121"/>
      <c r="C221" s="102"/>
      <c r="D221" s="115"/>
      <c r="E221" s="115"/>
      <c r="F221" s="114"/>
      <c r="G221" s="114"/>
      <c r="H221" s="105">
        <f t="shared" si="3"/>
        <v>0</v>
      </c>
    </row>
    <row r="222" spans="1:8" x14ac:dyDescent="0.4">
      <c r="A222" s="115"/>
      <c r="B222" s="121"/>
      <c r="C222" s="102"/>
      <c r="D222" s="115"/>
      <c r="E222" s="115"/>
      <c r="F222" s="114"/>
      <c r="G222" s="114"/>
      <c r="H222" s="105">
        <f t="shared" si="3"/>
        <v>0</v>
      </c>
    </row>
    <row r="223" spans="1:8" x14ac:dyDescent="0.4">
      <c r="A223" s="115"/>
      <c r="B223" s="121"/>
      <c r="C223" s="102"/>
      <c r="D223" s="115"/>
      <c r="E223" s="115"/>
      <c r="F223" s="114"/>
      <c r="G223" s="114"/>
      <c r="H223" s="105">
        <f t="shared" si="3"/>
        <v>0</v>
      </c>
    </row>
    <row r="224" spans="1:8" x14ac:dyDescent="0.4">
      <c r="A224" s="115"/>
      <c r="B224" s="121"/>
      <c r="C224" s="102"/>
      <c r="D224" s="115"/>
      <c r="E224" s="115"/>
      <c r="F224" s="114"/>
      <c r="G224" s="114"/>
      <c r="H224" s="105">
        <f t="shared" si="3"/>
        <v>0</v>
      </c>
    </row>
    <row r="225" spans="1:8" x14ac:dyDescent="0.4">
      <c r="A225" s="115"/>
      <c r="B225" s="121"/>
      <c r="C225" s="102"/>
      <c r="D225" s="115"/>
      <c r="E225" s="115"/>
      <c r="F225" s="114"/>
      <c r="G225" s="114"/>
      <c r="H225" s="105">
        <f t="shared" si="3"/>
        <v>0</v>
      </c>
    </row>
    <row r="226" spans="1:8" x14ac:dyDescent="0.4">
      <c r="A226" s="115"/>
      <c r="B226" s="121"/>
      <c r="C226" s="102"/>
      <c r="D226" s="115"/>
      <c r="E226" s="115"/>
      <c r="F226" s="114"/>
      <c r="G226" s="114"/>
      <c r="H226" s="105">
        <f t="shared" si="3"/>
        <v>0</v>
      </c>
    </row>
    <row r="227" spans="1:8" x14ac:dyDescent="0.4">
      <c r="A227" s="115"/>
      <c r="B227" s="121"/>
      <c r="C227" s="102"/>
      <c r="D227" s="115"/>
      <c r="E227" s="115"/>
      <c r="F227" s="114"/>
      <c r="G227" s="114"/>
      <c r="H227" s="105">
        <f t="shared" si="3"/>
        <v>0</v>
      </c>
    </row>
    <row r="228" spans="1:8" x14ac:dyDescent="0.4">
      <c r="A228" s="115"/>
      <c r="B228" s="121"/>
      <c r="C228" s="102"/>
      <c r="D228" s="115"/>
      <c r="E228" s="115"/>
      <c r="F228" s="114"/>
      <c r="G228" s="114"/>
      <c r="H228" s="105">
        <f t="shared" si="3"/>
        <v>0</v>
      </c>
    </row>
    <row r="229" spans="1:8" x14ac:dyDescent="0.4">
      <c r="A229" s="115"/>
      <c r="B229" s="121"/>
      <c r="C229" s="102"/>
      <c r="D229" s="115"/>
      <c r="E229" s="115"/>
      <c r="F229" s="114"/>
      <c r="G229" s="114"/>
      <c r="H229" s="105">
        <f t="shared" si="3"/>
        <v>0</v>
      </c>
    </row>
    <row r="230" spans="1:8" x14ac:dyDescent="0.4">
      <c r="A230" s="115"/>
      <c r="B230" s="121"/>
      <c r="C230" s="102"/>
      <c r="D230" s="115"/>
      <c r="E230" s="115"/>
      <c r="F230" s="114"/>
      <c r="G230" s="114"/>
      <c r="H230" s="105">
        <f t="shared" si="3"/>
        <v>0</v>
      </c>
    </row>
    <row r="231" spans="1:8" x14ac:dyDescent="0.4">
      <c r="A231" s="115"/>
      <c r="B231" s="121"/>
      <c r="C231" s="102"/>
      <c r="D231" s="115"/>
      <c r="E231" s="115"/>
      <c r="F231" s="114"/>
      <c r="G231" s="114"/>
      <c r="H231" s="105">
        <f t="shared" si="3"/>
        <v>0</v>
      </c>
    </row>
    <row r="232" spans="1:8" x14ac:dyDescent="0.4">
      <c r="A232" s="115"/>
      <c r="B232" s="121"/>
      <c r="C232" s="102"/>
      <c r="D232" s="115"/>
      <c r="E232" s="115"/>
      <c r="F232" s="105"/>
      <c r="G232" s="105"/>
      <c r="H232" s="105">
        <f t="shared" si="3"/>
        <v>0</v>
      </c>
    </row>
    <row r="233" spans="1:8" x14ac:dyDescent="0.4">
      <c r="A233" s="115"/>
      <c r="B233" s="121"/>
      <c r="C233" s="102"/>
      <c r="D233" s="115"/>
      <c r="E233" s="115"/>
      <c r="F233" s="105"/>
      <c r="G233" s="105"/>
      <c r="H233" s="105">
        <f t="shared" si="3"/>
        <v>0</v>
      </c>
    </row>
    <row r="234" spans="1:8" x14ac:dyDescent="0.4">
      <c r="A234" s="115"/>
      <c r="B234" s="121"/>
      <c r="C234" s="102"/>
      <c r="D234" s="115"/>
      <c r="E234" s="115"/>
      <c r="F234" s="105"/>
      <c r="G234" s="105"/>
      <c r="H234" s="105">
        <f t="shared" si="3"/>
        <v>0</v>
      </c>
    </row>
    <row r="235" spans="1:8" x14ac:dyDescent="0.4">
      <c r="A235" s="115"/>
      <c r="B235" s="121"/>
      <c r="C235" s="102"/>
      <c r="D235" s="115"/>
      <c r="E235" s="115"/>
      <c r="F235" s="105"/>
      <c r="G235" s="105"/>
      <c r="H235" s="105">
        <f t="shared" si="3"/>
        <v>0</v>
      </c>
    </row>
    <row r="236" spans="1:8" x14ac:dyDescent="0.4">
      <c r="A236" s="115"/>
      <c r="B236" s="121"/>
      <c r="C236" s="102"/>
      <c r="D236" s="115"/>
      <c r="E236" s="115"/>
      <c r="F236" s="105"/>
      <c r="G236" s="105"/>
      <c r="H236" s="105">
        <f t="shared" si="3"/>
        <v>0</v>
      </c>
    </row>
    <row r="237" spans="1:8" x14ac:dyDescent="0.4">
      <c r="A237" s="115"/>
      <c r="B237" s="121"/>
      <c r="C237" s="102"/>
      <c r="D237" s="115"/>
      <c r="E237" s="115"/>
      <c r="F237" s="105"/>
      <c r="G237" s="105"/>
      <c r="H237" s="105">
        <f t="shared" si="3"/>
        <v>0</v>
      </c>
    </row>
    <row r="238" spans="1:8" x14ac:dyDescent="0.4">
      <c r="A238" s="115"/>
      <c r="B238" s="121"/>
      <c r="C238" s="102"/>
      <c r="D238" s="115"/>
      <c r="E238" s="115"/>
      <c r="F238" s="105"/>
      <c r="G238" s="105"/>
      <c r="H238" s="105">
        <f t="shared" si="3"/>
        <v>0</v>
      </c>
    </row>
    <row r="239" spans="1:8" x14ac:dyDescent="0.4">
      <c r="A239" s="115"/>
      <c r="B239" s="121"/>
      <c r="C239" s="102"/>
      <c r="D239" s="115"/>
      <c r="E239" s="115"/>
      <c r="F239" s="105"/>
      <c r="G239" s="105"/>
      <c r="H239" s="105">
        <f t="shared" si="3"/>
        <v>0</v>
      </c>
    </row>
    <row r="240" spans="1:8" x14ac:dyDescent="0.4">
      <c r="A240" s="115"/>
      <c r="B240" s="121"/>
      <c r="C240" s="102"/>
      <c r="D240" s="115"/>
      <c r="E240" s="115"/>
      <c r="F240" s="105"/>
      <c r="G240" s="105"/>
      <c r="H240" s="105">
        <f t="shared" si="3"/>
        <v>0</v>
      </c>
    </row>
    <row r="241" spans="1:8" x14ac:dyDescent="0.4">
      <c r="A241" s="115"/>
      <c r="B241" s="121"/>
      <c r="C241" s="102"/>
      <c r="D241" s="115"/>
      <c r="E241" s="115"/>
      <c r="F241" s="105"/>
      <c r="G241" s="105"/>
      <c r="H241" s="105">
        <f t="shared" si="3"/>
        <v>0</v>
      </c>
    </row>
    <row r="242" spans="1:8" x14ac:dyDescent="0.4">
      <c r="A242" s="115"/>
      <c r="B242" s="121"/>
      <c r="C242" s="102"/>
      <c r="D242" s="115"/>
      <c r="E242" s="115"/>
      <c r="F242" s="105"/>
      <c r="G242" s="105"/>
      <c r="H242" s="105">
        <f t="shared" si="3"/>
        <v>0</v>
      </c>
    </row>
    <row r="243" spans="1:8" x14ac:dyDescent="0.4">
      <c r="A243" s="115"/>
      <c r="B243" s="121"/>
      <c r="C243" s="102"/>
      <c r="D243" s="115"/>
      <c r="E243" s="115"/>
      <c r="F243" s="105"/>
      <c r="G243" s="105"/>
      <c r="H243" s="105">
        <f t="shared" si="3"/>
        <v>0</v>
      </c>
    </row>
    <row r="244" spans="1:8" x14ac:dyDescent="0.4">
      <c r="A244" s="115"/>
      <c r="B244" s="121"/>
      <c r="C244" s="102"/>
      <c r="D244" s="115"/>
      <c r="E244" s="115"/>
      <c r="F244" s="105"/>
      <c r="G244" s="105"/>
      <c r="H244" s="105">
        <f t="shared" si="3"/>
        <v>0</v>
      </c>
    </row>
    <row r="245" spans="1:8" x14ac:dyDescent="0.4">
      <c r="A245" s="115"/>
      <c r="B245" s="121"/>
      <c r="C245" s="102"/>
      <c r="D245" s="115"/>
      <c r="E245" s="115"/>
      <c r="F245" s="105"/>
      <c r="G245" s="105"/>
      <c r="H245" s="105">
        <f t="shared" si="3"/>
        <v>0</v>
      </c>
    </row>
    <row r="246" spans="1:8" x14ac:dyDescent="0.4">
      <c r="A246" s="115"/>
      <c r="B246" s="121"/>
      <c r="C246" s="102"/>
      <c r="D246" s="115"/>
      <c r="E246" s="115"/>
      <c r="F246" s="105"/>
      <c r="G246" s="105"/>
      <c r="H246" s="105">
        <f t="shared" si="3"/>
        <v>0</v>
      </c>
    </row>
    <row r="247" spans="1:8" x14ac:dyDescent="0.4">
      <c r="A247" s="115"/>
      <c r="B247" s="121"/>
      <c r="C247" s="102"/>
      <c r="D247" s="115"/>
      <c r="E247" s="115"/>
      <c r="F247" s="105"/>
      <c r="G247" s="105"/>
      <c r="H247" s="105">
        <f t="shared" si="3"/>
        <v>0</v>
      </c>
    </row>
    <row r="248" spans="1:8" x14ac:dyDescent="0.4">
      <c r="A248" s="115"/>
      <c r="B248" s="121"/>
      <c r="C248" s="102"/>
      <c r="D248" s="115"/>
      <c r="E248" s="115"/>
      <c r="F248" s="105"/>
      <c r="G248" s="105"/>
      <c r="H248" s="105">
        <f t="shared" si="3"/>
        <v>0</v>
      </c>
    </row>
    <row r="249" spans="1:8" x14ac:dyDescent="0.4">
      <c r="A249" s="115"/>
      <c r="B249" s="121"/>
      <c r="C249" s="102"/>
      <c r="D249" s="115"/>
      <c r="E249" s="115"/>
      <c r="F249" s="105"/>
      <c r="G249" s="105"/>
      <c r="H249" s="105">
        <f t="shared" si="3"/>
        <v>0</v>
      </c>
    </row>
    <row r="250" spans="1:8" x14ac:dyDescent="0.4">
      <c r="A250" s="115"/>
      <c r="B250" s="121"/>
      <c r="C250" s="102"/>
      <c r="D250" s="115"/>
      <c r="E250" s="115"/>
      <c r="F250" s="105"/>
      <c r="G250" s="105"/>
      <c r="H250" s="105">
        <f t="shared" si="3"/>
        <v>0</v>
      </c>
    </row>
    <row r="251" spans="1:8" x14ac:dyDescent="0.4">
      <c r="A251" s="115"/>
      <c r="B251" s="121"/>
      <c r="C251" s="102"/>
      <c r="D251" s="115"/>
      <c r="E251" s="115"/>
      <c r="F251" s="105"/>
      <c r="G251" s="105"/>
      <c r="H251" s="105">
        <f t="shared" si="3"/>
        <v>0</v>
      </c>
    </row>
    <row r="252" spans="1:8" x14ac:dyDescent="0.4">
      <c r="A252" s="115"/>
      <c r="B252" s="121"/>
      <c r="C252" s="102"/>
      <c r="D252" s="115"/>
      <c r="E252" s="115"/>
      <c r="F252" s="105"/>
      <c r="G252" s="105"/>
      <c r="H252" s="105">
        <f t="shared" si="3"/>
        <v>0</v>
      </c>
    </row>
    <row r="253" spans="1:8" x14ac:dyDescent="0.4">
      <c r="A253" s="115"/>
      <c r="B253" s="121"/>
      <c r="C253" s="102"/>
      <c r="D253" s="115"/>
      <c r="E253" s="115"/>
      <c r="F253" s="105"/>
      <c r="G253" s="105"/>
      <c r="H253" s="105">
        <f t="shared" si="3"/>
        <v>0</v>
      </c>
    </row>
    <row r="254" spans="1:8" x14ac:dyDescent="0.4">
      <c r="A254" s="115"/>
      <c r="B254" s="121"/>
      <c r="C254" s="102"/>
      <c r="D254" s="115"/>
      <c r="E254" s="115"/>
      <c r="F254" s="105"/>
      <c r="G254" s="105"/>
      <c r="H254" s="105">
        <f t="shared" si="3"/>
        <v>0</v>
      </c>
    </row>
    <row r="255" spans="1:8" x14ac:dyDescent="0.4">
      <c r="A255" s="115"/>
      <c r="B255" s="121"/>
      <c r="C255" s="102"/>
      <c r="D255" s="115"/>
      <c r="E255" s="115"/>
      <c r="F255" s="105"/>
      <c r="G255" s="105"/>
      <c r="H255" s="105">
        <f t="shared" si="3"/>
        <v>0</v>
      </c>
    </row>
    <row r="256" spans="1:8" x14ac:dyDescent="0.4">
      <c r="A256" s="115"/>
      <c r="B256" s="121"/>
      <c r="C256" s="102"/>
      <c r="D256" s="115"/>
      <c r="E256" s="115"/>
      <c r="F256" s="105"/>
      <c r="G256" s="105"/>
      <c r="H256" s="105">
        <f t="shared" si="3"/>
        <v>0</v>
      </c>
    </row>
    <row r="257" spans="1:8" x14ac:dyDescent="0.4">
      <c r="A257" s="115"/>
      <c r="B257" s="121"/>
      <c r="C257" s="102"/>
      <c r="D257" s="115"/>
      <c r="E257" s="115"/>
      <c r="F257" s="105"/>
      <c r="G257" s="105"/>
      <c r="H257" s="105">
        <f t="shared" si="3"/>
        <v>0</v>
      </c>
    </row>
    <row r="258" spans="1:8" x14ac:dyDescent="0.4">
      <c r="A258" s="115"/>
      <c r="B258" s="121"/>
      <c r="C258" s="102"/>
      <c r="D258" s="115"/>
      <c r="E258" s="115"/>
      <c r="F258" s="105"/>
      <c r="G258" s="105"/>
      <c r="H258" s="105">
        <f t="shared" si="3"/>
        <v>0</v>
      </c>
    </row>
    <row r="259" spans="1:8" x14ac:dyDescent="0.4">
      <c r="A259" s="115"/>
      <c r="B259" s="121"/>
      <c r="C259" s="102"/>
      <c r="D259" s="115"/>
      <c r="E259" s="115"/>
      <c r="F259" s="105"/>
      <c r="G259" s="105"/>
      <c r="H259" s="105">
        <f t="shared" si="3"/>
        <v>0</v>
      </c>
    </row>
    <row r="260" spans="1:8" x14ac:dyDescent="0.4">
      <c r="A260" s="115"/>
      <c r="B260" s="121"/>
      <c r="C260" s="102"/>
      <c r="D260" s="115"/>
      <c r="E260" s="115"/>
      <c r="F260" s="105"/>
      <c r="G260" s="105"/>
      <c r="H260" s="105">
        <f t="shared" si="3"/>
        <v>0</v>
      </c>
    </row>
    <row r="261" spans="1:8" x14ac:dyDescent="0.4">
      <c r="A261" s="115"/>
      <c r="B261" s="121"/>
      <c r="C261" s="102"/>
      <c r="D261" s="115"/>
      <c r="E261" s="115"/>
      <c r="F261" s="105"/>
      <c r="G261" s="105"/>
      <c r="H261" s="105">
        <f t="shared" si="3"/>
        <v>0</v>
      </c>
    </row>
    <row r="262" spans="1:8" x14ac:dyDescent="0.4">
      <c r="A262" s="115"/>
      <c r="B262" s="121"/>
      <c r="C262" s="102"/>
      <c r="D262" s="115"/>
      <c r="E262" s="115"/>
      <c r="F262" s="105"/>
      <c r="G262" s="105"/>
      <c r="H262" s="105">
        <f t="shared" si="3"/>
        <v>0</v>
      </c>
    </row>
    <row r="263" spans="1:8" x14ac:dyDescent="0.4">
      <c r="A263" s="115"/>
      <c r="B263" s="121"/>
      <c r="C263" s="102"/>
      <c r="D263" s="115"/>
      <c r="E263" s="115"/>
      <c r="F263" s="105"/>
      <c r="G263" s="105"/>
      <c r="H263" s="105">
        <f t="shared" si="3"/>
        <v>0</v>
      </c>
    </row>
    <row r="264" spans="1:8" x14ac:dyDescent="0.4">
      <c r="A264" s="115"/>
      <c r="B264" s="121"/>
      <c r="C264" s="102"/>
      <c r="D264" s="115"/>
      <c r="E264" s="115"/>
      <c r="F264" s="105"/>
      <c r="G264" s="105"/>
      <c r="H264" s="105">
        <f t="shared" si="3"/>
        <v>0</v>
      </c>
    </row>
    <row r="265" spans="1:8" x14ac:dyDescent="0.4">
      <c r="A265" s="115"/>
      <c r="B265" s="121"/>
      <c r="C265" s="102"/>
      <c r="D265" s="115"/>
      <c r="E265" s="115"/>
      <c r="F265" s="105"/>
      <c r="G265" s="105"/>
      <c r="H265" s="105">
        <f t="shared" si="3"/>
        <v>0</v>
      </c>
    </row>
    <row r="266" spans="1:8" x14ac:dyDescent="0.4">
      <c r="A266" s="115"/>
      <c r="B266" s="121"/>
      <c r="C266" s="102"/>
      <c r="D266" s="115"/>
      <c r="E266" s="115"/>
      <c r="F266" s="105"/>
      <c r="G266" s="105"/>
      <c r="H266" s="105">
        <f t="shared" si="3"/>
        <v>0</v>
      </c>
    </row>
    <row r="267" spans="1:8" x14ac:dyDescent="0.4">
      <c r="A267" s="115"/>
      <c r="B267" s="121"/>
      <c r="C267" s="102"/>
      <c r="D267" s="115"/>
      <c r="E267" s="115"/>
      <c r="F267" s="105"/>
      <c r="G267" s="105"/>
      <c r="H267" s="105">
        <f t="shared" si="3"/>
        <v>0</v>
      </c>
    </row>
    <row r="268" spans="1:8" x14ac:dyDescent="0.4">
      <c r="A268" s="115"/>
      <c r="B268" s="121"/>
      <c r="C268" s="102"/>
      <c r="D268" s="115"/>
      <c r="E268" s="115"/>
      <c r="F268" s="105"/>
      <c r="G268" s="105"/>
      <c r="H268" s="105">
        <f t="shared" si="3"/>
        <v>0</v>
      </c>
    </row>
    <row r="269" spans="1:8" x14ac:dyDescent="0.4">
      <c r="A269" s="115"/>
      <c r="B269" s="121"/>
      <c r="C269" s="102"/>
      <c r="D269" s="115"/>
      <c r="E269" s="115"/>
      <c r="F269" s="105"/>
      <c r="G269" s="105"/>
      <c r="H269" s="105">
        <f t="shared" si="3"/>
        <v>0</v>
      </c>
    </row>
    <row r="270" spans="1:8" x14ac:dyDescent="0.4">
      <c r="A270" s="115"/>
      <c r="B270" s="121"/>
      <c r="C270" s="102"/>
      <c r="D270" s="115"/>
      <c r="E270" s="115"/>
      <c r="F270" s="105"/>
      <c r="G270" s="105"/>
      <c r="H270" s="105">
        <f t="shared" si="3"/>
        <v>0</v>
      </c>
    </row>
    <row r="271" spans="1:8" x14ac:dyDescent="0.4">
      <c r="A271" s="115"/>
      <c r="B271" s="121"/>
      <c r="C271" s="102"/>
      <c r="D271" s="115"/>
      <c r="E271" s="115"/>
      <c r="F271" s="105"/>
      <c r="G271" s="105"/>
      <c r="H271" s="105">
        <f t="shared" si="3"/>
        <v>0</v>
      </c>
    </row>
    <row r="272" spans="1:8" x14ac:dyDescent="0.4">
      <c r="A272" s="115"/>
      <c r="B272" s="121"/>
      <c r="C272" s="102"/>
      <c r="D272" s="115"/>
      <c r="E272" s="115"/>
      <c r="F272" s="105"/>
      <c r="G272" s="105"/>
      <c r="H272" s="105">
        <f t="shared" ref="H272:H335" si="4">H271+F272-G272</f>
        <v>0</v>
      </c>
    </row>
    <row r="273" spans="1:8" x14ac:dyDescent="0.4">
      <c r="A273" s="115"/>
      <c r="B273" s="121"/>
      <c r="C273" s="102"/>
      <c r="D273" s="115"/>
      <c r="E273" s="115"/>
      <c r="F273" s="105"/>
      <c r="G273" s="105"/>
      <c r="H273" s="105">
        <f t="shared" si="4"/>
        <v>0</v>
      </c>
    </row>
    <row r="274" spans="1:8" x14ac:dyDescent="0.4">
      <c r="A274" s="115"/>
      <c r="B274" s="121"/>
      <c r="C274" s="102"/>
      <c r="D274" s="115"/>
      <c r="E274" s="115"/>
      <c r="F274" s="105"/>
      <c r="G274" s="105"/>
      <c r="H274" s="105">
        <f t="shared" si="4"/>
        <v>0</v>
      </c>
    </row>
    <row r="275" spans="1:8" x14ac:dyDescent="0.4">
      <c r="A275" s="115"/>
      <c r="B275" s="121"/>
      <c r="C275" s="102"/>
      <c r="D275" s="115"/>
      <c r="E275" s="115"/>
      <c r="F275" s="105"/>
      <c r="G275" s="105"/>
      <c r="H275" s="105">
        <f t="shared" si="4"/>
        <v>0</v>
      </c>
    </row>
    <row r="276" spans="1:8" x14ac:dyDescent="0.4">
      <c r="A276" s="115"/>
      <c r="B276" s="121"/>
      <c r="C276" s="102"/>
      <c r="D276" s="115"/>
      <c r="E276" s="115"/>
      <c r="F276" s="105"/>
      <c r="G276" s="105"/>
      <c r="H276" s="105">
        <f t="shared" si="4"/>
        <v>0</v>
      </c>
    </row>
    <row r="277" spans="1:8" x14ac:dyDescent="0.4">
      <c r="A277" s="115"/>
      <c r="B277" s="121"/>
      <c r="C277" s="102"/>
      <c r="D277" s="115"/>
      <c r="E277" s="115"/>
      <c r="F277" s="105"/>
      <c r="G277" s="105"/>
      <c r="H277" s="105">
        <f t="shared" si="4"/>
        <v>0</v>
      </c>
    </row>
    <row r="278" spans="1:8" x14ac:dyDescent="0.4">
      <c r="A278" s="115"/>
      <c r="B278" s="121"/>
      <c r="C278" s="102"/>
      <c r="D278" s="115"/>
      <c r="E278" s="115"/>
      <c r="F278" s="105"/>
      <c r="G278" s="105"/>
      <c r="H278" s="105">
        <f t="shared" si="4"/>
        <v>0</v>
      </c>
    </row>
    <row r="279" spans="1:8" x14ac:dyDescent="0.4">
      <c r="A279" s="115"/>
      <c r="B279" s="121"/>
      <c r="C279" s="102"/>
      <c r="D279" s="115"/>
      <c r="E279" s="115"/>
      <c r="F279" s="105"/>
      <c r="G279" s="105"/>
      <c r="H279" s="105">
        <f t="shared" si="4"/>
        <v>0</v>
      </c>
    </row>
    <row r="280" spans="1:8" x14ac:dyDescent="0.4">
      <c r="A280" s="115"/>
      <c r="B280" s="121"/>
      <c r="C280" s="102"/>
      <c r="D280" s="115"/>
      <c r="E280" s="115"/>
      <c r="F280" s="105"/>
      <c r="G280" s="105"/>
      <c r="H280" s="105">
        <f t="shared" si="4"/>
        <v>0</v>
      </c>
    </row>
    <row r="281" spans="1:8" x14ac:dyDescent="0.4">
      <c r="A281" s="115"/>
      <c r="B281" s="121"/>
      <c r="C281" s="102"/>
      <c r="D281" s="115"/>
      <c r="E281" s="115"/>
      <c r="F281" s="105"/>
      <c r="G281" s="105"/>
      <c r="H281" s="105">
        <f t="shared" si="4"/>
        <v>0</v>
      </c>
    </row>
    <row r="282" spans="1:8" x14ac:dyDescent="0.4">
      <c r="A282" s="115"/>
      <c r="B282" s="121"/>
      <c r="C282" s="102"/>
      <c r="D282" s="115"/>
      <c r="E282" s="115"/>
      <c r="F282" s="105"/>
      <c r="G282" s="105"/>
      <c r="H282" s="105">
        <f t="shared" si="4"/>
        <v>0</v>
      </c>
    </row>
    <row r="283" spans="1:8" x14ac:dyDescent="0.4">
      <c r="A283" s="115"/>
      <c r="B283" s="121"/>
      <c r="C283" s="102"/>
      <c r="D283" s="115"/>
      <c r="E283" s="115"/>
      <c r="F283" s="105"/>
      <c r="G283" s="105"/>
      <c r="H283" s="105">
        <f t="shared" si="4"/>
        <v>0</v>
      </c>
    </row>
    <row r="284" spans="1:8" x14ac:dyDescent="0.4">
      <c r="A284" s="115"/>
      <c r="B284" s="121"/>
      <c r="C284" s="102"/>
      <c r="D284" s="115"/>
      <c r="E284" s="115"/>
      <c r="F284" s="105"/>
      <c r="G284" s="105"/>
      <c r="H284" s="105">
        <f t="shared" si="4"/>
        <v>0</v>
      </c>
    </row>
    <row r="285" spans="1:8" x14ac:dyDescent="0.4">
      <c r="A285" s="115"/>
      <c r="B285" s="121"/>
      <c r="C285" s="102"/>
      <c r="D285" s="115"/>
      <c r="E285" s="115"/>
      <c r="F285" s="105"/>
      <c r="G285" s="105"/>
      <c r="H285" s="105">
        <f t="shared" si="4"/>
        <v>0</v>
      </c>
    </row>
    <row r="286" spans="1:8" x14ac:dyDescent="0.4">
      <c r="A286" s="115"/>
      <c r="B286" s="121"/>
      <c r="C286" s="102"/>
      <c r="D286" s="115"/>
      <c r="E286" s="115"/>
      <c r="F286" s="105"/>
      <c r="G286" s="105"/>
      <c r="H286" s="105">
        <f t="shared" si="4"/>
        <v>0</v>
      </c>
    </row>
    <row r="287" spans="1:8" x14ac:dyDescent="0.4">
      <c r="A287" s="115"/>
      <c r="B287" s="121"/>
      <c r="C287" s="102"/>
      <c r="D287" s="115"/>
      <c r="E287" s="115"/>
      <c r="F287" s="105"/>
      <c r="G287" s="105"/>
      <c r="H287" s="105">
        <f t="shared" si="4"/>
        <v>0</v>
      </c>
    </row>
    <row r="288" spans="1:8" x14ac:dyDescent="0.4">
      <c r="A288" s="115"/>
      <c r="B288" s="121"/>
      <c r="C288" s="102"/>
      <c r="D288" s="115"/>
      <c r="E288" s="115"/>
      <c r="F288" s="105"/>
      <c r="G288" s="105"/>
      <c r="H288" s="105">
        <f t="shared" si="4"/>
        <v>0</v>
      </c>
    </row>
    <row r="289" spans="1:8" x14ac:dyDescent="0.4">
      <c r="A289" s="115"/>
      <c r="B289" s="121"/>
      <c r="C289" s="102"/>
      <c r="D289" s="115"/>
      <c r="E289" s="115"/>
      <c r="F289" s="105"/>
      <c r="G289" s="105"/>
      <c r="H289" s="105">
        <f t="shared" si="4"/>
        <v>0</v>
      </c>
    </row>
    <row r="290" spans="1:8" x14ac:dyDescent="0.4">
      <c r="A290" s="115"/>
      <c r="B290" s="121"/>
      <c r="C290" s="102"/>
      <c r="D290" s="115"/>
      <c r="E290" s="115"/>
      <c r="F290" s="105"/>
      <c r="G290" s="105"/>
      <c r="H290" s="105">
        <f t="shared" si="4"/>
        <v>0</v>
      </c>
    </row>
    <row r="291" spans="1:8" x14ac:dyDescent="0.4">
      <c r="A291" s="115"/>
      <c r="B291" s="121"/>
      <c r="C291" s="102"/>
      <c r="D291" s="115"/>
      <c r="E291" s="115"/>
      <c r="F291" s="105"/>
      <c r="G291" s="105"/>
      <c r="H291" s="105">
        <f t="shared" si="4"/>
        <v>0</v>
      </c>
    </row>
    <row r="292" spans="1:8" x14ac:dyDescent="0.4">
      <c r="A292" s="115"/>
      <c r="B292" s="121"/>
      <c r="C292" s="102"/>
      <c r="D292" s="115"/>
      <c r="E292" s="115"/>
      <c r="F292" s="105"/>
      <c r="G292" s="105"/>
      <c r="H292" s="105">
        <f t="shared" si="4"/>
        <v>0</v>
      </c>
    </row>
    <row r="293" spans="1:8" x14ac:dyDescent="0.4">
      <c r="A293" s="115"/>
      <c r="B293" s="121"/>
      <c r="C293" s="102"/>
      <c r="D293" s="115"/>
      <c r="E293" s="115"/>
      <c r="F293" s="105"/>
      <c r="G293" s="105"/>
      <c r="H293" s="105">
        <f t="shared" si="4"/>
        <v>0</v>
      </c>
    </row>
    <row r="294" spans="1:8" x14ac:dyDescent="0.4">
      <c r="A294" s="115"/>
      <c r="B294" s="121"/>
      <c r="C294" s="102"/>
      <c r="D294" s="115"/>
      <c r="E294" s="115"/>
      <c r="F294" s="105"/>
      <c r="G294" s="105"/>
      <c r="H294" s="105">
        <f t="shared" si="4"/>
        <v>0</v>
      </c>
    </row>
    <row r="295" spans="1:8" x14ac:dyDescent="0.4">
      <c r="A295" s="115"/>
      <c r="B295" s="121"/>
      <c r="C295" s="102"/>
      <c r="D295" s="115"/>
      <c r="E295" s="115"/>
      <c r="F295" s="105"/>
      <c r="G295" s="105"/>
      <c r="H295" s="105">
        <f t="shared" si="4"/>
        <v>0</v>
      </c>
    </row>
    <row r="296" spans="1:8" x14ac:dyDescent="0.4">
      <c r="A296" s="115"/>
      <c r="B296" s="121"/>
      <c r="C296" s="102"/>
      <c r="D296" s="115"/>
      <c r="E296" s="115"/>
      <c r="F296" s="105"/>
      <c r="G296" s="105"/>
      <c r="H296" s="105">
        <f t="shared" si="4"/>
        <v>0</v>
      </c>
    </row>
    <row r="297" spans="1:8" x14ac:dyDescent="0.4">
      <c r="A297" s="115"/>
      <c r="B297" s="121"/>
      <c r="C297" s="102"/>
      <c r="D297" s="115"/>
      <c r="E297" s="115"/>
      <c r="F297" s="105"/>
      <c r="G297" s="105"/>
      <c r="H297" s="105">
        <f t="shared" si="4"/>
        <v>0</v>
      </c>
    </row>
    <row r="298" spans="1:8" x14ac:dyDescent="0.4">
      <c r="A298" s="115"/>
      <c r="B298" s="121"/>
      <c r="C298" s="102"/>
      <c r="D298" s="115"/>
      <c r="E298" s="115"/>
      <c r="F298" s="105"/>
      <c r="G298" s="105"/>
      <c r="H298" s="105">
        <f t="shared" si="4"/>
        <v>0</v>
      </c>
    </row>
    <row r="299" spans="1:8" x14ac:dyDescent="0.4">
      <c r="A299" s="115"/>
      <c r="B299" s="121"/>
      <c r="C299" s="102"/>
      <c r="D299" s="115"/>
      <c r="E299" s="115"/>
      <c r="F299" s="105"/>
      <c r="G299" s="105"/>
      <c r="H299" s="105">
        <f t="shared" si="4"/>
        <v>0</v>
      </c>
    </row>
    <row r="300" spans="1:8" x14ac:dyDescent="0.4">
      <c r="A300" s="115"/>
      <c r="B300" s="121"/>
      <c r="C300" s="102"/>
      <c r="D300" s="115"/>
      <c r="E300" s="115"/>
      <c r="F300" s="105"/>
      <c r="G300" s="105"/>
      <c r="H300" s="105">
        <f t="shared" si="4"/>
        <v>0</v>
      </c>
    </row>
    <row r="301" spans="1:8" x14ac:dyDescent="0.4">
      <c r="A301" s="115"/>
      <c r="B301" s="121"/>
      <c r="C301" s="102"/>
      <c r="D301" s="115"/>
      <c r="E301" s="115"/>
      <c r="F301" s="105"/>
      <c r="G301" s="105"/>
      <c r="H301" s="105">
        <f t="shared" si="4"/>
        <v>0</v>
      </c>
    </row>
    <row r="302" spans="1:8" x14ac:dyDescent="0.4">
      <c r="A302" s="115"/>
      <c r="B302" s="121"/>
      <c r="C302" s="102"/>
      <c r="D302" s="115"/>
      <c r="E302" s="115"/>
      <c r="F302" s="105"/>
      <c r="G302" s="105"/>
      <c r="H302" s="105">
        <f t="shared" si="4"/>
        <v>0</v>
      </c>
    </row>
    <row r="303" spans="1:8" x14ac:dyDescent="0.4">
      <c r="A303" s="115"/>
      <c r="B303" s="121"/>
      <c r="C303" s="102"/>
      <c r="D303" s="115"/>
      <c r="E303" s="115"/>
      <c r="F303" s="105"/>
      <c r="G303" s="105"/>
      <c r="H303" s="105">
        <f t="shared" si="4"/>
        <v>0</v>
      </c>
    </row>
    <row r="304" spans="1:8" x14ac:dyDescent="0.4">
      <c r="A304" s="115"/>
      <c r="B304" s="121"/>
      <c r="C304" s="102"/>
      <c r="D304" s="115"/>
      <c r="E304" s="115"/>
      <c r="F304" s="105"/>
      <c r="G304" s="105"/>
      <c r="H304" s="105">
        <f t="shared" si="4"/>
        <v>0</v>
      </c>
    </row>
    <row r="305" spans="1:8" x14ac:dyDescent="0.4">
      <c r="A305" s="115"/>
      <c r="B305" s="121"/>
      <c r="C305" s="102"/>
      <c r="D305" s="115"/>
      <c r="E305" s="115"/>
      <c r="F305" s="105"/>
      <c r="G305" s="105"/>
      <c r="H305" s="105">
        <f t="shared" si="4"/>
        <v>0</v>
      </c>
    </row>
    <row r="306" spans="1:8" x14ac:dyDescent="0.4">
      <c r="A306" s="115"/>
      <c r="B306" s="121"/>
      <c r="C306" s="102"/>
      <c r="D306" s="115"/>
      <c r="E306" s="115"/>
      <c r="F306" s="105"/>
      <c r="G306" s="105"/>
      <c r="H306" s="105">
        <f t="shared" si="4"/>
        <v>0</v>
      </c>
    </row>
    <row r="307" spans="1:8" x14ac:dyDescent="0.4">
      <c r="A307" s="115"/>
      <c r="B307" s="121"/>
      <c r="C307" s="102"/>
      <c r="D307" s="115"/>
      <c r="E307" s="115"/>
      <c r="F307" s="105"/>
      <c r="G307" s="105"/>
      <c r="H307" s="105">
        <f t="shared" si="4"/>
        <v>0</v>
      </c>
    </row>
    <row r="308" spans="1:8" x14ac:dyDescent="0.4">
      <c r="A308" s="115"/>
      <c r="B308" s="121"/>
      <c r="C308" s="102"/>
      <c r="D308" s="115"/>
      <c r="E308" s="115"/>
      <c r="F308" s="105"/>
      <c r="G308" s="105"/>
      <c r="H308" s="105">
        <f t="shared" si="4"/>
        <v>0</v>
      </c>
    </row>
    <row r="309" spans="1:8" x14ac:dyDescent="0.4">
      <c r="A309" s="115"/>
      <c r="B309" s="121"/>
      <c r="C309" s="102"/>
      <c r="D309" s="115"/>
      <c r="E309" s="115"/>
      <c r="F309" s="105"/>
      <c r="G309" s="105"/>
      <c r="H309" s="105">
        <f t="shared" si="4"/>
        <v>0</v>
      </c>
    </row>
    <row r="310" spans="1:8" x14ac:dyDescent="0.4">
      <c r="A310" s="115"/>
      <c r="B310" s="121"/>
      <c r="C310" s="102"/>
      <c r="D310" s="115"/>
      <c r="E310" s="115"/>
      <c r="F310" s="105"/>
      <c r="G310" s="105"/>
      <c r="H310" s="105">
        <f t="shared" si="4"/>
        <v>0</v>
      </c>
    </row>
    <row r="311" spans="1:8" x14ac:dyDescent="0.4">
      <c r="A311" s="115"/>
      <c r="B311" s="121"/>
      <c r="C311" s="102"/>
      <c r="D311" s="115"/>
      <c r="E311" s="115"/>
      <c r="F311" s="105"/>
      <c r="G311" s="105"/>
      <c r="H311" s="105">
        <f t="shared" si="4"/>
        <v>0</v>
      </c>
    </row>
    <row r="312" spans="1:8" x14ac:dyDescent="0.4">
      <c r="A312" s="115"/>
      <c r="B312" s="121"/>
      <c r="C312" s="102"/>
      <c r="D312" s="115"/>
      <c r="E312" s="115"/>
      <c r="F312" s="105"/>
      <c r="G312" s="105"/>
      <c r="H312" s="105">
        <f t="shared" si="4"/>
        <v>0</v>
      </c>
    </row>
    <row r="313" spans="1:8" x14ac:dyDescent="0.4">
      <c r="A313" s="115"/>
      <c r="B313" s="121"/>
      <c r="C313" s="102"/>
      <c r="D313" s="115"/>
      <c r="E313" s="115"/>
      <c r="F313" s="105"/>
      <c r="G313" s="105"/>
      <c r="H313" s="105">
        <f t="shared" si="4"/>
        <v>0</v>
      </c>
    </row>
    <row r="314" spans="1:8" x14ac:dyDescent="0.4">
      <c r="A314" s="115"/>
      <c r="B314" s="121"/>
      <c r="C314" s="102"/>
      <c r="D314" s="115"/>
      <c r="E314" s="115"/>
      <c r="F314" s="105"/>
      <c r="G314" s="105"/>
      <c r="H314" s="105">
        <f t="shared" si="4"/>
        <v>0</v>
      </c>
    </row>
    <row r="315" spans="1:8" x14ac:dyDescent="0.4">
      <c r="A315" s="115"/>
      <c r="B315" s="121"/>
      <c r="C315" s="102"/>
      <c r="D315" s="115"/>
      <c r="E315" s="115"/>
      <c r="F315" s="105"/>
      <c r="G315" s="105"/>
      <c r="H315" s="105">
        <f t="shared" si="4"/>
        <v>0</v>
      </c>
    </row>
    <row r="316" spans="1:8" x14ac:dyDescent="0.4">
      <c r="A316" s="115"/>
      <c r="B316" s="121"/>
      <c r="C316" s="102"/>
      <c r="D316" s="115"/>
      <c r="E316" s="115"/>
      <c r="F316" s="105"/>
      <c r="G316" s="105"/>
      <c r="H316" s="105">
        <f t="shared" si="4"/>
        <v>0</v>
      </c>
    </row>
    <row r="317" spans="1:8" x14ac:dyDescent="0.4">
      <c r="A317" s="115"/>
      <c r="B317" s="121"/>
      <c r="C317" s="102"/>
      <c r="D317" s="115"/>
      <c r="E317" s="115"/>
      <c r="F317" s="105"/>
      <c r="G317" s="105"/>
      <c r="H317" s="105">
        <f t="shared" si="4"/>
        <v>0</v>
      </c>
    </row>
    <row r="318" spans="1:8" x14ac:dyDescent="0.4">
      <c r="A318" s="115"/>
      <c r="B318" s="121"/>
      <c r="C318" s="102"/>
      <c r="D318" s="115"/>
      <c r="E318" s="115"/>
      <c r="F318" s="105"/>
      <c r="G318" s="105"/>
      <c r="H318" s="105">
        <f t="shared" si="4"/>
        <v>0</v>
      </c>
    </row>
    <row r="319" spans="1:8" x14ac:dyDescent="0.4">
      <c r="A319" s="115"/>
      <c r="B319" s="121"/>
      <c r="C319" s="102"/>
      <c r="D319" s="115"/>
      <c r="E319" s="115"/>
      <c r="F319" s="105"/>
      <c r="G319" s="105"/>
      <c r="H319" s="105">
        <f t="shared" si="4"/>
        <v>0</v>
      </c>
    </row>
    <row r="320" spans="1:8" x14ac:dyDescent="0.4">
      <c r="A320" s="115"/>
      <c r="B320" s="121"/>
      <c r="C320" s="102"/>
      <c r="D320" s="115"/>
      <c r="E320" s="115"/>
      <c r="F320" s="105"/>
      <c r="G320" s="105"/>
      <c r="H320" s="105">
        <f t="shared" si="4"/>
        <v>0</v>
      </c>
    </row>
    <row r="321" spans="1:8" x14ac:dyDescent="0.4">
      <c r="A321" s="115"/>
      <c r="B321" s="121"/>
      <c r="C321" s="102"/>
      <c r="D321" s="115"/>
      <c r="E321" s="115"/>
      <c r="F321" s="105"/>
      <c r="G321" s="105"/>
      <c r="H321" s="105">
        <f t="shared" si="4"/>
        <v>0</v>
      </c>
    </row>
    <row r="322" spans="1:8" x14ac:dyDescent="0.4">
      <c r="A322" s="115"/>
      <c r="B322" s="121"/>
      <c r="C322" s="102"/>
      <c r="D322" s="115"/>
      <c r="E322" s="115"/>
      <c r="F322" s="105"/>
      <c r="G322" s="105"/>
      <c r="H322" s="105">
        <f t="shared" si="4"/>
        <v>0</v>
      </c>
    </row>
    <row r="323" spans="1:8" x14ac:dyDescent="0.4">
      <c r="A323" s="115"/>
      <c r="B323" s="121"/>
      <c r="C323" s="102"/>
      <c r="D323" s="115"/>
      <c r="E323" s="115"/>
      <c r="F323" s="105"/>
      <c r="G323" s="105"/>
      <c r="H323" s="105">
        <f t="shared" si="4"/>
        <v>0</v>
      </c>
    </row>
    <row r="324" spans="1:8" x14ac:dyDescent="0.4">
      <c r="A324" s="115"/>
      <c r="B324" s="121"/>
      <c r="C324" s="102"/>
      <c r="D324" s="115"/>
      <c r="E324" s="115"/>
      <c r="F324" s="105"/>
      <c r="G324" s="105"/>
      <c r="H324" s="105">
        <f t="shared" si="4"/>
        <v>0</v>
      </c>
    </row>
    <row r="325" spans="1:8" x14ac:dyDescent="0.4">
      <c r="A325" s="115"/>
      <c r="B325" s="121"/>
      <c r="C325" s="102"/>
      <c r="D325" s="115"/>
      <c r="E325" s="115"/>
      <c r="F325" s="105"/>
      <c r="G325" s="105"/>
      <c r="H325" s="105">
        <f t="shared" si="4"/>
        <v>0</v>
      </c>
    </row>
    <row r="326" spans="1:8" x14ac:dyDescent="0.4">
      <c r="A326" s="115"/>
      <c r="B326" s="121"/>
      <c r="C326" s="102"/>
      <c r="D326" s="115"/>
      <c r="E326" s="115"/>
      <c r="F326" s="105"/>
      <c r="G326" s="105"/>
      <c r="H326" s="105">
        <f t="shared" si="4"/>
        <v>0</v>
      </c>
    </row>
    <row r="327" spans="1:8" x14ac:dyDescent="0.4">
      <c r="A327" s="115"/>
      <c r="B327" s="121"/>
      <c r="C327" s="102"/>
      <c r="D327" s="115"/>
      <c r="E327" s="115"/>
      <c r="F327" s="105"/>
      <c r="G327" s="105"/>
      <c r="H327" s="105">
        <f t="shared" si="4"/>
        <v>0</v>
      </c>
    </row>
    <row r="328" spans="1:8" x14ac:dyDescent="0.4">
      <c r="A328" s="115"/>
      <c r="B328" s="121"/>
      <c r="C328" s="102"/>
      <c r="D328" s="115"/>
      <c r="E328" s="115"/>
      <c r="F328" s="105"/>
      <c r="G328" s="105"/>
      <c r="H328" s="105">
        <f t="shared" si="4"/>
        <v>0</v>
      </c>
    </row>
    <row r="329" spans="1:8" x14ac:dyDescent="0.4">
      <c r="A329" s="115"/>
      <c r="B329" s="121"/>
      <c r="C329" s="102"/>
      <c r="D329" s="115"/>
      <c r="E329" s="115"/>
      <c r="F329" s="105"/>
      <c r="G329" s="105"/>
      <c r="H329" s="105">
        <f t="shared" si="4"/>
        <v>0</v>
      </c>
    </row>
    <row r="330" spans="1:8" x14ac:dyDescent="0.4">
      <c r="A330" s="115"/>
      <c r="B330" s="121"/>
      <c r="C330" s="102"/>
      <c r="D330" s="115"/>
      <c r="E330" s="115"/>
      <c r="F330" s="105"/>
      <c r="G330" s="105"/>
      <c r="H330" s="105">
        <f t="shared" si="4"/>
        <v>0</v>
      </c>
    </row>
    <row r="331" spans="1:8" x14ac:dyDescent="0.4">
      <c r="A331" s="115"/>
      <c r="B331" s="121"/>
      <c r="C331" s="102"/>
      <c r="D331" s="115"/>
      <c r="E331" s="115"/>
      <c r="F331" s="105"/>
      <c r="G331" s="105"/>
      <c r="H331" s="105">
        <f t="shared" si="4"/>
        <v>0</v>
      </c>
    </row>
    <row r="332" spans="1:8" x14ac:dyDescent="0.4">
      <c r="A332" s="115"/>
      <c r="B332" s="121"/>
      <c r="C332" s="102"/>
      <c r="D332" s="115"/>
      <c r="E332" s="115"/>
      <c r="F332" s="105"/>
      <c r="G332" s="105"/>
      <c r="H332" s="105">
        <f t="shared" si="4"/>
        <v>0</v>
      </c>
    </row>
    <row r="333" spans="1:8" x14ac:dyDescent="0.4">
      <c r="A333" s="115"/>
      <c r="B333" s="121"/>
      <c r="C333" s="102"/>
      <c r="D333" s="115"/>
      <c r="E333" s="115"/>
      <c r="F333" s="105"/>
      <c r="G333" s="105"/>
      <c r="H333" s="105">
        <f t="shared" si="4"/>
        <v>0</v>
      </c>
    </row>
    <row r="334" spans="1:8" x14ac:dyDescent="0.4">
      <c r="A334" s="115"/>
      <c r="B334" s="121"/>
      <c r="C334" s="102"/>
      <c r="D334" s="115"/>
      <c r="E334" s="115"/>
      <c r="F334" s="105"/>
      <c r="G334" s="105"/>
      <c r="H334" s="105">
        <f t="shared" si="4"/>
        <v>0</v>
      </c>
    </row>
    <row r="335" spans="1:8" x14ac:dyDescent="0.4">
      <c r="A335" s="115"/>
      <c r="B335" s="121"/>
      <c r="C335" s="102"/>
      <c r="D335" s="115"/>
      <c r="E335" s="115"/>
      <c r="F335" s="105"/>
      <c r="G335" s="105"/>
      <c r="H335" s="105">
        <f t="shared" si="4"/>
        <v>0</v>
      </c>
    </row>
    <row r="336" spans="1:8" x14ac:dyDescent="0.4">
      <c r="A336" s="115"/>
      <c r="B336" s="121"/>
      <c r="C336" s="102"/>
      <c r="D336" s="115"/>
      <c r="E336" s="115"/>
      <c r="F336" s="105"/>
      <c r="G336" s="105"/>
      <c r="H336" s="105">
        <f t="shared" ref="H336:H399" si="5">H335+F336-G336</f>
        <v>0</v>
      </c>
    </row>
    <row r="337" spans="1:8" x14ac:dyDescent="0.4">
      <c r="A337" s="115"/>
      <c r="B337" s="121"/>
      <c r="C337" s="102"/>
      <c r="D337" s="115"/>
      <c r="E337" s="115"/>
      <c r="F337" s="105"/>
      <c r="G337" s="105"/>
      <c r="H337" s="105">
        <f t="shared" si="5"/>
        <v>0</v>
      </c>
    </row>
    <row r="338" spans="1:8" x14ac:dyDescent="0.4">
      <c r="A338" s="115"/>
      <c r="B338" s="121"/>
      <c r="C338" s="102"/>
      <c r="D338" s="115"/>
      <c r="E338" s="115"/>
      <c r="F338" s="105"/>
      <c r="G338" s="105"/>
      <c r="H338" s="105">
        <f t="shared" si="5"/>
        <v>0</v>
      </c>
    </row>
    <row r="339" spans="1:8" x14ac:dyDescent="0.4">
      <c r="A339" s="115"/>
      <c r="B339" s="121"/>
      <c r="C339" s="102"/>
      <c r="D339" s="115"/>
      <c r="E339" s="115"/>
      <c r="F339" s="105"/>
      <c r="G339" s="105"/>
      <c r="H339" s="105">
        <f t="shared" si="5"/>
        <v>0</v>
      </c>
    </row>
    <row r="340" spans="1:8" x14ac:dyDescent="0.4">
      <c r="A340" s="115"/>
      <c r="B340" s="121"/>
      <c r="C340" s="102"/>
      <c r="D340" s="115"/>
      <c r="E340" s="115"/>
      <c r="F340" s="105"/>
      <c r="G340" s="105"/>
      <c r="H340" s="105">
        <f t="shared" si="5"/>
        <v>0</v>
      </c>
    </row>
    <row r="341" spans="1:8" x14ac:dyDescent="0.4">
      <c r="A341" s="115"/>
      <c r="B341" s="121"/>
      <c r="C341" s="102"/>
      <c r="D341" s="115"/>
      <c r="E341" s="115"/>
      <c r="F341" s="105"/>
      <c r="G341" s="105"/>
      <c r="H341" s="105">
        <f t="shared" si="5"/>
        <v>0</v>
      </c>
    </row>
    <row r="342" spans="1:8" x14ac:dyDescent="0.4">
      <c r="A342" s="115"/>
      <c r="B342" s="121"/>
      <c r="C342" s="102"/>
      <c r="D342" s="115"/>
      <c r="E342" s="115"/>
      <c r="F342" s="105"/>
      <c r="G342" s="105"/>
      <c r="H342" s="105">
        <f t="shared" si="5"/>
        <v>0</v>
      </c>
    </row>
    <row r="343" spans="1:8" x14ac:dyDescent="0.4">
      <c r="A343" s="115"/>
      <c r="B343" s="121"/>
      <c r="C343" s="102"/>
      <c r="D343" s="115"/>
      <c r="E343" s="115"/>
      <c r="F343" s="105"/>
      <c r="G343" s="105"/>
      <c r="H343" s="105">
        <f t="shared" si="5"/>
        <v>0</v>
      </c>
    </row>
    <row r="344" spans="1:8" x14ac:dyDescent="0.4">
      <c r="A344" s="115"/>
      <c r="B344" s="121"/>
      <c r="C344" s="102"/>
      <c r="D344" s="115"/>
      <c r="E344" s="115"/>
      <c r="F344" s="105"/>
      <c r="G344" s="105"/>
      <c r="H344" s="105">
        <f t="shared" si="5"/>
        <v>0</v>
      </c>
    </row>
    <row r="345" spans="1:8" x14ac:dyDescent="0.4">
      <c r="A345" s="115"/>
      <c r="B345" s="121"/>
      <c r="C345" s="102"/>
      <c r="D345" s="115"/>
      <c r="E345" s="115"/>
      <c r="F345" s="105"/>
      <c r="G345" s="105"/>
      <c r="H345" s="105">
        <f t="shared" si="5"/>
        <v>0</v>
      </c>
    </row>
    <row r="346" spans="1:8" x14ac:dyDescent="0.4">
      <c r="A346" s="115"/>
      <c r="B346" s="121"/>
      <c r="C346" s="102"/>
      <c r="D346" s="115"/>
      <c r="E346" s="115"/>
      <c r="F346" s="105"/>
      <c r="G346" s="105"/>
      <c r="H346" s="105">
        <f t="shared" si="5"/>
        <v>0</v>
      </c>
    </row>
    <row r="347" spans="1:8" x14ac:dyDescent="0.4">
      <c r="A347" s="115"/>
      <c r="B347" s="121"/>
      <c r="C347" s="102"/>
      <c r="D347" s="115"/>
      <c r="E347" s="115"/>
      <c r="F347" s="105"/>
      <c r="G347" s="105"/>
      <c r="H347" s="105">
        <f t="shared" si="5"/>
        <v>0</v>
      </c>
    </row>
    <row r="348" spans="1:8" x14ac:dyDescent="0.4">
      <c r="A348" s="115"/>
      <c r="B348" s="121"/>
      <c r="C348" s="102"/>
      <c r="D348" s="115"/>
      <c r="E348" s="115"/>
      <c r="F348" s="105"/>
      <c r="G348" s="105"/>
      <c r="H348" s="105">
        <f t="shared" si="5"/>
        <v>0</v>
      </c>
    </row>
    <row r="349" spans="1:8" x14ac:dyDescent="0.4">
      <c r="A349" s="115"/>
      <c r="B349" s="121"/>
      <c r="C349" s="102"/>
      <c r="D349" s="115"/>
      <c r="E349" s="115"/>
      <c r="F349" s="105"/>
      <c r="G349" s="105"/>
      <c r="H349" s="105">
        <f t="shared" si="5"/>
        <v>0</v>
      </c>
    </row>
    <row r="350" spans="1:8" x14ac:dyDescent="0.4">
      <c r="A350" s="115"/>
      <c r="B350" s="121"/>
      <c r="C350" s="102"/>
      <c r="D350" s="115"/>
      <c r="E350" s="115"/>
      <c r="F350" s="105"/>
      <c r="G350" s="105"/>
      <c r="H350" s="105">
        <f t="shared" si="5"/>
        <v>0</v>
      </c>
    </row>
    <row r="351" spans="1:8" x14ac:dyDescent="0.4">
      <c r="A351" s="115"/>
      <c r="B351" s="121"/>
      <c r="C351" s="102"/>
      <c r="D351" s="115"/>
      <c r="E351" s="115"/>
      <c r="F351" s="105"/>
      <c r="G351" s="105"/>
      <c r="H351" s="105">
        <f t="shared" si="5"/>
        <v>0</v>
      </c>
    </row>
    <row r="352" spans="1:8" x14ac:dyDescent="0.4">
      <c r="A352" s="115"/>
      <c r="B352" s="121"/>
      <c r="C352" s="102"/>
      <c r="D352" s="115"/>
      <c r="E352" s="115"/>
      <c r="F352" s="105"/>
      <c r="G352" s="105"/>
      <c r="H352" s="105">
        <f t="shared" si="5"/>
        <v>0</v>
      </c>
    </row>
    <row r="353" spans="1:8" x14ac:dyDescent="0.4">
      <c r="A353" s="115"/>
      <c r="B353" s="121"/>
      <c r="C353" s="102"/>
      <c r="D353" s="115"/>
      <c r="E353" s="115"/>
      <c r="F353" s="105"/>
      <c r="G353" s="105"/>
      <c r="H353" s="105">
        <f t="shared" si="5"/>
        <v>0</v>
      </c>
    </row>
    <row r="354" spans="1:8" x14ac:dyDescent="0.4">
      <c r="A354" s="115"/>
      <c r="B354" s="121"/>
      <c r="C354" s="102"/>
      <c r="D354" s="115"/>
      <c r="E354" s="115"/>
      <c r="F354" s="105"/>
      <c r="G354" s="105"/>
      <c r="H354" s="105">
        <f t="shared" si="5"/>
        <v>0</v>
      </c>
    </row>
    <row r="355" spans="1:8" x14ac:dyDescent="0.4">
      <c r="A355" s="115"/>
      <c r="B355" s="121"/>
      <c r="C355" s="102"/>
      <c r="D355" s="115"/>
      <c r="E355" s="115"/>
      <c r="F355" s="105"/>
      <c r="G355" s="105"/>
      <c r="H355" s="105">
        <f t="shared" si="5"/>
        <v>0</v>
      </c>
    </row>
    <row r="356" spans="1:8" x14ac:dyDescent="0.4">
      <c r="A356" s="115"/>
      <c r="B356" s="121"/>
      <c r="C356" s="102"/>
      <c r="D356" s="115"/>
      <c r="E356" s="115"/>
      <c r="F356" s="105"/>
      <c r="G356" s="105"/>
      <c r="H356" s="105">
        <f t="shared" si="5"/>
        <v>0</v>
      </c>
    </row>
    <row r="357" spans="1:8" x14ac:dyDescent="0.4">
      <c r="A357" s="115"/>
      <c r="B357" s="121"/>
      <c r="C357" s="102"/>
      <c r="D357" s="115"/>
      <c r="E357" s="115"/>
      <c r="F357" s="105"/>
      <c r="G357" s="105"/>
      <c r="H357" s="105">
        <f t="shared" si="5"/>
        <v>0</v>
      </c>
    </row>
    <row r="358" spans="1:8" x14ac:dyDescent="0.4">
      <c r="A358" s="115"/>
      <c r="B358" s="121"/>
      <c r="C358" s="102"/>
      <c r="D358" s="115"/>
      <c r="E358" s="115"/>
      <c r="F358" s="105"/>
      <c r="G358" s="105"/>
      <c r="H358" s="105">
        <f t="shared" si="5"/>
        <v>0</v>
      </c>
    </row>
    <row r="359" spans="1:8" x14ac:dyDescent="0.4">
      <c r="A359" s="115"/>
      <c r="B359" s="121"/>
      <c r="C359" s="102"/>
      <c r="D359" s="115"/>
      <c r="E359" s="115"/>
      <c r="F359" s="105"/>
      <c r="G359" s="105"/>
      <c r="H359" s="105">
        <f t="shared" si="5"/>
        <v>0</v>
      </c>
    </row>
    <row r="360" spans="1:8" x14ac:dyDescent="0.4">
      <c r="A360" s="115"/>
      <c r="B360" s="121"/>
      <c r="C360" s="102"/>
      <c r="D360" s="115"/>
      <c r="E360" s="115"/>
      <c r="F360" s="105"/>
      <c r="G360" s="105"/>
      <c r="H360" s="105">
        <f t="shared" si="5"/>
        <v>0</v>
      </c>
    </row>
    <row r="361" spans="1:8" x14ac:dyDescent="0.4">
      <c r="A361" s="115"/>
      <c r="B361" s="121"/>
      <c r="C361" s="102"/>
      <c r="D361" s="115"/>
      <c r="E361" s="115"/>
      <c r="F361" s="105"/>
      <c r="G361" s="105"/>
      <c r="H361" s="105">
        <f t="shared" si="5"/>
        <v>0</v>
      </c>
    </row>
    <row r="362" spans="1:8" x14ac:dyDescent="0.4">
      <c r="A362" s="115"/>
      <c r="B362" s="121"/>
      <c r="C362" s="102"/>
      <c r="D362" s="115"/>
      <c r="E362" s="115"/>
      <c r="F362" s="105"/>
      <c r="G362" s="105"/>
      <c r="H362" s="105">
        <f t="shared" si="5"/>
        <v>0</v>
      </c>
    </row>
    <row r="363" spans="1:8" x14ac:dyDescent="0.4">
      <c r="A363" s="115"/>
      <c r="B363" s="121"/>
      <c r="C363" s="102"/>
      <c r="D363" s="115"/>
      <c r="E363" s="115"/>
      <c r="F363" s="105"/>
      <c r="G363" s="105"/>
      <c r="H363" s="105">
        <f t="shared" si="5"/>
        <v>0</v>
      </c>
    </row>
    <row r="364" spans="1:8" x14ac:dyDescent="0.4">
      <c r="A364" s="115"/>
      <c r="B364" s="121"/>
      <c r="C364" s="102"/>
      <c r="D364" s="115"/>
      <c r="E364" s="115"/>
      <c r="F364" s="105"/>
      <c r="G364" s="105"/>
      <c r="H364" s="105">
        <f t="shared" si="5"/>
        <v>0</v>
      </c>
    </row>
    <row r="365" spans="1:8" x14ac:dyDescent="0.4">
      <c r="A365" s="115"/>
      <c r="B365" s="121"/>
      <c r="C365" s="102"/>
      <c r="D365" s="115"/>
      <c r="E365" s="115"/>
      <c r="F365" s="105"/>
      <c r="G365" s="105"/>
      <c r="H365" s="105">
        <f t="shared" si="5"/>
        <v>0</v>
      </c>
    </row>
    <row r="366" spans="1:8" x14ac:dyDescent="0.4">
      <c r="A366" s="115"/>
      <c r="B366" s="121"/>
      <c r="C366" s="102"/>
      <c r="D366" s="115"/>
      <c r="E366" s="115"/>
      <c r="F366" s="105"/>
      <c r="G366" s="105"/>
      <c r="H366" s="105">
        <f t="shared" si="5"/>
        <v>0</v>
      </c>
    </row>
    <row r="367" spans="1:8" x14ac:dyDescent="0.4">
      <c r="A367" s="115"/>
      <c r="B367" s="121"/>
      <c r="C367" s="102"/>
      <c r="D367" s="115"/>
      <c r="E367" s="115"/>
      <c r="F367" s="105"/>
      <c r="G367" s="105"/>
      <c r="H367" s="105">
        <f t="shared" si="5"/>
        <v>0</v>
      </c>
    </row>
    <row r="368" spans="1:8" x14ac:dyDescent="0.4">
      <c r="A368" s="115"/>
      <c r="B368" s="121"/>
      <c r="C368" s="102"/>
      <c r="D368" s="115"/>
      <c r="E368" s="115"/>
      <c r="F368" s="105"/>
      <c r="G368" s="105"/>
      <c r="H368" s="105">
        <f t="shared" si="5"/>
        <v>0</v>
      </c>
    </row>
    <row r="369" spans="1:8" x14ac:dyDescent="0.4">
      <c r="A369" s="115"/>
      <c r="B369" s="121"/>
      <c r="C369" s="102"/>
      <c r="D369" s="115"/>
      <c r="E369" s="115"/>
      <c r="F369" s="105"/>
      <c r="G369" s="105"/>
      <c r="H369" s="105">
        <f t="shared" si="5"/>
        <v>0</v>
      </c>
    </row>
    <row r="370" spans="1:8" x14ac:dyDescent="0.4">
      <c r="A370" s="115"/>
      <c r="B370" s="121"/>
      <c r="C370" s="102"/>
      <c r="D370" s="115"/>
      <c r="E370" s="115"/>
      <c r="F370" s="105"/>
      <c r="G370" s="105"/>
      <c r="H370" s="105">
        <f t="shared" si="5"/>
        <v>0</v>
      </c>
    </row>
    <row r="371" spans="1:8" x14ac:dyDescent="0.4">
      <c r="A371" s="115"/>
      <c r="B371" s="121"/>
      <c r="C371" s="102"/>
      <c r="D371" s="115"/>
      <c r="E371" s="115"/>
      <c r="F371" s="105"/>
      <c r="G371" s="105"/>
      <c r="H371" s="105">
        <f t="shared" si="5"/>
        <v>0</v>
      </c>
    </row>
    <row r="372" spans="1:8" x14ac:dyDescent="0.4">
      <c r="A372" s="115"/>
      <c r="B372" s="121"/>
      <c r="C372" s="102"/>
      <c r="D372" s="115"/>
      <c r="E372" s="115"/>
      <c r="F372" s="105"/>
      <c r="G372" s="105"/>
      <c r="H372" s="105">
        <f t="shared" si="5"/>
        <v>0</v>
      </c>
    </row>
    <row r="373" spans="1:8" x14ac:dyDescent="0.4">
      <c r="A373" s="115"/>
      <c r="B373" s="121"/>
      <c r="C373" s="102"/>
      <c r="D373" s="115"/>
      <c r="E373" s="115"/>
      <c r="F373" s="105"/>
      <c r="G373" s="105"/>
      <c r="H373" s="105">
        <f t="shared" si="5"/>
        <v>0</v>
      </c>
    </row>
    <row r="374" spans="1:8" x14ac:dyDescent="0.4">
      <c r="A374" s="115"/>
      <c r="B374" s="121"/>
      <c r="C374" s="102"/>
      <c r="D374" s="115"/>
      <c r="E374" s="115"/>
      <c r="F374" s="105"/>
      <c r="G374" s="105"/>
      <c r="H374" s="105">
        <f t="shared" si="5"/>
        <v>0</v>
      </c>
    </row>
    <row r="375" spans="1:8" x14ac:dyDescent="0.4">
      <c r="A375" s="115"/>
      <c r="B375" s="121"/>
      <c r="C375" s="102"/>
      <c r="D375" s="115"/>
      <c r="E375" s="115"/>
      <c r="F375" s="105"/>
      <c r="G375" s="105"/>
      <c r="H375" s="105">
        <f t="shared" si="5"/>
        <v>0</v>
      </c>
    </row>
    <row r="376" spans="1:8" x14ac:dyDescent="0.4">
      <c r="A376" s="115"/>
      <c r="B376" s="121"/>
      <c r="C376" s="102"/>
      <c r="D376" s="115"/>
      <c r="E376" s="115"/>
      <c r="F376" s="105"/>
      <c r="G376" s="105"/>
      <c r="H376" s="105">
        <f t="shared" si="5"/>
        <v>0</v>
      </c>
    </row>
    <row r="377" spans="1:8" x14ac:dyDescent="0.4">
      <c r="A377" s="115"/>
      <c r="B377" s="121"/>
      <c r="C377" s="102"/>
      <c r="D377" s="115"/>
      <c r="E377" s="115"/>
      <c r="F377" s="105"/>
      <c r="G377" s="105"/>
      <c r="H377" s="105">
        <f t="shared" si="5"/>
        <v>0</v>
      </c>
    </row>
    <row r="378" spans="1:8" x14ac:dyDescent="0.4">
      <c r="A378" s="115"/>
      <c r="B378" s="121"/>
      <c r="C378" s="102"/>
      <c r="D378" s="115"/>
      <c r="E378" s="115"/>
      <c r="F378" s="105"/>
      <c r="G378" s="105"/>
      <c r="H378" s="105">
        <f t="shared" si="5"/>
        <v>0</v>
      </c>
    </row>
    <row r="379" spans="1:8" x14ac:dyDescent="0.4">
      <c r="A379" s="115"/>
      <c r="B379" s="121"/>
      <c r="C379" s="102"/>
      <c r="D379" s="115"/>
      <c r="E379" s="115"/>
      <c r="F379" s="105"/>
      <c r="G379" s="105"/>
      <c r="H379" s="105">
        <f t="shared" si="5"/>
        <v>0</v>
      </c>
    </row>
    <row r="380" spans="1:8" x14ac:dyDescent="0.4">
      <c r="A380" s="115"/>
      <c r="B380" s="121"/>
      <c r="C380" s="102"/>
      <c r="D380" s="115"/>
      <c r="E380" s="115"/>
      <c r="F380" s="105"/>
      <c r="G380" s="105"/>
      <c r="H380" s="105">
        <f t="shared" si="5"/>
        <v>0</v>
      </c>
    </row>
    <row r="381" spans="1:8" x14ac:dyDescent="0.4">
      <c r="A381" s="115"/>
      <c r="B381" s="121"/>
      <c r="C381" s="102"/>
      <c r="D381" s="115"/>
      <c r="E381" s="115"/>
      <c r="F381" s="105"/>
      <c r="G381" s="105"/>
      <c r="H381" s="105">
        <f t="shared" si="5"/>
        <v>0</v>
      </c>
    </row>
    <row r="382" spans="1:8" x14ac:dyDescent="0.4">
      <c r="A382" s="115"/>
      <c r="B382" s="121"/>
      <c r="C382" s="102"/>
      <c r="D382" s="115"/>
      <c r="E382" s="115"/>
      <c r="F382" s="105"/>
      <c r="G382" s="105"/>
      <c r="H382" s="105">
        <f t="shared" si="5"/>
        <v>0</v>
      </c>
    </row>
    <row r="383" spans="1:8" x14ac:dyDescent="0.4">
      <c r="A383" s="115"/>
      <c r="B383" s="121"/>
      <c r="C383" s="102"/>
      <c r="D383" s="115"/>
      <c r="E383" s="115"/>
      <c r="F383" s="105"/>
      <c r="G383" s="105"/>
      <c r="H383" s="105">
        <f t="shared" si="5"/>
        <v>0</v>
      </c>
    </row>
    <row r="384" spans="1:8" x14ac:dyDescent="0.4">
      <c r="A384" s="115"/>
      <c r="B384" s="121"/>
      <c r="C384" s="102"/>
      <c r="D384" s="115"/>
      <c r="E384" s="115"/>
      <c r="F384" s="105"/>
      <c r="G384" s="105"/>
      <c r="H384" s="105">
        <f t="shared" si="5"/>
        <v>0</v>
      </c>
    </row>
    <row r="385" spans="1:8" x14ac:dyDescent="0.4">
      <c r="A385" s="115"/>
      <c r="B385" s="121"/>
      <c r="C385" s="102"/>
      <c r="D385" s="115"/>
      <c r="E385" s="115"/>
      <c r="F385" s="105"/>
      <c r="G385" s="105"/>
      <c r="H385" s="105">
        <f t="shared" si="5"/>
        <v>0</v>
      </c>
    </row>
    <row r="386" spans="1:8" x14ac:dyDescent="0.4">
      <c r="A386" s="115"/>
      <c r="B386" s="121"/>
      <c r="C386" s="102"/>
      <c r="D386" s="115"/>
      <c r="E386" s="115"/>
      <c r="F386" s="105"/>
      <c r="G386" s="105"/>
      <c r="H386" s="105">
        <f t="shared" si="5"/>
        <v>0</v>
      </c>
    </row>
    <row r="387" spans="1:8" x14ac:dyDescent="0.4">
      <c r="A387" s="115"/>
      <c r="B387" s="121"/>
      <c r="C387" s="102"/>
      <c r="D387" s="115"/>
      <c r="E387" s="115"/>
      <c r="F387" s="105"/>
      <c r="G387" s="105"/>
      <c r="H387" s="105">
        <f t="shared" si="5"/>
        <v>0</v>
      </c>
    </row>
    <row r="388" spans="1:8" x14ac:dyDescent="0.4">
      <c r="A388" s="115"/>
      <c r="B388" s="121"/>
      <c r="C388" s="102"/>
      <c r="D388" s="115"/>
      <c r="E388" s="115"/>
      <c r="F388" s="105"/>
      <c r="G388" s="105"/>
      <c r="H388" s="105">
        <f t="shared" si="5"/>
        <v>0</v>
      </c>
    </row>
    <row r="389" spans="1:8" x14ac:dyDescent="0.4">
      <c r="A389" s="115"/>
      <c r="B389" s="121"/>
      <c r="C389" s="102"/>
      <c r="D389" s="115"/>
      <c r="E389" s="115"/>
      <c r="F389" s="105"/>
      <c r="G389" s="105"/>
      <c r="H389" s="105">
        <f t="shared" si="5"/>
        <v>0</v>
      </c>
    </row>
    <row r="390" spans="1:8" x14ac:dyDescent="0.4">
      <c r="A390" s="115"/>
      <c r="B390" s="121"/>
      <c r="C390" s="102"/>
      <c r="D390" s="115"/>
      <c r="E390" s="115"/>
      <c r="F390" s="105"/>
      <c r="G390" s="105"/>
      <c r="H390" s="105">
        <f t="shared" si="5"/>
        <v>0</v>
      </c>
    </row>
    <row r="391" spans="1:8" x14ac:dyDescent="0.4">
      <c r="A391" s="115"/>
      <c r="B391" s="121"/>
      <c r="C391" s="102"/>
      <c r="D391" s="115"/>
      <c r="E391" s="115"/>
      <c r="F391" s="105"/>
      <c r="G391" s="105"/>
      <c r="H391" s="105">
        <f t="shared" si="5"/>
        <v>0</v>
      </c>
    </row>
    <row r="392" spans="1:8" x14ac:dyDescent="0.4">
      <c r="A392" s="115"/>
      <c r="B392" s="121"/>
      <c r="C392" s="102"/>
      <c r="D392" s="115"/>
      <c r="E392" s="115"/>
      <c r="F392" s="105"/>
      <c r="G392" s="105"/>
      <c r="H392" s="105">
        <f t="shared" si="5"/>
        <v>0</v>
      </c>
    </row>
    <row r="393" spans="1:8" x14ac:dyDescent="0.4">
      <c r="A393" s="115"/>
      <c r="B393" s="121"/>
      <c r="C393" s="102"/>
      <c r="D393" s="115"/>
      <c r="E393" s="115"/>
      <c r="F393" s="105"/>
      <c r="G393" s="105"/>
      <c r="H393" s="105">
        <f t="shared" si="5"/>
        <v>0</v>
      </c>
    </row>
    <row r="394" spans="1:8" x14ac:dyDescent="0.4">
      <c r="A394" s="115"/>
      <c r="B394" s="121"/>
      <c r="C394" s="102"/>
      <c r="D394" s="115"/>
      <c r="E394" s="115"/>
      <c r="F394" s="105"/>
      <c r="G394" s="105"/>
      <c r="H394" s="105">
        <f t="shared" si="5"/>
        <v>0</v>
      </c>
    </row>
    <row r="395" spans="1:8" x14ac:dyDescent="0.4">
      <c r="A395" s="115"/>
      <c r="B395" s="121"/>
      <c r="C395" s="102"/>
      <c r="D395" s="115"/>
      <c r="E395" s="115"/>
      <c r="F395" s="105"/>
      <c r="G395" s="105"/>
      <c r="H395" s="105">
        <f t="shared" si="5"/>
        <v>0</v>
      </c>
    </row>
    <row r="396" spans="1:8" x14ac:dyDescent="0.4">
      <c r="A396" s="115"/>
      <c r="B396" s="121"/>
      <c r="C396" s="102"/>
      <c r="D396" s="115"/>
      <c r="E396" s="115"/>
      <c r="F396" s="105"/>
      <c r="G396" s="105"/>
      <c r="H396" s="105">
        <f t="shared" si="5"/>
        <v>0</v>
      </c>
    </row>
    <row r="397" spans="1:8" x14ac:dyDescent="0.4">
      <c r="A397" s="115"/>
      <c r="B397" s="121"/>
      <c r="C397" s="102"/>
      <c r="D397" s="115"/>
      <c r="E397" s="115"/>
      <c r="F397" s="105"/>
      <c r="G397" s="105"/>
      <c r="H397" s="105">
        <f t="shared" si="5"/>
        <v>0</v>
      </c>
    </row>
    <row r="398" spans="1:8" x14ac:dyDescent="0.4">
      <c r="A398" s="115"/>
      <c r="B398" s="121"/>
      <c r="C398" s="102"/>
      <c r="D398" s="115"/>
      <c r="E398" s="115"/>
      <c r="F398" s="105"/>
      <c r="G398" s="105"/>
      <c r="H398" s="105">
        <f t="shared" si="5"/>
        <v>0</v>
      </c>
    </row>
    <row r="399" spans="1:8" x14ac:dyDescent="0.4">
      <c r="A399" s="115"/>
      <c r="B399" s="121"/>
      <c r="C399" s="102"/>
      <c r="D399" s="115"/>
      <c r="E399" s="115"/>
      <c r="F399" s="105"/>
      <c r="G399" s="105"/>
      <c r="H399" s="105">
        <f t="shared" si="5"/>
        <v>0</v>
      </c>
    </row>
    <row r="400" spans="1:8" x14ac:dyDescent="0.4">
      <c r="A400" s="115"/>
      <c r="B400" s="121"/>
      <c r="C400" s="102"/>
      <c r="D400" s="115"/>
      <c r="E400" s="115"/>
      <c r="F400" s="105"/>
      <c r="G400" s="105"/>
      <c r="H400" s="105">
        <f t="shared" ref="H400:H463" si="6">H399+F400-G400</f>
        <v>0</v>
      </c>
    </row>
    <row r="401" spans="1:8" x14ac:dyDescent="0.4">
      <c r="A401" s="115"/>
      <c r="B401" s="121"/>
      <c r="C401" s="102"/>
      <c r="D401" s="115"/>
      <c r="E401" s="115"/>
      <c r="F401" s="105"/>
      <c r="G401" s="105"/>
      <c r="H401" s="105">
        <f t="shared" si="6"/>
        <v>0</v>
      </c>
    </row>
    <row r="402" spans="1:8" x14ac:dyDescent="0.4">
      <c r="A402" s="115"/>
      <c r="B402" s="121"/>
      <c r="C402" s="102"/>
      <c r="D402" s="115"/>
      <c r="E402" s="115"/>
      <c r="F402" s="105"/>
      <c r="G402" s="105"/>
      <c r="H402" s="105">
        <f t="shared" si="6"/>
        <v>0</v>
      </c>
    </row>
    <row r="403" spans="1:8" x14ac:dyDescent="0.4">
      <c r="A403" s="115"/>
      <c r="B403" s="121"/>
      <c r="C403" s="102"/>
      <c r="D403" s="115"/>
      <c r="E403" s="115"/>
      <c r="F403" s="105"/>
      <c r="G403" s="105"/>
      <c r="H403" s="105">
        <f t="shared" si="6"/>
        <v>0</v>
      </c>
    </row>
    <row r="404" spans="1:8" x14ac:dyDescent="0.4">
      <c r="A404" s="115"/>
      <c r="B404" s="121"/>
      <c r="C404" s="102"/>
      <c r="D404" s="115"/>
      <c r="E404" s="115"/>
      <c r="F404" s="105"/>
      <c r="G404" s="105"/>
      <c r="H404" s="105">
        <f t="shared" si="6"/>
        <v>0</v>
      </c>
    </row>
    <row r="405" spans="1:8" x14ac:dyDescent="0.4">
      <c r="A405" s="115"/>
      <c r="B405" s="121"/>
      <c r="C405" s="102"/>
      <c r="D405" s="115"/>
      <c r="E405" s="115"/>
      <c r="F405" s="105"/>
      <c r="G405" s="105"/>
      <c r="H405" s="105">
        <f t="shared" si="6"/>
        <v>0</v>
      </c>
    </row>
    <row r="406" spans="1:8" x14ac:dyDescent="0.4">
      <c r="A406" s="115"/>
      <c r="B406" s="121"/>
      <c r="C406" s="102"/>
      <c r="D406" s="115"/>
      <c r="E406" s="115"/>
      <c r="F406" s="105"/>
      <c r="G406" s="105"/>
      <c r="H406" s="105">
        <f t="shared" si="6"/>
        <v>0</v>
      </c>
    </row>
    <row r="407" spans="1:8" x14ac:dyDescent="0.4">
      <c r="A407" s="115"/>
      <c r="B407" s="121"/>
      <c r="C407" s="102"/>
      <c r="D407" s="115"/>
      <c r="E407" s="115"/>
      <c r="F407" s="105"/>
      <c r="G407" s="105"/>
      <c r="H407" s="105">
        <f t="shared" si="6"/>
        <v>0</v>
      </c>
    </row>
    <row r="408" spans="1:8" x14ac:dyDescent="0.4">
      <c r="A408" s="115"/>
      <c r="B408" s="121"/>
      <c r="C408" s="102"/>
      <c r="D408" s="115"/>
      <c r="E408" s="115"/>
      <c r="F408" s="105"/>
      <c r="G408" s="105"/>
      <c r="H408" s="105">
        <f t="shared" si="6"/>
        <v>0</v>
      </c>
    </row>
    <row r="409" spans="1:8" x14ac:dyDescent="0.4">
      <c r="A409" s="115"/>
      <c r="B409" s="121"/>
      <c r="C409" s="102"/>
      <c r="D409" s="115"/>
      <c r="E409" s="115"/>
      <c r="F409" s="105"/>
      <c r="G409" s="105"/>
      <c r="H409" s="105">
        <f t="shared" si="6"/>
        <v>0</v>
      </c>
    </row>
    <row r="410" spans="1:8" x14ac:dyDescent="0.4">
      <c r="A410" s="115"/>
      <c r="B410" s="121"/>
      <c r="C410" s="102"/>
      <c r="D410" s="115"/>
      <c r="E410" s="115"/>
      <c r="F410" s="105"/>
      <c r="G410" s="105"/>
      <c r="H410" s="105">
        <f t="shared" si="6"/>
        <v>0</v>
      </c>
    </row>
    <row r="411" spans="1:8" x14ac:dyDescent="0.4">
      <c r="A411" s="115"/>
      <c r="B411" s="121"/>
      <c r="C411" s="102"/>
      <c r="D411" s="115"/>
      <c r="E411" s="115"/>
      <c r="F411" s="105"/>
      <c r="G411" s="105"/>
      <c r="H411" s="105">
        <f t="shared" si="6"/>
        <v>0</v>
      </c>
    </row>
    <row r="412" spans="1:8" x14ac:dyDescent="0.4">
      <c r="A412" s="115"/>
      <c r="B412" s="121"/>
      <c r="C412" s="102"/>
      <c r="D412" s="115"/>
      <c r="E412" s="115"/>
      <c r="F412" s="105"/>
      <c r="G412" s="105"/>
      <c r="H412" s="105">
        <f t="shared" si="6"/>
        <v>0</v>
      </c>
    </row>
    <row r="413" spans="1:8" x14ac:dyDescent="0.4">
      <c r="A413" s="115"/>
      <c r="B413" s="121"/>
      <c r="C413" s="102"/>
      <c r="D413" s="115"/>
      <c r="E413" s="115"/>
      <c r="F413" s="105"/>
      <c r="G413" s="105"/>
      <c r="H413" s="105">
        <f t="shared" si="6"/>
        <v>0</v>
      </c>
    </row>
    <row r="414" spans="1:8" x14ac:dyDescent="0.4">
      <c r="A414" s="115"/>
      <c r="B414" s="121"/>
      <c r="C414" s="102"/>
      <c r="D414" s="115"/>
      <c r="E414" s="115"/>
      <c r="F414" s="105"/>
      <c r="G414" s="105"/>
      <c r="H414" s="105">
        <f t="shared" si="6"/>
        <v>0</v>
      </c>
    </row>
    <row r="415" spans="1:8" x14ac:dyDescent="0.4">
      <c r="A415" s="115"/>
      <c r="B415" s="121"/>
      <c r="C415" s="102"/>
      <c r="D415" s="115"/>
      <c r="E415" s="115"/>
      <c r="F415" s="105"/>
      <c r="G415" s="105"/>
      <c r="H415" s="105">
        <f t="shared" si="6"/>
        <v>0</v>
      </c>
    </row>
    <row r="416" spans="1:8" x14ac:dyDescent="0.4">
      <c r="A416" s="115"/>
      <c r="B416" s="121"/>
      <c r="C416" s="102"/>
      <c r="D416" s="115"/>
      <c r="E416" s="115"/>
      <c r="F416" s="105"/>
      <c r="G416" s="105"/>
      <c r="H416" s="105">
        <f t="shared" si="6"/>
        <v>0</v>
      </c>
    </row>
    <row r="417" spans="1:8" x14ac:dyDescent="0.4">
      <c r="A417" s="115"/>
      <c r="B417" s="121"/>
      <c r="C417" s="102"/>
      <c r="D417" s="115"/>
      <c r="E417" s="115"/>
      <c r="F417" s="105"/>
      <c r="G417" s="105"/>
      <c r="H417" s="105">
        <f t="shared" si="6"/>
        <v>0</v>
      </c>
    </row>
    <row r="418" spans="1:8" x14ac:dyDescent="0.4">
      <c r="A418" s="115"/>
      <c r="B418" s="121"/>
      <c r="C418" s="102"/>
      <c r="D418" s="115"/>
      <c r="E418" s="115"/>
      <c r="F418" s="105"/>
      <c r="G418" s="105"/>
      <c r="H418" s="105">
        <f t="shared" si="6"/>
        <v>0</v>
      </c>
    </row>
    <row r="419" spans="1:8" x14ac:dyDescent="0.4">
      <c r="A419" s="115"/>
      <c r="B419" s="121"/>
      <c r="C419" s="102"/>
      <c r="D419" s="115"/>
      <c r="E419" s="115"/>
      <c r="F419" s="105"/>
      <c r="G419" s="105"/>
      <c r="H419" s="105">
        <f t="shared" si="6"/>
        <v>0</v>
      </c>
    </row>
    <row r="420" spans="1:8" x14ac:dyDescent="0.4">
      <c r="A420" s="115"/>
      <c r="B420" s="121"/>
      <c r="C420" s="102"/>
      <c r="D420" s="115"/>
      <c r="E420" s="115"/>
      <c r="F420" s="105"/>
      <c r="G420" s="105"/>
      <c r="H420" s="105">
        <f t="shared" si="6"/>
        <v>0</v>
      </c>
    </row>
    <row r="421" spans="1:8" x14ac:dyDescent="0.4">
      <c r="A421" s="115"/>
      <c r="B421" s="121"/>
      <c r="C421" s="102"/>
      <c r="D421" s="115"/>
      <c r="E421" s="115"/>
      <c r="F421" s="105"/>
      <c r="G421" s="105"/>
      <c r="H421" s="105">
        <f t="shared" si="6"/>
        <v>0</v>
      </c>
    </row>
    <row r="422" spans="1:8" x14ac:dyDescent="0.4">
      <c r="A422" s="115"/>
      <c r="B422" s="121"/>
      <c r="C422" s="102"/>
      <c r="D422" s="115"/>
      <c r="E422" s="115"/>
      <c r="F422" s="105"/>
      <c r="G422" s="105"/>
      <c r="H422" s="105">
        <f t="shared" si="6"/>
        <v>0</v>
      </c>
    </row>
    <row r="423" spans="1:8" x14ac:dyDescent="0.4">
      <c r="A423" s="115"/>
      <c r="B423" s="121"/>
      <c r="C423" s="102"/>
      <c r="D423" s="115"/>
      <c r="E423" s="115"/>
      <c r="F423" s="105"/>
      <c r="G423" s="105"/>
      <c r="H423" s="105">
        <f t="shared" si="6"/>
        <v>0</v>
      </c>
    </row>
    <row r="424" spans="1:8" x14ac:dyDescent="0.4">
      <c r="A424" s="115"/>
      <c r="B424" s="121"/>
      <c r="C424" s="102"/>
      <c r="D424" s="115"/>
      <c r="E424" s="115"/>
      <c r="F424" s="105"/>
      <c r="G424" s="105"/>
      <c r="H424" s="105">
        <f t="shared" si="6"/>
        <v>0</v>
      </c>
    </row>
    <row r="425" spans="1:8" x14ac:dyDescent="0.4">
      <c r="A425" s="115"/>
      <c r="B425" s="121"/>
      <c r="C425" s="102"/>
      <c r="D425" s="115"/>
      <c r="E425" s="115"/>
      <c r="F425" s="105"/>
      <c r="G425" s="105"/>
      <c r="H425" s="105">
        <f t="shared" si="6"/>
        <v>0</v>
      </c>
    </row>
    <row r="426" spans="1:8" x14ac:dyDescent="0.4">
      <c r="A426" s="115"/>
      <c r="B426" s="121"/>
      <c r="C426" s="102"/>
      <c r="D426" s="115"/>
      <c r="E426" s="115"/>
      <c r="F426" s="105"/>
      <c r="G426" s="105"/>
      <c r="H426" s="105">
        <f t="shared" si="6"/>
        <v>0</v>
      </c>
    </row>
    <row r="427" spans="1:8" x14ac:dyDescent="0.4">
      <c r="A427" s="115"/>
      <c r="B427" s="121"/>
      <c r="C427" s="102"/>
      <c r="D427" s="115"/>
      <c r="E427" s="115"/>
      <c r="F427" s="105"/>
      <c r="G427" s="105"/>
      <c r="H427" s="105">
        <f t="shared" si="6"/>
        <v>0</v>
      </c>
    </row>
    <row r="428" spans="1:8" x14ac:dyDescent="0.4">
      <c r="A428" s="115"/>
      <c r="B428" s="121"/>
      <c r="C428" s="102"/>
      <c r="D428" s="115"/>
      <c r="E428" s="115"/>
      <c r="F428" s="105"/>
      <c r="G428" s="105"/>
      <c r="H428" s="105">
        <f t="shared" si="6"/>
        <v>0</v>
      </c>
    </row>
    <row r="429" spans="1:8" x14ac:dyDescent="0.4">
      <c r="A429" s="115"/>
      <c r="B429" s="121"/>
      <c r="C429" s="102"/>
      <c r="D429" s="115"/>
      <c r="E429" s="115"/>
      <c r="F429" s="105"/>
      <c r="G429" s="105"/>
      <c r="H429" s="105">
        <f t="shared" si="6"/>
        <v>0</v>
      </c>
    </row>
    <row r="430" spans="1:8" x14ac:dyDescent="0.4">
      <c r="A430" s="115"/>
      <c r="B430" s="121"/>
      <c r="C430" s="102"/>
      <c r="D430" s="115"/>
      <c r="E430" s="115"/>
      <c r="F430" s="105"/>
      <c r="G430" s="105"/>
      <c r="H430" s="105">
        <f t="shared" si="6"/>
        <v>0</v>
      </c>
    </row>
    <row r="431" spans="1:8" x14ac:dyDescent="0.4">
      <c r="A431" s="115"/>
      <c r="B431" s="121"/>
      <c r="C431" s="102"/>
      <c r="D431" s="115"/>
      <c r="E431" s="115"/>
      <c r="F431" s="105"/>
      <c r="G431" s="105"/>
      <c r="H431" s="105">
        <f t="shared" si="6"/>
        <v>0</v>
      </c>
    </row>
    <row r="432" spans="1:8" x14ac:dyDescent="0.4">
      <c r="A432" s="115"/>
      <c r="B432" s="121"/>
      <c r="C432" s="102"/>
      <c r="D432" s="115"/>
      <c r="E432" s="115"/>
      <c r="F432" s="105"/>
      <c r="G432" s="105"/>
      <c r="H432" s="105">
        <f t="shared" si="6"/>
        <v>0</v>
      </c>
    </row>
    <row r="433" spans="1:8" x14ac:dyDescent="0.4">
      <c r="A433" s="115"/>
      <c r="B433" s="121"/>
      <c r="C433" s="102"/>
      <c r="D433" s="115"/>
      <c r="E433" s="115"/>
      <c r="F433" s="105"/>
      <c r="G433" s="105"/>
      <c r="H433" s="105">
        <f t="shared" si="6"/>
        <v>0</v>
      </c>
    </row>
    <row r="434" spans="1:8" x14ac:dyDescent="0.4">
      <c r="A434" s="115"/>
      <c r="B434" s="121"/>
      <c r="C434" s="102"/>
      <c r="D434" s="115"/>
      <c r="E434" s="115"/>
      <c r="F434" s="105"/>
      <c r="G434" s="105"/>
      <c r="H434" s="105">
        <f t="shared" si="6"/>
        <v>0</v>
      </c>
    </row>
    <row r="435" spans="1:8" x14ac:dyDescent="0.4">
      <c r="A435" s="115"/>
      <c r="B435" s="121"/>
      <c r="C435" s="102"/>
      <c r="D435" s="115"/>
      <c r="E435" s="115"/>
      <c r="F435" s="105"/>
      <c r="G435" s="105"/>
      <c r="H435" s="105">
        <f t="shared" si="6"/>
        <v>0</v>
      </c>
    </row>
    <row r="436" spans="1:8" x14ac:dyDescent="0.4">
      <c r="A436" s="115"/>
      <c r="B436" s="121"/>
      <c r="C436" s="102"/>
      <c r="D436" s="115"/>
      <c r="E436" s="115"/>
      <c r="F436" s="105"/>
      <c r="G436" s="105"/>
      <c r="H436" s="105">
        <f t="shared" si="6"/>
        <v>0</v>
      </c>
    </row>
    <row r="437" spans="1:8" x14ac:dyDescent="0.4">
      <c r="A437" s="115"/>
      <c r="B437" s="121"/>
      <c r="C437" s="102"/>
      <c r="D437" s="115"/>
      <c r="E437" s="115"/>
      <c r="F437" s="105"/>
      <c r="G437" s="105"/>
      <c r="H437" s="105">
        <f t="shared" si="6"/>
        <v>0</v>
      </c>
    </row>
    <row r="438" spans="1:8" x14ac:dyDescent="0.4">
      <c r="A438" s="115"/>
      <c r="B438" s="121"/>
      <c r="C438" s="102"/>
      <c r="D438" s="115"/>
      <c r="E438" s="115"/>
      <c r="F438" s="105"/>
      <c r="G438" s="105"/>
      <c r="H438" s="105">
        <f t="shared" si="6"/>
        <v>0</v>
      </c>
    </row>
    <row r="439" spans="1:8" x14ac:dyDescent="0.4">
      <c r="A439" s="115"/>
      <c r="B439" s="121"/>
      <c r="C439" s="102"/>
      <c r="D439" s="115"/>
      <c r="E439" s="115"/>
      <c r="F439" s="105"/>
      <c r="G439" s="105"/>
      <c r="H439" s="105">
        <f t="shared" si="6"/>
        <v>0</v>
      </c>
    </row>
    <row r="440" spans="1:8" x14ac:dyDescent="0.4">
      <c r="A440" s="115"/>
      <c r="B440" s="121"/>
      <c r="C440" s="102"/>
      <c r="D440" s="115"/>
      <c r="E440" s="115"/>
      <c r="F440" s="105"/>
      <c r="G440" s="105"/>
      <c r="H440" s="105">
        <f t="shared" si="6"/>
        <v>0</v>
      </c>
    </row>
    <row r="441" spans="1:8" x14ac:dyDescent="0.4">
      <c r="A441" s="115"/>
      <c r="B441" s="121"/>
      <c r="C441" s="102"/>
      <c r="D441" s="115"/>
      <c r="E441" s="115"/>
      <c r="F441" s="105"/>
      <c r="G441" s="105"/>
      <c r="H441" s="105">
        <f t="shared" si="6"/>
        <v>0</v>
      </c>
    </row>
    <row r="442" spans="1:8" x14ac:dyDescent="0.4">
      <c r="A442" s="115"/>
      <c r="B442" s="121"/>
      <c r="C442" s="102"/>
      <c r="D442" s="115"/>
      <c r="E442" s="115"/>
      <c r="F442" s="105"/>
      <c r="G442" s="105"/>
      <c r="H442" s="105">
        <f t="shared" si="6"/>
        <v>0</v>
      </c>
    </row>
    <row r="443" spans="1:8" x14ac:dyDescent="0.4">
      <c r="A443" s="115"/>
      <c r="B443" s="121"/>
      <c r="C443" s="102"/>
      <c r="D443" s="115"/>
      <c r="E443" s="115"/>
      <c r="F443" s="105"/>
      <c r="G443" s="105"/>
      <c r="H443" s="105">
        <f t="shared" si="6"/>
        <v>0</v>
      </c>
    </row>
    <row r="444" spans="1:8" x14ac:dyDescent="0.4">
      <c r="A444" s="115"/>
      <c r="B444" s="121"/>
      <c r="C444" s="102"/>
      <c r="D444" s="115"/>
      <c r="E444" s="115"/>
      <c r="F444" s="105"/>
      <c r="G444" s="105"/>
      <c r="H444" s="105">
        <f t="shared" si="6"/>
        <v>0</v>
      </c>
    </row>
    <row r="445" spans="1:8" x14ac:dyDescent="0.4">
      <c r="A445" s="115"/>
      <c r="B445" s="121"/>
      <c r="C445" s="102"/>
      <c r="D445" s="115"/>
      <c r="E445" s="115"/>
      <c r="F445" s="105"/>
      <c r="G445" s="105"/>
      <c r="H445" s="105">
        <f t="shared" si="6"/>
        <v>0</v>
      </c>
    </row>
    <row r="446" spans="1:8" x14ac:dyDescent="0.4">
      <c r="A446" s="115"/>
      <c r="B446" s="121"/>
      <c r="C446" s="102"/>
      <c r="D446" s="115"/>
      <c r="E446" s="115"/>
      <c r="F446" s="105"/>
      <c r="G446" s="105"/>
      <c r="H446" s="105">
        <f t="shared" si="6"/>
        <v>0</v>
      </c>
    </row>
    <row r="447" spans="1:8" x14ac:dyDescent="0.4">
      <c r="A447" s="115"/>
      <c r="B447" s="121"/>
      <c r="C447" s="102"/>
      <c r="D447" s="115"/>
      <c r="E447" s="115"/>
      <c r="F447" s="105"/>
      <c r="G447" s="105"/>
      <c r="H447" s="105">
        <f t="shared" si="6"/>
        <v>0</v>
      </c>
    </row>
    <row r="448" spans="1:8" x14ac:dyDescent="0.4">
      <c r="A448" s="115"/>
      <c r="B448" s="121"/>
      <c r="C448" s="102"/>
      <c r="D448" s="115"/>
      <c r="E448" s="115"/>
      <c r="F448" s="105"/>
      <c r="G448" s="105"/>
      <c r="H448" s="105">
        <f t="shared" si="6"/>
        <v>0</v>
      </c>
    </row>
    <row r="449" spans="1:8" x14ac:dyDescent="0.4">
      <c r="A449" s="115"/>
      <c r="B449" s="121"/>
      <c r="C449" s="102"/>
      <c r="D449" s="115"/>
      <c r="E449" s="115"/>
      <c r="F449" s="105"/>
      <c r="G449" s="105"/>
      <c r="H449" s="105">
        <f t="shared" si="6"/>
        <v>0</v>
      </c>
    </row>
    <row r="450" spans="1:8" x14ac:dyDescent="0.4">
      <c r="A450" s="115"/>
      <c r="B450" s="121"/>
      <c r="C450" s="102"/>
      <c r="D450" s="115"/>
      <c r="E450" s="115"/>
      <c r="F450" s="105"/>
      <c r="G450" s="105"/>
      <c r="H450" s="105">
        <f t="shared" si="6"/>
        <v>0</v>
      </c>
    </row>
    <row r="451" spans="1:8" x14ac:dyDescent="0.4">
      <c r="A451" s="115"/>
      <c r="B451" s="121"/>
      <c r="C451" s="102"/>
      <c r="D451" s="115"/>
      <c r="E451" s="115"/>
      <c r="F451" s="105"/>
      <c r="G451" s="105"/>
      <c r="H451" s="105">
        <f t="shared" si="6"/>
        <v>0</v>
      </c>
    </row>
    <row r="452" spans="1:8" x14ac:dyDescent="0.4">
      <c r="A452" s="115"/>
      <c r="B452" s="121"/>
      <c r="C452" s="102"/>
      <c r="D452" s="115"/>
      <c r="E452" s="115"/>
      <c r="F452" s="105"/>
      <c r="G452" s="105"/>
      <c r="H452" s="105">
        <f t="shared" si="6"/>
        <v>0</v>
      </c>
    </row>
    <row r="453" spans="1:8" x14ac:dyDescent="0.4">
      <c r="A453" s="115"/>
      <c r="B453" s="121"/>
      <c r="C453" s="102"/>
      <c r="D453" s="115"/>
      <c r="E453" s="115"/>
      <c r="F453" s="105"/>
      <c r="G453" s="105"/>
      <c r="H453" s="105">
        <f t="shared" si="6"/>
        <v>0</v>
      </c>
    </row>
    <row r="454" spans="1:8" x14ac:dyDescent="0.4">
      <c r="A454" s="115"/>
      <c r="B454" s="121"/>
      <c r="C454" s="102"/>
      <c r="D454" s="115"/>
      <c r="E454" s="115"/>
      <c r="F454" s="105"/>
      <c r="G454" s="105"/>
      <c r="H454" s="105">
        <f t="shared" si="6"/>
        <v>0</v>
      </c>
    </row>
    <row r="455" spans="1:8" x14ac:dyDescent="0.4">
      <c r="A455" s="115"/>
      <c r="B455" s="121"/>
      <c r="C455" s="102"/>
      <c r="D455" s="115"/>
      <c r="E455" s="115"/>
      <c r="F455" s="105"/>
      <c r="G455" s="105"/>
      <c r="H455" s="105">
        <f t="shared" si="6"/>
        <v>0</v>
      </c>
    </row>
    <row r="456" spans="1:8" x14ac:dyDescent="0.4">
      <c r="A456" s="115"/>
      <c r="B456" s="121"/>
      <c r="C456" s="102"/>
      <c r="D456" s="115"/>
      <c r="E456" s="115"/>
      <c r="F456" s="105"/>
      <c r="G456" s="105"/>
      <c r="H456" s="105">
        <f t="shared" si="6"/>
        <v>0</v>
      </c>
    </row>
    <row r="457" spans="1:8" x14ac:dyDescent="0.4">
      <c r="A457" s="115"/>
      <c r="B457" s="121"/>
      <c r="C457" s="102"/>
      <c r="D457" s="115"/>
      <c r="E457" s="115"/>
      <c r="F457" s="105"/>
      <c r="G457" s="105"/>
      <c r="H457" s="105">
        <f t="shared" si="6"/>
        <v>0</v>
      </c>
    </row>
    <row r="458" spans="1:8" x14ac:dyDescent="0.4">
      <c r="A458" s="115"/>
      <c r="B458" s="121"/>
      <c r="C458" s="102"/>
      <c r="D458" s="115"/>
      <c r="E458" s="115"/>
      <c r="F458" s="105"/>
      <c r="G458" s="105"/>
      <c r="H458" s="105">
        <f t="shared" si="6"/>
        <v>0</v>
      </c>
    </row>
    <row r="459" spans="1:8" x14ac:dyDescent="0.4">
      <c r="A459" s="115"/>
      <c r="B459" s="121"/>
      <c r="C459" s="102"/>
      <c r="D459" s="115"/>
      <c r="E459" s="115"/>
      <c r="F459" s="105"/>
      <c r="G459" s="105"/>
      <c r="H459" s="105">
        <f t="shared" si="6"/>
        <v>0</v>
      </c>
    </row>
    <row r="460" spans="1:8" x14ac:dyDescent="0.4">
      <c r="A460" s="115"/>
      <c r="B460" s="121"/>
      <c r="C460" s="102"/>
      <c r="D460" s="115"/>
      <c r="E460" s="115"/>
      <c r="F460" s="105"/>
      <c r="G460" s="105"/>
      <c r="H460" s="105">
        <f t="shared" si="6"/>
        <v>0</v>
      </c>
    </row>
    <row r="461" spans="1:8" x14ac:dyDescent="0.4">
      <c r="A461" s="115"/>
      <c r="B461" s="121"/>
      <c r="C461" s="102"/>
      <c r="D461" s="115"/>
      <c r="E461" s="115"/>
      <c r="F461" s="105"/>
      <c r="G461" s="105"/>
      <c r="H461" s="105">
        <f t="shared" si="6"/>
        <v>0</v>
      </c>
    </row>
    <row r="462" spans="1:8" x14ac:dyDescent="0.4">
      <c r="A462" s="115"/>
      <c r="B462" s="121"/>
      <c r="C462" s="102"/>
      <c r="D462" s="115"/>
      <c r="E462" s="115"/>
      <c r="F462" s="105"/>
      <c r="G462" s="105"/>
      <c r="H462" s="105">
        <f t="shared" si="6"/>
        <v>0</v>
      </c>
    </row>
    <row r="463" spans="1:8" x14ac:dyDescent="0.4">
      <c r="A463" s="115"/>
      <c r="B463" s="121"/>
      <c r="C463" s="102"/>
      <c r="D463" s="115"/>
      <c r="E463" s="115"/>
      <c r="F463" s="105"/>
      <c r="G463" s="105"/>
      <c r="H463" s="105">
        <f t="shared" si="6"/>
        <v>0</v>
      </c>
    </row>
    <row r="464" spans="1:8" x14ac:dyDescent="0.4">
      <c r="A464" s="115"/>
      <c r="B464" s="121"/>
      <c r="C464" s="102"/>
      <c r="D464" s="115"/>
      <c r="E464" s="115"/>
      <c r="F464" s="105"/>
      <c r="G464" s="105"/>
      <c r="H464" s="105">
        <f t="shared" ref="H464:H527" si="7">H463+F464-G464</f>
        <v>0</v>
      </c>
    </row>
    <row r="465" spans="1:8" x14ac:dyDescent="0.4">
      <c r="A465" s="115"/>
      <c r="B465" s="121"/>
      <c r="C465" s="102"/>
      <c r="D465" s="115"/>
      <c r="E465" s="115"/>
      <c r="F465" s="105"/>
      <c r="G465" s="105"/>
      <c r="H465" s="105">
        <f t="shared" si="7"/>
        <v>0</v>
      </c>
    </row>
    <row r="466" spans="1:8" x14ac:dyDescent="0.4">
      <c r="A466" s="115"/>
      <c r="B466" s="121"/>
      <c r="C466" s="102"/>
      <c r="D466" s="115"/>
      <c r="E466" s="115"/>
      <c r="F466" s="105"/>
      <c r="G466" s="105"/>
      <c r="H466" s="105">
        <f t="shared" si="7"/>
        <v>0</v>
      </c>
    </row>
    <row r="467" spans="1:8" x14ac:dyDescent="0.4">
      <c r="A467" s="115"/>
      <c r="B467" s="121"/>
      <c r="C467" s="102"/>
      <c r="D467" s="115"/>
      <c r="E467" s="115"/>
      <c r="F467" s="105"/>
      <c r="G467" s="105"/>
      <c r="H467" s="105">
        <f t="shared" si="7"/>
        <v>0</v>
      </c>
    </row>
    <row r="468" spans="1:8" x14ac:dyDescent="0.4">
      <c r="A468" s="115"/>
      <c r="B468" s="121"/>
      <c r="C468" s="102"/>
      <c r="D468" s="115"/>
      <c r="E468" s="115"/>
      <c r="F468" s="105"/>
      <c r="G468" s="105"/>
      <c r="H468" s="105">
        <f t="shared" si="7"/>
        <v>0</v>
      </c>
    </row>
    <row r="469" spans="1:8" x14ac:dyDescent="0.4">
      <c r="A469" s="115"/>
      <c r="B469" s="121"/>
      <c r="C469" s="102"/>
      <c r="D469" s="115"/>
      <c r="E469" s="115"/>
      <c r="F469" s="105"/>
      <c r="G469" s="105"/>
      <c r="H469" s="105">
        <f t="shared" si="7"/>
        <v>0</v>
      </c>
    </row>
    <row r="470" spans="1:8" x14ac:dyDescent="0.4">
      <c r="A470" s="115"/>
      <c r="B470" s="121"/>
      <c r="C470" s="102"/>
      <c r="D470" s="115"/>
      <c r="E470" s="115"/>
      <c r="F470" s="105"/>
      <c r="G470" s="105"/>
      <c r="H470" s="105">
        <f t="shared" si="7"/>
        <v>0</v>
      </c>
    </row>
    <row r="471" spans="1:8" x14ac:dyDescent="0.4">
      <c r="A471" s="115"/>
      <c r="B471" s="121"/>
      <c r="C471" s="102"/>
      <c r="D471" s="115"/>
      <c r="E471" s="115"/>
      <c r="F471" s="105"/>
      <c r="G471" s="105"/>
      <c r="H471" s="105">
        <f t="shared" si="7"/>
        <v>0</v>
      </c>
    </row>
    <row r="472" spans="1:8" x14ac:dyDescent="0.4">
      <c r="A472" s="115"/>
      <c r="B472" s="121"/>
      <c r="C472" s="102"/>
      <c r="D472" s="115"/>
      <c r="E472" s="115"/>
      <c r="F472" s="105"/>
      <c r="G472" s="105"/>
      <c r="H472" s="105">
        <f t="shared" si="7"/>
        <v>0</v>
      </c>
    </row>
    <row r="473" spans="1:8" x14ac:dyDescent="0.4">
      <c r="A473" s="115"/>
      <c r="B473" s="121"/>
      <c r="C473" s="102"/>
      <c r="D473" s="115"/>
      <c r="E473" s="115"/>
      <c r="F473" s="105"/>
      <c r="G473" s="105"/>
      <c r="H473" s="105">
        <f t="shared" si="7"/>
        <v>0</v>
      </c>
    </row>
    <row r="474" spans="1:8" x14ac:dyDescent="0.4">
      <c r="A474" s="115"/>
      <c r="B474" s="121"/>
      <c r="C474" s="102"/>
      <c r="D474" s="115"/>
      <c r="E474" s="115"/>
      <c r="F474" s="105"/>
      <c r="G474" s="105"/>
      <c r="H474" s="105">
        <f t="shared" si="7"/>
        <v>0</v>
      </c>
    </row>
    <row r="475" spans="1:8" x14ac:dyDescent="0.4">
      <c r="A475" s="115"/>
      <c r="B475" s="121"/>
      <c r="C475" s="102"/>
      <c r="D475" s="115"/>
      <c r="E475" s="115"/>
      <c r="F475" s="105"/>
      <c r="G475" s="105"/>
      <c r="H475" s="105">
        <f t="shared" si="7"/>
        <v>0</v>
      </c>
    </row>
    <row r="476" spans="1:8" x14ac:dyDescent="0.4">
      <c r="A476" s="115"/>
      <c r="B476" s="121"/>
      <c r="C476" s="102"/>
      <c r="D476" s="115"/>
      <c r="E476" s="115"/>
      <c r="F476" s="105"/>
      <c r="G476" s="105"/>
      <c r="H476" s="105">
        <f t="shared" si="7"/>
        <v>0</v>
      </c>
    </row>
    <row r="477" spans="1:8" x14ac:dyDescent="0.4">
      <c r="A477" s="115"/>
      <c r="B477" s="121"/>
      <c r="C477" s="102"/>
      <c r="D477" s="115"/>
      <c r="E477" s="115"/>
      <c r="F477" s="105"/>
      <c r="G477" s="105"/>
      <c r="H477" s="105">
        <f t="shared" si="7"/>
        <v>0</v>
      </c>
    </row>
    <row r="478" spans="1:8" x14ac:dyDescent="0.4">
      <c r="A478" s="115"/>
      <c r="B478" s="121"/>
      <c r="C478" s="102"/>
      <c r="D478" s="115"/>
      <c r="E478" s="115"/>
      <c r="F478" s="105"/>
      <c r="G478" s="105"/>
      <c r="H478" s="105">
        <f t="shared" si="7"/>
        <v>0</v>
      </c>
    </row>
    <row r="479" spans="1:8" x14ac:dyDescent="0.4">
      <c r="A479" s="115"/>
      <c r="B479" s="121"/>
      <c r="C479" s="102"/>
      <c r="D479" s="115"/>
      <c r="E479" s="115"/>
      <c r="F479" s="105"/>
      <c r="G479" s="105"/>
      <c r="H479" s="105">
        <f t="shared" si="7"/>
        <v>0</v>
      </c>
    </row>
    <row r="480" spans="1:8" x14ac:dyDescent="0.4">
      <c r="A480" s="115"/>
      <c r="B480" s="121"/>
      <c r="C480" s="102"/>
      <c r="D480" s="115"/>
      <c r="E480" s="115"/>
      <c r="F480" s="105"/>
      <c r="G480" s="105"/>
      <c r="H480" s="105">
        <f t="shared" si="7"/>
        <v>0</v>
      </c>
    </row>
    <row r="481" spans="1:8" x14ac:dyDescent="0.4">
      <c r="A481" s="115"/>
      <c r="B481" s="121"/>
      <c r="C481" s="102"/>
      <c r="D481" s="115"/>
      <c r="E481" s="115"/>
      <c r="F481" s="105"/>
      <c r="G481" s="105"/>
      <c r="H481" s="105">
        <f t="shared" si="7"/>
        <v>0</v>
      </c>
    </row>
    <row r="482" spans="1:8" x14ac:dyDescent="0.4">
      <c r="A482" s="115"/>
      <c r="B482" s="121"/>
      <c r="C482" s="102"/>
      <c r="D482" s="115"/>
      <c r="E482" s="115"/>
      <c r="F482" s="105"/>
      <c r="G482" s="105"/>
      <c r="H482" s="105">
        <f t="shared" si="7"/>
        <v>0</v>
      </c>
    </row>
    <row r="483" spans="1:8" x14ac:dyDescent="0.4">
      <c r="A483" s="115"/>
      <c r="B483" s="121"/>
      <c r="C483" s="102"/>
      <c r="D483" s="115"/>
      <c r="E483" s="115"/>
      <c r="F483" s="105"/>
      <c r="G483" s="105"/>
      <c r="H483" s="105">
        <f t="shared" si="7"/>
        <v>0</v>
      </c>
    </row>
    <row r="484" spans="1:8" x14ac:dyDescent="0.4">
      <c r="A484" s="115"/>
      <c r="B484" s="121"/>
      <c r="C484" s="102"/>
      <c r="D484" s="115"/>
      <c r="E484" s="115"/>
      <c r="F484" s="105"/>
      <c r="G484" s="105"/>
      <c r="H484" s="105">
        <f t="shared" si="7"/>
        <v>0</v>
      </c>
    </row>
    <row r="485" spans="1:8" x14ac:dyDescent="0.4">
      <c r="A485" s="115"/>
      <c r="B485" s="121"/>
      <c r="C485" s="102"/>
      <c r="D485" s="115"/>
      <c r="E485" s="115"/>
      <c r="F485" s="105"/>
      <c r="G485" s="105"/>
      <c r="H485" s="105">
        <f t="shared" si="7"/>
        <v>0</v>
      </c>
    </row>
    <row r="486" spans="1:8" x14ac:dyDescent="0.4">
      <c r="A486" s="115"/>
      <c r="B486" s="121"/>
      <c r="C486" s="102"/>
      <c r="D486" s="115"/>
      <c r="E486" s="115"/>
      <c r="F486" s="105"/>
      <c r="G486" s="105"/>
      <c r="H486" s="105">
        <f t="shared" si="7"/>
        <v>0</v>
      </c>
    </row>
    <row r="487" spans="1:8" x14ac:dyDescent="0.4">
      <c r="A487" s="115"/>
      <c r="B487" s="121"/>
      <c r="C487" s="102"/>
      <c r="D487" s="115"/>
      <c r="E487" s="115"/>
      <c r="F487" s="105"/>
      <c r="G487" s="105"/>
      <c r="H487" s="105">
        <f t="shared" si="7"/>
        <v>0</v>
      </c>
    </row>
    <row r="488" spans="1:8" x14ac:dyDescent="0.4">
      <c r="A488" s="115"/>
      <c r="B488" s="121"/>
      <c r="C488" s="102"/>
      <c r="D488" s="115"/>
      <c r="E488" s="115"/>
      <c r="F488" s="105"/>
      <c r="G488" s="105"/>
      <c r="H488" s="105">
        <f t="shared" si="7"/>
        <v>0</v>
      </c>
    </row>
    <row r="489" spans="1:8" x14ac:dyDescent="0.4">
      <c r="A489" s="115"/>
      <c r="B489" s="121"/>
      <c r="C489" s="102"/>
      <c r="D489" s="115"/>
      <c r="E489" s="115"/>
      <c r="F489" s="105"/>
      <c r="G489" s="105"/>
      <c r="H489" s="105">
        <f t="shared" si="7"/>
        <v>0</v>
      </c>
    </row>
    <row r="490" spans="1:8" x14ac:dyDescent="0.4">
      <c r="A490" s="115"/>
      <c r="B490" s="121"/>
      <c r="C490" s="102"/>
      <c r="D490" s="115"/>
      <c r="E490" s="115"/>
      <c r="F490" s="105"/>
      <c r="G490" s="105"/>
      <c r="H490" s="105">
        <f t="shared" si="7"/>
        <v>0</v>
      </c>
    </row>
    <row r="491" spans="1:8" x14ac:dyDescent="0.4">
      <c r="A491" s="115"/>
      <c r="B491" s="121"/>
      <c r="C491" s="102"/>
      <c r="D491" s="115"/>
      <c r="E491" s="115"/>
      <c r="F491" s="105"/>
      <c r="G491" s="105"/>
      <c r="H491" s="105">
        <f t="shared" si="7"/>
        <v>0</v>
      </c>
    </row>
    <row r="492" spans="1:8" x14ac:dyDescent="0.4">
      <c r="A492" s="115"/>
      <c r="B492" s="121"/>
      <c r="C492" s="102"/>
      <c r="D492" s="115"/>
      <c r="E492" s="115"/>
      <c r="F492" s="105"/>
      <c r="G492" s="105"/>
      <c r="H492" s="105">
        <f t="shared" si="7"/>
        <v>0</v>
      </c>
    </row>
    <row r="493" spans="1:8" x14ac:dyDescent="0.4">
      <c r="A493" s="115"/>
      <c r="B493" s="121"/>
      <c r="C493" s="102"/>
      <c r="D493" s="115"/>
      <c r="E493" s="115"/>
      <c r="F493" s="105"/>
      <c r="G493" s="105"/>
      <c r="H493" s="105">
        <f t="shared" si="7"/>
        <v>0</v>
      </c>
    </row>
    <row r="494" spans="1:8" x14ac:dyDescent="0.4">
      <c r="A494" s="115"/>
      <c r="B494" s="121"/>
      <c r="C494" s="102"/>
      <c r="D494" s="115"/>
      <c r="E494" s="115"/>
      <c r="F494" s="105"/>
      <c r="G494" s="105"/>
      <c r="H494" s="105">
        <f t="shared" si="7"/>
        <v>0</v>
      </c>
    </row>
    <row r="495" spans="1:8" x14ac:dyDescent="0.4">
      <c r="A495" s="115"/>
      <c r="B495" s="121"/>
      <c r="C495" s="102"/>
      <c r="D495" s="115"/>
      <c r="E495" s="115"/>
      <c r="F495" s="105"/>
      <c r="G495" s="105"/>
      <c r="H495" s="105">
        <f t="shared" si="7"/>
        <v>0</v>
      </c>
    </row>
    <row r="496" spans="1:8" x14ac:dyDescent="0.4">
      <c r="A496" s="115"/>
      <c r="B496" s="121"/>
      <c r="C496" s="102"/>
      <c r="D496" s="115"/>
      <c r="E496" s="115"/>
      <c r="F496" s="105"/>
      <c r="G496" s="105"/>
      <c r="H496" s="105">
        <f t="shared" si="7"/>
        <v>0</v>
      </c>
    </row>
    <row r="497" spans="1:8" x14ac:dyDescent="0.4">
      <c r="A497" s="115"/>
      <c r="B497" s="121"/>
      <c r="C497" s="102"/>
      <c r="D497" s="115"/>
      <c r="E497" s="115"/>
      <c r="F497" s="105"/>
      <c r="G497" s="105"/>
      <c r="H497" s="105">
        <f t="shared" si="7"/>
        <v>0</v>
      </c>
    </row>
    <row r="498" spans="1:8" x14ac:dyDescent="0.4">
      <c r="A498" s="115"/>
      <c r="B498" s="121"/>
      <c r="C498" s="102"/>
      <c r="D498" s="115"/>
      <c r="E498" s="115"/>
      <c r="F498" s="105"/>
      <c r="G498" s="105"/>
      <c r="H498" s="105">
        <f t="shared" si="7"/>
        <v>0</v>
      </c>
    </row>
    <row r="499" spans="1:8" x14ac:dyDescent="0.4">
      <c r="A499" s="115"/>
      <c r="B499" s="121"/>
      <c r="C499" s="102"/>
      <c r="D499" s="115"/>
      <c r="E499" s="115"/>
      <c r="F499" s="105"/>
      <c r="G499" s="105"/>
      <c r="H499" s="105">
        <f t="shared" si="7"/>
        <v>0</v>
      </c>
    </row>
    <row r="500" spans="1:8" x14ac:dyDescent="0.4">
      <c r="A500" s="115"/>
      <c r="B500" s="121"/>
      <c r="C500" s="102"/>
      <c r="D500" s="115"/>
      <c r="E500" s="115"/>
      <c r="F500" s="105"/>
      <c r="G500" s="105"/>
      <c r="H500" s="105">
        <f t="shared" si="7"/>
        <v>0</v>
      </c>
    </row>
    <row r="501" spans="1:8" x14ac:dyDescent="0.4">
      <c r="A501" s="115"/>
      <c r="B501" s="121"/>
      <c r="C501" s="102"/>
      <c r="D501" s="115"/>
      <c r="E501" s="115"/>
      <c r="F501" s="105"/>
      <c r="G501" s="105"/>
      <c r="H501" s="105">
        <f t="shared" si="7"/>
        <v>0</v>
      </c>
    </row>
    <row r="502" spans="1:8" x14ac:dyDescent="0.4">
      <c r="A502" s="115"/>
      <c r="B502" s="121"/>
      <c r="C502" s="102"/>
      <c r="D502" s="115"/>
      <c r="E502" s="115"/>
      <c r="F502" s="105"/>
      <c r="G502" s="105"/>
      <c r="H502" s="105">
        <f t="shared" si="7"/>
        <v>0</v>
      </c>
    </row>
    <row r="503" spans="1:8" x14ac:dyDescent="0.4">
      <c r="A503" s="115"/>
      <c r="B503" s="121"/>
      <c r="C503" s="102"/>
      <c r="D503" s="115"/>
      <c r="E503" s="115"/>
      <c r="F503" s="105"/>
      <c r="G503" s="105"/>
      <c r="H503" s="105">
        <f t="shared" si="7"/>
        <v>0</v>
      </c>
    </row>
    <row r="504" spans="1:8" x14ac:dyDescent="0.4">
      <c r="A504" s="115"/>
      <c r="B504" s="121"/>
      <c r="C504" s="102"/>
      <c r="D504" s="115"/>
      <c r="E504" s="115"/>
      <c r="F504" s="105"/>
      <c r="G504" s="105"/>
      <c r="H504" s="105">
        <f t="shared" si="7"/>
        <v>0</v>
      </c>
    </row>
    <row r="505" spans="1:8" x14ac:dyDescent="0.4">
      <c r="A505" s="115"/>
      <c r="B505" s="121"/>
      <c r="C505" s="102"/>
      <c r="D505" s="115"/>
      <c r="E505" s="115"/>
      <c r="F505" s="105"/>
      <c r="G505" s="105"/>
      <c r="H505" s="105">
        <f t="shared" si="7"/>
        <v>0</v>
      </c>
    </row>
    <row r="506" spans="1:8" x14ac:dyDescent="0.4">
      <c r="A506" s="115"/>
      <c r="B506" s="121"/>
      <c r="C506" s="102"/>
      <c r="D506" s="115"/>
      <c r="E506" s="115"/>
      <c r="F506" s="105"/>
      <c r="G506" s="105"/>
      <c r="H506" s="105">
        <f t="shared" si="7"/>
        <v>0</v>
      </c>
    </row>
    <row r="507" spans="1:8" x14ac:dyDescent="0.4">
      <c r="A507" s="115"/>
      <c r="B507" s="121"/>
      <c r="C507" s="102"/>
      <c r="D507" s="115"/>
      <c r="E507" s="115"/>
      <c r="F507" s="105"/>
      <c r="G507" s="105"/>
      <c r="H507" s="105">
        <f t="shared" si="7"/>
        <v>0</v>
      </c>
    </row>
    <row r="508" spans="1:8" x14ac:dyDescent="0.4">
      <c r="A508" s="115"/>
      <c r="B508" s="121"/>
      <c r="C508" s="102"/>
      <c r="D508" s="115"/>
      <c r="E508" s="115"/>
      <c r="F508" s="105"/>
      <c r="G508" s="105"/>
      <c r="H508" s="105">
        <f t="shared" si="7"/>
        <v>0</v>
      </c>
    </row>
    <row r="509" spans="1:8" x14ac:dyDescent="0.4">
      <c r="A509" s="115"/>
      <c r="B509" s="121"/>
      <c r="C509" s="102"/>
      <c r="D509" s="115"/>
      <c r="E509" s="115"/>
      <c r="F509" s="105"/>
      <c r="G509" s="105"/>
      <c r="H509" s="105">
        <f t="shared" si="7"/>
        <v>0</v>
      </c>
    </row>
    <row r="510" spans="1:8" x14ac:dyDescent="0.4">
      <c r="A510" s="115"/>
      <c r="B510" s="121"/>
      <c r="C510" s="102"/>
      <c r="D510" s="115"/>
      <c r="E510" s="115"/>
      <c r="F510" s="105"/>
      <c r="G510" s="105"/>
      <c r="H510" s="105">
        <f t="shared" si="7"/>
        <v>0</v>
      </c>
    </row>
    <row r="511" spans="1:8" x14ac:dyDescent="0.4">
      <c r="A511" s="115"/>
      <c r="B511" s="121"/>
      <c r="C511" s="102"/>
      <c r="D511" s="115"/>
      <c r="E511" s="115"/>
      <c r="F511" s="105"/>
      <c r="G511" s="105"/>
      <c r="H511" s="105">
        <f t="shared" si="7"/>
        <v>0</v>
      </c>
    </row>
    <row r="512" spans="1:8" x14ac:dyDescent="0.4">
      <c r="A512" s="115"/>
      <c r="B512" s="121"/>
      <c r="C512" s="102"/>
      <c r="D512" s="115"/>
      <c r="E512" s="115"/>
      <c r="F512" s="105"/>
      <c r="G512" s="105"/>
      <c r="H512" s="105">
        <f t="shared" si="7"/>
        <v>0</v>
      </c>
    </row>
    <row r="513" spans="1:8" x14ac:dyDescent="0.4">
      <c r="A513" s="115"/>
      <c r="B513" s="121"/>
      <c r="C513" s="102"/>
      <c r="D513" s="115"/>
      <c r="E513" s="115"/>
      <c r="F513" s="105"/>
      <c r="G513" s="105"/>
      <c r="H513" s="105">
        <f t="shared" si="7"/>
        <v>0</v>
      </c>
    </row>
    <row r="514" spans="1:8" x14ac:dyDescent="0.4">
      <c r="A514" s="115"/>
      <c r="B514" s="121"/>
      <c r="C514" s="102"/>
      <c r="D514" s="115"/>
      <c r="E514" s="115"/>
      <c r="F514" s="105"/>
      <c r="G514" s="105"/>
      <c r="H514" s="105">
        <f t="shared" si="7"/>
        <v>0</v>
      </c>
    </row>
    <row r="515" spans="1:8" x14ac:dyDescent="0.4">
      <c r="A515" s="115"/>
      <c r="B515" s="121"/>
      <c r="C515" s="102"/>
      <c r="D515" s="115"/>
      <c r="E515" s="115"/>
      <c r="F515" s="105"/>
      <c r="G515" s="105"/>
      <c r="H515" s="105">
        <f t="shared" si="7"/>
        <v>0</v>
      </c>
    </row>
    <row r="516" spans="1:8" x14ac:dyDescent="0.4">
      <c r="A516" s="115"/>
      <c r="B516" s="121"/>
      <c r="C516" s="102"/>
      <c r="D516" s="115"/>
      <c r="E516" s="115"/>
      <c r="F516" s="105"/>
      <c r="G516" s="105"/>
      <c r="H516" s="105">
        <f t="shared" si="7"/>
        <v>0</v>
      </c>
    </row>
    <row r="517" spans="1:8" x14ac:dyDescent="0.4">
      <c r="A517" s="115"/>
      <c r="B517" s="121"/>
      <c r="C517" s="102"/>
      <c r="D517" s="115"/>
      <c r="E517" s="115"/>
      <c r="F517" s="105"/>
      <c r="G517" s="105"/>
      <c r="H517" s="105">
        <f t="shared" si="7"/>
        <v>0</v>
      </c>
    </row>
    <row r="518" spans="1:8" x14ac:dyDescent="0.4">
      <c r="A518" s="115"/>
      <c r="B518" s="121"/>
      <c r="C518" s="102"/>
      <c r="D518" s="115"/>
      <c r="E518" s="115"/>
      <c r="F518" s="105"/>
      <c r="G518" s="105"/>
      <c r="H518" s="105">
        <f t="shared" si="7"/>
        <v>0</v>
      </c>
    </row>
    <row r="519" spans="1:8" x14ac:dyDescent="0.4">
      <c r="A519" s="115"/>
      <c r="B519" s="121"/>
      <c r="C519" s="102"/>
      <c r="D519" s="115"/>
      <c r="E519" s="115"/>
      <c r="F519" s="105"/>
      <c r="G519" s="105"/>
      <c r="H519" s="105">
        <f t="shared" si="7"/>
        <v>0</v>
      </c>
    </row>
    <row r="520" spans="1:8" x14ac:dyDescent="0.4">
      <c r="A520" s="115"/>
      <c r="B520" s="121"/>
      <c r="C520" s="102"/>
      <c r="D520" s="115"/>
      <c r="E520" s="115"/>
      <c r="F520" s="105"/>
      <c r="G520" s="105"/>
      <c r="H520" s="105">
        <f t="shared" si="7"/>
        <v>0</v>
      </c>
    </row>
    <row r="521" spans="1:8" x14ac:dyDescent="0.4">
      <c r="A521" s="115"/>
      <c r="B521" s="121"/>
      <c r="C521" s="102"/>
      <c r="D521" s="115"/>
      <c r="E521" s="115"/>
      <c r="F521" s="105"/>
      <c r="G521" s="105"/>
      <c r="H521" s="105">
        <f t="shared" si="7"/>
        <v>0</v>
      </c>
    </row>
    <row r="522" spans="1:8" x14ac:dyDescent="0.4">
      <c r="A522" s="115"/>
      <c r="B522" s="121"/>
      <c r="C522" s="102"/>
      <c r="D522" s="115"/>
      <c r="E522" s="115"/>
      <c r="F522" s="105"/>
      <c r="G522" s="105"/>
      <c r="H522" s="105">
        <f t="shared" si="7"/>
        <v>0</v>
      </c>
    </row>
    <row r="523" spans="1:8" x14ac:dyDescent="0.4">
      <c r="A523" s="115"/>
      <c r="B523" s="121"/>
      <c r="C523" s="102"/>
      <c r="D523" s="115"/>
      <c r="E523" s="115"/>
      <c r="F523" s="105"/>
      <c r="G523" s="105"/>
      <c r="H523" s="105">
        <f t="shared" si="7"/>
        <v>0</v>
      </c>
    </row>
    <row r="524" spans="1:8" x14ac:dyDescent="0.4">
      <c r="A524" s="115"/>
      <c r="B524" s="121"/>
      <c r="C524" s="102"/>
      <c r="D524" s="115"/>
      <c r="E524" s="115"/>
      <c r="F524" s="105"/>
      <c r="G524" s="105"/>
      <c r="H524" s="105">
        <f t="shared" si="7"/>
        <v>0</v>
      </c>
    </row>
    <row r="525" spans="1:8" x14ac:dyDescent="0.4">
      <c r="A525" s="115"/>
      <c r="B525" s="121"/>
      <c r="C525" s="102"/>
      <c r="D525" s="115"/>
      <c r="E525" s="115"/>
      <c r="F525" s="105"/>
      <c r="G525" s="105"/>
      <c r="H525" s="105">
        <f t="shared" si="7"/>
        <v>0</v>
      </c>
    </row>
    <row r="526" spans="1:8" x14ac:dyDescent="0.4">
      <c r="A526" s="115"/>
      <c r="B526" s="121"/>
      <c r="C526" s="102"/>
      <c r="D526" s="115"/>
      <c r="E526" s="115"/>
      <c r="F526" s="105"/>
      <c r="G526" s="105"/>
      <c r="H526" s="105">
        <f t="shared" si="7"/>
        <v>0</v>
      </c>
    </row>
    <row r="527" spans="1:8" x14ac:dyDescent="0.4">
      <c r="A527" s="115"/>
      <c r="B527" s="121"/>
      <c r="C527" s="102"/>
      <c r="D527" s="115"/>
      <c r="E527" s="115"/>
      <c r="F527" s="105"/>
      <c r="G527" s="105"/>
      <c r="H527" s="105">
        <f t="shared" si="7"/>
        <v>0</v>
      </c>
    </row>
    <row r="528" spans="1:8" x14ac:dyDescent="0.4">
      <c r="A528" s="115"/>
      <c r="B528" s="121"/>
      <c r="C528" s="102"/>
      <c r="D528" s="115"/>
      <c r="E528" s="115"/>
      <c r="F528" s="105"/>
      <c r="G528" s="105"/>
      <c r="H528" s="105">
        <f t="shared" ref="H528:H591" si="8">H527+F528-G528</f>
        <v>0</v>
      </c>
    </row>
    <row r="529" spans="1:8" x14ac:dyDescent="0.4">
      <c r="A529" s="115"/>
      <c r="B529" s="121"/>
      <c r="C529" s="102"/>
      <c r="D529" s="115"/>
      <c r="E529" s="115"/>
      <c r="F529" s="105"/>
      <c r="G529" s="105"/>
      <c r="H529" s="105">
        <f t="shared" si="8"/>
        <v>0</v>
      </c>
    </row>
    <row r="530" spans="1:8" x14ac:dyDescent="0.4">
      <c r="A530" s="115"/>
      <c r="B530" s="121"/>
      <c r="C530" s="102"/>
      <c r="D530" s="115"/>
      <c r="E530" s="115"/>
      <c r="F530" s="105"/>
      <c r="G530" s="105"/>
      <c r="H530" s="105">
        <f t="shared" si="8"/>
        <v>0</v>
      </c>
    </row>
    <row r="531" spans="1:8" x14ac:dyDescent="0.4">
      <c r="A531" s="115"/>
      <c r="B531" s="121"/>
      <c r="C531" s="102"/>
      <c r="D531" s="115"/>
      <c r="E531" s="115"/>
      <c r="F531" s="105"/>
      <c r="G531" s="105"/>
      <c r="H531" s="105">
        <f t="shared" si="8"/>
        <v>0</v>
      </c>
    </row>
    <row r="532" spans="1:8" x14ac:dyDescent="0.4">
      <c r="A532" s="115"/>
      <c r="B532" s="121"/>
      <c r="C532" s="102"/>
      <c r="D532" s="115"/>
      <c r="E532" s="115"/>
      <c r="F532" s="105"/>
      <c r="G532" s="105"/>
      <c r="H532" s="105">
        <f t="shared" si="8"/>
        <v>0</v>
      </c>
    </row>
    <row r="533" spans="1:8" x14ac:dyDescent="0.4">
      <c r="A533" s="115"/>
      <c r="B533" s="121"/>
      <c r="C533" s="102"/>
      <c r="D533" s="115"/>
      <c r="E533" s="115"/>
      <c r="F533" s="105"/>
      <c r="G533" s="105"/>
      <c r="H533" s="105">
        <f t="shared" si="8"/>
        <v>0</v>
      </c>
    </row>
    <row r="534" spans="1:8" x14ac:dyDescent="0.4">
      <c r="A534" s="115"/>
      <c r="B534" s="121"/>
      <c r="C534" s="102"/>
      <c r="D534" s="115"/>
      <c r="E534" s="115"/>
      <c r="F534" s="105"/>
      <c r="G534" s="105"/>
      <c r="H534" s="105">
        <f t="shared" si="8"/>
        <v>0</v>
      </c>
    </row>
    <row r="535" spans="1:8" x14ac:dyDescent="0.4">
      <c r="A535" s="115"/>
      <c r="B535" s="121"/>
      <c r="C535" s="102"/>
      <c r="D535" s="115"/>
      <c r="E535" s="115"/>
      <c r="F535" s="105"/>
      <c r="G535" s="105"/>
      <c r="H535" s="105">
        <f t="shared" si="8"/>
        <v>0</v>
      </c>
    </row>
    <row r="536" spans="1:8" x14ac:dyDescent="0.4">
      <c r="A536" s="115"/>
      <c r="B536" s="121"/>
      <c r="C536" s="102"/>
      <c r="D536" s="115"/>
      <c r="E536" s="115"/>
      <c r="F536" s="105"/>
      <c r="G536" s="105"/>
      <c r="H536" s="105">
        <f t="shared" si="8"/>
        <v>0</v>
      </c>
    </row>
    <row r="537" spans="1:8" x14ac:dyDescent="0.4">
      <c r="A537" s="115"/>
      <c r="B537" s="121"/>
      <c r="C537" s="102"/>
      <c r="D537" s="115"/>
      <c r="E537" s="115"/>
      <c r="F537" s="105"/>
      <c r="G537" s="105"/>
      <c r="H537" s="105">
        <f t="shared" si="8"/>
        <v>0</v>
      </c>
    </row>
    <row r="538" spans="1:8" x14ac:dyDescent="0.4">
      <c r="A538" s="115"/>
      <c r="B538" s="121"/>
      <c r="C538" s="102"/>
      <c r="D538" s="115"/>
      <c r="E538" s="115"/>
      <c r="F538" s="105"/>
      <c r="G538" s="105"/>
      <c r="H538" s="105">
        <f t="shared" si="8"/>
        <v>0</v>
      </c>
    </row>
    <row r="539" spans="1:8" x14ac:dyDescent="0.4">
      <c r="A539" s="115"/>
      <c r="B539" s="121"/>
      <c r="C539" s="102"/>
      <c r="D539" s="115"/>
      <c r="E539" s="115"/>
      <c r="F539" s="105"/>
      <c r="G539" s="105"/>
      <c r="H539" s="105">
        <f t="shared" si="8"/>
        <v>0</v>
      </c>
    </row>
    <row r="540" spans="1:8" x14ac:dyDescent="0.4">
      <c r="A540" s="115"/>
      <c r="B540" s="121"/>
      <c r="C540" s="102"/>
      <c r="D540" s="115"/>
      <c r="E540" s="115"/>
      <c r="F540" s="105"/>
      <c r="G540" s="105"/>
      <c r="H540" s="105">
        <f t="shared" si="8"/>
        <v>0</v>
      </c>
    </row>
    <row r="541" spans="1:8" x14ac:dyDescent="0.4">
      <c r="A541" s="115"/>
      <c r="B541" s="121"/>
      <c r="C541" s="102"/>
      <c r="D541" s="115"/>
      <c r="E541" s="115"/>
      <c r="F541" s="105"/>
      <c r="G541" s="105"/>
      <c r="H541" s="105">
        <f t="shared" si="8"/>
        <v>0</v>
      </c>
    </row>
    <row r="542" spans="1:8" x14ac:dyDescent="0.4">
      <c r="A542" s="115"/>
      <c r="B542" s="121"/>
      <c r="C542" s="102"/>
      <c r="D542" s="115"/>
      <c r="E542" s="115"/>
      <c r="F542" s="105"/>
      <c r="G542" s="105"/>
      <c r="H542" s="105">
        <f t="shared" si="8"/>
        <v>0</v>
      </c>
    </row>
    <row r="543" spans="1:8" x14ac:dyDescent="0.4">
      <c r="A543" s="115"/>
      <c r="B543" s="121"/>
      <c r="C543" s="102"/>
      <c r="D543" s="115"/>
      <c r="E543" s="115"/>
      <c r="F543" s="105"/>
      <c r="G543" s="105"/>
      <c r="H543" s="105">
        <f t="shared" si="8"/>
        <v>0</v>
      </c>
    </row>
    <row r="544" spans="1:8" x14ac:dyDescent="0.4">
      <c r="A544" s="115"/>
      <c r="B544" s="121"/>
      <c r="C544" s="102"/>
      <c r="D544" s="115"/>
      <c r="E544" s="115"/>
      <c r="F544" s="105"/>
      <c r="G544" s="105"/>
      <c r="H544" s="105">
        <f t="shared" si="8"/>
        <v>0</v>
      </c>
    </row>
    <row r="545" spans="1:8" x14ac:dyDescent="0.4">
      <c r="A545" s="115"/>
      <c r="B545" s="121"/>
      <c r="C545" s="102"/>
      <c r="D545" s="115"/>
      <c r="E545" s="115"/>
      <c r="F545" s="105"/>
      <c r="G545" s="105"/>
      <c r="H545" s="105">
        <f t="shared" si="8"/>
        <v>0</v>
      </c>
    </row>
    <row r="546" spans="1:8" x14ac:dyDescent="0.4">
      <c r="A546" s="115"/>
      <c r="B546" s="121"/>
      <c r="C546" s="102"/>
      <c r="D546" s="115"/>
      <c r="E546" s="115"/>
      <c r="F546" s="105"/>
      <c r="G546" s="105"/>
      <c r="H546" s="105">
        <f t="shared" si="8"/>
        <v>0</v>
      </c>
    </row>
    <row r="547" spans="1:8" x14ac:dyDescent="0.4">
      <c r="A547" s="115"/>
      <c r="B547" s="121"/>
      <c r="C547" s="102"/>
      <c r="D547" s="115"/>
      <c r="E547" s="115"/>
      <c r="F547" s="105"/>
      <c r="G547" s="105"/>
      <c r="H547" s="105">
        <f t="shared" si="8"/>
        <v>0</v>
      </c>
    </row>
    <row r="548" spans="1:8" x14ac:dyDescent="0.4">
      <c r="A548" s="115"/>
      <c r="B548" s="121"/>
      <c r="C548" s="102"/>
      <c r="D548" s="115"/>
      <c r="E548" s="115"/>
      <c r="F548" s="105"/>
      <c r="G548" s="105"/>
      <c r="H548" s="105">
        <f t="shared" si="8"/>
        <v>0</v>
      </c>
    </row>
    <row r="549" spans="1:8" x14ac:dyDescent="0.4">
      <c r="A549" s="115"/>
      <c r="B549" s="121"/>
      <c r="C549" s="102"/>
      <c r="D549" s="115"/>
      <c r="E549" s="115"/>
      <c r="F549" s="105"/>
      <c r="G549" s="105"/>
      <c r="H549" s="105">
        <f t="shared" si="8"/>
        <v>0</v>
      </c>
    </row>
    <row r="550" spans="1:8" x14ac:dyDescent="0.4">
      <c r="A550" s="115"/>
      <c r="B550" s="121"/>
      <c r="C550" s="102"/>
      <c r="D550" s="115"/>
      <c r="E550" s="115"/>
      <c r="F550" s="105"/>
      <c r="G550" s="105"/>
      <c r="H550" s="105">
        <f t="shared" si="8"/>
        <v>0</v>
      </c>
    </row>
    <row r="551" spans="1:8" x14ac:dyDescent="0.4">
      <c r="A551" s="115"/>
      <c r="B551" s="121"/>
      <c r="C551" s="102"/>
      <c r="D551" s="115"/>
      <c r="E551" s="115"/>
      <c r="F551" s="105"/>
      <c r="G551" s="105"/>
      <c r="H551" s="105">
        <f t="shared" si="8"/>
        <v>0</v>
      </c>
    </row>
    <row r="552" spans="1:8" x14ac:dyDescent="0.4">
      <c r="A552" s="115"/>
      <c r="B552" s="121"/>
      <c r="C552" s="102"/>
      <c r="D552" s="115"/>
      <c r="E552" s="115"/>
      <c r="F552" s="105"/>
      <c r="G552" s="105"/>
      <c r="H552" s="105">
        <f t="shared" si="8"/>
        <v>0</v>
      </c>
    </row>
    <row r="553" spans="1:8" x14ac:dyDescent="0.4">
      <c r="A553" s="115"/>
      <c r="B553" s="121"/>
      <c r="C553" s="102"/>
      <c r="D553" s="115"/>
      <c r="E553" s="115"/>
      <c r="F553" s="105"/>
      <c r="G553" s="105"/>
      <c r="H553" s="105">
        <f t="shared" si="8"/>
        <v>0</v>
      </c>
    </row>
    <row r="554" spans="1:8" x14ac:dyDescent="0.4">
      <c r="A554" s="115"/>
      <c r="B554" s="121"/>
      <c r="C554" s="102"/>
      <c r="D554" s="115"/>
      <c r="E554" s="115"/>
      <c r="F554" s="105"/>
      <c r="G554" s="105"/>
      <c r="H554" s="105">
        <f t="shared" si="8"/>
        <v>0</v>
      </c>
    </row>
    <row r="555" spans="1:8" x14ac:dyDescent="0.4">
      <c r="A555" s="115"/>
      <c r="B555" s="121"/>
      <c r="C555" s="102"/>
      <c r="D555" s="115"/>
      <c r="E555" s="115"/>
      <c r="F555" s="105"/>
      <c r="G555" s="105"/>
      <c r="H555" s="105">
        <f t="shared" si="8"/>
        <v>0</v>
      </c>
    </row>
    <row r="556" spans="1:8" x14ac:dyDescent="0.4">
      <c r="A556" s="115"/>
      <c r="B556" s="121"/>
      <c r="C556" s="102"/>
      <c r="D556" s="115"/>
      <c r="E556" s="115"/>
      <c r="F556" s="105"/>
      <c r="G556" s="105"/>
      <c r="H556" s="105">
        <f t="shared" si="8"/>
        <v>0</v>
      </c>
    </row>
    <row r="557" spans="1:8" x14ac:dyDescent="0.4">
      <c r="A557" s="115"/>
      <c r="B557" s="121"/>
      <c r="C557" s="102"/>
      <c r="D557" s="115"/>
      <c r="E557" s="115"/>
      <c r="F557" s="105"/>
      <c r="G557" s="105"/>
      <c r="H557" s="105">
        <f t="shared" si="8"/>
        <v>0</v>
      </c>
    </row>
    <row r="558" spans="1:8" x14ac:dyDescent="0.4">
      <c r="A558" s="115"/>
      <c r="B558" s="121"/>
      <c r="C558" s="102"/>
      <c r="D558" s="115"/>
      <c r="E558" s="115"/>
      <c r="F558" s="105"/>
      <c r="G558" s="105"/>
      <c r="H558" s="105">
        <f t="shared" si="8"/>
        <v>0</v>
      </c>
    </row>
    <row r="559" spans="1:8" x14ac:dyDescent="0.4">
      <c r="A559" s="115"/>
      <c r="B559" s="121"/>
      <c r="C559" s="102"/>
      <c r="D559" s="115"/>
      <c r="E559" s="115"/>
      <c r="F559" s="105"/>
      <c r="G559" s="105"/>
      <c r="H559" s="105">
        <f t="shared" si="8"/>
        <v>0</v>
      </c>
    </row>
    <row r="560" spans="1:8" x14ac:dyDescent="0.4">
      <c r="A560" s="115"/>
      <c r="B560" s="121"/>
      <c r="C560" s="102"/>
      <c r="D560" s="115"/>
      <c r="E560" s="115"/>
      <c r="F560" s="105"/>
      <c r="G560" s="105"/>
      <c r="H560" s="105">
        <f t="shared" si="8"/>
        <v>0</v>
      </c>
    </row>
    <row r="561" spans="1:8" x14ac:dyDescent="0.4">
      <c r="A561" s="115"/>
      <c r="B561" s="121"/>
      <c r="C561" s="102"/>
      <c r="D561" s="115"/>
      <c r="E561" s="115"/>
      <c r="F561" s="105"/>
      <c r="G561" s="105"/>
      <c r="H561" s="105">
        <f t="shared" si="8"/>
        <v>0</v>
      </c>
    </row>
    <row r="562" spans="1:8" x14ac:dyDescent="0.4">
      <c r="A562" s="115"/>
      <c r="B562" s="121"/>
      <c r="C562" s="102"/>
      <c r="D562" s="115"/>
      <c r="E562" s="115"/>
      <c r="F562" s="105"/>
      <c r="G562" s="105"/>
      <c r="H562" s="105">
        <f t="shared" si="8"/>
        <v>0</v>
      </c>
    </row>
    <row r="563" spans="1:8" x14ac:dyDescent="0.4">
      <c r="A563" s="115"/>
      <c r="B563" s="121"/>
      <c r="C563" s="102"/>
      <c r="D563" s="115"/>
      <c r="E563" s="115"/>
      <c r="F563" s="105"/>
      <c r="G563" s="105"/>
      <c r="H563" s="105">
        <f t="shared" si="8"/>
        <v>0</v>
      </c>
    </row>
    <row r="564" spans="1:8" x14ac:dyDescent="0.4">
      <c r="A564" s="115"/>
      <c r="B564" s="121"/>
      <c r="C564" s="102"/>
      <c r="D564" s="115"/>
      <c r="E564" s="115"/>
      <c r="F564" s="105"/>
      <c r="G564" s="105"/>
      <c r="H564" s="105">
        <f t="shared" si="8"/>
        <v>0</v>
      </c>
    </row>
    <row r="565" spans="1:8" x14ac:dyDescent="0.4">
      <c r="A565" s="115"/>
      <c r="B565" s="121"/>
      <c r="C565" s="102"/>
      <c r="D565" s="115"/>
      <c r="E565" s="115"/>
      <c r="F565" s="105"/>
      <c r="G565" s="105"/>
      <c r="H565" s="105">
        <f t="shared" si="8"/>
        <v>0</v>
      </c>
    </row>
    <row r="566" spans="1:8" x14ac:dyDescent="0.4">
      <c r="A566" s="115"/>
      <c r="B566" s="121"/>
      <c r="C566" s="102"/>
      <c r="D566" s="115"/>
      <c r="E566" s="115"/>
      <c r="F566" s="105"/>
      <c r="G566" s="105"/>
      <c r="H566" s="105">
        <f t="shared" si="8"/>
        <v>0</v>
      </c>
    </row>
    <row r="567" spans="1:8" x14ac:dyDescent="0.4">
      <c r="A567" s="115"/>
      <c r="B567" s="121"/>
      <c r="C567" s="102"/>
      <c r="D567" s="115"/>
      <c r="E567" s="115"/>
      <c r="F567" s="105"/>
      <c r="G567" s="105"/>
      <c r="H567" s="105">
        <f t="shared" si="8"/>
        <v>0</v>
      </c>
    </row>
    <row r="568" spans="1:8" x14ac:dyDescent="0.4">
      <c r="A568" s="115"/>
      <c r="B568" s="121"/>
      <c r="C568" s="102"/>
      <c r="D568" s="115"/>
      <c r="E568" s="115"/>
      <c r="F568" s="105"/>
      <c r="G568" s="105"/>
      <c r="H568" s="105">
        <f t="shared" si="8"/>
        <v>0</v>
      </c>
    </row>
    <row r="569" spans="1:8" x14ac:dyDescent="0.4">
      <c r="A569" s="115"/>
      <c r="B569" s="121"/>
      <c r="C569" s="102"/>
      <c r="D569" s="115"/>
      <c r="E569" s="115"/>
      <c r="F569" s="105"/>
      <c r="G569" s="105"/>
      <c r="H569" s="105">
        <f t="shared" si="8"/>
        <v>0</v>
      </c>
    </row>
    <row r="570" spans="1:8" x14ac:dyDescent="0.4">
      <c r="A570" s="115"/>
      <c r="B570" s="121"/>
      <c r="C570" s="102"/>
      <c r="D570" s="115"/>
      <c r="E570" s="115"/>
      <c r="F570" s="105"/>
      <c r="G570" s="105"/>
      <c r="H570" s="105">
        <f t="shared" si="8"/>
        <v>0</v>
      </c>
    </row>
    <row r="571" spans="1:8" x14ac:dyDescent="0.4">
      <c r="A571" s="115"/>
      <c r="B571" s="121"/>
      <c r="C571" s="102"/>
      <c r="D571" s="115"/>
      <c r="E571" s="115"/>
      <c r="F571" s="105"/>
      <c r="G571" s="105"/>
      <c r="H571" s="105">
        <f t="shared" si="8"/>
        <v>0</v>
      </c>
    </row>
    <row r="572" spans="1:8" x14ac:dyDescent="0.4">
      <c r="A572" s="115"/>
      <c r="B572" s="121"/>
      <c r="C572" s="102"/>
      <c r="D572" s="115"/>
      <c r="E572" s="115"/>
      <c r="F572" s="105"/>
      <c r="G572" s="105"/>
      <c r="H572" s="105">
        <f t="shared" si="8"/>
        <v>0</v>
      </c>
    </row>
    <row r="573" spans="1:8" x14ac:dyDescent="0.4">
      <c r="A573" s="115"/>
      <c r="B573" s="121"/>
      <c r="C573" s="102"/>
      <c r="D573" s="115"/>
      <c r="E573" s="115"/>
      <c r="F573" s="105"/>
      <c r="G573" s="105"/>
      <c r="H573" s="105">
        <f t="shared" si="8"/>
        <v>0</v>
      </c>
    </row>
    <row r="574" spans="1:8" x14ac:dyDescent="0.4">
      <c r="A574" s="115"/>
      <c r="B574" s="121"/>
      <c r="C574" s="102"/>
      <c r="D574" s="115"/>
      <c r="E574" s="115"/>
      <c r="F574" s="105"/>
      <c r="G574" s="105"/>
      <c r="H574" s="105">
        <f t="shared" si="8"/>
        <v>0</v>
      </c>
    </row>
    <row r="575" spans="1:8" x14ac:dyDescent="0.4">
      <c r="A575" s="115"/>
      <c r="B575" s="121"/>
      <c r="C575" s="102"/>
      <c r="D575" s="115"/>
      <c r="E575" s="115"/>
      <c r="F575" s="105"/>
      <c r="G575" s="105"/>
      <c r="H575" s="105">
        <f t="shared" si="8"/>
        <v>0</v>
      </c>
    </row>
    <row r="576" spans="1:8" x14ac:dyDescent="0.4">
      <c r="A576" s="115"/>
      <c r="B576" s="121"/>
      <c r="C576" s="102"/>
      <c r="D576" s="115"/>
      <c r="E576" s="115"/>
      <c r="F576" s="105"/>
      <c r="G576" s="105"/>
      <c r="H576" s="105">
        <f t="shared" si="8"/>
        <v>0</v>
      </c>
    </row>
    <row r="577" spans="1:8" x14ac:dyDescent="0.4">
      <c r="A577" s="115"/>
      <c r="B577" s="121"/>
      <c r="C577" s="102"/>
      <c r="D577" s="115"/>
      <c r="E577" s="115"/>
      <c r="F577" s="105"/>
      <c r="G577" s="105"/>
      <c r="H577" s="105">
        <f t="shared" si="8"/>
        <v>0</v>
      </c>
    </row>
    <row r="578" spans="1:8" x14ac:dyDescent="0.4">
      <c r="A578" s="115"/>
      <c r="B578" s="121"/>
      <c r="C578" s="102"/>
      <c r="D578" s="115"/>
      <c r="E578" s="115"/>
      <c r="F578" s="105"/>
      <c r="G578" s="105"/>
      <c r="H578" s="105">
        <f t="shared" si="8"/>
        <v>0</v>
      </c>
    </row>
    <row r="579" spans="1:8" x14ac:dyDescent="0.4">
      <c r="A579" s="115"/>
      <c r="B579" s="121"/>
      <c r="C579" s="102"/>
      <c r="D579" s="115"/>
      <c r="E579" s="115"/>
      <c r="F579" s="105"/>
      <c r="G579" s="105"/>
      <c r="H579" s="105">
        <f t="shared" si="8"/>
        <v>0</v>
      </c>
    </row>
    <row r="580" spans="1:8" x14ac:dyDescent="0.4">
      <c r="A580" s="115"/>
      <c r="B580" s="121"/>
      <c r="C580" s="102"/>
      <c r="D580" s="115"/>
      <c r="E580" s="115"/>
      <c r="F580" s="105"/>
      <c r="G580" s="105"/>
      <c r="H580" s="105">
        <f t="shared" si="8"/>
        <v>0</v>
      </c>
    </row>
    <row r="581" spans="1:8" x14ac:dyDescent="0.4">
      <c r="A581" s="115"/>
      <c r="B581" s="121"/>
      <c r="C581" s="102"/>
      <c r="D581" s="115"/>
      <c r="E581" s="115"/>
      <c r="F581" s="105"/>
      <c r="G581" s="105"/>
      <c r="H581" s="105">
        <f t="shared" si="8"/>
        <v>0</v>
      </c>
    </row>
    <row r="582" spans="1:8" x14ac:dyDescent="0.4">
      <c r="A582" s="115"/>
      <c r="B582" s="121"/>
      <c r="C582" s="102"/>
      <c r="D582" s="115"/>
      <c r="E582" s="115"/>
      <c r="F582" s="105"/>
      <c r="G582" s="105"/>
      <c r="H582" s="105">
        <f t="shared" si="8"/>
        <v>0</v>
      </c>
    </row>
    <row r="583" spans="1:8" x14ac:dyDescent="0.4">
      <c r="A583" s="115"/>
      <c r="B583" s="121"/>
      <c r="C583" s="102"/>
      <c r="D583" s="115"/>
      <c r="E583" s="115"/>
      <c r="F583" s="105"/>
      <c r="G583" s="105"/>
      <c r="H583" s="105">
        <f t="shared" si="8"/>
        <v>0</v>
      </c>
    </row>
    <row r="584" spans="1:8" x14ac:dyDescent="0.4">
      <c r="A584" s="115"/>
      <c r="B584" s="121"/>
      <c r="C584" s="102"/>
      <c r="D584" s="115"/>
      <c r="E584" s="115"/>
      <c r="F584" s="105"/>
      <c r="G584" s="105"/>
      <c r="H584" s="105">
        <f t="shared" si="8"/>
        <v>0</v>
      </c>
    </row>
    <row r="585" spans="1:8" x14ac:dyDescent="0.4">
      <c r="A585" s="115"/>
      <c r="B585" s="121"/>
      <c r="C585" s="102"/>
      <c r="D585" s="115"/>
      <c r="E585" s="115"/>
      <c r="F585" s="105"/>
      <c r="G585" s="105"/>
      <c r="H585" s="105">
        <f t="shared" si="8"/>
        <v>0</v>
      </c>
    </row>
    <row r="586" spans="1:8" x14ac:dyDescent="0.4">
      <c r="A586" s="115"/>
      <c r="B586" s="121"/>
      <c r="C586" s="102"/>
      <c r="D586" s="115"/>
      <c r="E586" s="115"/>
      <c r="F586" s="105"/>
      <c r="G586" s="105"/>
      <c r="H586" s="105">
        <f t="shared" si="8"/>
        <v>0</v>
      </c>
    </row>
    <row r="587" spans="1:8" x14ac:dyDescent="0.4">
      <c r="A587" s="115"/>
      <c r="B587" s="121"/>
      <c r="C587" s="102"/>
      <c r="D587" s="115"/>
      <c r="E587" s="115"/>
      <c r="F587" s="105"/>
      <c r="G587" s="105"/>
      <c r="H587" s="105">
        <f t="shared" si="8"/>
        <v>0</v>
      </c>
    </row>
    <row r="588" spans="1:8" x14ac:dyDescent="0.4">
      <c r="A588" s="115"/>
      <c r="B588" s="121"/>
      <c r="C588" s="102"/>
      <c r="D588" s="115"/>
      <c r="E588" s="115"/>
      <c r="F588" s="105"/>
      <c r="G588" s="105"/>
      <c r="H588" s="105">
        <f t="shared" si="8"/>
        <v>0</v>
      </c>
    </row>
    <row r="589" spans="1:8" x14ac:dyDescent="0.4">
      <c r="A589" s="115"/>
      <c r="B589" s="121"/>
      <c r="C589" s="102"/>
      <c r="D589" s="115"/>
      <c r="E589" s="115"/>
      <c r="F589" s="105"/>
      <c r="G589" s="105"/>
      <c r="H589" s="105">
        <f t="shared" si="8"/>
        <v>0</v>
      </c>
    </row>
    <row r="590" spans="1:8" x14ac:dyDescent="0.4">
      <c r="A590" s="115"/>
      <c r="B590" s="121"/>
      <c r="C590" s="102"/>
      <c r="D590" s="115"/>
      <c r="E590" s="115"/>
      <c r="F590" s="105"/>
      <c r="G590" s="105"/>
      <c r="H590" s="105">
        <f t="shared" si="8"/>
        <v>0</v>
      </c>
    </row>
    <row r="591" spans="1:8" x14ac:dyDescent="0.4">
      <c r="A591" s="115"/>
      <c r="B591" s="121"/>
      <c r="C591" s="102"/>
      <c r="D591" s="115"/>
      <c r="E591" s="115"/>
      <c r="F591" s="105"/>
      <c r="G591" s="105"/>
      <c r="H591" s="105">
        <f t="shared" si="8"/>
        <v>0</v>
      </c>
    </row>
    <row r="592" spans="1:8" x14ac:dyDescent="0.4">
      <c r="A592" s="115"/>
      <c r="B592" s="121"/>
      <c r="C592" s="102"/>
      <c r="D592" s="115"/>
      <c r="E592" s="115"/>
      <c r="F592" s="105"/>
      <c r="G592" s="105"/>
      <c r="H592" s="105">
        <f t="shared" ref="H592:H655" si="9">H591+F592-G592</f>
        <v>0</v>
      </c>
    </row>
    <row r="593" spans="1:8" x14ac:dyDescent="0.4">
      <c r="A593" s="115"/>
      <c r="B593" s="121"/>
      <c r="C593" s="102"/>
      <c r="D593" s="115"/>
      <c r="E593" s="115"/>
      <c r="F593" s="105"/>
      <c r="G593" s="105"/>
      <c r="H593" s="105">
        <f t="shared" si="9"/>
        <v>0</v>
      </c>
    </row>
    <row r="594" spans="1:8" x14ac:dyDescent="0.4">
      <c r="A594" s="115"/>
      <c r="B594" s="121"/>
      <c r="C594" s="102"/>
      <c r="D594" s="115"/>
      <c r="E594" s="115"/>
      <c r="F594" s="105"/>
      <c r="G594" s="105"/>
      <c r="H594" s="105">
        <f t="shared" si="9"/>
        <v>0</v>
      </c>
    </row>
    <row r="595" spans="1:8" x14ac:dyDescent="0.4">
      <c r="A595" s="115"/>
      <c r="B595" s="121"/>
      <c r="C595" s="102"/>
      <c r="D595" s="115"/>
      <c r="E595" s="115"/>
      <c r="F595" s="105"/>
      <c r="G595" s="105"/>
      <c r="H595" s="105">
        <f t="shared" si="9"/>
        <v>0</v>
      </c>
    </row>
    <row r="596" spans="1:8" x14ac:dyDescent="0.4">
      <c r="A596" s="115"/>
      <c r="B596" s="121"/>
      <c r="C596" s="102"/>
      <c r="D596" s="115"/>
      <c r="E596" s="115"/>
      <c r="F596" s="105"/>
      <c r="G596" s="105"/>
      <c r="H596" s="105">
        <f t="shared" si="9"/>
        <v>0</v>
      </c>
    </row>
    <row r="597" spans="1:8" x14ac:dyDescent="0.4">
      <c r="A597" s="115"/>
      <c r="B597" s="121"/>
      <c r="C597" s="102"/>
      <c r="D597" s="115"/>
      <c r="E597" s="115"/>
      <c r="F597" s="105"/>
      <c r="G597" s="105"/>
      <c r="H597" s="105">
        <f t="shared" si="9"/>
        <v>0</v>
      </c>
    </row>
    <row r="598" spans="1:8" x14ac:dyDescent="0.4">
      <c r="A598" s="115"/>
      <c r="B598" s="121"/>
      <c r="C598" s="102"/>
      <c r="D598" s="115"/>
      <c r="E598" s="115"/>
      <c r="F598" s="105"/>
      <c r="G598" s="105"/>
      <c r="H598" s="105">
        <f t="shared" si="9"/>
        <v>0</v>
      </c>
    </row>
    <row r="599" spans="1:8" x14ac:dyDescent="0.4">
      <c r="A599" s="115"/>
      <c r="B599" s="121"/>
      <c r="C599" s="102"/>
      <c r="D599" s="115"/>
      <c r="E599" s="115"/>
      <c r="F599" s="105"/>
      <c r="G599" s="105"/>
      <c r="H599" s="105">
        <f t="shared" si="9"/>
        <v>0</v>
      </c>
    </row>
    <row r="600" spans="1:8" x14ac:dyDescent="0.4">
      <c r="A600" s="115"/>
      <c r="B600" s="121"/>
      <c r="C600" s="102"/>
      <c r="D600" s="115"/>
      <c r="E600" s="115"/>
      <c r="F600" s="105"/>
      <c r="G600" s="105"/>
      <c r="H600" s="105">
        <f t="shared" si="9"/>
        <v>0</v>
      </c>
    </row>
    <row r="601" spans="1:8" x14ac:dyDescent="0.4">
      <c r="A601" s="115"/>
      <c r="B601" s="121"/>
      <c r="C601" s="102"/>
      <c r="D601" s="115"/>
      <c r="E601" s="115"/>
      <c r="F601" s="105"/>
      <c r="G601" s="105"/>
      <c r="H601" s="105">
        <f t="shared" si="9"/>
        <v>0</v>
      </c>
    </row>
    <row r="602" spans="1:8" x14ac:dyDescent="0.4">
      <c r="A602" s="115"/>
      <c r="B602" s="121"/>
      <c r="C602" s="102"/>
      <c r="D602" s="115"/>
      <c r="E602" s="115"/>
      <c r="F602" s="105"/>
      <c r="G602" s="105"/>
      <c r="H602" s="105">
        <f t="shared" si="9"/>
        <v>0</v>
      </c>
    </row>
    <row r="603" spans="1:8" x14ac:dyDescent="0.4">
      <c r="A603" s="115"/>
      <c r="B603" s="121"/>
      <c r="C603" s="102"/>
      <c r="D603" s="115"/>
      <c r="E603" s="115"/>
      <c r="F603" s="105"/>
      <c r="G603" s="105"/>
      <c r="H603" s="105">
        <f t="shared" si="9"/>
        <v>0</v>
      </c>
    </row>
    <row r="604" spans="1:8" x14ac:dyDescent="0.4">
      <c r="A604" s="115"/>
      <c r="B604" s="121"/>
      <c r="C604" s="102"/>
      <c r="D604" s="115"/>
      <c r="E604" s="115"/>
      <c r="F604" s="105"/>
      <c r="G604" s="105"/>
      <c r="H604" s="105">
        <f t="shared" si="9"/>
        <v>0</v>
      </c>
    </row>
    <row r="605" spans="1:8" x14ac:dyDescent="0.4">
      <c r="A605" s="115"/>
      <c r="B605" s="121"/>
      <c r="C605" s="102"/>
      <c r="D605" s="115"/>
      <c r="E605" s="115"/>
      <c r="F605" s="105"/>
      <c r="G605" s="105"/>
      <c r="H605" s="105">
        <f t="shared" si="9"/>
        <v>0</v>
      </c>
    </row>
    <row r="606" spans="1:8" x14ac:dyDescent="0.4">
      <c r="A606" s="115"/>
      <c r="B606" s="121"/>
      <c r="C606" s="102"/>
      <c r="D606" s="115"/>
      <c r="E606" s="115"/>
      <c r="F606" s="105"/>
      <c r="G606" s="105"/>
      <c r="H606" s="105">
        <f t="shared" si="9"/>
        <v>0</v>
      </c>
    </row>
    <row r="607" spans="1:8" x14ac:dyDescent="0.4">
      <c r="A607" s="115"/>
      <c r="B607" s="121"/>
      <c r="C607" s="102"/>
      <c r="D607" s="115"/>
      <c r="E607" s="115"/>
      <c r="F607" s="105"/>
      <c r="G607" s="105"/>
      <c r="H607" s="105">
        <f t="shared" si="9"/>
        <v>0</v>
      </c>
    </row>
    <row r="608" spans="1:8" x14ac:dyDescent="0.4">
      <c r="A608" s="115"/>
      <c r="B608" s="121"/>
      <c r="C608" s="102"/>
      <c r="D608" s="115"/>
      <c r="E608" s="115"/>
      <c r="F608" s="105"/>
      <c r="G608" s="105"/>
      <c r="H608" s="105">
        <f t="shared" si="9"/>
        <v>0</v>
      </c>
    </row>
    <row r="609" spans="1:8" x14ac:dyDescent="0.4">
      <c r="A609" s="115"/>
      <c r="B609" s="121"/>
      <c r="C609" s="102"/>
      <c r="D609" s="115"/>
      <c r="E609" s="115"/>
      <c r="F609" s="105"/>
      <c r="G609" s="105"/>
      <c r="H609" s="105">
        <f t="shared" si="9"/>
        <v>0</v>
      </c>
    </row>
    <row r="610" spans="1:8" x14ac:dyDescent="0.4">
      <c r="A610" s="115"/>
      <c r="B610" s="121"/>
      <c r="C610" s="102"/>
      <c r="D610" s="115"/>
      <c r="E610" s="115"/>
      <c r="F610" s="105"/>
      <c r="G610" s="105"/>
      <c r="H610" s="105">
        <f t="shared" si="9"/>
        <v>0</v>
      </c>
    </row>
    <row r="611" spans="1:8" x14ac:dyDescent="0.4">
      <c r="A611" s="115"/>
      <c r="B611" s="121"/>
      <c r="C611" s="102"/>
      <c r="D611" s="115"/>
      <c r="E611" s="115"/>
      <c r="F611" s="105"/>
      <c r="G611" s="105"/>
      <c r="H611" s="105">
        <f t="shared" si="9"/>
        <v>0</v>
      </c>
    </row>
    <row r="612" spans="1:8" x14ac:dyDescent="0.4">
      <c r="A612" s="115"/>
      <c r="B612" s="121"/>
      <c r="C612" s="102"/>
      <c r="D612" s="115"/>
      <c r="E612" s="115"/>
      <c r="F612" s="105"/>
      <c r="G612" s="105"/>
      <c r="H612" s="105">
        <f t="shared" si="9"/>
        <v>0</v>
      </c>
    </row>
    <row r="613" spans="1:8" x14ac:dyDescent="0.4">
      <c r="A613" s="115"/>
      <c r="B613" s="121"/>
      <c r="C613" s="102"/>
      <c r="D613" s="115"/>
      <c r="E613" s="115"/>
      <c r="F613" s="105"/>
      <c r="G613" s="105"/>
      <c r="H613" s="105">
        <f t="shared" si="9"/>
        <v>0</v>
      </c>
    </row>
    <row r="614" spans="1:8" x14ac:dyDescent="0.4">
      <c r="A614" s="115"/>
      <c r="B614" s="121"/>
      <c r="C614" s="102"/>
      <c r="D614" s="115"/>
      <c r="E614" s="115"/>
      <c r="F614" s="105"/>
      <c r="G614" s="105"/>
      <c r="H614" s="105">
        <f t="shared" si="9"/>
        <v>0</v>
      </c>
    </row>
    <row r="615" spans="1:8" x14ac:dyDescent="0.4">
      <c r="A615" s="115"/>
      <c r="B615" s="121"/>
      <c r="C615" s="102"/>
      <c r="D615" s="115"/>
      <c r="E615" s="115"/>
      <c r="F615" s="105"/>
      <c r="G615" s="105"/>
      <c r="H615" s="105">
        <f t="shared" si="9"/>
        <v>0</v>
      </c>
    </row>
    <row r="616" spans="1:8" x14ac:dyDescent="0.4">
      <c r="A616" s="115"/>
      <c r="B616" s="121"/>
      <c r="C616" s="102"/>
      <c r="D616" s="115"/>
      <c r="E616" s="115"/>
      <c r="F616" s="105"/>
      <c r="G616" s="105"/>
      <c r="H616" s="105">
        <f t="shared" si="9"/>
        <v>0</v>
      </c>
    </row>
    <row r="617" spans="1:8" x14ac:dyDescent="0.4">
      <c r="A617" s="115"/>
      <c r="B617" s="121"/>
      <c r="C617" s="102"/>
      <c r="D617" s="115"/>
      <c r="E617" s="115"/>
      <c r="F617" s="105"/>
      <c r="G617" s="105"/>
      <c r="H617" s="105">
        <f t="shared" si="9"/>
        <v>0</v>
      </c>
    </row>
    <row r="618" spans="1:8" x14ac:dyDescent="0.4">
      <c r="A618" s="115"/>
      <c r="B618" s="121"/>
      <c r="C618" s="102"/>
      <c r="D618" s="115"/>
      <c r="E618" s="115"/>
      <c r="F618" s="105"/>
      <c r="G618" s="105"/>
      <c r="H618" s="105">
        <f t="shared" si="9"/>
        <v>0</v>
      </c>
    </row>
    <row r="619" spans="1:8" x14ac:dyDescent="0.4">
      <c r="A619" s="115"/>
      <c r="B619" s="121"/>
      <c r="C619" s="102"/>
      <c r="D619" s="115"/>
      <c r="E619" s="115"/>
      <c r="F619" s="105"/>
      <c r="G619" s="105"/>
      <c r="H619" s="105">
        <f t="shared" si="9"/>
        <v>0</v>
      </c>
    </row>
    <row r="620" spans="1:8" x14ac:dyDescent="0.4">
      <c r="A620" s="115"/>
      <c r="B620" s="121"/>
      <c r="C620" s="102"/>
      <c r="D620" s="115"/>
      <c r="E620" s="115"/>
      <c r="F620" s="105"/>
      <c r="G620" s="105"/>
      <c r="H620" s="105">
        <f t="shared" si="9"/>
        <v>0</v>
      </c>
    </row>
    <row r="621" spans="1:8" x14ac:dyDescent="0.4">
      <c r="A621" s="115"/>
      <c r="B621" s="121"/>
      <c r="C621" s="102"/>
      <c r="D621" s="115"/>
      <c r="E621" s="115"/>
      <c r="F621" s="105"/>
      <c r="G621" s="105"/>
      <c r="H621" s="105">
        <f t="shared" si="9"/>
        <v>0</v>
      </c>
    </row>
    <row r="622" spans="1:8" x14ac:dyDescent="0.4">
      <c r="A622" s="115"/>
      <c r="B622" s="121"/>
      <c r="C622" s="102"/>
      <c r="D622" s="115"/>
      <c r="E622" s="115"/>
      <c r="F622" s="105"/>
      <c r="G622" s="105"/>
      <c r="H622" s="105">
        <f t="shared" si="9"/>
        <v>0</v>
      </c>
    </row>
    <row r="623" spans="1:8" x14ac:dyDescent="0.4">
      <c r="A623" s="115"/>
      <c r="B623" s="121"/>
      <c r="C623" s="102"/>
      <c r="D623" s="115"/>
      <c r="E623" s="115"/>
      <c r="F623" s="105"/>
      <c r="G623" s="105"/>
      <c r="H623" s="105">
        <f t="shared" si="9"/>
        <v>0</v>
      </c>
    </row>
    <row r="624" spans="1:8" x14ac:dyDescent="0.4">
      <c r="A624" s="115"/>
      <c r="B624" s="121"/>
      <c r="C624" s="102"/>
      <c r="D624" s="115"/>
      <c r="E624" s="115"/>
      <c r="F624" s="105"/>
      <c r="G624" s="105"/>
      <c r="H624" s="105">
        <f t="shared" si="9"/>
        <v>0</v>
      </c>
    </row>
    <row r="625" spans="1:8" x14ac:dyDescent="0.4">
      <c r="A625" s="115"/>
      <c r="B625" s="121"/>
      <c r="C625" s="102"/>
      <c r="D625" s="115"/>
      <c r="E625" s="115"/>
      <c r="F625" s="105"/>
      <c r="G625" s="105"/>
      <c r="H625" s="105">
        <f t="shared" si="9"/>
        <v>0</v>
      </c>
    </row>
    <row r="626" spans="1:8" x14ac:dyDescent="0.4">
      <c r="A626" s="115"/>
      <c r="B626" s="121"/>
      <c r="C626" s="102"/>
      <c r="D626" s="115"/>
      <c r="E626" s="115"/>
      <c r="F626" s="105"/>
      <c r="G626" s="105"/>
      <c r="H626" s="105">
        <f t="shared" si="9"/>
        <v>0</v>
      </c>
    </row>
    <row r="627" spans="1:8" x14ac:dyDescent="0.4">
      <c r="A627" s="115"/>
      <c r="B627" s="121"/>
      <c r="C627" s="102"/>
      <c r="D627" s="115"/>
      <c r="E627" s="115"/>
      <c r="F627" s="105"/>
      <c r="G627" s="105"/>
      <c r="H627" s="105">
        <f t="shared" si="9"/>
        <v>0</v>
      </c>
    </row>
    <row r="628" spans="1:8" x14ac:dyDescent="0.4">
      <c r="A628" s="115"/>
      <c r="B628" s="121"/>
      <c r="C628" s="102"/>
      <c r="D628" s="115"/>
      <c r="E628" s="115"/>
      <c r="F628" s="105"/>
      <c r="G628" s="105"/>
      <c r="H628" s="105">
        <f t="shared" si="9"/>
        <v>0</v>
      </c>
    </row>
    <row r="629" spans="1:8" x14ac:dyDescent="0.4">
      <c r="A629" s="115"/>
      <c r="B629" s="121"/>
      <c r="C629" s="102"/>
      <c r="D629" s="115"/>
      <c r="E629" s="115"/>
      <c r="F629" s="105"/>
      <c r="G629" s="105"/>
      <c r="H629" s="105">
        <f t="shared" si="9"/>
        <v>0</v>
      </c>
    </row>
    <row r="630" spans="1:8" x14ac:dyDescent="0.4">
      <c r="A630" s="115"/>
      <c r="B630" s="121"/>
      <c r="C630" s="102"/>
      <c r="D630" s="115"/>
      <c r="E630" s="115"/>
      <c r="F630" s="105"/>
      <c r="G630" s="105"/>
      <c r="H630" s="105">
        <f t="shared" si="9"/>
        <v>0</v>
      </c>
    </row>
    <row r="631" spans="1:8" x14ac:dyDescent="0.4">
      <c r="A631" s="115"/>
      <c r="B631" s="121"/>
      <c r="C631" s="102"/>
      <c r="D631" s="115"/>
      <c r="E631" s="115"/>
      <c r="F631" s="105"/>
      <c r="G631" s="105"/>
      <c r="H631" s="105">
        <f t="shared" si="9"/>
        <v>0</v>
      </c>
    </row>
    <row r="632" spans="1:8" x14ac:dyDescent="0.4">
      <c r="A632" s="115"/>
      <c r="B632" s="121"/>
      <c r="C632" s="102"/>
      <c r="D632" s="115"/>
      <c r="E632" s="115"/>
      <c r="F632" s="105"/>
      <c r="G632" s="105"/>
      <c r="H632" s="105">
        <f t="shared" si="9"/>
        <v>0</v>
      </c>
    </row>
    <row r="633" spans="1:8" x14ac:dyDescent="0.4">
      <c r="A633" s="115"/>
      <c r="B633" s="121"/>
      <c r="C633" s="102"/>
      <c r="D633" s="115"/>
      <c r="E633" s="115"/>
      <c r="F633" s="105"/>
      <c r="G633" s="105"/>
      <c r="H633" s="105">
        <f t="shared" si="9"/>
        <v>0</v>
      </c>
    </row>
    <row r="634" spans="1:8" x14ac:dyDescent="0.4">
      <c r="A634" s="115"/>
      <c r="B634" s="121"/>
      <c r="C634" s="102"/>
      <c r="D634" s="115"/>
      <c r="E634" s="115"/>
      <c r="F634" s="105"/>
      <c r="G634" s="105"/>
      <c r="H634" s="105">
        <f t="shared" si="9"/>
        <v>0</v>
      </c>
    </row>
    <row r="635" spans="1:8" x14ac:dyDescent="0.4">
      <c r="A635" s="115"/>
      <c r="B635" s="121"/>
      <c r="C635" s="102"/>
      <c r="D635" s="115"/>
      <c r="E635" s="115"/>
      <c r="F635" s="105"/>
      <c r="G635" s="105"/>
      <c r="H635" s="105">
        <f t="shared" si="9"/>
        <v>0</v>
      </c>
    </row>
    <row r="636" spans="1:8" x14ac:dyDescent="0.4">
      <c r="A636" s="115"/>
      <c r="B636" s="121"/>
      <c r="C636" s="102"/>
      <c r="D636" s="115"/>
      <c r="E636" s="115"/>
      <c r="F636" s="105"/>
      <c r="G636" s="105"/>
      <c r="H636" s="105">
        <f t="shared" si="9"/>
        <v>0</v>
      </c>
    </row>
    <row r="637" spans="1:8" x14ac:dyDescent="0.4">
      <c r="A637" s="115"/>
      <c r="B637" s="121"/>
      <c r="C637" s="102"/>
      <c r="D637" s="115"/>
      <c r="E637" s="115"/>
      <c r="F637" s="105"/>
      <c r="G637" s="105"/>
      <c r="H637" s="105">
        <f t="shared" si="9"/>
        <v>0</v>
      </c>
    </row>
    <row r="638" spans="1:8" x14ac:dyDescent="0.4">
      <c r="A638" s="115"/>
      <c r="B638" s="121"/>
      <c r="C638" s="102"/>
      <c r="D638" s="115"/>
      <c r="E638" s="115"/>
      <c r="F638" s="105"/>
      <c r="G638" s="105"/>
      <c r="H638" s="105">
        <f t="shared" si="9"/>
        <v>0</v>
      </c>
    </row>
    <row r="639" spans="1:8" x14ac:dyDescent="0.4">
      <c r="A639" s="115"/>
      <c r="B639" s="121"/>
      <c r="C639" s="102"/>
      <c r="D639" s="115"/>
      <c r="E639" s="115"/>
      <c r="F639" s="105"/>
      <c r="G639" s="105"/>
      <c r="H639" s="105">
        <f t="shared" si="9"/>
        <v>0</v>
      </c>
    </row>
    <row r="640" spans="1:8" x14ac:dyDescent="0.4">
      <c r="A640" s="115"/>
      <c r="B640" s="121"/>
      <c r="C640" s="102"/>
      <c r="D640" s="115"/>
      <c r="E640" s="115"/>
      <c r="F640" s="105"/>
      <c r="G640" s="105"/>
      <c r="H640" s="105">
        <f t="shared" si="9"/>
        <v>0</v>
      </c>
    </row>
    <row r="641" spans="1:8" x14ac:dyDescent="0.4">
      <c r="A641" s="115"/>
      <c r="B641" s="121"/>
      <c r="C641" s="102"/>
      <c r="D641" s="115"/>
      <c r="E641" s="115"/>
      <c r="F641" s="105"/>
      <c r="G641" s="105"/>
      <c r="H641" s="105">
        <f t="shared" si="9"/>
        <v>0</v>
      </c>
    </row>
    <row r="642" spans="1:8" x14ac:dyDescent="0.4">
      <c r="A642" s="115"/>
      <c r="B642" s="121"/>
      <c r="C642" s="102"/>
      <c r="D642" s="115"/>
      <c r="E642" s="115"/>
      <c r="F642" s="105"/>
      <c r="G642" s="105"/>
      <c r="H642" s="105">
        <f t="shared" si="9"/>
        <v>0</v>
      </c>
    </row>
    <row r="643" spans="1:8" x14ac:dyDescent="0.4">
      <c r="A643" s="115"/>
      <c r="B643" s="121"/>
      <c r="C643" s="102"/>
      <c r="D643" s="115"/>
      <c r="E643" s="115"/>
      <c r="F643" s="105"/>
      <c r="G643" s="105"/>
      <c r="H643" s="105">
        <f t="shared" si="9"/>
        <v>0</v>
      </c>
    </row>
    <row r="644" spans="1:8" x14ac:dyDescent="0.4">
      <c r="A644" s="115"/>
      <c r="B644" s="121"/>
      <c r="C644" s="102"/>
      <c r="D644" s="115"/>
      <c r="E644" s="115"/>
      <c r="F644" s="105"/>
      <c r="G644" s="105"/>
      <c r="H644" s="105">
        <f t="shared" si="9"/>
        <v>0</v>
      </c>
    </row>
    <row r="645" spans="1:8" x14ac:dyDescent="0.4">
      <c r="A645" s="115"/>
      <c r="B645" s="121"/>
      <c r="C645" s="102"/>
      <c r="D645" s="115"/>
      <c r="E645" s="115"/>
      <c r="F645" s="105"/>
      <c r="G645" s="105"/>
      <c r="H645" s="105">
        <f t="shared" si="9"/>
        <v>0</v>
      </c>
    </row>
    <row r="646" spans="1:8" x14ac:dyDescent="0.4">
      <c r="A646" s="115"/>
      <c r="B646" s="121"/>
      <c r="C646" s="102"/>
      <c r="D646" s="115"/>
      <c r="E646" s="115"/>
      <c r="F646" s="105"/>
      <c r="G646" s="105"/>
      <c r="H646" s="105">
        <f t="shared" si="9"/>
        <v>0</v>
      </c>
    </row>
    <row r="647" spans="1:8" x14ac:dyDescent="0.4">
      <c r="A647" s="115"/>
      <c r="B647" s="121"/>
      <c r="C647" s="102"/>
      <c r="D647" s="115"/>
      <c r="E647" s="115"/>
      <c r="F647" s="105"/>
      <c r="G647" s="105"/>
      <c r="H647" s="105">
        <f t="shared" si="9"/>
        <v>0</v>
      </c>
    </row>
    <row r="648" spans="1:8" x14ac:dyDescent="0.4">
      <c r="A648" s="115"/>
      <c r="B648" s="121"/>
      <c r="C648" s="102"/>
      <c r="D648" s="115"/>
      <c r="E648" s="115"/>
      <c r="F648" s="105"/>
      <c r="G648" s="105"/>
      <c r="H648" s="105">
        <f t="shared" si="9"/>
        <v>0</v>
      </c>
    </row>
    <row r="649" spans="1:8" x14ac:dyDescent="0.4">
      <c r="A649" s="115"/>
      <c r="B649" s="121"/>
      <c r="C649" s="102"/>
      <c r="D649" s="115"/>
      <c r="E649" s="115"/>
      <c r="F649" s="105"/>
      <c r="G649" s="105"/>
      <c r="H649" s="105">
        <f t="shared" si="9"/>
        <v>0</v>
      </c>
    </row>
    <row r="650" spans="1:8" x14ac:dyDescent="0.4">
      <c r="A650" s="115"/>
      <c r="B650" s="121"/>
      <c r="C650" s="102"/>
      <c r="D650" s="115"/>
      <c r="E650" s="115"/>
      <c r="F650" s="105"/>
      <c r="G650" s="105"/>
      <c r="H650" s="105">
        <f t="shared" si="9"/>
        <v>0</v>
      </c>
    </row>
    <row r="651" spans="1:8" x14ac:dyDescent="0.4">
      <c r="A651" s="115"/>
      <c r="B651" s="121"/>
      <c r="C651" s="102"/>
      <c r="D651" s="115"/>
      <c r="E651" s="115"/>
      <c r="F651" s="105"/>
      <c r="G651" s="105"/>
      <c r="H651" s="105">
        <f t="shared" si="9"/>
        <v>0</v>
      </c>
    </row>
    <row r="652" spans="1:8" x14ac:dyDescent="0.4">
      <c r="A652" s="115"/>
      <c r="B652" s="121"/>
      <c r="C652" s="102"/>
      <c r="D652" s="115"/>
      <c r="E652" s="115"/>
      <c r="F652" s="105"/>
      <c r="G652" s="105"/>
      <c r="H652" s="105">
        <f t="shared" si="9"/>
        <v>0</v>
      </c>
    </row>
    <row r="653" spans="1:8" x14ac:dyDescent="0.4">
      <c r="A653" s="115"/>
      <c r="B653" s="121"/>
      <c r="C653" s="102"/>
      <c r="D653" s="115"/>
      <c r="E653" s="115"/>
      <c r="F653" s="105"/>
      <c r="G653" s="105"/>
      <c r="H653" s="105">
        <f t="shared" si="9"/>
        <v>0</v>
      </c>
    </row>
    <row r="654" spans="1:8" x14ac:dyDescent="0.4">
      <c r="A654" s="115"/>
      <c r="B654" s="121"/>
      <c r="C654" s="102"/>
      <c r="D654" s="115"/>
      <c r="E654" s="115"/>
      <c r="F654" s="105"/>
      <c r="G654" s="105"/>
      <c r="H654" s="105">
        <f t="shared" si="9"/>
        <v>0</v>
      </c>
    </row>
    <row r="655" spans="1:8" x14ac:dyDescent="0.4">
      <c r="A655" s="115"/>
      <c r="B655" s="121"/>
      <c r="C655" s="102"/>
      <c r="D655" s="115"/>
      <c r="E655" s="115"/>
      <c r="F655" s="105"/>
      <c r="G655" s="105"/>
      <c r="H655" s="105">
        <f t="shared" si="9"/>
        <v>0</v>
      </c>
    </row>
    <row r="656" spans="1:8" x14ac:dyDescent="0.4">
      <c r="A656" s="115"/>
      <c r="B656" s="121"/>
      <c r="C656" s="102"/>
      <c r="D656" s="115"/>
      <c r="E656" s="115"/>
      <c r="F656" s="105"/>
      <c r="G656" s="105"/>
      <c r="H656" s="105">
        <f t="shared" ref="H656:H719" si="10">H655+F656-G656</f>
        <v>0</v>
      </c>
    </row>
    <row r="657" spans="1:8" x14ac:dyDescent="0.4">
      <c r="A657" s="115"/>
      <c r="B657" s="121"/>
      <c r="C657" s="102"/>
      <c r="D657" s="115"/>
      <c r="E657" s="115"/>
      <c r="F657" s="105"/>
      <c r="G657" s="105"/>
      <c r="H657" s="105">
        <f t="shared" si="10"/>
        <v>0</v>
      </c>
    </row>
    <row r="658" spans="1:8" x14ac:dyDescent="0.4">
      <c r="A658" s="115"/>
      <c r="B658" s="121"/>
      <c r="C658" s="102"/>
      <c r="D658" s="115"/>
      <c r="E658" s="115"/>
      <c r="F658" s="105"/>
      <c r="G658" s="105"/>
      <c r="H658" s="105">
        <f t="shared" si="10"/>
        <v>0</v>
      </c>
    </row>
    <row r="659" spans="1:8" x14ac:dyDescent="0.4">
      <c r="A659" s="115"/>
      <c r="B659" s="121"/>
      <c r="C659" s="102"/>
      <c r="D659" s="115"/>
      <c r="E659" s="115"/>
      <c r="F659" s="105"/>
      <c r="G659" s="105"/>
      <c r="H659" s="105">
        <f t="shared" si="10"/>
        <v>0</v>
      </c>
    </row>
    <row r="660" spans="1:8" x14ac:dyDescent="0.4">
      <c r="A660" s="115"/>
      <c r="B660" s="121"/>
      <c r="C660" s="102"/>
      <c r="D660" s="115"/>
      <c r="E660" s="115"/>
      <c r="F660" s="105"/>
      <c r="G660" s="105"/>
      <c r="H660" s="105">
        <f t="shared" si="10"/>
        <v>0</v>
      </c>
    </row>
    <row r="661" spans="1:8" x14ac:dyDescent="0.4">
      <c r="A661" s="115"/>
      <c r="B661" s="121"/>
      <c r="C661" s="102"/>
      <c r="D661" s="115"/>
      <c r="E661" s="115"/>
      <c r="F661" s="105"/>
      <c r="G661" s="105"/>
      <c r="H661" s="105">
        <f t="shared" si="10"/>
        <v>0</v>
      </c>
    </row>
    <row r="662" spans="1:8" x14ac:dyDescent="0.4">
      <c r="A662" s="115"/>
      <c r="B662" s="121"/>
      <c r="C662" s="102"/>
      <c r="D662" s="115"/>
      <c r="E662" s="115"/>
      <c r="F662" s="105"/>
      <c r="G662" s="105"/>
      <c r="H662" s="105">
        <f t="shared" si="10"/>
        <v>0</v>
      </c>
    </row>
    <row r="663" spans="1:8" x14ac:dyDescent="0.4">
      <c r="A663" s="115"/>
      <c r="B663" s="121"/>
      <c r="C663" s="102"/>
      <c r="D663" s="115"/>
      <c r="E663" s="115"/>
      <c r="F663" s="105"/>
      <c r="G663" s="105"/>
      <c r="H663" s="105">
        <f t="shared" si="10"/>
        <v>0</v>
      </c>
    </row>
    <row r="664" spans="1:8" x14ac:dyDescent="0.4">
      <c r="A664" s="115"/>
      <c r="B664" s="121"/>
      <c r="C664" s="102"/>
      <c r="D664" s="115"/>
      <c r="E664" s="115"/>
      <c r="F664" s="105"/>
      <c r="G664" s="105"/>
      <c r="H664" s="105">
        <f t="shared" si="10"/>
        <v>0</v>
      </c>
    </row>
    <row r="665" spans="1:8" x14ac:dyDescent="0.4">
      <c r="A665" s="115"/>
      <c r="B665" s="121"/>
      <c r="C665" s="102"/>
      <c r="D665" s="115"/>
      <c r="E665" s="115"/>
      <c r="F665" s="105"/>
      <c r="G665" s="105"/>
      <c r="H665" s="105">
        <f t="shared" si="10"/>
        <v>0</v>
      </c>
    </row>
    <row r="666" spans="1:8" x14ac:dyDescent="0.4">
      <c r="A666" s="115"/>
      <c r="B666" s="121"/>
      <c r="C666" s="102"/>
      <c r="D666" s="115"/>
      <c r="E666" s="115"/>
      <c r="F666" s="105"/>
      <c r="G666" s="105"/>
      <c r="H666" s="105">
        <f t="shared" si="10"/>
        <v>0</v>
      </c>
    </row>
    <row r="667" spans="1:8" x14ac:dyDescent="0.4">
      <c r="A667" s="115"/>
      <c r="B667" s="121"/>
      <c r="C667" s="102"/>
      <c r="D667" s="115"/>
      <c r="E667" s="115"/>
      <c r="F667" s="105"/>
      <c r="G667" s="105"/>
      <c r="H667" s="105">
        <f t="shared" si="10"/>
        <v>0</v>
      </c>
    </row>
    <row r="668" spans="1:8" x14ac:dyDescent="0.4">
      <c r="A668" s="115"/>
      <c r="B668" s="121"/>
      <c r="C668" s="102"/>
      <c r="D668" s="115"/>
      <c r="E668" s="115"/>
      <c r="F668" s="105"/>
      <c r="G668" s="105"/>
      <c r="H668" s="105">
        <f t="shared" si="10"/>
        <v>0</v>
      </c>
    </row>
    <row r="669" spans="1:8" x14ac:dyDescent="0.4">
      <c r="A669" s="115"/>
      <c r="B669" s="121"/>
      <c r="C669" s="102"/>
      <c r="D669" s="115"/>
      <c r="E669" s="115"/>
      <c r="F669" s="105"/>
      <c r="G669" s="105"/>
      <c r="H669" s="105">
        <f t="shared" si="10"/>
        <v>0</v>
      </c>
    </row>
    <row r="670" spans="1:8" x14ac:dyDescent="0.4">
      <c r="A670" s="115"/>
      <c r="B670" s="121"/>
      <c r="C670" s="102"/>
      <c r="D670" s="115"/>
      <c r="E670" s="115"/>
      <c r="F670" s="105"/>
      <c r="G670" s="105"/>
      <c r="H670" s="105">
        <f t="shared" si="10"/>
        <v>0</v>
      </c>
    </row>
    <row r="671" spans="1:8" x14ac:dyDescent="0.4">
      <c r="A671" s="115"/>
      <c r="B671" s="121"/>
      <c r="C671" s="102"/>
      <c r="D671" s="115"/>
      <c r="E671" s="115"/>
      <c r="F671" s="105"/>
      <c r="G671" s="105"/>
      <c r="H671" s="105">
        <f t="shared" si="10"/>
        <v>0</v>
      </c>
    </row>
    <row r="672" spans="1:8" x14ac:dyDescent="0.4">
      <c r="A672" s="115"/>
      <c r="B672" s="121"/>
      <c r="C672" s="102"/>
      <c r="D672" s="115"/>
      <c r="E672" s="115"/>
      <c r="F672" s="105"/>
      <c r="G672" s="105"/>
      <c r="H672" s="105">
        <f t="shared" si="10"/>
        <v>0</v>
      </c>
    </row>
    <row r="673" spans="1:8" x14ac:dyDescent="0.4">
      <c r="A673" s="115"/>
      <c r="B673" s="121"/>
      <c r="C673" s="102"/>
      <c r="D673" s="115"/>
      <c r="E673" s="115"/>
      <c r="F673" s="105"/>
      <c r="G673" s="105"/>
      <c r="H673" s="105">
        <f t="shared" si="10"/>
        <v>0</v>
      </c>
    </row>
    <row r="674" spans="1:8" x14ac:dyDescent="0.4">
      <c r="A674" s="115"/>
      <c r="B674" s="121"/>
      <c r="C674" s="102"/>
      <c r="D674" s="115"/>
      <c r="E674" s="115"/>
      <c r="F674" s="105"/>
      <c r="G674" s="105"/>
      <c r="H674" s="105">
        <f t="shared" si="10"/>
        <v>0</v>
      </c>
    </row>
    <row r="675" spans="1:8" x14ac:dyDescent="0.4">
      <c r="A675" s="115"/>
      <c r="B675" s="121"/>
      <c r="C675" s="102"/>
      <c r="D675" s="115"/>
      <c r="E675" s="115"/>
      <c r="F675" s="105"/>
      <c r="G675" s="105"/>
      <c r="H675" s="105">
        <f t="shared" si="10"/>
        <v>0</v>
      </c>
    </row>
    <row r="676" spans="1:8" x14ac:dyDescent="0.4">
      <c r="A676" s="115"/>
      <c r="B676" s="121"/>
      <c r="C676" s="102"/>
      <c r="D676" s="115"/>
      <c r="E676" s="115"/>
      <c r="F676" s="105"/>
      <c r="G676" s="105"/>
      <c r="H676" s="105">
        <f t="shared" si="10"/>
        <v>0</v>
      </c>
    </row>
    <row r="677" spans="1:8" x14ac:dyDescent="0.4">
      <c r="A677" s="115"/>
      <c r="B677" s="121"/>
      <c r="C677" s="102"/>
      <c r="D677" s="115"/>
      <c r="E677" s="115"/>
      <c r="F677" s="105"/>
      <c r="G677" s="105"/>
      <c r="H677" s="105">
        <f t="shared" si="10"/>
        <v>0</v>
      </c>
    </row>
    <row r="678" spans="1:8" x14ac:dyDescent="0.4">
      <c r="A678" s="115"/>
      <c r="B678" s="121"/>
      <c r="C678" s="102"/>
      <c r="D678" s="115"/>
      <c r="E678" s="115"/>
      <c r="F678" s="105"/>
      <c r="G678" s="105"/>
      <c r="H678" s="105">
        <f t="shared" si="10"/>
        <v>0</v>
      </c>
    </row>
    <row r="679" spans="1:8" x14ac:dyDescent="0.4">
      <c r="A679" s="115"/>
      <c r="B679" s="121"/>
      <c r="C679" s="102"/>
      <c r="D679" s="115"/>
      <c r="E679" s="115"/>
      <c r="F679" s="105"/>
      <c r="G679" s="105"/>
      <c r="H679" s="105">
        <f t="shared" si="10"/>
        <v>0</v>
      </c>
    </row>
    <row r="680" spans="1:8" x14ac:dyDescent="0.4">
      <c r="A680" s="115"/>
      <c r="B680" s="121"/>
      <c r="C680" s="102"/>
      <c r="D680" s="115"/>
      <c r="E680" s="115"/>
      <c r="F680" s="105"/>
      <c r="G680" s="105"/>
      <c r="H680" s="105">
        <f t="shared" si="10"/>
        <v>0</v>
      </c>
    </row>
    <row r="681" spans="1:8" x14ac:dyDescent="0.4">
      <c r="A681" s="115"/>
      <c r="B681" s="121"/>
      <c r="C681" s="102"/>
      <c r="D681" s="115"/>
      <c r="E681" s="115"/>
      <c r="F681" s="105"/>
      <c r="G681" s="105"/>
      <c r="H681" s="105">
        <f t="shared" si="10"/>
        <v>0</v>
      </c>
    </row>
    <row r="682" spans="1:8" x14ac:dyDescent="0.4">
      <c r="A682" s="115"/>
      <c r="B682" s="121"/>
      <c r="C682" s="102"/>
      <c r="D682" s="115"/>
      <c r="E682" s="115"/>
      <c r="F682" s="105"/>
      <c r="G682" s="105"/>
      <c r="H682" s="105">
        <f t="shared" si="10"/>
        <v>0</v>
      </c>
    </row>
    <row r="683" spans="1:8" x14ac:dyDescent="0.4">
      <c r="A683" s="115"/>
      <c r="B683" s="121"/>
      <c r="C683" s="102"/>
      <c r="D683" s="115"/>
      <c r="E683" s="115"/>
      <c r="F683" s="105"/>
      <c r="G683" s="105"/>
      <c r="H683" s="105">
        <f t="shared" si="10"/>
        <v>0</v>
      </c>
    </row>
    <row r="684" spans="1:8" x14ac:dyDescent="0.4">
      <c r="A684" s="115"/>
      <c r="B684" s="121"/>
      <c r="C684" s="102"/>
      <c r="D684" s="115"/>
      <c r="E684" s="115"/>
      <c r="F684" s="105"/>
      <c r="G684" s="105"/>
      <c r="H684" s="105">
        <f t="shared" si="10"/>
        <v>0</v>
      </c>
    </row>
    <row r="685" spans="1:8" x14ac:dyDescent="0.4">
      <c r="A685" s="115"/>
      <c r="B685" s="121"/>
      <c r="C685" s="102"/>
      <c r="D685" s="115"/>
      <c r="E685" s="115"/>
      <c r="F685" s="105"/>
      <c r="G685" s="105"/>
      <c r="H685" s="105">
        <f t="shared" si="10"/>
        <v>0</v>
      </c>
    </row>
    <row r="686" spans="1:8" x14ac:dyDescent="0.4">
      <c r="A686" s="115"/>
      <c r="B686" s="121"/>
      <c r="C686" s="102"/>
      <c r="D686" s="115"/>
      <c r="E686" s="115"/>
      <c r="F686" s="105"/>
      <c r="G686" s="105"/>
      <c r="H686" s="105">
        <f t="shared" si="10"/>
        <v>0</v>
      </c>
    </row>
    <row r="687" spans="1:8" x14ac:dyDescent="0.4">
      <c r="A687" s="115"/>
      <c r="B687" s="121"/>
      <c r="C687" s="102"/>
      <c r="D687" s="115"/>
      <c r="E687" s="115"/>
      <c r="F687" s="105"/>
      <c r="G687" s="105"/>
      <c r="H687" s="105">
        <f t="shared" si="10"/>
        <v>0</v>
      </c>
    </row>
    <row r="688" spans="1:8" x14ac:dyDescent="0.4">
      <c r="A688" s="115"/>
      <c r="B688" s="121"/>
      <c r="C688" s="102"/>
      <c r="D688" s="115"/>
      <c r="E688" s="115"/>
      <c r="F688" s="105"/>
      <c r="G688" s="105"/>
      <c r="H688" s="105">
        <f t="shared" si="10"/>
        <v>0</v>
      </c>
    </row>
    <row r="689" spans="1:8" x14ac:dyDescent="0.4">
      <c r="A689" s="115"/>
      <c r="B689" s="121"/>
      <c r="C689" s="102"/>
      <c r="D689" s="115"/>
      <c r="E689" s="115"/>
      <c r="F689" s="105"/>
      <c r="G689" s="105"/>
      <c r="H689" s="105">
        <f t="shared" si="10"/>
        <v>0</v>
      </c>
    </row>
    <row r="690" spans="1:8" x14ac:dyDescent="0.4">
      <c r="A690" s="115"/>
      <c r="B690" s="121"/>
      <c r="C690" s="102"/>
      <c r="D690" s="115"/>
      <c r="E690" s="115"/>
      <c r="F690" s="105"/>
      <c r="G690" s="105"/>
      <c r="H690" s="105">
        <f t="shared" si="10"/>
        <v>0</v>
      </c>
    </row>
    <row r="691" spans="1:8" x14ac:dyDescent="0.4">
      <c r="A691" s="115"/>
      <c r="B691" s="121"/>
      <c r="C691" s="102"/>
      <c r="D691" s="115"/>
      <c r="E691" s="115"/>
      <c r="F691" s="105"/>
      <c r="G691" s="105"/>
      <c r="H691" s="105">
        <f t="shared" si="10"/>
        <v>0</v>
      </c>
    </row>
    <row r="692" spans="1:8" x14ac:dyDescent="0.4">
      <c r="A692" s="115"/>
      <c r="B692" s="121"/>
      <c r="C692" s="102"/>
      <c r="D692" s="115"/>
      <c r="E692" s="115"/>
      <c r="F692" s="105"/>
      <c r="G692" s="105"/>
      <c r="H692" s="105">
        <f t="shared" si="10"/>
        <v>0</v>
      </c>
    </row>
    <row r="693" spans="1:8" x14ac:dyDescent="0.4">
      <c r="A693" s="115"/>
      <c r="B693" s="121"/>
      <c r="C693" s="102"/>
      <c r="D693" s="115"/>
      <c r="E693" s="115"/>
      <c r="F693" s="105"/>
      <c r="G693" s="105"/>
      <c r="H693" s="105">
        <f t="shared" si="10"/>
        <v>0</v>
      </c>
    </row>
    <row r="694" spans="1:8" x14ac:dyDescent="0.4">
      <c r="A694" s="115"/>
      <c r="B694" s="121"/>
      <c r="C694" s="102"/>
      <c r="D694" s="115"/>
      <c r="E694" s="115"/>
      <c r="F694" s="105"/>
      <c r="G694" s="105"/>
      <c r="H694" s="105">
        <f t="shared" si="10"/>
        <v>0</v>
      </c>
    </row>
    <row r="695" spans="1:8" x14ac:dyDescent="0.4">
      <c r="A695" s="115"/>
      <c r="B695" s="121"/>
      <c r="C695" s="102"/>
      <c r="D695" s="115"/>
      <c r="E695" s="115"/>
      <c r="F695" s="105"/>
      <c r="G695" s="105"/>
      <c r="H695" s="105">
        <f t="shared" si="10"/>
        <v>0</v>
      </c>
    </row>
    <row r="696" spans="1:8" x14ac:dyDescent="0.4">
      <c r="A696" s="115"/>
      <c r="B696" s="121"/>
      <c r="C696" s="102"/>
      <c r="D696" s="115"/>
      <c r="E696" s="115"/>
      <c r="F696" s="105"/>
      <c r="G696" s="105"/>
      <c r="H696" s="105">
        <f t="shared" si="10"/>
        <v>0</v>
      </c>
    </row>
    <row r="697" spans="1:8" x14ac:dyDescent="0.4">
      <c r="A697" s="115"/>
      <c r="B697" s="121"/>
      <c r="C697" s="102"/>
      <c r="D697" s="115"/>
      <c r="E697" s="115"/>
      <c r="F697" s="105"/>
      <c r="G697" s="105"/>
      <c r="H697" s="105">
        <f t="shared" si="10"/>
        <v>0</v>
      </c>
    </row>
    <row r="698" spans="1:8" x14ac:dyDescent="0.4">
      <c r="A698" s="115"/>
      <c r="B698" s="121"/>
      <c r="C698" s="102"/>
      <c r="D698" s="115"/>
      <c r="E698" s="115"/>
      <c r="F698" s="105"/>
      <c r="G698" s="105"/>
      <c r="H698" s="105">
        <f t="shared" si="10"/>
        <v>0</v>
      </c>
    </row>
    <row r="699" spans="1:8" x14ac:dyDescent="0.4">
      <c r="A699" s="115"/>
      <c r="B699" s="121"/>
      <c r="C699" s="102"/>
      <c r="D699" s="115"/>
      <c r="E699" s="115"/>
      <c r="F699" s="105"/>
      <c r="G699" s="105"/>
      <c r="H699" s="105">
        <f t="shared" si="10"/>
        <v>0</v>
      </c>
    </row>
    <row r="700" spans="1:8" x14ac:dyDescent="0.4">
      <c r="A700" s="115"/>
      <c r="B700" s="121"/>
      <c r="C700" s="102"/>
      <c r="D700" s="115"/>
      <c r="E700" s="115"/>
      <c r="F700" s="105"/>
      <c r="G700" s="105"/>
      <c r="H700" s="105">
        <f t="shared" si="10"/>
        <v>0</v>
      </c>
    </row>
    <row r="701" spans="1:8" x14ac:dyDescent="0.4">
      <c r="A701" s="115"/>
      <c r="B701" s="121"/>
      <c r="C701" s="102"/>
      <c r="D701" s="115"/>
      <c r="E701" s="115"/>
      <c r="F701" s="105"/>
      <c r="G701" s="105"/>
      <c r="H701" s="105">
        <f t="shared" si="10"/>
        <v>0</v>
      </c>
    </row>
    <row r="702" spans="1:8" x14ac:dyDescent="0.4">
      <c r="A702" s="115"/>
      <c r="B702" s="121"/>
      <c r="C702" s="102"/>
      <c r="D702" s="115"/>
      <c r="E702" s="115"/>
      <c r="F702" s="105"/>
      <c r="G702" s="105"/>
      <c r="H702" s="105">
        <f t="shared" si="10"/>
        <v>0</v>
      </c>
    </row>
    <row r="703" spans="1:8" x14ac:dyDescent="0.4">
      <c r="A703" s="115"/>
      <c r="B703" s="121"/>
      <c r="C703" s="102"/>
      <c r="D703" s="115"/>
      <c r="E703" s="115"/>
      <c r="F703" s="105"/>
      <c r="G703" s="105"/>
      <c r="H703" s="105">
        <f t="shared" si="10"/>
        <v>0</v>
      </c>
    </row>
    <row r="704" spans="1:8" x14ac:dyDescent="0.4">
      <c r="A704" s="115"/>
      <c r="B704" s="121"/>
      <c r="C704" s="102"/>
      <c r="D704" s="115"/>
      <c r="E704" s="115"/>
      <c r="F704" s="105"/>
      <c r="G704" s="105"/>
      <c r="H704" s="105">
        <f t="shared" si="10"/>
        <v>0</v>
      </c>
    </row>
    <row r="705" spans="1:8" x14ac:dyDescent="0.4">
      <c r="A705" s="115"/>
      <c r="B705" s="121"/>
      <c r="C705" s="102"/>
      <c r="D705" s="115"/>
      <c r="E705" s="115"/>
      <c r="F705" s="105"/>
      <c r="G705" s="105"/>
      <c r="H705" s="105">
        <f t="shared" si="10"/>
        <v>0</v>
      </c>
    </row>
    <row r="706" spans="1:8" x14ac:dyDescent="0.4">
      <c r="A706" s="115"/>
      <c r="B706" s="121"/>
      <c r="C706" s="102"/>
      <c r="D706" s="115"/>
      <c r="E706" s="115"/>
      <c r="F706" s="105"/>
      <c r="G706" s="105"/>
      <c r="H706" s="105">
        <f t="shared" si="10"/>
        <v>0</v>
      </c>
    </row>
    <row r="707" spans="1:8" x14ac:dyDescent="0.4">
      <c r="A707" s="115"/>
      <c r="B707" s="121"/>
      <c r="C707" s="102"/>
      <c r="D707" s="115"/>
      <c r="E707" s="115"/>
      <c r="F707" s="105"/>
      <c r="G707" s="105"/>
      <c r="H707" s="105">
        <f t="shared" si="10"/>
        <v>0</v>
      </c>
    </row>
    <row r="708" spans="1:8" x14ac:dyDescent="0.4">
      <c r="A708" s="115"/>
      <c r="B708" s="121"/>
      <c r="C708" s="102"/>
      <c r="D708" s="115"/>
      <c r="E708" s="115"/>
      <c r="F708" s="105"/>
      <c r="G708" s="105"/>
      <c r="H708" s="105">
        <f t="shared" si="10"/>
        <v>0</v>
      </c>
    </row>
    <row r="709" spans="1:8" x14ac:dyDescent="0.4">
      <c r="A709" s="115"/>
      <c r="B709" s="121"/>
      <c r="C709" s="102"/>
      <c r="D709" s="115"/>
      <c r="E709" s="115"/>
      <c r="F709" s="105"/>
      <c r="G709" s="105"/>
      <c r="H709" s="105">
        <f t="shared" si="10"/>
        <v>0</v>
      </c>
    </row>
    <row r="710" spans="1:8" x14ac:dyDescent="0.4">
      <c r="A710" s="115"/>
      <c r="B710" s="121"/>
      <c r="C710" s="102"/>
      <c r="D710" s="115"/>
      <c r="E710" s="115"/>
      <c r="F710" s="105"/>
      <c r="G710" s="105"/>
      <c r="H710" s="105">
        <f t="shared" si="10"/>
        <v>0</v>
      </c>
    </row>
    <row r="711" spans="1:8" x14ac:dyDescent="0.4">
      <c r="A711" s="115"/>
      <c r="B711" s="121"/>
      <c r="C711" s="102"/>
      <c r="D711" s="115"/>
      <c r="E711" s="115"/>
      <c r="F711" s="105"/>
      <c r="G711" s="105"/>
      <c r="H711" s="105">
        <f t="shared" si="10"/>
        <v>0</v>
      </c>
    </row>
    <row r="712" spans="1:8" x14ac:dyDescent="0.4">
      <c r="A712" s="115"/>
      <c r="B712" s="121"/>
      <c r="C712" s="102"/>
      <c r="D712" s="115"/>
      <c r="E712" s="115"/>
      <c r="F712" s="105"/>
      <c r="G712" s="105"/>
      <c r="H712" s="105">
        <f t="shared" si="10"/>
        <v>0</v>
      </c>
    </row>
    <row r="713" spans="1:8" x14ac:dyDescent="0.4">
      <c r="A713" s="115"/>
      <c r="B713" s="121"/>
      <c r="C713" s="102"/>
      <c r="D713" s="115"/>
      <c r="E713" s="115"/>
      <c r="F713" s="105"/>
      <c r="G713" s="105"/>
      <c r="H713" s="105">
        <f t="shared" si="10"/>
        <v>0</v>
      </c>
    </row>
    <row r="714" spans="1:8" x14ac:dyDescent="0.4">
      <c r="A714" s="115"/>
      <c r="B714" s="121"/>
      <c r="C714" s="102"/>
      <c r="D714" s="115"/>
      <c r="E714" s="115"/>
      <c r="F714" s="105"/>
      <c r="G714" s="105"/>
      <c r="H714" s="105">
        <f t="shared" si="10"/>
        <v>0</v>
      </c>
    </row>
    <row r="715" spans="1:8" x14ac:dyDescent="0.4">
      <c r="A715" s="115"/>
      <c r="B715" s="121"/>
      <c r="C715" s="102"/>
      <c r="D715" s="115"/>
      <c r="E715" s="115"/>
      <c r="F715" s="105"/>
      <c r="G715" s="105"/>
      <c r="H715" s="105">
        <f t="shared" si="10"/>
        <v>0</v>
      </c>
    </row>
    <row r="716" spans="1:8" x14ac:dyDescent="0.4">
      <c r="A716" s="115"/>
      <c r="B716" s="121"/>
      <c r="C716" s="102"/>
      <c r="D716" s="115"/>
      <c r="E716" s="115"/>
      <c r="F716" s="105"/>
      <c r="G716" s="105"/>
      <c r="H716" s="105">
        <f t="shared" si="10"/>
        <v>0</v>
      </c>
    </row>
    <row r="717" spans="1:8" x14ac:dyDescent="0.4">
      <c r="A717" s="115"/>
      <c r="B717" s="121"/>
      <c r="C717" s="102"/>
      <c r="D717" s="115"/>
      <c r="E717" s="115"/>
      <c r="F717" s="105"/>
      <c r="G717" s="105"/>
      <c r="H717" s="105">
        <f t="shared" si="10"/>
        <v>0</v>
      </c>
    </row>
    <row r="718" spans="1:8" x14ac:dyDescent="0.4">
      <c r="A718" s="115"/>
      <c r="B718" s="121"/>
      <c r="C718" s="102"/>
      <c r="D718" s="115"/>
      <c r="E718" s="115"/>
      <c r="F718" s="105"/>
      <c r="G718" s="105"/>
      <c r="H718" s="105">
        <f t="shared" si="10"/>
        <v>0</v>
      </c>
    </row>
    <row r="719" spans="1:8" x14ac:dyDescent="0.4">
      <c r="A719" s="115"/>
      <c r="B719" s="121"/>
      <c r="C719" s="102"/>
      <c r="D719" s="115"/>
      <c r="E719" s="115"/>
      <c r="F719" s="105"/>
      <c r="G719" s="105"/>
      <c r="H719" s="105">
        <f t="shared" si="10"/>
        <v>0</v>
      </c>
    </row>
    <row r="720" spans="1:8" x14ac:dyDescent="0.4">
      <c r="A720" s="115"/>
      <c r="B720" s="121"/>
      <c r="C720" s="102"/>
      <c r="D720" s="115"/>
      <c r="E720" s="115"/>
      <c r="F720" s="105"/>
      <c r="G720" s="105"/>
      <c r="H720" s="105">
        <f t="shared" ref="H720:H783" si="11">H719+F720-G720</f>
        <v>0</v>
      </c>
    </row>
    <row r="721" spans="1:8" x14ac:dyDescent="0.4">
      <c r="A721" s="115"/>
      <c r="B721" s="121"/>
      <c r="C721" s="102"/>
      <c r="D721" s="115"/>
      <c r="E721" s="115"/>
      <c r="F721" s="105"/>
      <c r="G721" s="105"/>
      <c r="H721" s="105">
        <f t="shared" si="11"/>
        <v>0</v>
      </c>
    </row>
    <row r="722" spans="1:8" x14ac:dyDescent="0.4">
      <c r="A722" s="115"/>
      <c r="B722" s="121"/>
      <c r="C722" s="102"/>
      <c r="D722" s="115"/>
      <c r="E722" s="115"/>
      <c r="F722" s="105"/>
      <c r="G722" s="105"/>
      <c r="H722" s="105">
        <f t="shared" si="11"/>
        <v>0</v>
      </c>
    </row>
    <row r="723" spans="1:8" x14ac:dyDescent="0.4">
      <c r="A723" s="115"/>
      <c r="B723" s="121"/>
      <c r="C723" s="102"/>
      <c r="D723" s="115"/>
      <c r="E723" s="115"/>
      <c r="F723" s="105"/>
      <c r="G723" s="105"/>
      <c r="H723" s="105">
        <f t="shared" si="11"/>
        <v>0</v>
      </c>
    </row>
    <row r="724" spans="1:8" x14ac:dyDescent="0.4">
      <c r="A724" s="115"/>
      <c r="B724" s="121"/>
      <c r="C724" s="102"/>
      <c r="D724" s="115"/>
      <c r="E724" s="115"/>
      <c r="F724" s="105"/>
      <c r="G724" s="105"/>
      <c r="H724" s="105">
        <f t="shared" si="11"/>
        <v>0</v>
      </c>
    </row>
    <row r="725" spans="1:8" x14ac:dyDescent="0.4">
      <c r="A725" s="115"/>
      <c r="B725" s="121"/>
      <c r="C725" s="102"/>
      <c r="D725" s="115"/>
      <c r="E725" s="115"/>
      <c r="F725" s="105"/>
      <c r="G725" s="105"/>
      <c r="H725" s="105">
        <f t="shared" si="11"/>
        <v>0</v>
      </c>
    </row>
    <row r="726" spans="1:8" x14ac:dyDescent="0.4">
      <c r="A726" s="115"/>
      <c r="B726" s="121"/>
      <c r="C726" s="102"/>
      <c r="D726" s="115"/>
      <c r="E726" s="115"/>
      <c r="F726" s="105"/>
      <c r="G726" s="105"/>
      <c r="H726" s="105">
        <f t="shared" si="11"/>
        <v>0</v>
      </c>
    </row>
    <row r="727" spans="1:8" x14ac:dyDescent="0.4">
      <c r="A727" s="115"/>
      <c r="B727" s="121"/>
      <c r="C727" s="102"/>
      <c r="D727" s="115"/>
      <c r="E727" s="115"/>
      <c r="F727" s="105"/>
      <c r="G727" s="105"/>
      <c r="H727" s="105">
        <f t="shared" si="11"/>
        <v>0</v>
      </c>
    </row>
    <row r="728" spans="1:8" x14ac:dyDescent="0.4">
      <c r="A728" s="115"/>
      <c r="B728" s="121"/>
      <c r="C728" s="102"/>
      <c r="D728" s="115"/>
      <c r="E728" s="115"/>
      <c r="F728" s="105"/>
      <c r="G728" s="105"/>
      <c r="H728" s="105">
        <f t="shared" si="11"/>
        <v>0</v>
      </c>
    </row>
    <row r="729" spans="1:8" x14ac:dyDescent="0.4">
      <c r="A729" s="115"/>
      <c r="B729" s="121"/>
      <c r="C729" s="102"/>
      <c r="D729" s="115"/>
      <c r="E729" s="115"/>
      <c r="F729" s="105"/>
      <c r="G729" s="105"/>
      <c r="H729" s="105">
        <f t="shared" si="11"/>
        <v>0</v>
      </c>
    </row>
    <row r="730" spans="1:8" x14ac:dyDescent="0.4">
      <c r="A730" s="115"/>
      <c r="B730" s="121"/>
      <c r="C730" s="102"/>
      <c r="D730" s="115"/>
      <c r="E730" s="115"/>
      <c r="F730" s="105"/>
      <c r="G730" s="105"/>
      <c r="H730" s="105">
        <f t="shared" si="11"/>
        <v>0</v>
      </c>
    </row>
    <row r="731" spans="1:8" x14ac:dyDescent="0.4">
      <c r="A731" s="115"/>
      <c r="B731" s="121"/>
      <c r="C731" s="102"/>
      <c r="D731" s="115"/>
      <c r="E731" s="115"/>
      <c r="F731" s="105"/>
      <c r="G731" s="105"/>
      <c r="H731" s="105">
        <f t="shared" si="11"/>
        <v>0</v>
      </c>
    </row>
    <row r="732" spans="1:8" x14ac:dyDescent="0.4">
      <c r="A732" s="115"/>
      <c r="B732" s="121"/>
      <c r="C732" s="102"/>
      <c r="D732" s="115"/>
      <c r="E732" s="115"/>
      <c r="F732" s="105"/>
      <c r="G732" s="105"/>
      <c r="H732" s="105">
        <f t="shared" si="11"/>
        <v>0</v>
      </c>
    </row>
    <row r="733" spans="1:8" x14ac:dyDescent="0.4">
      <c r="A733" s="115"/>
      <c r="B733" s="121"/>
      <c r="C733" s="102"/>
      <c r="D733" s="115"/>
      <c r="E733" s="115"/>
      <c r="F733" s="105"/>
      <c r="G733" s="105"/>
      <c r="H733" s="105">
        <f t="shared" si="11"/>
        <v>0</v>
      </c>
    </row>
    <row r="734" spans="1:8" x14ac:dyDescent="0.4">
      <c r="A734" s="115"/>
      <c r="B734" s="121"/>
      <c r="C734" s="102"/>
      <c r="D734" s="115"/>
      <c r="E734" s="115"/>
      <c r="F734" s="105"/>
      <c r="G734" s="105"/>
      <c r="H734" s="105">
        <f t="shared" si="11"/>
        <v>0</v>
      </c>
    </row>
    <row r="735" spans="1:8" x14ac:dyDescent="0.4">
      <c r="A735" s="115"/>
      <c r="B735" s="121"/>
      <c r="C735" s="102"/>
      <c r="D735" s="115"/>
      <c r="E735" s="115"/>
      <c r="F735" s="105"/>
      <c r="G735" s="105"/>
      <c r="H735" s="105">
        <f t="shared" si="11"/>
        <v>0</v>
      </c>
    </row>
    <row r="736" spans="1:8" x14ac:dyDescent="0.4">
      <c r="A736" s="115"/>
      <c r="B736" s="121"/>
      <c r="C736" s="102"/>
      <c r="D736" s="115"/>
      <c r="E736" s="115"/>
      <c r="F736" s="105"/>
      <c r="G736" s="105"/>
      <c r="H736" s="105">
        <f t="shared" si="11"/>
        <v>0</v>
      </c>
    </row>
    <row r="737" spans="1:8" x14ac:dyDescent="0.4">
      <c r="A737" s="115"/>
      <c r="B737" s="121"/>
      <c r="C737" s="102"/>
      <c r="D737" s="115"/>
      <c r="E737" s="115"/>
      <c r="F737" s="105"/>
      <c r="G737" s="105"/>
      <c r="H737" s="105">
        <f t="shared" si="11"/>
        <v>0</v>
      </c>
    </row>
    <row r="738" spans="1:8" x14ac:dyDescent="0.4">
      <c r="A738" s="115"/>
      <c r="B738" s="121"/>
      <c r="C738" s="102"/>
      <c r="D738" s="115"/>
      <c r="E738" s="115"/>
      <c r="F738" s="105"/>
      <c r="G738" s="105"/>
      <c r="H738" s="105">
        <f t="shared" si="11"/>
        <v>0</v>
      </c>
    </row>
    <row r="739" spans="1:8" x14ac:dyDescent="0.4">
      <c r="A739" s="115"/>
      <c r="B739" s="121"/>
      <c r="C739" s="102"/>
      <c r="D739" s="115"/>
      <c r="E739" s="115"/>
      <c r="F739" s="105"/>
      <c r="G739" s="105"/>
      <c r="H739" s="105">
        <f t="shared" si="11"/>
        <v>0</v>
      </c>
    </row>
    <row r="740" spans="1:8" x14ac:dyDescent="0.4">
      <c r="A740" s="115"/>
      <c r="B740" s="121"/>
      <c r="C740" s="102"/>
      <c r="D740" s="115"/>
      <c r="E740" s="115"/>
      <c r="F740" s="105"/>
      <c r="G740" s="105"/>
      <c r="H740" s="105">
        <f t="shared" si="11"/>
        <v>0</v>
      </c>
    </row>
    <row r="741" spans="1:8" x14ac:dyDescent="0.4">
      <c r="A741" s="115"/>
      <c r="B741" s="121"/>
      <c r="C741" s="102"/>
      <c r="D741" s="115"/>
      <c r="E741" s="115"/>
      <c r="F741" s="105"/>
      <c r="G741" s="105"/>
      <c r="H741" s="105">
        <f t="shared" si="11"/>
        <v>0</v>
      </c>
    </row>
    <row r="742" spans="1:8" x14ac:dyDescent="0.4">
      <c r="A742" s="115"/>
      <c r="B742" s="121"/>
      <c r="C742" s="102"/>
      <c r="D742" s="115"/>
      <c r="E742" s="115"/>
      <c r="F742" s="105"/>
      <c r="G742" s="105"/>
      <c r="H742" s="105">
        <f t="shared" si="11"/>
        <v>0</v>
      </c>
    </row>
    <row r="743" spans="1:8" x14ac:dyDescent="0.4">
      <c r="A743" s="115"/>
      <c r="B743" s="121"/>
      <c r="C743" s="102"/>
      <c r="D743" s="115"/>
      <c r="E743" s="115"/>
      <c r="F743" s="105"/>
      <c r="G743" s="105"/>
      <c r="H743" s="105">
        <f t="shared" si="11"/>
        <v>0</v>
      </c>
    </row>
    <row r="744" spans="1:8" x14ac:dyDescent="0.4">
      <c r="A744" s="115"/>
      <c r="B744" s="121"/>
      <c r="C744" s="102"/>
      <c r="D744" s="115"/>
      <c r="E744" s="115"/>
      <c r="F744" s="105"/>
      <c r="G744" s="105"/>
      <c r="H744" s="105">
        <f t="shared" si="11"/>
        <v>0</v>
      </c>
    </row>
    <row r="745" spans="1:8" x14ac:dyDescent="0.4">
      <c r="A745" s="115"/>
      <c r="B745" s="121"/>
      <c r="C745" s="102"/>
      <c r="D745" s="115"/>
      <c r="E745" s="115"/>
      <c r="F745" s="105"/>
      <c r="G745" s="105"/>
      <c r="H745" s="105">
        <f t="shared" si="11"/>
        <v>0</v>
      </c>
    </row>
    <row r="746" spans="1:8" x14ac:dyDescent="0.4">
      <c r="A746" s="115"/>
      <c r="B746" s="121"/>
      <c r="C746" s="102"/>
      <c r="D746" s="115"/>
      <c r="E746" s="115"/>
      <c r="F746" s="105"/>
      <c r="G746" s="105"/>
      <c r="H746" s="105">
        <f t="shared" si="11"/>
        <v>0</v>
      </c>
    </row>
    <row r="747" spans="1:8" x14ac:dyDescent="0.4">
      <c r="A747" s="115"/>
      <c r="B747" s="121"/>
      <c r="C747" s="102"/>
      <c r="D747" s="115"/>
      <c r="E747" s="115"/>
      <c r="F747" s="105"/>
      <c r="G747" s="105"/>
      <c r="H747" s="105">
        <f t="shared" si="11"/>
        <v>0</v>
      </c>
    </row>
    <row r="748" spans="1:8" x14ac:dyDescent="0.4">
      <c r="A748" s="115"/>
      <c r="B748" s="121"/>
      <c r="C748" s="102"/>
      <c r="D748" s="115"/>
      <c r="E748" s="115"/>
      <c r="F748" s="105"/>
      <c r="G748" s="105"/>
      <c r="H748" s="105">
        <f t="shared" si="11"/>
        <v>0</v>
      </c>
    </row>
    <row r="749" spans="1:8" x14ac:dyDescent="0.4">
      <c r="A749" s="115"/>
      <c r="B749" s="121"/>
      <c r="C749" s="102"/>
      <c r="D749" s="115"/>
      <c r="E749" s="115"/>
      <c r="F749" s="105"/>
      <c r="G749" s="105"/>
      <c r="H749" s="105">
        <f t="shared" si="11"/>
        <v>0</v>
      </c>
    </row>
    <row r="750" spans="1:8" x14ac:dyDescent="0.4">
      <c r="A750" s="115"/>
      <c r="B750" s="121"/>
      <c r="C750" s="102"/>
      <c r="D750" s="115"/>
      <c r="E750" s="115"/>
      <c r="F750" s="105"/>
      <c r="G750" s="105"/>
      <c r="H750" s="105">
        <f t="shared" si="11"/>
        <v>0</v>
      </c>
    </row>
    <row r="751" spans="1:8" x14ac:dyDescent="0.4">
      <c r="A751" s="115"/>
      <c r="B751" s="121"/>
      <c r="C751" s="102"/>
      <c r="D751" s="115"/>
      <c r="E751" s="115"/>
      <c r="F751" s="105"/>
      <c r="G751" s="105"/>
      <c r="H751" s="105">
        <f t="shared" si="11"/>
        <v>0</v>
      </c>
    </row>
    <row r="752" spans="1:8" x14ac:dyDescent="0.4">
      <c r="A752" s="115"/>
      <c r="B752" s="121"/>
      <c r="C752" s="102"/>
      <c r="D752" s="115"/>
      <c r="E752" s="115"/>
      <c r="F752" s="105"/>
      <c r="G752" s="105"/>
      <c r="H752" s="105">
        <f t="shared" si="11"/>
        <v>0</v>
      </c>
    </row>
    <row r="753" spans="1:8" x14ac:dyDescent="0.4">
      <c r="A753" s="115"/>
      <c r="B753" s="121"/>
      <c r="C753" s="102"/>
      <c r="D753" s="115"/>
      <c r="E753" s="115"/>
      <c r="F753" s="105"/>
      <c r="G753" s="105"/>
      <c r="H753" s="105">
        <f t="shared" si="11"/>
        <v>0</v>
      </c>
    </row>
    <row r="754" spans="1:8" x14ac:dyDescent="0.4">
      <c r="A754" s="115"/>
      <c r="B754" s="121"/>
      <c r="C754" s="102"/>
      <c r="D754" s="115"/>
      <c r="E754" s="115"/>
      <c r="F754" s="105"/>
      <c r="G754" s="105"/>
      <c r="H754" s="105">
        <f t="shared" si="11"/>
        <v>0</v>
      </c>
    </row>
    <row r="755" spans="1:8" x14ac:dyDescent="0.4">
      <c r="A755" s="115"/>
      <c r="B755" s="121"/>
      <c r="C755" s="102"/>
      <c r="D755" s="115"/>
      <c r="E755" s="115"/>
      <c r="F755" s="105"/>
      <c r="G755" s="105"/>
      <c r="H755" s="105">
        <f t="shared" si="11"/>
        <v>0</v>
      </c>
    </row>
    <row r="756" spans="1:8" x14ac:dyDescent="0.4">
      <c r="A756" s="115"/>
      <c r="B756" s="121"/>
      <c r="C756" s="102"/>
      <c r="D756" s="115"/>
      <c r="E756" s="115"/>
      <c r="F756" s="105"/>
      <c r="G756" s="105"/>
      <c r="H756" s="105">
        <f t="shared" si="11"/>
        <v>0</v>
      </c>
    </row>
    <row r="757" spans="1:8" x14ac:dyDescent="0.4">
      <c r="A757" s="115"/>
      <c r="B757" s="121"/>
      <c r="C757" s="102"/>
      <c r="D757" s="115"/>
      <c r="E757" s="115"/>
      <c r="F757" s="105"/>
      <c r="G757" s="105"/>
      <c r="H757" s="105">
        <f t="shared" si="11"/>
        <v>0</v>
      </c>
    </row>
    <row r="758" spans="1:8" x14ac:dyDescent="0.4">
      <c r="A758" s="115"/>
      <c r="B758" s="121"/>
      <c r="C758" s="102"/>
      <c r="D758" s="115"/>
      <c r="E758" s="115"/>
      <c r="F758" s="105"/>
      <c r="G758" s="105"/>
      <c r="H758" s="105">
        <f t="shared" si="11"/>
        <v>0</v>
      </c>
    </row>
    <row r="759" spans="1:8" x14ac:dyDescent="0.4">
      <c r="A759" s="115"/>
      <c r="B759" s="121"/>
      <c r="C759" s="102"/>
      <c r="D759" s="115"/>
      <c r="E759" s="115"/>
      <c r="F759" s="105"/>
      <c r="G759" s="105"/>
      <c r="H759" s="105">
        <f t="shared" si="11"/>
        <v>0</v>
      </c>
    </row>
    <row r="760" spans="1:8" x14ac:dyDescent="0.4">
      <c r="A760" s="115"/>
      <c r="B760" s="121"/>
      <c r="C760" s="102"/>
      <c r="D760" s="115"/>
      <c r="E760" s="115"/>
      <c r="F760" s="105"/>
      <c r="G760" s="105"/>
      <c r="H760" s="105">
        <f t="shared" si="11"/>
        <v>0</v>
      </c>
    </row>
    <row r="761" spans="1:8" x14ac:dyDescent="0.4">
      <c r="A761" s="115"/>
      <c r="B761" s="121"/>
      <c r="C761" s="102"/>
      <c r="D761" s="115"/>
      <c r="E761" s="115"/>
      <c r="F761" s="105"/>
      <c r="G761" s="105"/>
      <c r="H761" s="105">
        <f t="shared" si="11"/>
        <v>0</v>
      </c>
    </row>
    <row r="762" spans="1:8" x14ac:dyDescent="0.4">
      <c r="A762" s="115"/>
      <c r="B762" s="121"/>
      <c r="C762" s="102"/>
      <c r="D762" s="115"/>
      <c r="E762" s="115"/>
      <c r="F762" s="105"/>
      <c r="G762" s="105"/>
      <c r="H762" s="105">
        <f t="shared" si="11"/>
        <v>0</v>
      </c>
    </row>
    <row r="763" spans="1:8" x14ac:dyDescent="0.4">
      <c r="A763" s="115"/>
      <c r="B763" s="121"/>
      <c r="C763" s="102"/>
      <c r="D763" s="115"/>
      <c r="E763" s="115"/>
      <c r="F763" s="105"/>
      <c r="G763" s="105"/>
      <c r="H763" s="105">
        <f t="shared" si="11"/>
        <v>0</v>
      </c>
    </row>
    <row r="764" spans="1:8" x14ac:dyDescent="0.4">
      <c r="A764" s="115"/>
      <c r="B764" s="121"/>
      <c r="C764" s="102"/>
      <c r="D764" s="115"/>
      <c r="E764" s="115"/>
      <c r="F764" s="105"/>
      <c r="G764" s="105"/>
      <c r="H764" s="105">
        <f t="shared" si="11"/>
        <v>0</v>
      </c>
    </row>
    <row r="765" spans="1:8" x14ac:dyDescent="0.4">
      <c r="A765" s="115"/>
      <c r="B765" s="121"/>
      <c r="C765" s="102"/>
      <c r="D765" s="115"/>
      <c r="E765" s="115"/>
      <c r="F765" s="105"/>
      <c r="G765" s="105"/>
      <c r="H765" s="105">
        <f t="shared" si="11"/>
        <v>0</v>
      </c>
    </row>
    <row r="766" spans="1:8" x14ac:dyDescent="0.4">
      <c r="A766" s="115"/>
      <c r="B766" s="121"/>
      <c r="C766" s="102"/>
      <c r="D766" s="115"/>
      <c r="E766" s="115"/>
      <c r="F766" s="105"/>
      <c r="G766" s="105"/>
      <c r="H766" s="105">
        <f t="shared" si="11"/>
        <v>0</v>
      </c>
    </row>
    <row r="767" spans="1:8" x14ac:dyDescent="0.4">
      <c r="A767" s="115"/>
      <c r="B767" s="121"/>
      <c r="C767" s="102"/>
      <c r="D767" s="115"/>
      <c r="E767" s="115"/>
      <c r="F767" s="105"/>
      <c r="G767" s="105"/>
      <c r="H767" s="105">
        <f t="shared" si="11"/>
        <v>0</v>
      </c>
    </row>
    <row r="768" spans="1:8" x14ac:dyDescent="0.4">
      <c r="A768" s="115"/>
      <c r="B768" s="121"/>
      <c r="C768" s="102"/>
      <c r="D768" s="115"/>
      <c r="E768" s="115"/>
      <c r="F768" s="105"/>
      <c r="G768" s="105"/>
      <c r="H768" s="105">
        <f t="shared" si="11"/>
        <v>0</v>
      </c>
    </row>
    <row r="769" spans="1:8" x14ac:dyDescent="0.4">
      <c r="A769" s="115"/>
      <c r="B769" s="121"/>
      <c r="C769" s="102"/>
      <c r="D769" s="115"/>
      <c r="E769" s="115"/>
      <c r="F769" s="105"/>
      <c r="G769" s="105"/>
      <c r="H769" s="105">
        <f t="shared" si="11"/>
        <v>0</v>
      </c>
    </row>
    <row r="770" spans="1:8" x14ac:dyDescent="0.4">
      <c r="A770" s="115"/>
      <c r="B770" s="121"/>
      <c r="C770" s="102"/>
      <c r="D770" s="115"/>
      <c r="E770" s="115"/>
      <c r="F770" s="105"/>
      <c r="G770" s="105"/>
      <c r="H770" s="105">
        <f t="shared" si="11"/>
        <v>0</v>
      </c>
    </row>
    <row r="771" spans="1:8" x14ac:dyDescent="0.4">
      <c r="A771" s="115"/>
      <c r="B771" s="121"/>
      <c r="C771" s="102"/>
      <c r="D771" s="115"/>
      <c r="E771" s="115"/>
      <c r="F771" s="105"/>
      <c r="G771" s="105"/>
      <c r="H771" s="105">
        <f t="shared" si="11"/>
        <v>0</v>
      </c>
    </row>
    <row r="772" spans="1:8" x14ac:dyDescent="0.4">
      <c r="A772" s="115"/>
      <c r="B772" s="121"/>
      <c r="C772" s="102"/>
      <c r="D772" s="115"/>
      <c r="E772" s="115"/>
      <c r="F772" s="105"/>
      <c r="G772" s="105"/>
      <c r="H772" s="105">
        <f t="shared" si="11"/>
        <v>0</v>
      </c>
    </row>
    <row r="773" spans="1:8" x14ac:dyDescent="0.4">
      <c r="A773" s="115"/>
      <c r="B773" s="121"/>
      <c r="C773" s="102"/>
      <c r="D773" s="115"/>
      <c r="E773" s="115"/>
      <c r="F773" s="105"/>
      <c r="G773" s="105"/>
      <c r="H773" s="105">
        <f t="shared" si="11"/>
        <v>0</v>
      </c>
    </row>
    <row r="774" spans="1:8" x14ac:dyDescent="0.4">
      <c r="A774" s="115"/>
      <c r="B774" s="121"/>
      <c r="C774" s="102"/>
      <c r="D774" s="115"/>
      <c r="E774" s="115"/>
      <c r="F774" s="105"/>
      <c r="G774" s="105"/>
      <c r="H774" s="105">
        <f t="shared" si="11"/>
        <v>0</v>
      </c>
    </row>
    <row r="775" spans="1:8" x14ac:dyDescent="0.4">
      <c r="A775" s="115"/>
      <c r="B775" s="121"/>
      <c r="C775" s="102"/>
      <c r="D775" s="115"/>
      <c r="E775" s="115"/>
      <c r="F775" s="105"/>
      <c r="G775" s="105"/>
      <c r="H775" s="105">
        <f t="shared" si="11"/>
        <v>0</v>
      </c>
    </row>
    <row r="776" spans="1:8" x14ac:dyDescent="0.4">
      <c r="A776" s="115"/>
      <c r="B776" s="121"/>
      <c r="C776" s="102"/>
      <c r="D776" s="115"/>
      <c r="E776" s="115"/>
      <c r="F776" s="105"/>
      <c r="G776" s="105"/>
      <c r="H776" s="105">
        <f t="shared" si="11"/>
        <v>0</v>
      </c>
    </row>
    <row r="777" spans="1:8" x14ac:dyDescent="0.4">
      <c r="A777" s="115"/>
      <c r="B777" s="121"/>
      <c r="C777" s="102"/>
      <c r="D777" s="115"/>
      <c r="E777" s="115"/>
      <c r="F777" s="105"/>
      <c r="G777" s="105"/>
      <c r="H777" s="105">
        <f t="shared" si="11"/>
        <v>0</v>
      </c>
    </row>
    <row r="778" spans="1:8" x14ac:dyDescent="0.4">
      <c r="A778" s="115"/>
      <c r="B778" s="121"/>
      <c r="C778" s="102"/>
      <c r="D778" s="115"/>
      <c r="E778" s="115"/>
      <c r="F778" s="105"/>
      <c r="G778" s="105"/>
      <c r="H778" s="105">
        <f t="shared" si="11"/>
        <v>0</v>
      </c>
    </row>
    <row r="779" spans="1:8" x14ac:dyDescent="0.4">
      <c r="A779" s="115"/>
      <c r="B779" s="121"/>
      <c r="C779" s="102"/>
      <c r="D779" s="115"/>
      <c r="E779" s="115"/>
      <c r="F779" s="105"/>
      <c r="G779" s="105"/>
      <c r="H779" s="105">
        <f t="shared" si="11"/>
        <v>0</v>
      </c>
    </row>
    <row r="780" spans="1:8" x14ac:dyDescent="0.4">
      <c r="A780" s="115"/>
      <c r="B780" s="121"/>
      <c r="C780" s="102"/>
      <c r="D780" s="115"/>
      <c r="E780" s="115"/>
      <c r="F780" s="105"/>
      <c r="G780" s="105"/>
      <c r="H780" s="105">
        <f t="shared" si="11"/>
        <v>0</v>
      </c>
    </row>
    <row r="781" spans="1:8" x14ac:dyDescent="0.4">
      <c r="A781" s="115"/>
      <c r="B781" s="121"/>
      <c r="C781" s="102"/>
      <c r="D781" s="115"/>
      <c r="E781" s="115"/>
      <c r="F781" s="105"/>
      <c r="G781" s="105"/>
      <c r="H781" s="105">
        <f t="shared" si="11"/>
        <v>0</v>
      </c>
    </row>
    <row r="782" spans="1:8" x14ac:dyDescent="0.4">
      <c r="A782" s="115"/>
      <c r="B782" s="121"/>
      <c r="C782" s="102"/>
      <c r="D782" s="115"/>
      <c r="E782" s="115"/>
      <c r="F782" s="105"/>
      <c r="G782" s="105"/>
      <c r="H782" s="105">
        <f t="shared" si="11"/>
        <v>0</v>
      </c>
    </row>
    <row r="783" spans="1:8" x14ac:dyDescent="0.4">
      <c r="A783" s="115"/>
      <c r="B783" s="121"/>
      <c r="C783" s="102"/>
      <c r="D783" s="115"/>
      <c r="E783" s="115"/>
      <c r="F783" s="105"/>
      <c r="G783" s="105"/>
      <c r="H783" s="105">
        <f t="shared" si="11"/>
        <v>0</v>
      </c>
    </row>
    <row r="784" spans="1:8" x14ac:dyDescent="0.4">
      <c r="A784" s="115"/>
      <c r="B784" s="121"/>
      <c r="C784" s="102"/>
      <c r="D784" s="115"/>
      <c r="E784" s="115"/>
      <c r="F784" s="105"/>
      <c r="G784" s="105"/>
      <c r="H784" s="105">
        <f t="shared" ref="H784:H847" si="12">H783+F784-G784</f>
        <v>0</v>
      </c>
    </row>
    <row r="785" spans="1:8" x14ac:dyDescent="0.4">
      <c r="A785" s="115"/>
      <c r="B785" s="121"/>
      <c r="C785" s="102"/>
      <c r="D785" s="115"/>
      <c r="E785" s="115"/>
      <c r="F785" s="105"/>
      <c r="G785" s="105"/>
      <c r="H785" s="105">
        <f t="shared" si="12"/>
        <v>0</v>
      </c>
    </row>
    <row r="786" spans="1:8" x14ac:dyDescent="0.4">
      <c r="A786" s="115"/>
      <c r="B786" s="121"/>
      <c r="C786" s="102"/>
      <c r="D786" s="115"/>
      <c r="E786" s="115"/>
      <c r="F786" s="105"/>
      <c r="G786" s="105"/>
      <c r="H786" s="105">
        <f t="shared" si="12"/>
        <v>0</v>
      </c>
    </row>
    <row r="787" spans="1:8" x14ac:dyDescent="0.4">
      <c r="A787" s="115"/>
      <c r="B787" s="121"/>
      <c r="C787" s="102"/>
      <c r="D787" s="115"/>
      <c r="E787" s="115"/>
      <c r="F787" s="105"/>
      <c r="G787" s="105"/>
      <c r="H787" s="105">
        <f t="shared" si="12"/>
        <v>0</v>
      </c>
    </row>
    <row r="788" spans="1:8" x14ac:dyDescent="0.4">
      <c r="A788" s="115"/>
      <c r="B788" s="121"/>
      <c r="C788" s="102"/>
      <c r="D788" s="115"/>
      <c r="E788" s="115"/>
      <c r="F788" s="105"/>
      <c r="G788" s="105"/>
      <c r="H788" s="105">
        <f t="shared" si="12"/>
        <v>0</v>
      </c>
    </row>
    <row r="789" spans="1:8" x14ac:dyDescent="0.4">
      <c r="A789" s="115"/>
      <c r="B789" s="121"/>
      <c r="C789" s="102"/>
      <c r="D789" s="115"/>
      <c r="E789" s="115"/>
      <c r="F789" s="105"/>
      <c r="G789" s="105"/>
      <c r="H789" s="105">
        <f t="shared" si="12"/>
        <v>0</v>
      </c>
    </row>
    <row r="790" spans="1:8" x14ac:dyDescent="0.4">
      <c r="A790" s="115"/>
      <c r="B790" s="121"/>
      <c r="C790" s="102"/>
      <c r="D790" s="115"/>
      <c r="E790" s="115"/>
      <c r="F790" s="105"/>
      <c r="G790" s="105"/>
      <c r="H790" s="105">
        <f t="shared" si="12"/>
        <v>0</v>
      </c>
    </row>
    <row r="791" spans="1:8" x14ac:dyDescent="0.4">
      <c r="A791" s="115"/>
      <c r="B791" s="121"/>
      <c r="C791" s="102"/>
      <c r="D791" s="115"/>
      <c r="E791" s="115"/>
      <c r="F791" s="105"/>
      <c r="G791" s="105"/>
      <c r="H791" s="105">
        <f t="shared" si="12"/>
        <v>0</v>
      </c>
    </row>
    <row r="792" spans="1:8" x14ac:dyDescent="0.4">
      <c r="A792" s="115"/>
      <c r="B792" s="121"/>
      <c r="C792" s="102"/>
      <c r="D792" s="115"/>
      <c r="E792" s="115"/>
      <c r="F792" s="105"/>
      <c r="G792" s="105"/>
      <c r="H792" s="105">
        <f t="shared" si="12"/>
        <v>0</v>
      </c>
    </row>
    <row r="793" spans="1:8" x14ac:dyDescent="0.4">
      <c r="A793" s="115"/>
      <c r="B793" s="121"/>
      <c r="C793" s="102"/>
      <c r="D793" s="115"/>
      <c r="E793" s="115"/>
      <c r="F793" s="105"/>
      <c r="G793" s="105"/>
      <c r="H793" s="105">
        <f t="shared" si="12"/>
        <v>0</v>
      </c>
    </row>
    <row r="794" spans="1:8" x14ac:dyDescent="0.4">
      <c r="A794" s="115"/>
      <c r="B794" s="121"/>
      <c r="C794" s="102"/>
      <c r="D794" s="115"/>
      <c r="E794" s="115"/>
      <c r="F794" s="105"/>
      <c r="G794" s="105"/>
      <c r="H794" s="105">
        <f t="shared" si="12"/>
        <v>0</v>
      </c>
    </row>
    <row r="795" spans="1:8" x14ac:dyDescent="0.4">
      <c r="A795" s="115"/>
      <c r="B795" s="121"/>
      <c r="C795" s="102"/>
      <c r="D795" s="115"/>
      <c r="E795" s="115"/>
      <c r="F795" s="105"/>
      <c r="G795" s="105"/>
      <c r="H795" s="105">
        <f t="shared" si="12"/>
        <v>0</v>
      </c>
    </row>
    <row r="796" spans="1:8" x14ac:dyDescent="0.4">
      <c r="A796" s="115"/>
      <c r="B796" s="121"/>
      <c r="C796" s="102"/>
      <c r="D796" s="115"/>
      <c r="E796" s="115"/>
      <c r="F796" s="105"/>
      <c r="G796" s="105"/>
      <c r="H796" s="105">
        <f t="shared" si="12"/>
        <v>0</v>
      </c>
    </row>
    <row r="797" spans="1:8" x14ac:dyDescent="0.4">
      <c r="A797" s="115"/>
      <c r="B797" s="121"/>
      <c r="C797" s="102"/>
      <c r="D797" s="115"/>
      <c r="E797" s="115"/>
      <c r="F797" s="105"/>
      <c r="G797" s="105"/>
      <c r="H797" s="105">
        <f t="shared" si="12"/>
        <v>0</v>
      </c>
    </row>
    <row r="798" spans="1:8" x14ac:dyDescent="0.4">
      <c r="A798" s="115"/>
      <c r="B798" s="121"/>
      <c r="C798" s="102"/>
      <c r="D798" s="115"/>
      <c r="E798" s="115"/>
      <c r="F798" s="105"/>
      <c r="G798" s="105"/>
      <c r="H798" s="105">
        <f t="shared" si="12"/>
        <v>0</v>
      </c>
    </row>
    <row r="799" spans="1:8" x14ac:dyDescent="0.4">
      <c r="A799" s="115"/>
      <c r="B799" s="121"/>
      <c r="C799" s="102"/>
      <c r="D799" s="115"/>
      <c r="E799" s="115"/>
      <c r="F799" s="105"/>
      <c r="G799" s="105"/>
      <c r="H799" s="105">
        <f t="shared" si="12"/>
        <v>0</v>
      </c>
    </row>
    <row r="800" spans="1:8" x14ac:dyDescent="0.4">
      <c r="A800" s="115"/>
      <c r="B800" s="121"/>
      <c r="C800" s="102"/>
      <c r="D800" s="115"/>
      <c r="E800" s="115"/>
      <c r="F800" s="105"/>
      <c r="G800" s="105"/>
      <c r="H800" s="105">
        <f t="shared" si="12"/>
        <v>0</v>
      </c>
    </row>
    <row r="801" spans="1:8" x14ac:dyDescent="0.4">
      <c r="A801" s="115"/>
      <c r="B801" s="121"/>
      <c r="C801" s="102"/>
      <c r="D801" s="115"/>
      <c r="E801" s="115"/>
      <c r="F801" s="105"/>
      <c r="G801" s="105"/>
      <c r="H801" s="105">
        <f t="shared" si="12"/>
        <v>0</v>
      </c>
    </row>
    <row r="802" spans="1:8" x14ac:dyDescent="0.4">
      <c r="A802" s="115"/>
      <c r="B802" s="121"/>
      <c r="C802" s="102"/>
      <c r="D802" s="115"/>
      <c r="E802" s="115"/>
      <c r="F802" s="105"/>
      <c r="G802" s="105"/>
      <c r="H802" s="105">
        <f t="shared" si="12"/>
        <v>0</v>
      </c>
    </row>
    <row r="803" spans="1:8" x14ac:dyDescent="0.4">
      <c r="A803" s="115"/>
      <c r="B803" s="121"/>
      <c r="C803" s="102"/>
      <c r="D803" s="115"/>
      <c r="E803" s="115"/>
      <c r="F803" s="105"/>
      <c r="G803" s="105"/>
      <c r="H803" s="105">
        <f t="shared" si="12"/>
        <v>0</v>
      </c>
    </row>
    <row r="804" spans="1:8" x14ac:dyDescent="0.4">
      <c r="A804" s="115"/>
      <c r="B804" s="121"/>
      <c r="C804" s="102"/>
      <c r="D804" s="115"/>
      <c r="E804" s="115"/>
      <c r="F804" s="105"/>
      <c r="G804" s="105"/>
      <c r="H804" s="105">
        <f t="shared" si="12"/>
        <v>0</v>
      </c>
    </row>
    <row r="805" spans="1:8" x14ac:dyDescent="0.4">
      <c r="A805" s="115"/>
      <c r="B805" s="121"/>
      <c r="C805" s="102"/>
      <c r="D805" s="115"/>
      <c r="E805" s="115"/>
      <c r="F805" s="105"/>
      <c r="G805" s="105"/>
      <c r="H805" s="105">
        <f t="shared" si="12"/>
        <v>0</v>
      </c>
    </row>
    <row r="806" spans="1:8" x14ac:dyDescent="0.4">
      <c r="A806" s="115"/>
      <c r="B806" s="121"/>
      <c r="C806" s="102"/>
      <c r="D806" s="115"/>
      <c r="E806" s="115"/>
      <c r="F806" s="105"/>
      <c r="G806" s="105"/>
      <c r="H806" s="105">
        <f t="shared" si="12"/>
        <v>0</v>
      </c>
    </row>
    <row r="807" spans="1:8" x14ac:dyDescent="0.4">
      <c r="A807" s="115"/>
      <c r="B807" s="121"/>
      <c r="C807" s="102"/>
      <c r="D807" s="115"/>
      <c r="E807" s="115"/>
      <c r="F807" s="105"/>
      <c r="G807" s="105"/>
      <c r="H807" s="105">
        <f t="shared" si="12"/>
        <v>0</v>
      </c>
    </row>
    <row r="808" spans="1:8" x14ac:dyDescent="0.4">
      <c r="A808" s="115"/>
      <c r="B808" s="121"/>
      <c r="C808" s="102"/>
      <c r="D808" s="115"/>
      <c r="E808" s="115"/>
      <c r="F808" s="105"/>
      <c r="G808" s="105"/>
      <c r="H808" s="105">
        <f t="shared" si="12"/>
        <v>0</v>
      </c>
    </row>
    <row r="809" spans="1:8" x14ac:dyDescent="0.4">
      <c r="A809" s="115"/>
      <c r="B809" s="121"/>
      <c r="C809" s="102"/>
      <c r="D809" s="115"/>
      <c r="E809" s="115"/>
      <c r="F809" s="105"/>
      <c r="G809" s="105"/>
      <c r="H809" s="105">
        <f t="shared" si="12"/>
        <v>0</v>
      </c>
    </row>
    <row r="810" spans="1:8" x14ac:dyDescent="0.4">
      <c r="A810" s="115"/>
      <c r="B810" s="121"/>
      <c r="C810" s="102"/>
      <c r="D810" s="115"/>
      <c r="E810" s="115"/>
      <c r="F810" s="105"/>
      <c r="G810" s="105"/>
      <c r="H810" s="105">
        <f t="shared" si="12"/>
        <v>0</v>
      </c>
    </row>
    <row r="811" spans="1:8" x14ac:dyDescent="0.4">
      <c r="A811" s="115"/>
      <c r="B811" s="121"/>
      <c r="C811" s="102"/>
      <c r="D811" s="115"/>
      <c r="E811" s="115"/>
      <c r="F811" s="105"/>
      <c r="G811" s="105"/>
      <c r="H811" s="105">
        <f t="shared" si="12"/>
        <v>0</v>
      </c>
    </row>
    <row r="812" spans="1:8" x14ac:dyDescent="0.4">
      <c r="A812" s="115"/>
      <c r="B812" s="121"/>
      <c r="C812" s="102"/>
      <c r="D812" s="115"/>
      <c r="E812" s="115"/>
      <c r="F812" s="105"/>
      <c r="G812" s="105"/>
      <c r="H812" s="105">
        <f t="shared" si="12"/>
        <v>0</v>
      </c>
    </row>
    <row r="813" spans="1:8" x14ac:dyDescent="0.4">
      <c r="A813" s="115"/>
      <c r="B813" s="121"/>
      <c r="C813" s="102"/>
      <c r="D813" s="115"/>
      <c r="E813" s="115"/>
      <c r="F813" s="105"/>
      <c r="G813" s="105"/>
      <c r="H813" s="105">
        <f t="shared" si="12"/>
        <v>0</v>
      </c>
    </row>
    <row r="814" spans="1:8" x14ac:dyDescent="0.4">
      <c r="A814" s="115"/>
      <c r="B814" s="121"/>
      <c r="C814" s="102"/>
      <c r="D814" s="115"/>
      <c r="E814" s="115"/>
      <c r="F814" s="105"/>
      <c r="G814" s="105"/>
      <c r="H814" s="105">
        <f t="shared" si="12"/>
        <v>0</v>
      </c>
    </row>
    <row r="815" spans="1:8" x14ac:dyDescent="0.4">
      <c r="A815" s="115"/>
      <c r="B815" s="121"/>
      <c r="C815" s="102"/>
      <c r="D815" s="115"/>
      <c r="E815" s="115"/>
      <c r="F815" s="105"/>
      <c r="G815" s="105"/>
      <c r="H815" s="105">
        <f t="shared" si="12"/>
        <v>0</v>
      </c>
    </row>
    <row r="816" spans="1:8" x14ac:dyDescent="0.4">
      <c r="A816" s="115"/>
      <c r="B816" s="121"/>
      <c r="C816" s="102"/>
      <c r="D816" s="115"/>
      <c r="E816" s="115"/>
      <c r="F816" s="105"/>
      <c r="G816" s="105"/>
      <c r="H816" s="105">
        <f t="shared" si="12"/>
        <v>0</v>
      </c>
    </row>
    <row r="817" spans="1:8" x14ac:dyDescent="0.4">
      <c r="A817" s="115"/>
      <c r="B817" s="121"/>
      <c r="C817" s="102"/>
      <c r="D817" s="115"/>
      <c r="E817" s="115"/>
      <c r="F817" s="105"/>
      <c r="G817" s="105"/>
      <c r="H817" s="105">
        <f t="shared" si="12"/>
        <v>0</v>
      </c>
    </row>
    <row r="818" spans="1:8" x14ac:dyDescent="0.4">
      <c r="A818" s="115"/>
      <c r="B818" s="121"/>
      <c r="C818" s="102"/>
      <c r="D818" s="115"/>
      <c r="E818" s="115"/>
      <c r="F818" s="105"/>
      <c r="G818" s="105"/>
      <c r="H818" s="105">
        <f t="shared" si="12"/>
        <v>0</v>
      </c>
    </row>
    <row r="819" spans="1:8" x14ac:dyDescent="0.4">
      <c r="A819" s="115"/>
      <c r="B819" s="121"/>
      <c r="C819" s="102"/>
      <c r="D819" s="115"/>
      <c r="E819" s="115"/>
      <c r="F819" s="105"/>
      <c r="G819" s="105"/>
      <c r="H819" s="105">
        <f t="shared" si="12"/>
        <v>0</v>
      </c>
    </row>
    <row r="820" spans="1:8" x14ac:dyDescent="0.4">
      <c r="A820" s="115"/>
      <c r="B820" s="121"/>
      <c r="C820" s="102"/>
      <c r="D820" s="115"/>
      <c r="E820" s="115"/>
      <c r="F820" s="105"/>
      <c r="G820" s="105"/>
      <c r="H820" s="105">
        <f t="shared" si="12"/>
        <v>0</v>
      </c>
    </row>
    <row r="821" spans="1:8" x14ac:dyDescent="0.4">
      <c r="A821" s="115"/>
      <c r="B821" s="121"/>
      <c r="C821" s="102"/>
      <c r="D821" s="115"/>
      <c r="E821" s="115"/>
      <c r="F821" s="105"/>
      <c r="G821" s="105"/>
      <c r="H821" s="105">
        <f t="shared" si="12"/>
        <v>0</v>
      </c>
    </row>
    <row r="822" spans="1:8" x14ac:dyDescent="0.4">
      <c r="A822" s="115"/>
      <c r="B822" s="121"/>
      <c r="C822" s="102"/>
      <c r="D822" s="115"/>
      <c r="E822" s="115"/>
      <c r="F822" s="105"/>
      <c r="G822" s="105"/>
      <c r="H822" s="105">
        <f t="shared" si="12"/>
        <v>0</v>
      </c>
    </row>
    <row r="823" spans="1:8" x14ac:dyDescent="0.4">
      <c r="A823" s="115"/>
      <c r="B823" s="121"/>
      <c r="C823" s="102"/>
      <c r="D823" s="115"/>
      <c r="E823" s="115"/>
      <c r="F823" s="105"/>
      <c r="G823" s="105"/>
      <c r="H823" s="105">
        <f t="shared" si="12"/>
        <v>0</v>
      </c>
    </row>
    <row r="824" spans="1:8" x14ac:dyDescent="0.4">
      <c r="A824" s="115"/>
      <c r="B824" s="121"/>
      <c r="C824" s="102"/>
      <c r="D824" s="115"/>
      <c r="E824" s="115"/>
      <c r="F824" s="105"/>
      <c r="G824" s="105"/>
      <c r="H824" s="105">
        <f t="shared" si="12"/>
        <v>0</v>
      </c>
    </row>
    <row r="825" spans="1:8" x14ac:dyDescent="0.4">
      <c r="A825" s="115"/>
      <c r="B825" s="121"/>
      <c r="C825" s="102"/>
      <c r="D825" s="115"/>
      <c r="E825" s="115"/>
      <c r="F825" s="105"/>
      <c r="G825" s="105"/>
      <c r="H825" s="105">
        <f t="shared" si="12"/>
        <v>0</v>
      </c>
    </row>
    <row r="826" spans="1:8" x14ac:dyDescent="0.4">
      <c r="A826" s="115"/>
      <c r="B826" s="121"/>
      <c r="C826" s="102"/>
      <c r="D826" s="115"/>
      <c r="E826" s="115"/>
      <c r="F826" s="105"/>
      <c r="G826" s="105"/>
      <c r="H826" s="105">
        <f t="shared" si="12"/>
        <v>0</v>
      </c>
    </row>
    <row r="827" spans="1:8" x14ac:dyDescent="0.4">
      <c r="A827" s="115"/>
      <c r="B827" s="121"/>
      <c r="C827" s="102"/>
      <c r="D827" s="115"/>
      <c r="E827" s="115"/>
      <c r="F827" s="105"/>
      <c r="G827" s="105"/>
      <c r="H827" s="105">
        <f t="shared" si="12"/>
        <v>0</v>
      </c>
    </row>
    <row r="828" spans="1:8" x14ac:dyDescent="0.4">
      <c r="A828" s="115"/>
      <c r="B828" s="121"/>
      <c r="C828" s="102"/>
      <c r="D828" s="115"/>
      <c r="E828" s="115"/>
      <c r="F828" s="105"/>
      <c r="G828" s="105"/>
      <c r="H828" s="105">
        <f t="shared" si="12"/>
        <v>0</v>
      </c>
    </row>
    <row r="829" spans="1:8" x14ac:dyDescent="0.4">
      <c r="A829" s="115"/>
      <c r="B829" s="121"/>
      <c r="C829" s="102"/>
      <c r="D829" s="115"/>
      <c r="E829" s="115"/>
      <c r="F829" s="105"/>
      <c r="G829" s="105"/>
      <c r="H829" s="105">
        <f t="shared" si="12"/>
        <v>0</v>
      </c>
    </row>
    <row r="830" spans="1:8" x14ac:dyDescent="0.4">
      <c r="A830" s="115"/>
      <c r="B830" s="121"/>
      <c r="C830" s="102"/>
      <c r="D830" s="115"/>
      <c r="E830" s="115"/>
      <c r="F830" s="105"/>
      <c r="G830" s="105"/>
      <c r="H830" s="105">
        <f t="shared" si="12"/>
        <v>0</v>
      </c>
    </row>
    <row r="831" spans="1:8" x14ac:dyDescent="0.4">
      <c r="A831" s="115"/>
      <c r="B831" s="121"/>
      <c r="C831" s="102"/>
      <c r="D831" s="115"/>
      <c r="E831" s="115"/>
      <c r="F831" s="105"/>
      <c r="G831" s="105"/>
      <c r="H831" s="105">
        <f t="shared" si="12"/>
        <v>0</v>
      </c>
    </row>
    <row r="832" spans="1:8" x14ac:dyDescent="0.4">
      <c r="A832" s="115"/>
      <c r="B832" s="121"/>
      <c r="C832" s="102"/>
      <c r="D832" s="115"/>
      <c r="E832" s="115"/>
      <c r="F832" s="105"/>
      <c r="G832" s="105"/>
      <c r="H832" s="105">
        <f t="shared" si="12"/>
        <v>0</v>
      </c>
    </row>
    <row r="833" spans="1:8" x14ac:dyDescent="0.4">
      <c r="A833" s="115"/>
      <c r="B833" s="121"/>
      <c r="C833" s="102"/>
      <c r="D833" s="115"/>
      <c r="E833" s="115"/>
      <c r="F833" s="105"/>
      <c r="G833" s="105"/>
      <c r="H833" s="105">
        <f t="shared" si="12"/>
        <v>0</v>
      </c>
    </row>
    <row r="834" spans="1:8" x14ac:dyDescent="0.4">
      <c r="A834" s="115"/>
      <c r="B834" s="121"/>
      <c r="C834" s="102"/>
      <c r="D834" s="115"/>
      <c r="E834" s="115"/>
      <c r="F834" s="105"/>
      <c r="G834" s="105"/>
      <c r="H834" s="105">
        <f t="shared" si="12"/>
        <v>0</v>
      </c>
    </row>
    <row r="835" spans="1:8" x14ac:dyDescent="0.4">
      <c r="A835" s="115"/>
      <c r="B835" s="121"/>
      <c r="C835" s="102"/>
      <c r="D835" s="115"/>
      <c r="E835" s="115"/>
      <c r="F835" s="105"/>
      <c r="G835" s="105"/>
      <c r="H835" s="105">
        <f t="shared" si="12"/>
        <v>0</v>
      </c>
    </row>
    <row r="836" spans="1:8" x14ac:dyDescent="0.4">
      <c r="A836" s="115"/>
      <c r="B836" s="121"/>
      <c r="C836" s="102"/>
      <c r="D836" s="115"/>
      <c r="E836" s="115"/>
      <c r="F836" s="105"/>
      <c r="G836" s="105"/>
      <c r="H836" s="105">
        <f t="shared" si="12"/>
        <v>0</v>
      </c>
    </row>
    <row r="837" spans="1:8" x14ac:dyDescent="0.4">
      <c r="A837" s="115"/>
      <c r="B837" s="121"/>
      <c r="C837" s="102"/>
      <c r="D837" s="115"/>
      <c r="E837" s="115"/>
      <c r="F837" s="105"/>
      <c r="G837" s="105"/>
      <c r="H837" s="105">
        <f t="shared" si="12"/>
        <v>0</v>
      </c>
    </row>
    <row r="838" spans="1:8" x14ac:dyDescent="0.4">
      <c r="A838" s="115"/>
      <c r="B838" s="121"/>
      <c r="C838" s="102"/>
      <c r="D838" s="115"/>
      <c r="E838" s="115"/>
      <c r="F838" s="105"/>
      <c r="G838" s="105"/>
      <c r="H838" s="105">
        <f t="shared" si="12"/>
        <v>0</v>
      </c>
    </row>
    <row r="839" spans="1:8" x14ac:dyDescent="0.4">
      <c r="A839" s="115"/>
      <c r="B839" s="121"/>
      <c r="C839" s="102"/>
      <c r="D839" s="115"/>
      <c r="E839" s="115"/>
      <c r="F839" s="105"/>
      <c r="G839" s="105"/>
      <c r="H839" s="105">
        <f t="shared" si="12"/>
        <v>0</v>
      </c>
    </row>
    <row r="840" spans="1:8" x14ac:dyDescent="0.4">
      <c r="A840" s="115"/>
      <c r="B840" s="121"/>
      <c r="C840" s="102"/>
      <c r="D840" s="115"/>
      <c r="E840" s="115"/>
      <c r="F840" s="105"/>
      <c r="G840" s="105"/>
      <c r="H840" s="105">
        <f t="shared" si="12"/>
        <v>0</v>
      </c>
    </row>
    <row r="841" spans="1:8" x14ac:dyDescent="0.4">
      <c r="A841" s="115"/>
      <c r="B841" s="121"/>
      <c r="C841" s="102"/>
      <c r="D841" s="115"/>
      <c r="E841" s="115"/>
      <c r="F841" s="105"/>
      <c r="G841" s="105"/>
      <c r="H841" s="105">
        <f t="shared" si="12"/>
        <v>0</v>
      </c>
    </row>
    <row r="842" spans="1:8" x14ac:dyDescent="0.4">
      <c r="A842" s="115"/>
      <c r="B842" s="121"/>
      <c r="C842" s="102"/>
      <c r="D842" s="115"/>
      <c r="E842" s="115"/>
      <c r="F842" s="105"/>
      <c r="G842" s="105"/>
      <c r="H842" s="105">
        <f t="shared" si="12"/>
        <v>0</v>
      </c>
    </row>
    <row r="843" spans="1:8" x14ac:dyDescent="0.4">
      <c r="A843" s="115"/>
      <c r="B843" s="121"/>
      <c r="C843" s="102"/>
      <c r="D843" s="115"/>
      <c r="E843" s="115"/>
      <c r="F843" s="105"/>
      <c r="G843" s="105"/>
      <c r="H843" s="105">
        <f t="shared" si="12"/>
        <v>0</v>
      </c>
    </row>
    <row r="844" spans="1:8" x14ac:dyDescent="0.4">
      <c r="A844" s="115"/>
      <c r="B844" s="121"/>
      <c r="C844" s="102"/>
      <c r="D844" s="115"/>
      <c r="E844" s="115"/>
      <c r="F844" s="105"/>
      <c r="G844" s="105"/>
      <c r="H844" s="105">
        <f t="shared" si="12"/>
        <v>0</v>
      </c>
    </row>
    <row r="845" spans="1:8" x14ac:dyDescent="0.4">
      <c r="A845" s="115"/>
      <c r="B845" s="121"/>
      <c r="C845" s="102"/>
      <c r="D845" s="115"/>
      <c r="E845" s="115"/>
      <c r="F845" s="105"/>
      <c r="G845" s="105"/>
      <c r="H845" s="105">
        <f t="shared" si="12"/>
        <v>0</v>
      </c>
    </row>
    <row r="846" spans="1:8" x14ac:dyDescent="0.4">
      <c r="A846" s="115"/>
      <c r="B846" s="121"/>
      <c r="C846" s="102"/>
      <c r="D846" s="115"/>
      <c r="E846" s="115"/>
      <c r="F846" s="105"/>
      <c r="G846" s="105"/>
      <c r="H846" s="105">
        <f t="shared" si="12"/>
        <v>0</v>
      </c>
    </row>
    <row r="847" spans="1:8" x14ac:dyDescent="0.4">
      <c r="A847" s="115"/>
      <c r="B847" s="121"/>
      <c r="C847" s="102"/>
      <c r="D847" s="115"/>
      <c r="E847" s="115"/>
      <c r="F847" s="105"/>
      <c r="G847" s="105"/>
      <c r="H847" s="105">
        <f t="shared" si="12"/>
        <v>0</v>
      </c>
    </row>
    <row r="848" spans="1:8" x14ac:dyDescent="0.4">
      <c r="A848" s="115"/>
      <c r="B848" s="121"/>
      <c r="C848" s="102"/>
      <c r="D848" s="115"/>
      <c r="E848" s="115"/>
      <c r="F848" s="105"/>
      <c r="G848" s="105"/>
      <c r="H848" s="105">
        <f t="shared" ref="H848:H911" si="13">H847+F848-G848</f>
        <v>0</v>
      </c>
    </row>
    <row r="849" spans="1:8" x14ac:dyDescent="0.4">
      <c r="A849" s="115"/>
      <c r="B849" s="121"/>
      <c r="C849" s="102"/>
      <c r="D849" s="115"/>
      <c r="E849" s="115"/>
      <c r="F849" s="105"/>
      <c r="G849" s="105"/>
      <c r="H849" s="105">
        <f t="shared" si="13"/>
        <v>0</v>
      </c>
    </row>
    <row r="850" spans="1:8" x14ac:dyDescent="0.4">
      <c r="A850" s="115"/>
      <c r="B850" s="121"/>
      <c r="C850" s="102"/>
      <c r="D850" s="115"/>
      <c r="E850" s="115"/>
      <c r="F850" s="105"/>
      <c r="G850" s="105"/>
      <c r="H850" s="105">
        <f t="shared" si="13"/>
        <v>0</v>
      </c>
    </row>
    <row r="851" spans="1:8" x14ac:dyDescent="0.4">
      <c r="A851" s="115"/>
      <c r="B851" s="121"/>
      <c r="C851" s="102"/>
      <c r="D851" s="115"/>
      <c r="E851" s="115"/>
      <c r="F851" s="105"/>
      <c r="G851" s="105"/>
      <c r="H851" s="105">
        <f t="shared" si="13"/>
        <v>0</v>
      </c>
    </row>
    <row r="852" spans="1:8" x14ac:dyDescent="0.4">
      <c r="A852" s="115"/>
      <c r="B852" s="121"/>
      <c r="C852" s="102"/>
      <c r="D852" s="115"/>
      <c r="E852" s="115"/>
      <c r="F852" s="105"/>
      <c r="G852" s="105"/>
      <c r="H852" s="105">
        <f t="shared" si="13"/>
        <v>0</v>
      </c>
    </row>
    <row r="853" spans="1:8" x14ac:dyDescent="0.4">
      <c r="A853" s="115"/>
      <c r="B853" s="121"/>
      <c r="C853" s="102"/>
      <c r="D853" s="115"/>
      <c r="E853" s="115"/>
      <c r="F853" s="105"/>
      <c r="G853" s="105"/>
      <c r="H853" s="105">
        <f t="shared" si="13"/>
        <v>0</v>
      </c>
    </row>
    <row r="854" spans="1:8" x14ac:dyDescent="0.4">
      <c r="A854" s="115"/>
      <c r="B854" s="121"/>
      <c r="C854" s="102"/>
      <c r="D854" s="115"/>
      <c r="E854" s="115"/>
      <c r="F854" s="105"/>
      <c r="G854" s="105"/>
      <c r="H854" s="105">
        <f t="shared" si="13"/>
        <v>0</v>
      </c>
    </row>
    <row r="855" spans="1:8" x14ac:dyDescent="0.4">
      <c r="A855" s="115"/>
      <c r="B855" s="121"/>
      <c r="C855" s="102"/>
      <c r="D855" s="115"/>
      <c r="E855" s="115"/>
      <c r="F855" s="105"/>
      <c r="G855" s="105"/>
      <c r="H855" s="105">
        <f t="shared" si="13"/>
        <v>0</v>
      </c>
    </row>
    <row r="856" spans="1:8" x14ac:dyDescent="0.4">
      <c r="A856" s="115"/>
      <c r="B856" s="121"/>
      <c r="C856" s="102"/>
      <c r="D856" s="115"/>
      <c r="E856" s="115"/>
      <c r="F856" s="105"/>
      <c r="G856" s="105"/>
      <c r="H856" s="105">
        <f t="shared" si="13"/>
        <v>0</v>
      </c>
    </row>
    <row r="857" spans="1:8" x14ac:dyDescent="0.4">
      <c r="A857" s="115"/>
      <c r="B857" s="121"/>
      <c r="C857" s="102"/>
      <c r="D857" s="115"/>
      <c r="E857" s="115"/>
      <c r="F857" s="105"/>
      <c r="G857" s="105"/>
      <c r="H857" s="105">
        <f t="shared" si="13"/>
        <v>0</v>
      </c>
    </row>
    <row r="858" spans="1:8" x14ac:dyDescent="0.4">
      <c r="A858" s="115"/>
      <c r="B858" s="121"/>
      <c r="C858" s="102"/>
      <c r="D858" s="115"/>
      <c r="E858" s="115"/>
      <c r="F858" s="105"/>
      <c r="G858" s="105"/>
      <c r="H858" s="105">
        <f t="shared" si="13"/>
        <v>0</v>
      </c>
    </row>
    <row r="859" spans="1:8" x14ac:dyDescent="0.4">
      <c r="A859" s="115"/>
      <c r="B859" s="121"/>
      <c r="C859" s="102"/>
      <c r="D859" s="115"/>
      <c r="E859" s="115"/>
      <c r="F859" s="105"/>
      <c r="G859" s="105"/>
      <c r="H859" s="105">
        <f t="shared" si="13"/>
        <v>0</v>
      </c>
    </row>
    <row r="860" spans="1:8" x14ac:dyDescent="0.4">
      <c r="A860" s="115"/>
      <c r="B860" s="121"/>
      <c r="C860" s="102"/>
      <c r="D860" s="115"/>
      <c r="E860" s="115"/>
      <c r="F860" s="105"/>
      <c r="G860" s="105"/>
      <c r="H860" s="105">
        <f t="shared" si="13"/>
        <v>0</v>
      </c>
    </row>
    <row r="861" spans="1:8" x14ac:dyDescent="0.4">
      <c r="A861" s="115"/>
      <c r="B861" s="121"/>
      <c r="C861" s="102"/>
      <c r="D861" s="115"/>
      <c r="E861" s="115"/>
      <c r="F861" s="105"/>
      <c r="G861" s="105"/>
      <c r="H861" s="105">
        <f t="shared" si="13"/>
        <v>0</v>
      </c>
    </row>
    <row r="862" spans="1:8" x14ac:dyDescent="0.4">
      <c r="A862" s="115"/>
      <c r="B862" s="121"/>
      <c r="C862" s="102"/>
      <c r="D862" s="115"/>
      <c r="E862" s="115"/>
      <c r="F862" s="105"/>
      <c r="G862" s="105"/>
      <c r="H862" s="105">
        <f t="shared" si="13"/>
        <v>0</v>
      </c>
    </row>
    <row r="863" spans="1:8" x14ac:dyDescent="0.4">
      <c r="A863" s="115"/>
      <c r="B863" s="121"/>
      <c r="C863" s="102"/>
      <c r="D863" s="115"/>
      <c r="E863" s="115"/>
      <c r="F863" s="105"/>
      <c r="G863" s="105"/>
      <c r="H863" s="105">
        <f t="shared" si="13"/>
        <v>0</v>
      </c>
    </row>
    <row r="864" spans="1:8" x14ac:dyDescent="0.4">
      <c r="A864" s="115"/>
      <c r="B864" s="121"/>
      <c r="C864" s="102"/>
      <c r="D864" s="115"/>
      <c r="E864" s="115"/>
      <c r="F864" s="105"/>
      <c r="G864" s="105"/>
      <c r="H864" s="105">
        <f t="shared" si="13"/>
        <v>0</v>
      </c>
    </row>
    <row r="865" spans="1:8" x14ac:dyDescent="0.4">
      <c r="A865" s="115"/>
      <c r="B865" s="121"/>
      <c r="C865" s="102"/>
      <c r="D865" s="115"/>
      <c r="E865" s="115"/>
      <c r="F865" s="105"/>
      <c r="G865" s="105"/>
      <c r="H865" s="105">
        <f t="shared" si="13"/>
        <v>0</v>
      </c>
    </row>
    <row r="866" spans="1:8" x14ac:dyDescent="0.4">
      <c r="A866" s="115"/>
      <c r="B866" s="121"/>
      <c r="C866" s="102"/>
      <c r="D866" s="115"/>
      <c r="E866" s="115"/>
      <c r="F866" s="105"/>
      <c r="G866" s="105"/>
      <c r="H866" s="105">
        <f t="shared" si="13"/>
        <v>0</v>
      </c>
    </row>
    <row r="867" spans="1:8" x14ac:dyDescent="0.4">
      <c r="A867" s="115"/>
      <c r="B867" s="121"/>
      <c r="C867" s="102"/>
      <c r="D867" s="115"/>
      <c r="E867" s="115"/>
      <c r="F867" s="105"/>
      <c r="G867" s="105"/>
      <c r="H867" s="105">
        <f t="shared" si="13"/>
        <v>0</v>
      </c>
    </row>
    <row r="868" spans="1:8" x14ac:dyDescent="0.4">
      <c r="A868" s="115"/>
      <c r="B868" s="121"/>
      <c r="C868" s="102"/>
      <c r="D868" s="115"/>
      <c r="E868" s="115"/>
      <c r="F868" s="105"/>
      <c r="G868" s="105"/>
      <c r="H868" s="105">
        <f t="shared" si="13"/>
        <v>0</v>
      </c>
    </row>
    <row r="869" spans="1:8" x14ac:dyDescent="0.4">
      <c r="A869" s="115"/>
      <c r="B869" s="121"/>
      <c r="C869" s="102"/>
      <c r="D869" s="115"/>
      <c r="E869" s="115"/>
      <c r="F869" s="105"/>
      <c r="G869" s="105"/>
      <c r="H869" s="105">
        <f t="shared" si="13"/>
        <v>0</v>
      </c>
    </row>
    <row r="870" spans="1:8" x14ac:dyDescent="0.4">
      <c r="A870" s="115"/>
      <c r="B870" s="121"/>
      <c r="C870" s="102"/>
      <c r="D870" s="115"/>
      <c r="E870" s="115"/>
      <c r="F870" s="105"/>
      <c r="G870" s="105"/>
      <c r="H870" s="105">
        <f t="shared" si="13"/>
        <v>0</v>
      </c>
    </row>
    <row r="871" spans="1:8" x14ac:dyDescent="0.4">
      <c r="A871" s="115"/>
      <c r="B871" s="121"/>
      <c r="C871" s="102"/>
      <c r="D871" s="115"/>
      <c r="E871" s="115"/>
      <c r="F871" s="105"/>
      <c r="G871" s="105"/>
      <c r="H871" s="105">
        <f t="shared" si="13"/>
        <v>0</v>
      </c>
    </row>
    <row r="872" spans="1:8" x14ac:dyDescent="0.4">
      <c r="A872" s="115"/>
      <c r="B872" s="121"/>
      <c r="C872" s="102"/>
      <c r="D872" s="115"/>
      <c r="E872" s="115"/>
      <c r="F872" s="105"/>
      <c r="G872" s="105"/>
      <c r="H872" s="105">
        <f t="shared" si="13"/>
        <v>0</v>
      </c>
    </row>
    <row r="873" spans="1:8" x14ac:dyDescent="0.4">
      <c r="A873" s="115"/>
      <c r="B873" s="121"/>
      <c r="C873" s="102"/>
      <c r="D873" s="115"/>
      <c r="E873" s="115"/>
      <c r="F873" s="105"/>
      <c r="G873" s="105"/>
      <c r="H873" s="105">
        <f t="shared" si="13"/>
        <v>0</v>
      </c>
    </row>
    <row r="874" spans="1:8" x14ac:dyDescent="0.4">
      <c r="A874" s="115"/>
      <c r="B874" s="121"/>
      <c r="C874" s="102"/>
      <c r="D874" s="115"/>
      <c r="E874" s="115"/>
      <c r="F874" s="105"/>
      <c r="G874" s="105"/>
      <c r="H874" s="105">
        <f t="shared" si="13"/>
        <v>0</v>
      </c>
    </row>
    <row r="875" spans="1:8" x14ac:dyDescent="0.4">
      <c r="A875" s="115"/>
      <c r="B875" s="121"/>
      <c r="C875" s="102"/>
      <c r="D875" s="115"/>
      <c r="E875" s="115"/>
      <c r="F875" s="105"/>
      <c r="G875" s="105"/>
      <c r="H875" s="105">
        <f t="shared" si="13"/>
        <v>0</v>
      </c>
    </row>
    <row r="876" spans="1:8" x14ac:dyDescent="0.4">
      <c r="A876" s="115"/>
      <c r="B876" s="121"/>
      <c r="C876" s="102"/>
      <c r="D876" s="115"/>
      <c r="E876" s="115"/>
      <c r="F876" s="105"/>
      <c r="G876" s="105"/>
      <c r="H876" s="105">
        <f t="shared" si="13"/>
        <v>0</v>
      </c>
    </row>
    <row r="877" spans="1:8" x14ac:dyDescent="0.4">
      <c r="A877" s="115"/>
      <c r="B877" s="121"/>
      <c r="C877" s="102"/>
      <c r="D877" s="115"/>
      <c r="E877" s="115"/>
      <c r="F877" s="105"/>
      <c r="G877" s="105"/>
      <c r="H877" s="105">
        <f t="shared" si="13"/>
        <v>0</v>
      </c>
    </row>
    <row r="878" spans="1:8" x14ac:dyDescent="0.4">
      <c r="A878" s="115"/>
      <c r="B878" s="121"/>
      <c r="C878" s="102"/>
      <c r="D878" s="115"/>
      <c r="E878" s="115"/>
      <c r="F878" s="105"/>
      <c r="G878" s="105"/>
      <c r="H878" s="105">
        <f t="shared" si="13"/>
        <v>0</v>
      </c>
    </row>
    <row r="879" spans="1:8" x14ac:dyDescent="0.4">
      <c r="A879" s="115"/>
      <c r="B879" s="121"/>
      <c r="C879" s="102"/>
      <c r="D879" s="115"/>
      <c r="E879" s="115"/>
      <c r="F879" s="105"/>
      <c r="G879" s="105"/>
      <c r="H879" s="105">
        <f t="shared" si="13"/>
        <v>0</v>
      </c>
    </row>
    <row r="880" spans="1:8" x14ac:dyDescent="0.4">
      <c r="A880" s="115"/>
      <c r="B880" s="121"/>
      <c r="C880" s="102"/>
      <c r="D880" s="115"/>
      <c r="E880" s="115"/>
      <c r="F880" s="105"/>
      <c r="G880" s="105"/>
      <c r="H880" s="105">
        <f t="shared" si="13"/>
        <v>0</v>
      </c>
    </row>
    <row r="881" spans="1:8" x14ac:dyDescent="0.4">
      <c r="A881" s="115"/>
      <c r="B881" s="121"/>
      <c r="C881" s="102"/>
      <c r="D881" s="115"/>
      <c r="E881" s="115"/>
      <c r="F881" s="105"/>
      <c r="G881" s="105"/>
      <c r="H881" s="105">
        <f t="shared" si="13"/>
        <v>0</v>
      </c>
    </row>
    <row r="882" spans="1:8" x14ac:dyDescent="0.4">
      <c r="A882" s="115"/>
      <c r="B882" s="121"/>
      <c r="C882" s="102"/>
      <c r="D882" s="115"/>
      <c r="E882" s="115"/>
      <c r="F882" s="105"/>
      <c r="G882" s="105"/>
      <c r="H882" s="105">
        <f t="shared" si="13"/>
        <v>0</v>
      </c>
    </row>
    <row r="883" spans="1:8" x14ac:dyDescent="0.4">
      <c r="A883" s="115"/>
      <c r="B883" s="121"/>
      <c r="C883" s="102"/>
      <c r="D883" s="115"/>
      <c r="E883" s="115"/>
      <c r="F883" s="105"/>
      <c r="G883" s="105"/>
      <c r="H883" s="105">
        <f t="shared" si="13"/>
        <v>0</v>
      </c>
    </row>
    <row r="884" spans="1:8" x14ac:dyDescent="0.4">
      <c r="A884" s="115"/>
      <c r="B884" s="121"/>
      <c r="C884" s="102"/>
      <c r="D884" s="115"/>
      <c r="E884" s="115"/>
      <c r="F884" s="105"/>
      <c r="G884" s="105"/>
      <c r="H884" s="105">
        <f t="shared" si="13"/>
        <v>0</v>
      </c>
    </row>
    <row r="885" spans="1:8" x14ac:dyDescent="0.4">
      <c r="A885" s="115"/>
      <c r="B885" s="121"/>
      <c r="C885" s="102"/>
      <c r="D885" s="115"/>
      <c r="E885" s="115"/>
      <c r="F885" s="105"/>
      <c r="G885" s="105"/>
      <c r="H885" s="105">
        <f t="shared" si="13"/>
        <v>0</v>
      </c>
    </row>
    <row r="886" spans="1:8" x14ac:dyDescent="0.4">
      <c r="A886" s="115"/>
      <c r="B886" s="121"/>
      <c r="C886" s="102"/>
      <c r="D886" s="115"/>
      <c r="E886" s="115"/>
      <c r="F886" s="105"/>
      <c r="G886" s="105"/>
      <c r="H886" s="105">
        <f t="shared" si="13"/>
        <v>0</v>
      </c>
    </row>
    <row r="887" spans="1:8" x14ac:dyDescent="0.4">
      <c r="A887" s="115"/>
      <c r="B887" s="121"/>
      <c r="C887" s="102"/>
      <c r="D887" s="115"/>
      <c r="E887" s="115"/>
      <c r="F887" s="105"/>
      <c r="G887" s="105"/>
      <c r="H887" s="105">
        <f t="shared" si="13"/>
        <v>0</v>
      </c>
    </row>
    <row r="888" spans="1:8" x14ac:dyDescent="0.4">
      <c r="A888" s="115"/>
      <c r="B888" s="121"/>
      <c r="C888" s="102"/>
      <c r="D888" s="115"/>
      <c r="E888" s="115"/>
      <c r="F888" s="105"/>
      <c r="G888" s="105"/>
      <c r="H888" s="105">
        <f t="shared" si="13"/>
        <v>0</v>
      </c>
    </row>
    <row r="889" spans="1:8" x14ac:dyDescent="0.4">
      <c r="A889" s="115"/>
      <c r="B889" s="121"/>
      <c r="C889" s="102"/>
      <c r="D889" s="115"/>
      <c r="E889" s="115"/>
      <c r="F889" s="105"/>
      <c r="G889" s="105"/>
      <c r="H889" s="105">
        <f t="shared" si="13"/>
        <v>0</v>
      </c>
    </row>
    <row r="890" spans="1:8" x14ac:dyDescent="0.4">
      <c r="A890" s="115"/>
      <c r="B890" s="121"/>
      <c r="C890" s="102"/>
      <c r="D890" s="115"/>
      <c r="E890" s="115"/>
      <c r="F890" s="105"/>
      <c r="G890" s="105"/>
      <c r="H890" s="105">
        <f t="shared" si="13"/>
        <v>0</v>
      </c>
    </row>
    <row r="891" spans="1:8" x14ac:dyDescent="0.4">
      <c r="A891" s="115"/>
      <c r="B891" s="121"/>
      <c r="C891" s="102"/>
      <c r="D891" s="115"/>
      <c r="E891" s="115"/>
      <c r="F891" s="105"/>
      <c r="G891" s="105"/>
      <c r="H891" s="105">
        <f t="shared" si="13"/>
        <v>0</v>
      </c>
    </row>
    <row r="892" spans="1:8" x14ac:dyDescent="0.4">
      <c r="A892" s="115"/>
      <c r="B892" s="121"/>
      <c r="C892" s="102"/>
      <c r="D892" s="115"/>
      <c r="E892" s="115"/>
      <c r="F892" s="105"/>
      <c r="G892" s="105"/>
      <c r="H892" s="105">
        <f t="shared" si="13"/>
        <v>0</v>
      </c>
    </row>
    <row r="893" spans="1:8" x14ac:dyDescent="0.4">
      <c r="A893" s="115"/>
      <c r="B893" s="121"/>
      <c r="C893" s="102"/>
      <c r="D893" s="115"/>
      <c r="E893" s="115"/>
      <c r="F893" s="105"/>
      <c r="G893" s="105"/>
      <c r="H893" s="105">
        <f t="shared" si="13"/>
        <v>0</v>
      </c>
    </row>
    <row r="894" spans="1:8" x14ac:dyDescent="0.4">
      <c r="A894" s="115"/>
      <c r="B894" s="121"/>
      <c r="C894" s="102"/>
      <c r="D894" s="115"/>
      <c r="E894" s="115"/>
      <c r="F894" s="105"/>
      <c r="G894" s="105"/>
      <c r="H894" s="105">
        <f t="shared" si="13"/>
        <v>0</v>
      </c>
    </row>
    <row r="895" spans="1:8" x14ac:dyDescent="0.4">
      <c r="A895" s="115"/>
      <c r="B895" s="121"/>
      <c r="C895" s="102"/>
      <c r="D895" s="115"/>
      <c r="E895" s="115"/>
      <c r="F895" s="105"/>
      <c r="G895" s="105"/>
      <c r="H895" s="105">
        <f t="shared" si="13"/>
        <v>0</v>
      </c>
    </row>
    <row r="896" spans="1:8" x14ac:dyDescent="0.4">
      <c r="A896" s="115"/>
      <c r="B896" s="121"/>
      <c r="C896" s="102"/>
      <c r="D896" s="115"/>
      <c r="E896" s="115"/>
      <c r="F896" s="105"/>
      <c r="G896" s="105"/>
      <c r="H896" s="105">
        <f t="shared" si="13"/>
        <v>0</v>
      </c>
    </row>
    <row r="897" spans="1:8" x14ac:dyDescent="0.4">
      <c r="A897" s="115"/>
      <c r="B897" s="121"/>
      <c r="C897" s="102"/>
      <c r="D897" s="115"/>
      <c r="E897" s="115"/>
      <c r="F897" s="105"/>
      <c r="G897" s="105"/>
      <c r="H897" s="105">
        <f t="shared" si="13"/>
        <v>0</v>
      </c>
    </row>
    <row r="898" spans="1:8" x14ac:dyDescent="0.4">
      <c r="A898" s="115"/>
      <c r="B898" s="121"/>
      <c r="C898" s="102"/>
      <c r="D898" s="115"/>
      <c r="E898" s="115"/>
      <c r="F898" s="105"/>
      <c r="G898" s="105"/>
      <c r="H898" s="105">
        <f t="shared" si="13"/>
        <v>0</v>
      </c>
    </row>
    <row r="899" spans="1:8" x14ac:dyDescent="0.4">
      <c r="A899" s="115"/>
      <c r="B899" s="121"/>
      <c r="C899" s="102"/>
      <c r="D899" s="115"/>
      <c r="E899" s="115"/>
      <c r="F899" s="105"/>
      <c r="G899" s="105"/>
      <c r="H899" s="105">
        <f t="shared" si="13"/>
        <v>0</v>
      </c>
    </row>
    <row r="900" spans="1:8" x14ac:dyDescent="0.4">
      <c r="A900" s="115"/>
      <c r="B900" s="121"/>
      <c r="C900" s="102"/>
      <c r="D900" s="115"/>
      <c r="E900" s="115"/>
      <c r="F900" s="105"/>
      <c r="G900" s="105"/>
      <c r="H900" s="105">
        <f t="shared" si="13"/>
        <v>0</v>
      </c>
    </row>
    <row r="901" spans="1:8" x14ac:dyDescent="0.4">
      <c r="A901" s="115"/>
      <c r="B901" s="121"/>
      <c r="C901" s="102"/>
      <c r="D901" s="115"/>
      <c r="E901" s="115"/>
      <c r="F901" s="105"/>
      <c r="G901" s="105"/>
      <c r="H901" s="105">
        <f t="shared" si="13"/>
        <v>0</v>
      </c>
    </row>
    <row r="902" spans="1:8" x14ac:dyDescent="0.4">
      <c r="A902" s="115"/>
      <c r="B902" s="121"/>
      <c r="C902" s="102"/>
      <c r="D902" s="115"/>
      <c r="E902" s="115"/>
      <c r="F902" s="105"/>
      <c r="G902" s="105"/>
      <c r="H902" s="105">
        <f t="shared" si="13"/>
        <v>0</v>
      </c>
    </row>
    <row r="903" spans="1:8" x14ac:dyDescent="0.4">
      <c r="A903" s="115"/>
      <c r="B903" s="121"/>
      <c r="C903" s="102"/>
      <c r="D903" s="115"/>
      <c r="E903" s="115"/>
      <c r="F903" s="105"/>
      <c r="G903" s="105"/>
      <c r="H903" s="105">
        <f t="shared" si="13"/>
        <v>0</v>
      </c>
    </row>
    <row r="904" spans="1:8" x14ac:dyDescent="0.4">
      <c r="A904" s="115"/>
      <c r="B904" s="121"/>
      <c r="C904" s="102"/>
      <c r="D904" s="115"/>
      <c r="E904" s="115"/>
      <c r="F904" s="105"/>
      <c r="G904" s="105"/>
      <c r="H904" s="105">
        <f t="shared" si="13"/>
        <v>0</v>
      </c>
    </row>
    <row r="905" spans="1:8" x14ac:dyDescent="0.4">
      <c r="A905" s="115"/>
      <c r="B905" s="121"/>
      <c r="C905" s="102"/>
      <c r="D905" s="115"/>
      <c r="E905" s="115"/>
      <c r="F905" s="105"/>
      <c r="G905" s="105"/>
      <c r="H905" s="105">
        <f t="shared" si="13"/>
        <v>0</v>
      </c>
    </row>
    <row r="906" spans="1:8" x14ac:dyDescent="0.4">
      <c r="A906" s="115"/>
      <c r="B906" s="121"/>
      <c r="C906" s="102"/>
      <c r="D906" s="115"/>
      <c r="E906" s="115"/>
      <c r="F906" s="105"/>
      <c r="G906" s="105"/>
      <c r="H906" s="105">
        <f t="shared" si="13"/>
        <v>0</v>
      </c>
    </row>
    <row r="907" spans="1:8" x14ac:dyDescent="0.4">
      <c r="A907" s="115"/>
      <c r="B907" s="121"/>
      <c r="C907" s="102"/>
      <c r="D907" s="115"/>
      <c r="E907" s="115"/>
      <c r="F907" s="105"/>
      <c r="G907" s="105"/>
      <c r="H907" s="105">
        <f t="shared" si="13"/>
        <v>0</v>
      </c>
    </row>
    <row r="908" spans="1:8" x14ac:dyDescent="0.4">
      <c r="A908" s="115"/>
      <c r="B908" s="121"/>
      <c r="C908" s="102"/>
      <c r="D908" s="115"/>
      <c r="E908" s="115"/>
      <c r="F908" s="105"/>
      <c r="G908" s="105"/>
      <c r="H908" s="105">
        <f t="shared" si="13"/>
        <v>0</v>
      </c>
    </row>
    <row r="909" spans="1:8" x14ac:dyDescent="0.4">
      <c r="A909" s="115"/>
      <c r="B909" s="121"/>
      <c r="C909" s="102"/>
      <c r="D909" s="115"/>
      <c r="E909" s="115"/>
      <c r="F909" s="105"/>
      <c r="G909" s="105"/>
      <c r="H909" s="105">
        <f t="shared" si="13"/>
        <v>0</v>
      </c>
    </row>
    <row r="910" spans="1:8" x14ac:dyDescent="0.4">
      <c r="A910" s="115"/>
      <c r="B910" s="121"/>
      <c r="C910" s="102"/>
      <c r="D910" s="115"/>
      <c r="E910" s="115"/>
      <c r="F910" s="105"/>
      <c r="G910" s="105"/>
      <c r="H910" s="105">
        <f t="shared" si="13"/>
        <v>0</v>
      </c>
    </row>
    <row r="911" spans="1:8" x14ac:dyDescent="0.4">
      <c r="A911" s="115"/>
      <c r="B911" s="121"/>
      <c r="C911" s="102"/>
      <c r="D911" s="115"/>
      <c r="E911" s="115"/>
      <c r="F911" s="105"/>
      <c r="G911" s="105"/>
      <c r="H911" s="105">
        <f t="shared" si="13"/>
        <v>0</v>
      </c>
    </row>
    <row r="912" spans="1:8" x14ac:dyDescent="0.4">
      <c r="A912" s="115"/>
      <c r="B912" s="121"/>
      <c r="C912" s="102"/>
      <c r="D912" s="115"/>
      <c r="E912" s="115"/>
      <c r="F912" s="105"/>
      <c r="G912" s="105"/>
      <c r="H912" s="105">
        <f t="shared" ref="H912:H975" si="14">H911+F912-G912</f>
        <v>0</v>
      </c>
    </row>
    <row r="913" spans="1:8" x14ac:dyDescent="0.4">
      <c r="A913" s="115"/>
      <c r="B913" s="121"/>
      <c r="C913" s="102"/>
      <c r="D913" s="115"/>
      <c r="E913" s="115"/>
      <c r="F913" s="105"/>
      <c r="G913" s="105"/>
      <c r="H913" s="105">
        <f t="shared" si="14"/>
        <v>0</v>
      </c>
    </row>
    <row r="914" spans="1:8" x14ac:dyDescent="0.4">
      <c r="A914" s="115"/>
      <c r="B914" s="121"/>
      <c r="C914" s="102"/>
      <c r="D914" s="115"/>
      <c r="E914" s="115"/>
      <c r="F914" s="105"/>
      <c r="G914" s="105"/>
      <c r="H914" s="105">
        <f t="shared" si="14"/>
        <v>0</v>
      </c>
    </row>
    <row r="915" spans="1:8" x14ac:dyDescent="0.4">
      <c r="A915" s="115"/>
      <c r="B915" s="121"/>
      <c r="C915" s="102"/>
      <c r="D915" s="115"/>
      <c r="E915" s="115"/>
      <c r="F915" s="105"/>
      <c r="G915" s="105"/>
      <c r="H915" s="105">
        <f t="shared" si="14"/>
        <v>0</v>
      </c>
    </row>
    <row r="916" spans="1:8" x14ac:dyDescent="0.4">
      <c r="A916" s="115"/>
      <c r="B916" s="121"/>
      <c r="C916" s="102"/>
      <c r="D916" s="115"/>
      <c r="E916" s="115"/>
      <c r="F916" s="105"/>
      <c r="G916" s="105"/>
      <c r="H916" s="105">
        <f t="shared" si="14"/>
        <v>0</v>
      </c>
    </row>
    <row r="917" spans="1:8" x14ac:dyDescent="0.4">
      <c r="A917" s="115"/>
      <c r="B917" s="121"/>
      <c r="C917" s="102"/>
      <c r="D917" s="115"/>
      <c r="E917" s="115"/>
      <c r="F917" s="105"/>
      <c r="G917" s="105"/>
      <c r="H917" s="105">
        <f t="shared" si="14"/>
        <v>0</v>
      </c>
    </row>
    <row r="918" spans="1:8" x14ac:dyDescent="0.4">
      <c r="A918" s="115"/>
      <c r="B918" s="121"/>
      <c r="C918" s="102"/>
      <c r="D918" s="115"/>
      <c r="E918" s="115"/>
      <c r="F918" s="105"/>
      <c r="G918" s="105"/>
      <c r="H918" s="105">
        <f t="shared" si="14"/>
        <v>0</v>
      </c>
    </row>
    <row r="919" spans="1:8" x14ac:dyDescent="0.4">
      <c r="A919" s="115"/>
      <c r="B919" s="121"/>
      <c r="C919" s="102"/>
      <c r="D919" s="115"/>
      <c r="E919" s="115"/>
      <c r="F919" s="105"/>
      <c r="G919" s="105"/>
      <c r="H919" s="105">
        <f t="shared" si="14"/>
        <v>0</v>
      </c>
    </row>
    <row r="920" spans="1:8" x14ac:dyDescent="0.4">
      <c r="A920" s="115"/>
      <c r="B920" s="121"/>
      <c r="C920" s="102"/>
      <c r="D920" s="115"/>
      <c r="E920" s="115"/>
      <c r="F920" s="105"/>
      <c r="G920" s="105"/>
      <c r="H920" s="105">
        <f t="shared" si="14"/>
        <v>0</v>
      </c>
    </row>
    <row r="921" spans="1:8" x14ac:dyDescent="0.4">
      <c r="A921" s="115"/>
      <c r="B921" s="121"/>
      <c r="C921" s="102"/>
      <c r="D921" s="115"/>
      <c r="E921" s="115"/>
      <c r="F921" s="105"/>
      <c r="G921" s="105"/>
      <c r="H921" s="105">
        <f t="shared" si="14"/>
        <v>0</v>
      </c>
    </row>
    <row r="922" spans="1:8" x14ac:dyDescent="0.4">
      <c r="A922" s="115"/>
      <c r="B922" s="121"/>
      <c r="C922" s="102"/>
      <c r="D922" s="115"/>
      <c r="E922" s="115"/>
      <c r="F922" s="105"/>
      <c r="G922" s="105"/>
      <c r="H922" s="105">
        <f t="shared" si="14"/>
        <v>0</v>
      </c>
    </row>
    <row r="923" spans="1:8" x14ac:dyDescent="0.4">
      <c r="A923" s="115"/>
      <c r="B923" s="121"/>
      <c r="C923" s="102"/>
      <c r="D923" s="115"/>
      <c r="E923" s="115"/>
      <c r="F923" s="105"/>
      <c r="G923" s="105"/>
      <c r="H923" s="105">
        <f t="shared" si="14"/>
        <v>0</v>
      </c>
    </row>
    <row r="924" spans="1:8" x14ac:dyDescent="0.4">
      <c r="A924" s="115"/>
      <c r="B924" s="121"/>
      <c r="C924" s="102"/>
      <c r="D924" s="115"/>
      <c r="E924" s="115"/>
      <c r="F924" s="105"/>
      <c r="G924" s="105"/>
      <c r="H924" s="105">
        <f t="shared" si="14"/>
        <v>0</v>
      </c>
    </row>
    <row r="925" spans="1:8" x14ac:dyDescent="0.4">
      <c r="A925" s="115"/>
      <c r="B925" s="121"/>
      <c r="C925" s="102"/>
      <c r="D925" s="115"/>
      <c r="E925" s="115"/>
      <c r="F925" s="105"/>
      <c r="G925" s="105"/>
      <c r="H925" s="105">
        <f t="shared" si="14"/>
        <v>0</v>
      </c>
    </row>
    <row r="926" spans="1:8" x14ac:dyDescent="0.4">
      <c r="A926" s="115"/>
      <c r="B926" s="121"/>
      <c r="C926" s="102"/>
      <c r="D926" s="115"/>
      <c r="E926" s="115"/>
      <c r="F926" s="105"/>
      <c r="G926" s="105"/>
      <c r="H926" s="105">
        <f t="shared" si="14"/>
        <v>0</v>
      </c>
    </row>
    <row r="927" spans="1:8" x14ac:dyDescent="0.4">
      <c r="A927" s="115"/>
      <c r="B927" s="121"/>
      <c r="C927" s="102"/>
      <c r="D927" s="115"/>
      <c r="E927" s="115"/>
      <c r="F927" s="105"/>
      <c r="G927" s="105"/>
      <c r="H927" s="105">
        <f t="shared" si="14"/>
        <v>0</v>
      </c>
    </row>
    <row r="928" spans="1:8" x14ac:dyDescent="0.4">
      <c r="A928" s="115"/>
      <c r="B928" s="121"/>
      <c r="C928" s="102"/>
      <c r="D928" s="115"/>
      <c r="E928" s="115"/>
      <c r="F928" s="105"/>
      <c r="G928" s="105"/>
      <c r="H928" s="105">
        <f t="shared" si="14"/>
        <v>0</v>
      </c>
    </row>
    <row r="929" spans="1:8" x14ac:dyDescent="0.4">
      <c r="A929" s="115"/>
      <c r="B929" s="121"/>
      <c r="C929" s="102"/>
      <c r="D929" s="115"/>
      <c r="E929" s="115"/>
      <c r="F929" s="105"/>
      <c r="G929" s="105"/>
      <c r="H929" s="105">
        <f t="shared" si="14"/>
        <v>0</v>
      </c>
    </row>
    <row r="930" spans="1:8" x14ac:dyDescent="0.4">
      <c r="A930" s="115"/>
      <c r="B930" s="121"/>
      <c r="C930" s="102"/>
      <c r="D930" s="115"/>
      <c r="E930" s="115"/>
      <c r="F930" s="105"/>
      <c r="G930" s="105"/>
      <c r="H930" s="105">
        <f t="shared" si="14"/>
        <v>0</v>
      </c>
    </row>
    <row r="931" spans="1:8" x14ac:dyDescent="0.4">
      <c r="A931" s="115"/>
      <c r="B931" s="121"/>
      <c r="C931" s="102"/>
      <c r="D931" s="115"/>
      <c r="E931" s="115"/>
      <c r="F931" s="105"/>
      <c r="G931" s="105"/>
      <c r="H931" s="105">
        <f t="shared" si="14"/>
        <v>0</v>
      </c>
    </row>
    <row r="932" spans="1:8" x14ac:dyDescent="0.4">
      <c r="A932" s="115"/>
      <c r="B932" s="121"/>
      <c r="C932" s="102"/>
      <c r="D932" s="115"/>
      <c r="E932" s="115"/>
      <c r="F932" s="105"/>
      <c r="G932" s="105"/>
      <c r="H932" s="105">
        <f t="shared" si="14"/>
        <v>0</v>
      </c>
    </row>
    <row r="933" spans="1:8" x14ac:dyDescent="0.4">
      <c r="A933" s="115"/>
      <c r="B933" s="121"/>
      <c r="C933" s="102"/>
      <c r="D933" s="115"/>
      <c r="E933" s="115"/>
      <c r="F933" s="105"/>
      <c r="G933" s="105"/>
      <c r="H933" s="105">
        <f t="shared" si="14"/>
        <v>0</v>
      </c>
    </row>
    <row r="934" spans="1:8" x14ac:dyDescent="0.4">
      <c r="A934" s="115"/>
      <c r="B934" s="121"/>
      <c r="C934" s="102"/>
      <c r="D934" s="115"/>
      <c r="E934" s="115"/>
      <c r="F934" s="105"/>
      <c r="G934" s="105"/>
      <c r="H934" s="105">
        <f t="shared" si="14"/>
        <v>0</v>
      </c>
    </row>
    <row r="935" spans="1:8" x14ac:dyDescent="0.4">
      <c r="A935" s="115"/>
      <c r="B935" s="121"/>
      <c r="C935" s="102"/>
      <c r="D935" s="115"/>
      <c r="E935" s="115"/>
      <c r="F935" s="105"/>
      <c r="G935" s="105"/>
      <c r="H935" s="105">
        <f t="shared" si="14"/>
        <v>0</v>
      </c>
    </row>
    <row r="936" spans="1:8" x14ac:dyDescent="0.4">
      <c r="A936" s="115"/>
      <c r="B936" s="121"/>
      <c r="C936" s="102"/>
      <c r="D936" s="115"/>
      <c r="E936" s="115"/>
      <c r="F936" s="105"/>
      <c r="G936" s="105"/>
      <c r="H936" s="105">
        <f t="shared" si="14"/>
        <v>0</v>
      </c>
    </row>
    <row r="937" spans="1:8" x14ac:dyDescent="0.4">
      <c r="A937" s="115"/>
      <c r="B937" s="121"/>
      <c r="C937" s="102"/>
      <c r="D937" s="115"/>
      <c r="E937" s="115"/>
      <c r="F937" s="105"/>
      <c r="G937" s="105"/>
      <c r="H937" s="105">
        <f t="shared" si="14"/>
        <v>0</v>
      </c>
    </row>
    <row r="938" spans="1:8" x14ac:dyDescent="0.4">
      <c r="A938" s="115"/>
      <c r="B938" s="121"/>
      <c r="C938" s="102"/>
      <c r="D938" s="115"/>
      <c r="E938" s="115"/>
      <c r="F938" s="105"/>
      <c r="G938" s="105"/>
      <c r="H938" s="105">
        <f t="shared" si="14"/>
        <v>0</v>
      </c>
    </row>
    <row r="939" spans="1:8" x14ac:dyDescent="0.4">
      <c r="A939" s="115"/>
      <c r="B939" s="121"/>
      <c r="C939" s="102"/>
      <c r="D939" s="115"/>
      <c r="E939" s="115"/>
      <c r="F939" s="105"/>
      <c r="G939" s="105"/>
      <c r="H939" s="105">
        <f t="shared" si="14"/>
        <v>0</v>
      </c>
    </row>
    <row r="940" spans="1:8" x14ac:dyDescent="0.4">
      <c r="A940" s="115"/>
      <c r="B940" s="121"/>
      <c r="C940" s="102"/>
      <c r="D940" s="115"/>
      <c r="E940" s="115"/>
      <c r="F940" s="105"/>
      <c r="G940" s="105"/>
      <c r="H940" s="105">
        <f t="shared" si="14"/>
        <v>0</v>
      </c>
    </row>
    <row r="941" spans="1:8" x14ac:dyDescent="0.4">
      <c r="A941" s="115"/>
      <c r="B941" s="121"/>
      <c r="C941" s="102"/>
      <c r="D941" s="115"/>
      <c r="E941" s="115"/>
      <c r="F941" s="105"/>
      <c r="G941" s="105"/>
      <c r="H941" s="105">
        <f t="shared" si="14"/>
        <v>0</v>
      </c>
    </row>
    <row r="942" spans="1:8" x14ac:dyDescent="0.4">
      <c r="A942" s="115"/>
      <c r="B942" s="121"/>
      <c r="C942" s="102"/>
      <c r="D942" s="115"/>
      <c r="E942" s="115"/>
      <c r="F942" s="105"/>
      <c r="G942" s="105"/>
      <c r="H942" s="105">
        <f t="shared" si="14"/>
        <v>0</v>
      </c>
    </row>
    <row r="943" spans="1:8" x14ac:dyDescent="0.4">
      <c r="A943" s="115"/>
      <c r="B943" s="121"/>
      <c r="C943" s="102"/>
      <c r="D943" s="115"/>
      <c r="E943" s="115"/>
      <c r="F943" s="105"/>
      <c r="G943" s="105"/>
      <c r="H943" s="105">
        <f t="shared" si="14"/>
        <v>0</v>
      </c>
    </row>
    <row r="944" spans="1:8" x14ac:dyDescent="0.4">
      <c r="A944" s="115"/>
      <c r="B944" s="121"/>
      <c r="C944" s="102"/>
      <c r="D944" s="115"/>
      <c r="E944" s="115"/>
      <c r="F944" s="105"/>
      <c r="G944" s="105"/>
      <c r="H944" s="105">
        <f t="shared" si="14"/>
        <v>0</v>
      </c>
    </row>
    <row r="945" spans="1:8" x14ac:dyDescent="0.4">
      <c r="A945" s="115"/>
      <c r="B945" s="121"/>
      <c r="C945" s="102"/>
      <c r="D945" s="115"/>
      <c r="E945" s="115"/>
      <c r="F945" s="105"/>
      <c r="G945" s="105"/>
      <c r="H945" s="105">
        <f t="shared" si="14"/>
        <v>0</v>
      </c>
    </row>
    <row r="946" spans="1:8" x14ac:dyDescent="0.4">
      <c r="A946" s="115"/>
      <c r="B946" s="121"/>
      <c r="C946" s="102"/>
      <c r="D946" s="115"/>
      <c r="E946" s="115"/>
      <c r="F946" s="105"/>
      <c r="G946" s="105"/>
      <c r="H946" s="105">
        <f t="shared" si="14"/>
        <v>0</v>
      </c>
    </row>
    <row r="947" spans="1:8" x14ac:dyDescent="0.4">
      <c r="A947" s="115"/>
      <c r="B947" s="121"/>
      <c r="C947" s="102"/>
      <c r="D947" s="115"/>
      <c r="E947" s="115"/>
      <c r="F947" s="105"/>
      <c r="G947" s="105"/>
      <c r="H947" s="105">
        <f t="shared" si="14"/>
        <v>0</v>
      </c>
    </row>
    <row r="948" spans="1:8" x14ac:dyDescent="0.4">
      <c r="A948" s="115"/>
      <c r="B948" s="121"/>
      <c r="C948" s="102"/>
      <c r="D948" s="115"/>
      <c r="E948" s="115"/>
      <c r="F948" s="105"/>
      <c r="G948" s="105"/>
      <c r="H948" s="105">
        <f t="shared" si="14"/>
        <v>0</v>
      </c>
    </row>
    <row r="949" spans="1:8" x14ac:dyDescent="0.4">
      <c r="A949" s="115"/>
      <c r="B949" s="121"/>
      <c r="C949" s="102"/>
      <c r="D949" s="115"/>
      <c r="E949" s="115"/>
      <c r="F949" s="105"/>
      <c r="G949" s="105"/>
      <c r="H949" s="105">
        <f t="shared" si="14"/>
        <v>0</v>
      </c>
    </row>
    <row r="950" spans="1:8" x14ac:dyDescent="0.4">
      <c r="A950" s="115"/>
      <c r="B950" s="121"/>
      <c r="C950" s="102"/>
      <c r="D950" s="115"/>
      <c r="E950" s="115"/>
      <c r="F950" s="105"/>
      <c r="G950" s="105"/>
      <c r="H950" s="105">
        <f t="shared" si="14"/>
        <v>0</v>
      </c>
    </row>
    <row r="951" spans="1:8" x14ac:dyDescent="0.4">
      <c r="A951" s="115"/>
      <c r="B951" s="121"/>
      <c r="C951" s="102"/>
      <c r="D951" s="115"/>
      <c r="E951" s="115"/>
      <c r="F951" s="105"/>
      <c r="G951" s="105"/>
      <c r="H951" s="105">
        <f t="shared" si="14"/>
        <v>0</v>
      </c>
    </row>
    <row r="952" spans="1:8" x14ac:dyDescent="0.4">
      <c r="A952" s="115"/>
      <c r="B952" s="121"/>
      <c r="C952" s="102"/>
      <c r="D952" s="115"/>
      <c r="E952" s="115"/>
      <c r="F952" s="105"/>
      <c r="G952" s="105"/>
      <c r="H952" s="105">
        <f t="shared" si="14"/>
        <v>0</v>
      </c>
    </row>
    <row r="953" spans="1:8" x14ac:dyDescent="0.4">
      <c r="A953" s="115"/>
      <c r="B953" s="121"/>
      <c r="C953" s="102"/>
      <c r="D953" s="115"/>
      <c r="E953" s="115"/>
      <c r="F953" s="105"/>
      <c r="G953" s="105"/>
      <c r="H953" s="105">
        <f t="shared" si="14"/>
        <v>0</v>
      </c>
    </row>
    <row r="954" spans="1:8" x14ac:dyDescent="0.4">
      <c r="A954" s="115"/>
      <c r="B954" s="121"/>
      <c r="C954" s="102"/>
      <c r="D954" s="115"/>
      <c r="E954" s="115"/>
      <c r="F954" s="105"/>
      <c r="G954" s="105"/>
      <c r="H954" s="105">
        <f t="shared" si="14"/>
        <v>0</v>
      </c>
    </row>
    <row r="955" spans="1:8" x14ac:dyDescent="0.4">
      <c r="A955" s="115"/>
      <c r="B955" s="121"/>
      <c r="C955" s="102"/>
      <c r="D955" s="115"/>
      <c r="E955" s="115"/>
      <c r="F955" s="105"/>
      <c r="G955" s="105"/>
      <c r="H955" s="105">
        <f t="shared" si="14"/>
        <v>0</v>
      </c>
    </row>
    <row r="956" spans="1:8" x14ac:dyDescent="0.4">
      <c r="A956" s="115"/>
      <c r="B956" s="121"/>
      <c r="C956" s="102"/>
      <c r="D956" s="115"/>
      <c r="E956" s="115"/>
      <c r="F956" s="105"/>
      <c r="G956" s="105"/>
      <c r="H956" s="105">
        <f t="shared" si="14"/>
        <v>0</v>
      </c>
    </row>
    <row r="957" spans="1:8" x14ac:dyDescent="0.4">
      <c r="A957" s="115"/>
      <c r="B957" s="121"/>
      <c r="C957" s="102"/>
      <c r="D957" s="115"/>
      <c r="E957" s="115"/>
      <c r="F957" s="105"/>
      <c r="G957" s="105"/>
      <c r="H957" s="105">
        <f t="shared" si="14"/>
        <v>0</v>
      </c>
    </row>
    <row r="958" spans="1:8" x14ac:dyDescent="0.4">
      <c r="A958" s="115"/>
      <c r="B958" s="121"/>
      <c r="C958" s="102"/>
      <c r="D958" s="115"/>
      <c r="E958" s="115"/>
      <c r="F958" s="105"/>
      <c r="G958" s="105"/>
      <c r="H958" s="105">
        <f t="shared" si="14"/>
        <v>0</v>
      </c>
    </row>
    <row r="959" spans="1:8" x14ac:dyDescent="0.4">
      <c r="A959" s="115"/>
      <c r="B959" s="121"/>
      <c r="C959" s="102"/>
      <c r="D959" s="115"/>
      <c r="E959" s="115"/>
      <c r="F959" s="105"/>
      <c r="G959" s="105"/>
      <c r="H959" s="105">
        <f t="shared" si="14"/>
        <v>0</v>
      </c>
    </row>
    <row r="960" spans="1:8" x14ac:dyDescent="0.4">
      <c r="A960" s="115"/>
      <c r="B960" s="121"/>
      <c r="C960" s="102"/>
      <c r="D960" s="115"/>
      <c r="E960" s="115"/>
      <c r="F960" s="105"/>
      <c r="G960" s="105"/>
      <c r="H960" s="105">
        <f t="shared" si="14"/>
        <v>0</v>
      </c>
    </row>
    <row r="961" spans="1:8" x14ac:dyDescent="0.4">
      <c r="A961" s="115"/>
      <c r="B961" s="121"/>
      <c r="C961" s="102"/>
      <c r="D961" s="115"/>
      <c r="E961" s="115"/>
      <c r="F961" s="105"/>
      <c r="G961" s="105"/>
      <c r="H961" s="105">
        <f t="shared" si="14"/>
        <v>0</v>
      </c>
    </row>
    <row r="962" spans="1:8" x14ac:dyDescent="0.4">
      <c r="A962" s="115"/>
      <c r="B962" s="121"/>
      <c r="C962" s="102"/>
      <c r="D962" s="115"/>
      <c r="E962" s="115"/>
      <c r="F962" s="105"/>
      <c r="G962" s="105"/>
      <c r="H962" s="105">
        <f t="shared" si="14"/>
        <v>0</v>
      </c>
    </row>
    <row r="963" spans="1:8" x14ac:dyDescent="0.4">
      <c r="A963" s="115"/>
      <c r="B963" s="121"/>
      <c r="C963" s="102"/>
      <c r="D963" s="115"/>
      <c r="E963" s="115"/>
      <c r="F963" s="105"/>
      <c r="G963" s="105"/>
      <c r="H963" s="105">
        <f t="shared" si="14"/>
        <v>0</v>
      </c>
    </row>
    <row r="964" spans="1:8" x14ac:dyDescent="0.4">
      <c r="A964" s="115"/>
      <c r="B964" s="121"/>
      <c r="C964" s="102"/>
      <c r="D964" s="115"/>
      <c r="E964" s="115"/>
      <c r="F964" s="105"/>
      <c r="G964" s="105"/>
      <c r="H964" s="105">
        <f t="shared" si="14"/>
        <v>0</v>
      </c>
    </row>
    <row r="965" spans="1:8" x14ac:dyDescent="0.4">
      <c r="A965" s="115"/>
      <c r="B965" s="121"/>
      <c r="C965" s="102"/>
      <c r="D965" s="115"/>
      <c r="E965" s="115"/>
      <c r="F965" s="105"/>
      <c r="G965" s="105"/>
      <c r="H965" s="105">
        <f t="shared" si="14"/>
        <v>0</v>
      </c>
    </row>
    <row r="966" spans="1:8" x14ac:dyDescent="0.4">
      <c r="A966" s="115"/>
      <c r="B966" s="121"/>
      <c r="C966" s="102"/>
      <c r="D966" s="115"/>
      <c r="E966" s="115"/>
      <c r="F966" s="105"/>
      <c r="G966" s="105"/>
      <c r="H966" s="105">
        <f t="shared" si="14"/>
        <v>0</v>
      </c>
    </row>
    <row r="967" spans="1:8" x14ac:dyDescent="0.4">
      <c r="A967" s="115"/>
      <c r="B967" s="121"/>
      <c r="C967" s="102"/>
      <c r="D967" s="115"/>
      <c r="E967" s="115"/>
      <c r="F967" s="105"/>
      <c r="G967" s="105"/>
      <c r="H967" s="105">
        <f t="shared" si="14"/>
        <v>0</v>
      </c>
    </row>
    <row r="968" spans="1:8" x14ac:dyDescent="0.4">
      <c r="A968" s="115"/>
      <c r="B968" s="121"/>
      <c r="C968" s="102"/>
      <c r="D968" s="115"/>
      <c r="E968" s="115"/>
      <c r="F968" s="105"/>
      <c r="G968" s="105"/>
      <c r="H968" s="105">
        <f t="shared" si="14"/>
        <v>0</v>
      </c>
    </row>
    <row r="969" spans="1:8" x14ac:dyDescent="0.4">
      <c r="A969" s="115"/>
      <c r="B969" s="121"/>
      <c r="C969" s="102"/>
      <c r="D969" s="115"/>
      <c r="E969" s="115"/>
      <c r="F969" s="105"/>
      <c r="G969" s="105"/>
      <c r="H969" s="105">
        <f t="shared" si="14"/>
        <v>0</v>
      </c>
    </row>
    <row r="970" spans="1:8" x14ac:dyDescent="0.4">
      <c r="A970" s="115"/>
      <c r="B970" s="121"/>
      <c r="C970" s="102"/>
      <c r="D970" s="115"/>
      <c r="E970" s="115"/>
      <c r="F970" s="105"/>
      <c r="G970" s="105"/>
      <c r="H970" s="105">
        <f t="shared" si="14"/>
        <v>0</v>
      </c>
    </row>
    <row r="971" spans="1:8" x14ac:dyDescent="0.4">
      <c r="A971" s="115"/>
      <c r="B971" s="121"/>
      <c r="C971" s="102"/>
      <c r="D971" s="115"/>
      <c r="E971" s="115"/>
      <c r="F971" s="105"/>
      <c r="G971" s="105"/>
      <c r="H971" s="105">
        <f t="shared" si="14"/>
        <v>0</v>
      </c>
    </row>
    <row r="972" spans="1:8" x14ac:dyDescent="0.4">
      <c r="A972" s="115"/>
      <c r="B972" s="121"/>
      <c r="C972" s="102"/>
      <c r="D972" s="115"/>
      <c r="E972" s="115"/>
      <c r="F972" s="105"/>
      <c r="G972" s="105"/>
      <c r="H972" s="105">
        <f t="shared" si="14"/>
        <v>0</v>
      </c>
    </row>
    <row r="973" spans="1:8" x14ac:dyDescent="0.4">
      <c r="A973" s="115"/>
      <c r="B973" s="121"/>
      <c r="C973" s="102"/>
      <c r="D973" s="115"/>
      <c r="E973" s="115"/>
      <c r="F973" s="105"/>
      <c r="G973" s="105"/>
      <c r="H973" s="105">
        <f t="shared" si="14"/>
        <v>0</v>
      </c>
    </row>
    <row r="974" spans="1:8" x14ac:dyDescent="0.4">
      <c r="A974" s="115"/>
      <c r="B974" s="121"/>
      <c r="C974" s="102"/>
      <c r="D974" s="115"/>
      <c r="E974" s="115"/>
      <c r="F974" s="105"/>
      <c r="G974" s="105"/>
      <c r="H974" s="105">
        <f t="shared" si="14"/>
        <v>0</v>
      </c>
    </row>
    <row r="975" spans="1:8" x14ac:dyDescent="0.4">
      <c r="A975" s="115"/>
      <c r="B975" s="121"/>
      <c r="C975" s="102"/>
      <c r="D975" s="115"/>
      <c r="E975" s="115"/>
      <c r="F975" s="105"/>
      <c r="G975" s="105"/>
      <c r="H975" s="105">
        <f t="shared" si="14"/>
        <v>0</v>
      </c>
    </row>
    <row r="976" spans="1:8" x14ac:dyDescent="0.4">
      <c r="A976" s="115"/>
      <c r="B976" s="121"/>
      <c r="C976" s="102"/>
      <c r="D976" s="115"/>
      <c r="E976" s="115"/>
      <c r="F976" s="105"/>
      <c r="G976" s="105"/>
      <c r="H976" s="105">
        <f t="shared" ref="H976:H1039" si="15">H975+F976-G976</f>
        <v>0</v>
      </c>
    </row>
    <row r="977" spans="1:8" x14ac:dyDescent="0.4">
      <c r="A977" s="115"/>
      <c r="B977" s="121"/>
      <c r="C977" s="102"/>
      <c r="D977" s="115"/>
      <c r="E977" s="115"/>
      <c r="F977" s="105"/>
      <c r="G977" s="105"/>
      <c r="H977" s="105">
        <f t="shared" si="15"/>
        <v>0</v>
      </c>
    </row>
    <row r="978" spans="1:8" x14ac:dyDescent="0.4">
      <c r="A978" s="115"/>
      <c r="B978" s="121"/>
      <c r="C978" s="102"/>
      <c r="D978" s="115"/>
      <c r="E978" s="115"/>
      <c r="F978" s="105"/>
      <c r="G978" s="105"/>
      <c r="H978" s="105">
        <f t="shared" si="15"/>
        <v>0</v>
      </c>
    </row>
    <row r="979" spans="1:8" x14ac:dyDescent="0.4">
      <c r="A979" s="115"/>
      <c r="B979" s="121"/>
      <c r="C979" s="102"/>
      <c r="D979" s="115"/>
      <c r="E979" s="115"/>
      <c r="F979" s="105"/>
      <c r="G979" s="105"/>
      <c r="H979" s="105">
        <f t="shared" si="15"/>
        <v>0</v>
      </c>
    </row>
    <row r="980" spans="1:8" x14ac:dyDescent="0.4">
      <c r="A980" s="115"/>
      <c r="B980" s="121"/>
      <c r="C980" s="102"/>
      <c r="D980" s="115"/>
      <c r="E980" s="115"/>
      <c r="F980" s="105"/>
      <c r="G980" s="105"/>
      <c r="H980" s="105">
        <f t="shared" si="15"/>
        <v>0</v>
      </c>
    </row>
    <row r="981" spans="1:8" x14ac:dyDescent="0.4">
      <c r="A981" s="115"/>
      <c r="B981" s="121"/>
      <c r="C981" s="102"/>
      <c r="D981" s="115"/>
      <c r="E981" s="115"/>
      <c r="F981" s="105"/>
      <c r="G981" s="105"/>
      <c r="H981" s="105">
        <f t="shared" si="15"/>
        <v>0</v>
      </c>
    </row>
    <row r="982" spans="1:8" x14ac:dyDescent="0.4">
      <c r="A982" s="115"/>
      <c r="B982" s="121"/>
      <c r="C982" s="102"/>
      <c r="D982" s="115"/>
      <c r="E982" s="115"/>
      <c r="F982" s="105"/>
      <c r="G982" s="105"/>
      <c r="H982" s="105">
        <f t="shared" si="15"/>
        <v>0</v>
      </c>
    </row>
    <row r="983" spans="1:8" x14ac:dyDescent="0.4">
      <c r="A983" s="115"/>
      <c r="B983" s="121"/>
      <c r="C983" s="102"/>
      <c r="D983" s="115"/>
      <c r="E983" s="115"/>
      <c r="F983" s="105"/>
      <c r="G983" s="105"/>
      <c r="H983" s="105">
        <f t="shared" si="15"/>
        <v>0</v>
      </c>
    </row>
    <row r="984" spans="1:8" x14ac:dyDescent="0.4">
      <c r="A984" s="115"/>
      <c r="B984" s="121"/>
      <c r="C984" s="102"/>
      <c r="D984" s="115"/>
      <c r="E984" s="115"/>
      <c r="F984" s="105"/>
      <c r="G984" s="105"/>
      <c r="H984" s="105">
        <f t="shared" si="15"/>
        <v>0</v>
      </c>
    </row>
    <row r="985" spans="1:8" x14ac:dyDescent="0.4">
      <c r="A985" s="115"/>
      <c r="B985" s="121"/>
      <c r="C985" s="102"/>
      <c r="D985" s="115"/>
      <c r="E985" s="115"/>
      <c r="F985" s="105"/>
      <c r="G985" s="105"/>
      <c r="H985" s="105">
        <f t="shared" si="15"/>
        <v>0</v>
      </c>
    </row>
    <row r="986" spans="1:8" x14ac:dyDescent="0.4">
      <c r="A986" s="115"/>
      <c r="B986" s="121"/>
      <c r="C986" s="102"/>
      <c r="D986" s="115"/>
      <c r="E986" s="115"/>
      <c r="F986" s="105"/>
      <c r="G986" s="105"/>
      <c r="H986" s="105">
        <f t="shared" si="15"/>
        <v>0</v>
      </c>
    </row>
    <row r="987" spans="1:8" x14ac:dyDescent="0.4">
      <c r="A987" s="115"/>
      <c r="B987" s="121"/>
      <c r="C987" s="102"/>
      <c r="D987" s="115"/>
      <c r="E987" s="115"/>
      <c r="F987" s="105"/>
      <c r="G987" s="105"/>
      <c r="H987" s="105">
        <f t="shared" si="15"/>
        <v>0</v>
      </c>
    </row>
    <row r="988" spans="1:8" x14ac:dyDescent="0.4">
      <c r="A988" s="115"/>
      <c r="B988" s="121"/>
      <c r="C988" s="102"/>
      <c r="D988" s="115"/>
      <c r="E988" s="115"/>
      <c r="F988" s="105"/>
      <c r="G988" s="105"/>
      <c r="H988" s="105">
        <f t="shared" si="15"/>
        <v>0</v>
      </c>
    </row>
    <row r="989" spans="1:8" x14ac:dyDescent="0.4">
      <c r="A989" s="115"/>
      <c r="B989" s="121"/>
      <c r="C989" s="102"/>
      <c r="D989" s="115"/>
      <c r="E989" s="115"/>
      <c r="F989" s="105"/>
      <c r="G989" s="105"/>
      <c r="H989" s="105">
        <f t="shared" si="15"/>
        <v>0</v>
      </c>
    </row>
    <row r="990" spans="1:8" x14ac:dyDescent="0.4">
      <c r="A990" s="115"/>
      <c r="B990" s="121"/>
      <c r="C990" s="102"/>
      <c r="D990" s="115"/>
      <c r="E990" s="115"/>
      <c r="F990" s="105"/>
      <c r="G990" s="105"/>
      <c r="H990" s="105">
        <f t="shared" si="15"/>
        <v>0</v>
      </c>
    </row>
    <row r="991" spans="1:8" x14ac:dyDescent="0.4">
      <c r="A991" s="115"/>
      <c r="B991" s="121"/>
      <c r="C991" s="102"/>
      <c r="D991" s="115"/>
      <c r="E991" s="115"/>
      <c r="F991" s="105"/>
      <c r="G991" s="105"/>
      <c r="H991" s="105">
        <f t="shared" si="15"/>
        <v>0</v>
      </c>
    </row>
    <row r="992" spans="1:8" x14ac:dyDescent="0.4">
      <c r="A992" s="115"/>
      <c r="B992" s="121"/>
      <c r="C992" s="102"/>
      <c r="D992" s="115"/>
      <c r="E992" s="115"/>
      <c r="F992" s="105"/>
      <c r="G992" s="105"/>
      <c r="H992" s="105">
        <f t="shared" si="15"/>
        <v>0</v>
      </c>
    </row>
    <row r="993" spans="1:8" x14ac:dyDescent="0.4">
      <c r="A993" s="115"/>
      <c r="B993" s="121"/>
      <c r="C993" s="102"/>
      <c r="D993" s="115"/>
      <c r="E993" s="115"/>
      <c r="F993" s="105"/>
      <c r="G993" s="105"/>
      <c r="H993" s="105">
        <f t="shared" si="15"/>
        <v>0</v>
      </c>
    </row>
    <row r="994" spans="1:8" x14ac:dyDescent="0.4">
      <c r="A994" s="115"/>
      <c r="B994" s="121"/>
      <c r="C994" s="102"/>
      <c r="D994" s="115"/>
      <c r="E994" s="115"/>
      <c r="F994" s="105"/>
      <c r="G994" s="105"/>
      <c r="H994" s="105">
        <f t="shared" si="15"/>
        <v>0</v>
      </c>
    </row>
    <row r="995" spans="1:8" x14ac:dyDescent="0.4">
      <c r="A995" s="115"/>
      <c r="B995" s="121"/>
      <c r="C995" s="102"/>
      <c r="D995" s="115"/>
      <c r="E995" s="115"/>
      <c r="F995" s="105"/>
      <c r="G995" s="105"/>
      <c r="H995" s="105">
        <f t="shared" si="15"/>
        <v>0</v>
      </c>
    </row>
    <row r="996" spans="1:8" x14ac:dyDescent="0.4">
      <c r="A996" s="115"/>
      <c r="B996" s="121"/>
      <c r="C996" s="102"/>
      <c r="D996" s="115"/>
      <c r="E996" s="115"/>
      <c r="F996" s="105"/>
      <c r="G996" s="105"/>
      <c r="H996" s="105">
        <f t="shared" si="15"/>
        <v>0</v>
      </c>
    </row>
    <row r="997" spans="1:8" x14ac:dyDescent="0.4">
      <c r="A997" s="115"/>
      <c r="B997" s="121"/>
      <c r="C997" s="102"/>
      <c r="D997" s="115"/>
      <c r="E997" s="115"/>
      <c r="F997" s="105"/>
      <c r="G997" s="105"/>
      <c r="H997" s="105">
        <f t="shared" si="15"/>
        <v>0</v>
      </c>
    </row>
    <row r="998" spans="1:8" x14ac:dyDescent="0.4">
      <c r="A998" s="115"/>
      <c r="B998" s="121"/>
      <c r="C998" s="102"/>
      <c r="D998" s="115"/>
      <c r="E998" s="115"/>
      <c r="F998" s="105"/>
      <c r="G998" s="105"/>
      <c r="H998" s="105">
        <f t="shared" si="15"/>
        <v>0</v>
      </c>
    </row>
    <row r="999" spans="1:8" x14ac:dyDescent="0.4">
      <c r="A999" s="115"/>
      <c r="B999" s="121"/>
      <c r="C999" s="102"/>
      <c r="D999" s="115"/>
      <c r="E999" s="115"/>
      <c r="F999" s="105"/>
      <c r="G999" s="105"/>
      <c r="H999" s="105">
        <f t="shared" si="15"/>
        <v>0</v>
      </c>
    </row>
    <row r="1000" spans="1:8" x14ac:dyDescent="0.4">
      <c r="A1000" s="115"/>
      <c r="B1000" s="121"/>
      <c r="C1000" s="102"/>
      <c r="D1000" s="115"/>
      <c r="E1000" s="115"/>
      <c r="F1000" s="105"/>
      <c r="G1000" s="105"/>
      <c r="H1000" s="105">
        <f t="shared" si="15"/>
        <v>0</v>
      </c>
    </row>
    <row r="1001" spans="1:8" x14ac:dyDescent="0.4">
      <c r="A1001" s="115"/>
      <c r="B1001" s="121"/>
      <c r="C1001" s="102"/>
      <c r="D1001" s="115"/>
      <c r="E1001" s="115"/>
      <c r="F1001" s="105"/>
      <c r="G1001" s="105"/>
      <c r="H1001" s="105">
        <f t="shared" si="15"/>
        <v>0</v>
      </c>
    </row>
    <row r="1002" spans="1:8" x14ac:dyDescent="0.4">
      <c r="A1002" s="115"/>
      <c r="B1002" s="121"/>
      <c r="C1002" s="102"/>
      <c r="D1002" s="115"/>
      <c r="E1002" s="115"/>
      <c r="F1002" s="105"/>
      <c r="G1002" s="105"/>
      <c r="H1002" s="105">
        <f t="shared" si="15"/>
        <v>0</v>
      </c>
    </row>
    <row r="1003" spans="1:8" x14ac:dyDescent="0.4">
      <c r="A1003" s="115"/>
      <c r="B1003" s="121"/>
      <c r="C1003" s="102"/>
      <c r="D1003" s="115"/>
      <c r="E1003" s="115"/>
      <c r="F1003" s="105"/>
      <c r="G1003" s="105"/>
      <c r="H1003" s="105">
        <f t="shared" si="15"/>
        <v>0</v>
      </c>
    </row>
    <row r="1004" spans="1:8" x14ac:dyDescent="0.4">
      <c r="A1004" s="115"/>
      <c r="B1004" s="121"/>
      <c r="C1004" s="102"/>
      <c r="D1004" s="115"/>
      <c r="E1004" s="115"/>
      <c r="F1004" s="105"/>
      <c r="G1004" s="105"/>
      <c r="H1004" s="105">
        <f t="shared" si="15"/>
        <v>0</v>
      </c>
    </row>
    <row r="1005" spans="1:8" x14ac:dyDescent="0.4">
      <c r="A1005" s="115"/>
      <c r="B1005" s="121"/>
      <c r="C1005" s="102"/>
      <c r="D1005" s="115"/>
      <c r="E1005" s="115"/>
      <c r="F1005" s="105"/>
      <c r="G1005" s="105"/>
      <c r="H1005" s="105">
        <f t="shared" si="15"/>
        <v>0</v>
      </c>
    </row>
    <row r="1006" spans="1:8" x14ac:dyDescent="0.4">
      <c r="A1006" s="115"/>
      <c r="B1006" s="121"/>
      <c r="C1006" s="102"/>
      <c r="D1006" s="115"/>
      <c r="E1006" s="115"/>
      <c r="F1006" s="105"/>
      <c r="G1006" s="105"/>
      <c r="H1006" s="105">
        <f t="shared" si="15"/>
        <v>0</v>
      </c>
    </row>
    <row r="1007" spans="1:8" x14ac:dyDescent="0.4">
      <c r="A1007" s="115"/>
      <c r="B1007" s="121"/>
      <c r="C1007" s="102"/>
      <c r="D1007" s="115"/>
      <c r="E1007" s="115"/>
      <c r="F1007" s="105"/>
      <c r="G1007" s="105"/>
      <c r="H1007" s="105">
        <f t="shared" si="15"/>
        <v>0</v>
      </c>
    </row>
    <row r="1008" spans="1:8" x14ac:dyDescent="0.4">
      <c r="A1008" s="115"/>
      <c r="B1008" s="121"/>
      <c r="C1008" s="102"/>
      <c r="D1008" s="115"/>
      <c r="E1008" s="115"/>
      <c r="F1008" s="105"/>
      <c r="G1008" s="105"/>
      <c r="H1008" s="105">
        <f t="shared" si="15"/>
        <v>0</v>
      </c>
    </row>
    <row r="1009" spans="1:8" x14ac:dyDescent="0.4">
      <c r="A1009" s="115"/>
      <c r="B1009" s="121"/>
      <c r="C1009" s="102"/>
      <c r="D1009" s="115"/>
      <c r="E1009" s="115"/>
      <c r="F1009" s="105"/>
      <c r="G1009" s="105"/>
      <c r="H1009" s="105">
        <f t="shared" si="15"/>
        <v>0</v>
      </c>
    </row>
    <row r="1010" spans="1:8" x14ac:dyDescent="0.4">
      <c r="A1010" s="115"/>
      <c r="B1010" s="121"/>
      <c r="C1010" s="102"/>
      <c r="D1010" s="115"/>
      <c r="E1010" s="115"/>
      <c r="F1010" s="105"/>
      <c r="G1010" s="105"/>
      <c r="H1010" s="105">
        <f t="shared" si="15"/>
        <v>0</v>
      </c>
    </row>
    <row r="1011" spans="1:8" x14ac:dyDescent="0.4">
      <c r="A1011" s="115"/>
      <c r="B1011" s="121"/>
      <c r="C1011" s="102"/>
      <c r="D1011" s="115"/>
      <c r="E1011" s="115"/>
      <c r="F1011" s="105"/>
      <c r="G1011" s="105"/>
      <c r="H1011" s="105">
        <f t="shared" si="15"/>
        <v>0</v>
      </c>
    </row>
    <row r="1012" spans="1:8" x14ac:dyDescent="0.4">
      <c r="A1012" s="115"/>
      <c r="B1012" s="121"/>
      <c r="C1012" s="102"/>
      <c r="D1012" s="115"/>
      <c r="E1012" s="115"/>
      <c r="F1012" s="105"/>
      <c r="G1012" s="105"/>
      <c r="H1012" s="105">
        <f t="shared" si="15"/>
        <v>0</v>
      </c>
    </row>
    <row r="1013" spans="1:8" x14ac:dyDescent="0.4">
      <c r="A1013" s="115"/>
      <c r="B1013" s="121"/>
      <c r="C1013" s="102"/>
      <c r="D1013" s="115"/>
      <c r="E1013" s="115"/>
      <c r="F1013" s="105"/>
      <c r="G1013" s="105"/>
      <c r="H1013" s="105">
        <f t="shared" si="15"/>
        <v>0</v>
      </c>
    </row>
    <row r="1014" spans="1:8" x14ac:dyDescent="0.4">
      <c r="A1014" s="115"/>
      <c r="B1014" s="121"/>
      <c r="C1014" s="102"/>
      <c r="D1014" s="115"/>
      <c r="E1014" s="115"/>
      <c r="F1014" s="105"/>
      <c r="G1014" s="105"/>
      <c r="H1014" s="105">
        <f t="shared" si="15"/>
        <v>0</v>
      </c>
    </row>
    <row r="1015" spans="1:8" x14ac:dyDescent="0.4">
      <c r="A1015" s="115"/>
      <c r="B1015" s="121"/>
      <c r="C1015" s="102"/>
      <c r="D1015" s="115"/>
      <c r="E1015" s="115"/>
      <c r="F1015" s="105"/>
      <c r="G1015" s="105"/>
      <c r="H1015" s="105">
        <f t="shared" si="15"/>
        <v>0</v>
      </c>
    </row>
    <row r="1016" spans="1:8" x14ac:dyDescent="0.4">
      <c r="A1016" s="115"/>
      <c r="B1016" s="121"/>
      <c r="C1016" s="102"/>
      <c r="D1016" s="115"/>
      <c r="E1016" s="115"/>
      <c r="F1016" s="105"/>
      <c r="G1016" s="105"/>
      <c r="H1016" s="105">
        <f t="shared" si="15"/>
        <v>0</v>
      </c>
    </row>
    <row r="1017" spans="1:8" x14ac:dyDescent="0.4">
      <c r="A1017" s="115"/>
      <c r="B1017" s="121"/>
      <c r="C1017" s="102"/>
      <c r="D1017" s="115"/>
      <c r="E1017" s="115"/>
      <c r="F1017" s="105"/>
      <c r="G1017" s="105"/>
      <c r="H1017" s="105">
        <f t="shared" si="15"/>
        <v>0</v>
      </c>
    </row>
    <row r="1018" spans="1:8" x14ac:dyDescent="0.4">
      <c r="A1018" s="115"/>
      <c r="B1018" s="121"/>
      <c r="C1018" s="102"/>
      <c r="D1018" s="115"/>
      <c r="E1018" s="115"/>
      <c r="F1018" s="105"/>
      <c r="G1018" s="105"/>
      <c r="H1018" s="105">
        <f t="shared" si="15"/>
        <v>0</v>
      </c>
    </row>
    <row r="1019" spans="1:8" x14ac:dyDescent="0.4">
      <c r="A1019" s="115"/>
      <c r="B1019" s="121"/>
      <c r="C1019" s="102"/>
      <c r="D1019" s="115"/>
      <c r="E1019" s="115"/>
      <c r="F1019" s="105"/>
      <c r="G1019" s="105"/>
      <c r="H1019" s="105">
        <f t="shared" si="15"/>
        <v>0</v>
      </c>
    </row>
    <row r="1020" spans="1:8" x14ac:dyDescent="0.4">
      <c r="A1020" s="115"/>
      <c r="B1020" s="121"/>
      <c r="C1020" s="102"/>
      <c r="D1020" s="115"/>
      <c r="E1020" s="115"/>
      <c r="F1020" s="105"/>
      <c r="G1020" s="105"/>
      <c r="H1020" s="105">
        <f t="shared" si="15"/>
        <v>0</v>
      </c>
    </row>
    <row r="1021" spans="1:8" x14ac:dyDescent="0.4">
      <c r="A1021" s="115"/>
      <c r="B1021" s="121"/>
      <c r="C1021" s="102"/>
      <c r="D1021" s="115"/>
      <c r="E1021" s="115"/>
      <c r="F1021" s="105"/>
      <c r="G1021" s="105"/>
      <c r="H1021" s="105">
        <f t="shared" si="15"/>
        <v>0</v>
      </c>
    </row>
    <row r="1022" spans="1:8" x14ac:dyDescent="0.4">
      <c r="A1022" s="115"/>
      <c r="B1022" s="121"/>
      <c r="C1022" s="102"/>
      <c r="D1022" s="115"/>
      <c r="E1022" s="115"/>
      <c r="F1022" s="105"/>
      <c r="G1022" s="105"/>
      <c r="H1022" s="105">
        <f t="shared" si="15"/>
        <v>0</v>
      </c>
    </row>
    <row r="1023" spans="1:8" x14ac:dyDescent="0.4">
      <c r="A1023" s="115"/>
      <c r="B1023" s="121"/>
      <c r="C1023" s="102"/>
      <c r="D1023" s="115"/>
      <c r="E1023" s="115"/>
      <c r="F1023" s="105"/>
      <c r="G1023" s="105"/>
      <c r="H1023" s="105">
        <f t="shared" si="15"/>
        <v>0</v>
      </c>
    </row>
    <row r="1024" spans="1:8" x14ac:dyDescent="0.4">
      <c r="A1024" s="115"/>
      <c r="B1024" s="121"/>
      <c r="C1024" s="102"/>
      <c r="D1024" s="115"/>
      <c r="E1024" s="115"/>
      <c r="F1024" s="105"/>
      <c r="G1024" s="105"/>
      <c r="H1024" s="105">
        <f t="shared" si="15"/>
        <v>0</v>
      </c>
    </row>
    <row r="1025" spans="1:8" x14ac:dyDescent="0.4">
      <c r="A1025" s="115"/>
      <c r="B1025" s="121"/>
      <c r="C1025" s="102"/>
      <c r="D1025" s="115"/>
      <c r="E1025" s="115"/>
      <c r="F1025" s="105"/>
      <c r="G1025" s="105"/>
      <c r="H1025" s="105">
        <f t="shared" si="15"/>
        <v>0</v>
      </c>
    </row>
    <row r="1026" spans="1:8" x14ac:dyDescent="0.4">
      <c r="A1026" s="115"/>
      <c r="B1026" s="121"/>
      <c r="C1026" s="102"/>
      <c r="D1026" s="115"/>
      <c r="E1026" s="115"/>
      <c r="F1026" s="105"/>
      <c r="G1026" s="105"/>
      <c r="H1026" s="105">
        <f t="shared" si="15"/>
        <v>0</v>
      </c>
    </row>
    <row r="1027" spans="1:8" x14ac:dyDescent="0.4">
      <c r="A1027" s="115"/>
      <c r="B1027" s="121"/>
      <c r="C1027" s="102"/>
      <c r="D1027" s="115"/>
      <c r="E1027" s="115"/>
      <c r="F1027" s="105"/>
      <c r="G1027" s="105"/>
      <c r="H1027" s="105">
        <f t="shared" si="15"/>
        <v>0</v>
      </c>
    </row>
    <row r="1028" spans="1:8" x14ac:dyDescent="0.4">
      <c r="A1028" s="115"/>
      <c r="B1028" s="121"/>
      <c r="C1028" s="102"/>
      <c r="D1028" s="115"/>
      <c r="E1028" s="115"/>
      <c r="F1028" s="105"/>
      <c r="G1028" s="105"/>
      <c r="H1028" s="105">
        <f t="shared" si="15"/>
        <v>0</v>
      </c>
    </row>
    <row r="1029" spans="1:8" x14ac:dyDescent="0.4">
      <c r="A1029" s="115"/>
      <c r="B1029" s="121"/>
      <c r="C1029" s="102"/>
      <c r="D1029" s="115"/>
      <c r="E1029" s="115"/>
      <c r="F1029" s="105"/>
      <c r="G1029" s="105"/>
      <c r="H1029" s="105">
        <f t="shared" si="15"/>
        <v>0</v>
      </c>
    </row>
    <row r="1030" spans="1:8" x14ac:dyDescent="0.4">
      <c r="A1030" s="115"/>
      <c r="B1030" s="121"/>
      <c r="C1030" s="102"/>
      <c r="D1030" s="115"/>
      <c r="E1030" s="115"/>
      <c r="F1030" s="105"/>
      <c r="G1030" s="105"/>
      <c r="H1030" s="105">
        <f t="shared" si="15"/>
        <v>0</v>
      </c>
    </row>
    <row r="1031" spans="1:8" x14ac:dyDescent="0.4">
      <c r="A1031" s="115"/>
      <c r="B1031" s="121"/>
      <c r="C1031" s="102"/>
      <c r="D1031" s="115"/>
      <c r="E1031" s="115"/>
      <c r="F1031" s="105"/>
      <c r="G1031" s="105"/>
      <c r="H1031" s="105">
        <f t="shared" si="15"/>
        <v>0</v>
      </c>
    </row>
    <row r="1032" spans="1:8" x14ac:dyDescent="0.4">
      <c r="A1032" s="115"/>
      <c r="B1032" s="121"/>
      <c r="C1032" s="102"/>
      <c r="D1032" s="115"/>
      <c r="E1032" s="115"/>
      <c r="F1032" s="105"/>
      <c r="G1032" s="105"/>
      <c r="H1032" s="105">
        <f t="shared" si="15"/>
        <v>0</v>
      </c>
    </row>
    <row r="1033" spans="1:8" x14ac:dyDescent="0.4">
      <c r="A1033" s="115"/>
      <c r="B1033" s="121"/>
      <c r="C1033" s="102"/>
      <c r="D1033" s="115"/>
      <c r="E1033" s="115"/>
      <c r="F1033" s="105"/>
      <c r="G1033" s="105"/>
      <c r="H1033" s="105">
        <f t="shared" si="15"/>
        <v>0</v>
      </c>
    </row>
    <row r="1034" spans="1:8" x14ac:dyDescent="0.4">
      <c r="A1034" s="115"/>
      <c r="B1034" s="121"/>
      <c r="C1034" s="102"/>
      <c r="D1034" s="115"/>
      <c r="E1034" s="115"/>
      <c r="F1034" s="105"/>
      <c r="G1034" s="105"/>
      <c r="H1034" s="105">
        <f t="shared" si="15"/>
        <v>0</v>
      </c>
    </row>
    <row r="1035" spans="1:8" x14ac:dyDescent="0.4">
      <c r="A1035" s="115"/>
      <c r="B1035" s="121"/>
      <c r="C1035" s="102"/>
      <c r="D1035" s="115"/>
      <c r="E1035" s="115"/>
      <c r="F1035" s="105"/>
      <c r="G1035" s="105"/>
      <c r="H1035" s="105">
        <f t="shared" si="15"/>
        <v>0</v>
      </c>
    </row>
    <row r="1036" spans="1:8" x14ac:dyDescent="0.4">
      <c r="A1036" s="115"/>
      <c r="B1036" s="121"/>
      <c r="C1036" s="102"/>
      <c r="D1036" s="115"/>
      <c r="E1036" s="115"/>
      <c r="F1036" s="105"/>
      <c r="G1036" s="105"/>
      <c r="H1036" s="105">
        <f t="shared" si="15"/>
        <v>0</v>
      </c>
    </row>
    <row r="1037" spans="1:8" x14ac:dyDescent="0.4">
      <c r="A1037" s="115"/>
      <c r="B1037" s="121"/>
      <c r="C1037" s="102"/>
      <c r="D1037" s="115"/>
      <c r="E1037" s="115"/>
      <c r="F1037" s="105"/>
      <c r="G1037" s="105"/>
      <c r="H1037" s="105">
        <f t="shared" si="15"/>
        <v>0</v>
      </c>
    </row>
    <row r="1038" spans="1:8" x14ac:dyDescent="0.4">
      <c r="A1038" s="115"/>
      <c r="B1038" s="121"/>
      <c r="C1038" s="102"/>
      <c r="D1038" s="115"/>
      <c r="E1038" s="115"/>
      <c r="F1038" s="105"/>
      <c r="G1038" s="105"/>
      <c r="H1038" s="105">
        <f t="shared" si="15"/>
        <v>0</v>
      </c>
    </row>
    <row r="1039" spans="1:8" x14ac:dyDescent="0.4">
      <c r="A1039" s="115"/>
      <c r="B1039" s="121"/>
      <c r="C1039" s="102"/>
      <c r="D1039" s="115"/>
      <c r="E1039" s="115"/>
      <c r="F1039" s="105"/>
      <c r="G1039" s="105"/>
      <c r="H1039" s="105">
        <f t="shared" si="15"/>
        <v>0</v>
      </c>
    </row>
    <row r="1040" spans="1:8" x14ac:dyDescent="0.4">
      <c r="A1040" s="115"/>
      <c r="B1040" s="121"/>
      <c r="C1040" s="102"/>
      <c r="D1040" s="115"/>
      <c r="E1040" s="115"/>
      <c r="F1040" s="105"/>
      <c r="G1040" s="105"/>
      <c r="H1040" s="105">
        <f t="shared" ref="H1040:H1103" si="16">H1039+F1040-G1040</f>
        <v>0</v>
      </c>
    </row>
    <row r="1041" spans="1:8" x14ac:dyDescent="0.4">
      <c r="A1041" s="115"/>
      <c r="B1041" s="121"/>
      <c r="C1041" s="102"/>
      <c r="D1041" s="115"/>
      <c r="E1041" s="115"/>
      <c r="F1041" s="105"/>
      <c r="G1041" s="105"/>
      <c r="H1041" s="105">
        <f t="shared" si="16"/>
        <v>0</v>
      </c>
    </row>
    <row r="1042" spans="1:8" x14ac:dyDescent="0.4">
      <c r="A1042" s="115"/>
      <c r="B1042" s="121"/>
      <c r="C1042" s="102"/>
      <c r="D1042" s="115"/>
      <c r="E1042" s="115"/>
      <c r="F1042" s="105"/>
      <c r="G1042" s="105"/>
      <c r="H1042" s="105">
        <f t="shared" si="16"/>
        <v>0</v>
      </c>
    </row>
    <row r="1043" spans="1:8" x14ac:dyDescent="0.4">
      <c r="A1043" s="115"/>
      <c r="B1043" s="121"/>
      <c r="C1043" s="102"/>
      <c r="D1043" s="115"/>
      <c r="E1043" s="115"/>
      <c r="F1043" s="105"/>
      <c r="G1043" s="105"/>
      <c r="H1043" s="105">
        <f t="shared" si="16"/>
        <v>0</v>
      </c>
    </row>
    <row r="1044" spans="1:8" x14ac:dyDescent="0.4">
      <c r="A1044" s="115"/>
      <c r="B1044" s="121"/>
      <c r="C1044" s="102"/>
      <c r="D1044" s="115"/>
      <c r="E1044" s="115"/>
      <c r="F1044" s="105"/>
      <c r="G1044" s="105"/>
      <c r="H1044" s="105">
        <f t="shared" si="16"/>
        <v>0</v>
      </c>
    </row>
    <row r="1045" spans="1:8" x14ac:dyDescent="0.4">
      <c r="A1045" s="115"/>
      <c r="B1045" s="121"/>
      <c r="C1045" s="102"/>
      <c r="D1045" s="115"/>
      <c r="E1045" s="115"/>
      <c r="F1045" s="105"/>
      <c r="G1045" s="105"/>
      <c r="H1045" s="105">
        <f t="shared" si="16"/>
        <v>0</v>
      </c>
    </row>
    <row r="1046" spans="1:8" x14ac:dyDescent="0.4">
      <c r="A1046" s="115"/>
      <c r="B1046" s="121"/>
      <c r="C1046" s="102"/>
      <c r="D1046" s="115"/>
      <c r="E1046" s="115"/>
      <c r="F1046" s="105"/>
      <c r="G1046" s="105"/>
      <c r="H1046" s="105">
        <f t="shared" si="16"/>
        <v>0</v>
      </c>
    </row>
    <row r="1047" spans="1:8" x14ac:dyDescent="0.4">
      <c r="A1047" s="115"/>
      <c r="B1047" s="121"/>
      <c r="C1047" s="102"/>
      <c r="D1047" s="115"/>
      <c r="E1047" s="115"/>
      <c r="F1047" s="105"/>
      <c r="G1047" s="105"/>
      <c r="H1047" s="105">
        <f t="shared" si="16"/>
        <v>0</v>
      </c>
    </row>
    <row r="1048" spans="1:8" x14ac:dyDescent="0.4">
      <c r="A1048" s="115"/>
      <c r="B1048" s="121"/>
      <c r="C1048" s="102"/>
      <c r="D1048" s="115"/>
      <c r="E1048" s="115"/>
      <c r="F1048" s="105"/>
      <c r="G1048" s="105"/>
      <c r="H1048" s="105">
        <f t="shared" si="16"/>
        <v>0</v>
      </c>
    </row>
    <row r="1049" spans="1:8" x14ac:dyDescent="0.4">
      <c r="A1049" s="115"/>
      <c r="B1049" s="121"/>
      <c r="C1049" s="102"/>
      <c r="D1049" s="115"/>
      <c r="E1049" s="115"/>
      <c r="F1049" s="105"/>
      <c r="G1049" s="105"/>
      <c r="H1049" s="105">
        <f t="shared" si="16"/>
        <v>0</v>
      </c>
    </row>
    <row r="1050" spans="1:8" x14ac:dyDescent="0.4">
      <c r="A1050" s="115"/>
      <c r="B1050" s="121"/>
      <c r="C1050" s="102"/>
      <c r="D1050" s="115"/>
      <c r="E1050" s="115"/>
      <c r="F1050" s="105"/>
      <c r="G1050" s="105"/>
      <c r="H1050" s="105">
        <f t="shared" si="16"/>
        <v>0</v>
      </c>
    </row>
    <row r="1051" spans="1:8" x14ac:dyDescent="0.4">
      <c r="A1051" s="115"/>
      <c r="B1051" s="121"/>
      <c r="C1051" s="102"/>
      <c r="D1051" s="115"/>
      <c r="E1051" s="115"/>
      <c r="F1051" s="105"/>
      <c r="G1051" s="105"/>
      <c r="H1051" s="105">
        <f t="shared" si="16"/>
        <v>0</v>
      </c>
    </row>
    <row r="1052" spans="1:8" x14ac:dyDescent="0.4">
      <c r="A1052" s="115"/>
      <c r="B1052" s="121"/>
      <c r="C1052" s="102"/>
      <c r="D1052" s="115"/>
      <c r="E1052" s="115"/>
      <c r="F1052" s="105"/>
      <c r="G1052" s="105"/>
      <c r="H1052" s="105">
        <f t="shared" si="16"/>
        <v>0</v>
      </c>
    </row>
    <row r="1053" spans="1:8" x14ac:dyDescent="0.4">
      <c r="A1053" s="115"/>
      <c r="B1053" s="121"/>
      <c r="C1053" s="102"/>
      <c r="D1053" s="115"/>
      <c r="E1053" s="115"/>
      <c r="F1053" s="105"/>
      <c r="G1053" s="105"/>
      <c r="H1053" s="105">
        <f t="shared" si="16"/>
        <v>0</v>
      </c>
    </row>
    <row r="1054" spans="1:8" x14ac:dyDescent="0.4">
      <c r="A1054" s="115"/>
      <c r="B1054" s="121"/>
      <c r="C1054" s="102"/>
      <c r="D1054" s="115"/>
      <c r="E1054" s="115"/>
      <c r="F1054" s="105"/>
      <c r="G1054" s="105"/>
      <c r="H1054" s="105">
        <f t="shared" si="16"/>
        <v>0</v>
      </c>
    </row>
    <row r="1055" spans="1:8" x14ac:dyDescent="0.4">
      <c r="A1055" s="115"/>
      <c r="B1055" s="121"/>
      <c r="C1055" s="102"/>
      <c r="D1055" s="115"/>
      <c r="E1055" s="115"/>
      <c r="F1055" s="105"/>
      <c r="G1055" s="105"/>
      <c r="H1055" s="105">
        <f t="shared" si="16"/>
        <v>0</v>
      </c>
    </row>
    <row r="1056" spans="1:8" x14ac:dyDescent="0.4">
      <c r="A1056" s="115"/>
      <c r="B1056" s="121"/>
      <c r="C1056" s="102"/>
      <c r="D1056" s="115"/>
      <c r="E1056" s="115"/>
      <c r="F1056" s="105"/>
      <c r="G1056" s="105"/>
      <c r="H1056" s="105">
        <f t="shared" si="16"/>
        <v>0</v>
      </c>
    </row>
    <row r="1057" spans="1:8" x14ac:dyDescent="0.4">
      <c r="A1057" s="115"/>
      <c r="B1057" s="121"/>
      <c r="C1057" s="102"/>
      <c r="D1057" s="115"/>
      <c r="E1057" s="115"/>
      <c r="F1057" s="105"/>
      <c r="G1057" s="105"/>
      <c r="H1057" s="105">
        <f t="shared" si="16"/>
        <v>0</v>
      </c>
    </row>
    <row r="1058" spans="1:8" x14ac:dyDescent="0.4">
      <c r="A1058" s="115"/>
      <c r="B1058" s="121"/>
      <c r="C1058" s="102"/>
      <c r="D1058" s="115"/>
      <c r="E1058" s="115"/>
      <c r="F1058" s="105"/>
      <c r="G1058" s="105"/>
      <c r="H1058" s="105">
        <f t="shared" si="16"/>
        <v>0</v>
      </c>
    </row>
    <row r="1059" spans="1:8" x14ac:dyDescent="0.4">
      <c r="A1059" s="115"/>
      <c r="B1059" s="121"/>
      <c r="C1059" s="102"/>
      <c r="D1059" s="115"/>
      <c r="E1059" s="115"/>
      <c r="F1059" s="105"/>
      <c r="G1059" s="105"/>
      <c r="H1059" s="105">
        <f t="shared" si="16"/>
        <v>0</v>
      </c>
    </row>
    <row r="1060" spans="1:8" x14ac:dyDescent="0.4">
      <c r="A1060" s="115"/>
      <c r="B1060" s="121"/>
      <c r="C1060" s="102"/>
      <c r="D1060" s="115"/>
      <c r="E1060" s="115"/>
      <c r="F1060" s="105"/>
      <c r="G1060" s="105"/>
      <c r="H1060" s="105">
        <f t="shared" si="16"/>
        <v>0</v>
      </c>
    </row>
    <row r="1061" spans="1:8" x14ac:dyDescent="0.4">
      <c r="A1061" s="115"/>
      <c r="B1061" s="121"/>
      <c r="C1061" s="102"/>
      <c r="D1061" s="115"/>
      <c r="E1061" s="115"/>
      <c r="F1061" s="105"/>
      <c r="G1061" s="105"/>
      <c r="H1061" s="105">
        <f t="shared" si="16"/>
        <v>0</v>
      </c>
    </row>
    <row r="1062" spans="1:8" x14ac:dyDescent="0.4">
      <c r="A1062" s="115"/>
      <c r="B1062" s="121"/>
      <c r="C1062" s="102"/>
      <c r="D1062" s="115"/>
      <c r="E1062" s="115"/>
      <c r="F1062" s="105"/>
      <c r="G1062" s="105"/>
      <c r="H1062" s="105">
        <f t="shared" si="16"/>
        <v>0</v>
      </c>
    </row>
    <row r="1063" spans="1:8" x14ac:dyDescent="0.4">
      <c r="A1063" s="115"/>
      <c r="B1063" s="121"/>
      <c r="C1063" s="102"/>
      <c r="D1063" s="115"/>
      <c r="E1063" s="115"/>
      <c r="F1063" s="105"/>
      <c r="G1063" s="105"/>
      <c r="H1063" s="105">
        <f t="shared" si="16"/>
        <v>0</v>
      </c>
    </row>
    <row r="1064" spans="1:8" x14ac:dyDescent="0.4">
      <c r="A1064" s="115"/>
      <c r="B1064" s="121"/>
      <c r="C1064" s="102"/>
      <c r="D1064" s="115"/>
      <c r="E1064" s="115"/>
      <c r="F1064" s="105"/>
      <c r="G1064" s="105"/>
      <c r="H1064" s="105">
        <f t="shared" si="16"/>
        <v>0</v>
      </c>
    </row>
    <row r="1065" spans="1:8" x14ac:dyDescent="0.4">
      <c r="A1065" s="115"/>
      <c r="B1065" s="121"/>
      <c r="C1065" s="102"/>
      <c r="D1065" s="115"/>
      <c r="E1065" s="115"/>
      <c r="F1065" s="105"/>
      <c r="G1065" s="105"/>
      <c r="H1065" s="105">
        <f t="shared" si="16"/>
        <v>0</v>
      </c>
    </row>
    <row r="1066" spans="1:8" x14ac:dyDescent="0.4">
      <c r="A1066" s="115"/>
      <c r="B1066" s="121"/>
      <c r="C1066" s="102"/>
      <c r="D1066" s="115"/>
      <c r="E1066" s="115"/>
      <c r="F1066" s="105"/>
      <c r="G1066" s="105"/>
      <c r="H1066" s="105">
        <f t="shared" si="16"/>
        <v>0</v>
      </c>
    </row>
    <row r="1067" spans="1:8" x14ac:dyDescent="0.4">
      <c r="A1067" s="115"/>
      <c r="B1067" s="121"/>
      <c r="C1067" s="102"/>
      <c r="D1067" s="115"/>
      <c r="E1067" s="115"/>
      <c r="F1067" s="105"/>
      <c r="G1067" s="105"/>
      <c r="H1067" s="105">
        <f t="shared" si="16"/>
        <v>0</v>
      </c>
    </row>
    <row r="1068" spans="1:8" x14ac:dyDescent="0.4">
      <c r="A1068" s="115"/>
      <c r="B1068" s="121"/>
      <c r="C1068" s="102"/>
      <c r="D1068" s="115"/>
      <c r="E1068" s="115"/>
      <c r="F1068" s="105"/>
      <c r="G1068" s="105"/>
      <c r="H1068" s="105">
        <f t="shared" si="16"/>
        <v>0</v>
      </c>
    </row>
    <row r="1069" spans="1:8" x14ac:dyDescent="0.4">
      <c r="A1069" s="115"/>
      <c r="B1069" s="121"/>
      <c r="C1069" s="102"/>
      <c r="D1069" s="115"/>
      <c r="E1069" s="115"/>
      <c r="F1069" s="105"/>
      <c r="G1069" s="105"/>
      <c r="H1069" s="105">
        <f t="shared" si="16"/>
        <v>0</v>
      </c>
    </row>
    <row r="1070" spans="1:8" x14ac:dyDescent="0.4">
      <c r="A1070" s="115"/>
      <c r="B1070" s="121"/>
      <c r="C1070" s="102"/>
      <c r="D1070" s="115"/>
      <c r="E1070" s="115"/>
      <c r="F1070" s="105"/>
      <c r="G1070" s="105"/>
      <c r="H1070" s="105">
        <f t="shared" si="16"/>
        <v>0</v>
      </c>
    </row>
    <row r="1071" spans="1:8" x14ac:dyDescent="0.4">
      <c r="A1071" s="115"/>
      <c r="B1071" s="121"/>
      <c r="C1071" s="102"/>
      <c r="D1071" s="115"/>
      <c r="E1071" s="115"/>
      <c r="F1071" s="105"/>
      <c r="G1071" s="105"/>
      <c r="H1071" s="105">
        <f t="shared" si="16"/>
        <v>0</v>
      </c>
    </row>
    <row r="1072" spans="1:8" x14ac:dyDescent="0.4">
      <c r="A1072" s="115"/>
      <c r="B1072" s="121"/>
      <c r="C1072" s="102"/>
      <c r="D1072" s="115"/>
      <c r="E1072" s="115"/>
      <c r="F1072" s="105"/>
      <c r="G1072" s="105"/>
      <c r="H1072" s="105">
        <f t="shared" si="16"/>
        <v>0</v>
      </c>
    </row>
    <row r="1073" spans="1:8" x14ac:dyDescent="0.4">
      <c r="A1073" s="115"/>
      <c r="B1073" s="121"/>
      <c r="C1073" s="102"/>
      <c r="D1073" s="115"/>
      <c r="E1073" s="115"/>
      <c r="F1073" s="105"/>
      <c r="G1073" s="105"/>
      <c r="H1073" s="105">
        <f t="shared" si="16"/>
        <v>0</v>
      </c>
    </row>
    <row r="1074" spans="1:8" x14ac:dyDescent="0.4">
      <c r="A1074" s="115"/>
      <c r="B1074" s="121"/>
      <c r="C1074" s="102"/>
      <c r="D1074" s="115"/>
      <c r="E1074" s="115"/>
      <c r="F1074" s="105"/>
      <c r="G1074" s="105"/>
      <c r="H1074" s="105">
        <f t="shared" si="16"/>
        <v>0</v>
      </c>
    </row>
    <row r="1075" spans="1:8" x14ac:dyDescent="0.4">
      <c r="A1075" s="115"/>
      <c r="B1075" s="121"/>
      <c r="C1075" s="102"/>
      <c r="D1075" s="115"/>
      <c r="E1075" s="115"/>
      <c r="F1075" s="105"/>
      <c r="G1075" s="105"/>
      <c r="H1075" s="105">
        <f t="shared" si="16"/>
        <v>0</v>
      </c>
    </row>
    <row r="1076" spans="1:8" x14ac:dyDescent="0.4">
      <c r="A1076" s="115"/>
      <c r="B1076" s="121"/>
      <c r="C1076" s="102"/>
      <c r="D1076" s="115"/>
      <c r="E1076" s="115"/>
      <c r="F1076" s="105"/>
      <c r="G1076" s="105"/>
      <c r="H1076" s="105">
        <f t="shared" si="16"/>
        <v>0</v>
      </c>
    </row>
    <row r="1077" spans="1:8" x14ac:dyDescent="0.4">
      <c r="A1077" s="115"/>
      <c r="B1077" s="121"/>
      <c r="C1077" s="102"/>
      <c r="D1077" s="115"/>
      <c r="E1077" s="115"/>
      <c r="F1077" s="105"/>
      <c r="G1077" s="105"/>
      <c r="H1077" s="105">
        <f t="shared" si="16"/>
        <v>0</v>
      </c>
    </row>
    <row r="1078" spans="1:8" x14ac:dyDescent="0.4">
      <c r="A1078" s="115"/>
      <c r="B1078" s="121"/>
      <c r="C1078" s="102"/>
      <c r="D1078" s="115"/>
      <c r="E1078" s="115"/>
      <c r="F1078" s="105"/>
      <c r="G1078" s="105"/>
      <c r="H1078" s="105">
        <f t="shared" si="16"/>
        <v>0</v>
      </c>
    </row>
    <row r="1079" spans="1:8" x14ac:dyDescent="0.4">
      <c r="A1079" s="115"/>
      <c r="B1079" s="121"/>
      <c r="C1079" s="102"/>
      <c r="D1079" s="115"/>
      <c r="E1079" s="115"/>
      <c r="F1079" s="105"/>
      <c r="G1079" s="105"/>
      <c r="H1079" s="105">
        <f t="shared" si="16"/>
        <v>0</v>
      </c>
    </row>
    <row r="1080" spans="1:8" x14ac:dyDescent="0.4">
      <c r="A1080" s="115"/>
      <c r="B1080" s="121"/>
      <c r="C1080" s="102"/>
      <c r="D1080" s="115"/>
      <c r="E1080" s="115"/>
      <c r="F1080" s="105"/>
      <c r="G1080" s="105"/>
      <c r="H1080" s="105">
        <f t="shared" si="16"/>
        <v>0</v>
      </c>
    </row>
    <row r="1081" spans="1:8" x14ac:dyDescent="0.4">
      <c r="A1081" s="115"/>
      <c r="B1081" s="121"/>
      <c r="C1081" s="102"/>
      <c r="D1081" s="115"/>
      <c r="E1081" s="115"/>
      <c r="F1081" s="105"/>
      <c r="G1081" s="105"/>
      <c r="H1081" s="105">
        <f t="shared" si="16"/>
        <v>0</v>
      </c>
    </row>
    <row r="1082" spans="1:8" x14ac:dyDescent="0.4">
      <c r="A1082" s="115"/>
      <c r="B1082" s="121"/>
      <c r="C1082" s="102"/>
      <c r="D1082" s="115"/>
      <c r="E1082" s="115"/>
      <c r="F1082" s="105"/>
      <c r="G1082" s="105"/>
      <c r="H1082" s="105">
        <f t="shared" si="16"/>
        <v>0</v>
      </c>
    </row>
    <row r="1083" spans="1:8" x14ac:dyDescent="0.4">
      <c r="A1083" s="115"/>
      <c r="B1083" s="121"/>
      <c r="C1083" s="102"/>
      <c r="D1083" s="115"/>
      <c r="E1083" s="115"/>
      <c r="F1083" s="105"/>
      <c r="G1083" s="105"/>
      <c r="H1083" s="105">
        <f t="shared" si="16"/>
        <v>0</v>
      </c>
    </row>
    <row r="1084" spans="1:8" x14ac:dyDescent="0.4">
      <c r="A1084" s="115"/>
      <c r="B1084" s="121"/>
      <c r="C1084" s="102"/>
      <c r="D1084" s="115"/>
      <c r="E1084" s="115"/>
      <c r="F1084" s="105"/>
      <c r="G1084" s="105"/>
      <c r="H1084" s="105">
        <f t="shared" si="16"/>
        <v>0</v>
      </c>
    </row>
    <row r="1085" spans="1:8" x14ac:dyDescent="0.4">
      <c r="A1085" s="115"/>
      <c r="B1085" s="121"/>
      <c r="C1085" s="102"/>
      <c r="D1085" s="115"/>
      <c r="E1085" s="115"/>
      <c r="F1085" s="105"/>
      <c r="G1085" s="105"/>
      <c r="H1085" s="105">
        <f t="shared" si="16"/>
        <v>0</v>
      </c>
    </row>
    <row r="1086" spans="1:8" x14ac:dyDescent="0.4">
      <c r="A1086" s="115"/>
      <c r="B1086" s="121"/>
      <c r="C1086" s="102"/>
      <c r="D1086" s="115"/>
      <c r="E1086" s="115"/>
      <c r="F1086" s="105"/>
      <c r="G1086" s="105"/>
      <c r="H1086" s="105">
        <f t="shared" si="16"/>
        <v>0</v>
      </c>
    </row>
    <row r="1087" spans="1:8" x14ac:dyDescent="0.4">
      <c r="A1087" s="115"/>
      <c r="B1087" s="121"/>
      <c r="C1087" s="102"/>
      <c r="D1087" s="115"/>
      <c r="E1087" s="115"/>
      <c r="F1087" s="105"/>
      <c r="G1087" s="105"/>
      <c r="H1087" s="105">
        <f t="shared" si="16"/>
        <v>0</v>
      </c>
    </row>
    <row r="1088" spans="1:8" x14ac:dyDescent="0.4">
      <c r="A1088" s="115"/>
      <c r="B1088" s="121"/>
      <c r="C1088" s="102"/>
      <c r="D1088" s="115"/>
      <c r="E1088" s="115"/>
      <c r="F1088" s="105"/>
      <c r="G1088" s="105"/>
      <c r="H1088" s="105">
        <f t="shared" si="16"/>
        <v>0</v>
      </c>
    </row>
    <row r="1089" spans="1:8" x14ac:dyDescent="0.4">
      <c r="A1089" s="115"/>
      <c r="B1089" s="121"/>
      <c r="C1089" s="102"/>
      <c r="D1089" s="115"/>
      <c r="E1089" s="115"/>
      <c r="F1089" s="105"/>
      <c r="G1089" s="105"/>
      <c r="H1089" s="105">
        <f t="shared" si="16"/>
        <v>0</v>
      </c>
    </row>
    <row r="1090" spans="1:8" x14ac:dyDescent="0.4">
      <c r="A1090" s="115"/>
      <c r="B1090" s="121"/>
      <c r="C1090" s="102"/>
      <c r="D1090" s="115"/>
      <c r="E1090" s="115"/>
      <c r="F1090" s="105"/>
      <c r="G1090" s="105"/>
      <c r="H1090" s="105">
        <f t="shared" si="16"/>
        <v>0</v>
      </c>
    </row>
    <row r="1091" spans="1:8" x14ac:dyDescent="0.4">
      <c r="A1091" s="115"/>
      <c r="B1091" s="121"/>
      <c r="C1091" s="102"/>
      <c r="D1091" s="115"/>
      <c r="E1091" s="115"/>
      <c r="F1091" s="105"/>
      <c r="G1091" s="105"/>
      <c r="H1091" s="105">
        <f t="shared" si="16"/>
        <v>0</v>
      </c>
    </row>
    <row r="1092" spans="1:8" x14ac:dyDescent="0.4">
      <c r="A1092" s="115"/>
      <c r="B1092" s="121"/>
      <c r="C1092" s="102"/>
      <c r="D1092" s="115"/>
      <c r="E1092" s="115"/>
      <c r="F1092" s="105"/>
      <c r="G1092" s="105"/>
      <c r="H1092" s="105">
        <f t="shared" si="16"/>
        <v>0</v>
      </c>
    </row>
    <row r="1093" spans="1:8" x14ac:dyDescent="0.4">
      <c r="A1093" s="115"/>
      <c r="B1093" s="121"/>
      <c r="C1093" s="102"/>
      <c r="D1093" s="115"/>
      <c r="E1093" s="115"/>
      <c r="F1093" s="105"/>
      <c r="G1093" s="105"/>
      <c r="H1093" s="105">
        <f t="shared" si="16"/>
        <v>0</v>
      </c>
    </row>
    <row r="1094" spans="1:8" x14ac:dyDescent="0.4">
      <c r="A1094" s="115"/>
      <c r="B1094" s="121"/>
      <c r="C1094" s="102"/>
      <c r="D1094" s="115"/>
      <c r="E1094" s="115"/>
      <c r="F1094" s="105"/>
      <c r="G1094" s="105"/>
      <c r="H1094" s="105">
        <f t="shared" si="16"/>
        <v>0</v>
      </c>
    </row>
    <row r="1095" spans="1:8" x14ac:dyDescent="0.4">
      <c r="A1095" s="115"/>
      <c r="B1095" s="121"/>
      <c r="C1095" s="102"/>
      <c r="D1095" s="115"/>
      <c r="E1095" s="115"/>
      <c r="F1095" s="105"/>
      <c r="G1095" s="105"/>
      <c r="H1095" s="105">
        <f t="shared" si="16"/>
        <v>0</v>
      </c>
    </row>
    <row r="1096" spans="1:8" x14ac:dyDescent="0.4">
      <c r="A1096" s="115"/>
      <c r="B1096" s="121"/>
      <c r="C1096" s="102"/>
      <c r="D1096" s="115"/>
      <c r="E1096" s="115"/>
      <c r="F1096" s="105"/>
      <c r="G1096" s="105"/>
      <c r="H1096" s="105">
        <f t="shared" si="16"/>
        <v>0</v>
      </c>
    </row>
    <row r="1097" spans="1:8" x14ac:dyDescent="0.4">
      <c r="A1097" s="115"/>
      <c r="B1097" s="121"/>
      <c r="C1097" s="102"/>
      <c r="D1097" s="115"/>
      <c r="E1097" s="115"/>
      <c r="F1097" s="105"/>
      <c r="G1097" s="105"/>
      <c r="H1097" s="105">
        <f t="shared" si="16"/>
        <v>0</v>
      </c>
    </row>
    <row r="1098" spans="1:8" x14ac:dyDescent="0.4">
      <c r="A1098" s="115"/>
      <c r="B1098" s="121"/>
      <c r="C1098" s="102"/>
      <c r="D1098" s="115"/>
      <c r="E1098" s="115"/>
      <c r="F1098" s="105"/>
      <c r="G1098" s="105"/>
      <c r="H1098" s="105">
        <f t="shared" si="16"/>
        <v>0</v>
      </c>
    </row>
    <row r="1099" spans="1:8" x14ac:dyDescent="0.4">
      <c r="A1099" s="115"/>
      <c r="B1099" s="121"/>
      <c r="C1099" s="102"/>
      <c r="D1099" s="115"/>
      <c r="E1099" s="115"/>
      <c r="F1099" s="105"/>
      <c r="G1099" s="105"/>
      <c r="H1099" s="105">
        <f t="shared" si="16"/>
        <v>0</v>
      </c>
    </row>
    <row r="1100" spans="1:8" x14ac:dyDescent="0.4">
      <c r="A1100" s="115"/>
      <c r="B1100" s="121"/>
      <c r="C1100" s="102"/>
      <c r="D1100" s="115"/>
      <c r="E1100" s="115"/>
      <c r="F1100" s="105"/>
      <c r="G1100" s="105"/>
      <c r="H1100" s="105">
        <f t="shared" si="16"/>
        <v>0</v>
      </c>
    </row>
    <row r="1101" spans="1:8" x14ac:dyDescent="0.4">
      <c r="A1101" s="115"/>
      <c r="B1101" s="121"/>
      <c r="C1101" s="102"/>
      <c r="D1101" s="115"/>
      <c r="E1101" s="115"/>
      <c r="F1101" s="105"/>
      <c r="G1101" s="105"/>
      <c r="H1101" s="105">
        <f t="shared" si="16"/>
        <v>0</v>
      </c>
    </row>
    <row r="1102" spans="1:8" x14ac:dyDescent="0.4">
      <c r="A1102" s="115"/>
      <c r="B1102" s="121"/>
      <c r="C1102" s="102"/>
      <c r="D1102" s="115"/>
      <c r="E1102" s="115"/>
      <c r="F1102" s="105"/>
      <c r="G1102" s="105"/>
      <c r="H1102" s="105">
        <f t="shared" si="16"/>
        <v>0</v>
      </c>
    </row>
    <row r="1103" spans="1:8" x14ac:dyDescent="0.4">
      <c r="A1103" s="115"/>
      <c r="B1103" s="121"/>
      <c r="C1103" s="102"/>
      <c r="D1103" s="115"/>
      <c r="E1103" s="115"/>
      <c r="F1103" s="105"/>
      <c r="G1103" s="105"/>
      <c r="H1103" s="105">
        <f t="shared" si="16"/>
        <v>0</v>
      </c>
    </row>
    <row r="1104" spans="1:8" x14ac:dyDescent="0.4">
      <c r="A1104" s="115"/>
      <c r="B1104" s="121"/>
      <c r="C1104" s="102"/>
      <c r="D1104" s="115"/>
      <c r="E1104" s="115"/>
      <c r="F1104" s="105"/>
      <c r="G1104" s="105"/>
      <c r="H1104" s="105">
        <f t="shared" ref="H1104:H1167" si="17">H1103+F1104-G1104</f>
        <v>0</v>
      </c>
    </row>
    <row r="1105" spans="1:8" x14ac:dyDescent="0.4">
      <c r="A1105" s="115"/>
      <c r="B1105" s="121"/>
      <c r="C1105" s="102"/>
      <c r="D1105" s="115"/>
      <c r="E1105" s="115"/>
      <c r="F1105" s="105"/>
      <c r="G1105" s="105"/>
      <c r="H1105" s="105">
        <f t="shared" si="17"/>
        <v>0</v>
      </c>
    </row>
    <row r="1106" spans="1:8" x14ac:dyDescent="0.4">
      <c r="A1106" s="115"/>
      <c r="B1106" s="121"/>
      <c r="C1106" s="102"/>
      <c r="D1106" s="115"/>
      <c r="E1106" s="115"/>
      <c r="F1106" s="105"/>
      <c r="G1106" s="105"/>
      <c r="H1106" s="105">
        <f t="shared" si="17"/>
        <v>0</v>
      </c>
    </row>
    <row r="1107" spans="1:8" x14ac:dyDescent="0.4">
      <c r="A1107" s="115"/>
      <c r="B1107" s="121"/>
      <c r="C1107" s="102"/>
      <c r="D1107" s="115"/>
      <c r="E1107" s="115"/>
      <c r="F1107" s="105"/>
      <c r="G1107" s="105"/>
      <c r="H1107" s="105">
        <f t="shared" si="17"/>
        <v>0</v>
      </c>
    </row>
    <row r="1108" spans="1:8" x14ac:dyDescent="0.4">
      <c r="A1108" s="115"/>
      <c r="B1108" s="121"/>
      <c r="C1108" s="102"/>
      <c r="D1108" s="115"/>
      <c r="E1108" s="115"/>
      <c r="F1108" s="105"/>
      <c r="G1108" s="105"/>
      <c r="H1108" s="105">
        <f t="shared" si="17"/>
        <v>0</v>
      </c>
    </row>
    <row r="1109" spans="1:8" x14ac:dyDescent="0.4">
      <c r="A1109" s="115"/>
      <c r="B1109" s="121"/>
      <c r="C1109" s="102"/>
      <c r="D1109" s="115"/>
      <c r="E1109" s="115"/>
      <c r="F1109" s="105"/>
      <c r="G1109" s="105"/>
      <c r="H1109" s="105">
        <f t="shared" si="17"/>
        <v>0</v>
      </c>
    </row>
    <row r="1110" spans="1:8" x14ac:dyDescent="0.4">
      <c r="A1110" s="115"/>
      <c r="B1110" s="121"/>
      <c r="C1110" s="102"/>
      <c r="D1110" s="115"/>
      <c r="E1110" s="115"/>
      <c r="F1110" s="105"/>
      <c r="G1110" s="105"/>
      <c r="H1110" s="105">
        <f t="shared" si="17"/>
        <v>0</v>
      </c>
    </row>
    <row r="1111" spans="1:8" x14ac:dyDescent="0.4">
      <c r="A1111" s="115"/>
      <c r="B1111" s="121"/>
      <c r="C1111" s="102"/>
      <c r="D1111" s="115"/>
      <c r="E1111" s="115"/>
      <c r="F1111" s="105"/>
      <c r="G1111" s="105"/>
      <c r="H1111" s="105">
        <f t="shared" si="17"/>
        <v>0</v>
      </c>
    </row>
    <row r="1112" spans="1:8" x14ac:dyDescent="0.4">
      <c r="A1112" s="115"/>
      <c r="B1112" s="121"/>
      <c r="C1112" s="102"/>
      <c r="D1112" s="115"/>
      <c r="E1112" s="115"/>
      <c r="F1112" s="105"/>
      <c r="G1112" s="105"/>
      <c r="H1112" s="105">
        <f t="shared" si="17"/>
        <v>0</v>
      </c>
    </row>
    <row r="1113" spans="1:8" x14ac:dyDescent="0.4">
      <c r="A1113" s="115"/>
      <c r="B1113" s="121"/>
      <c r="C1113" s="102"/>
      <c r="D1113" s="115"/>
      <c r="E1113" s="115"/>
      <c r="F1113" s="105"/>
      <c r="G1113" s="105"/>
      <c r="H1113" s="105">
        <f t="shared" si="17"/>
        <v>0</v>
      </c>
    </row>
    <row r="1114" spans="1:8" x14ac:dyDescent="0.4">
      <c r="A1114" s="115"/>
      <c r="B1114" s="121"/>
      <c r="C1114" s="102"/>
      <c r="D1114" s="115"/>
      <c r="E1114" s="115"/>
      <c r="F1114" s="105"/>
      <c r="G1114" s="105"/>
      <c r="H1114" s="105">
        <f t="shared" si="17"/>
        <v>0</v>
      </c>
    </row>
    <row r="1115" spans="1:8" x14ac:dyDescent="0.4">
      <c r="A1115" s="115"/>
      <c r="B1115" s="121"/>
      <c r="C1115" s="102"/>
      <c r="D1115" s="115"/>
      <c r="E1115" s="115"/>
      <c r="F1115" s="105"/>
      <c r="G1115" s="105"/>
      <c r="H1115" s="105">
        <f t="shared" si="17"/>
        <v>0</v>
      </c>
    </row>
    <row r="1116" spans="1:8" x14ac:dyDescent="0.4">
      <c r="A1116" s="115"/>
      <c r="B1116" s="121"/>
      <c r="C1116" s="102"/>
      <c r="D1116" s="115"/>
      <c r="E1116" s="115"/>
      <c r="F1116" s="105"/>
      <c r="G1116" s="105"/>
      <c r="H1116" s="105">
        <f t="shared" si="17"/>
        <v>0</v>
      </c>
    </row>
    <row r="1117" spans="1:8" x14ac:dyDescent="0.4">
      <c r="A1117" s="115"/>
      <c r="B1117" s="121"/>
      <c r="C1117" s="102"/>
      <c r="D1117" s="115"/>
      <c r="E1117" s="115"/>
      <c r="F1117" s="105"/>
      <c r="G1117" s="105"/>
      <c r="H1117" s="105">
        <f t="shared" si="17"/>
        <v>0</v>
      </c>
    </row>
    <row r="1118" spans="1:8" x14ac:dyDescent="0.4">
      <c r="A1118" s="115"/>
      <c r="B1118" s="121"/>
      <c r="C1118" s="102"/>
      <c r="D1118" s="115"/>
      <c r="E1118" s="115"/>
      <c r="F1118" s="105"/>
      <c r="G1118" s="105"/>
      <c r="H1118" s="105">
        <f t="shared" si="17"/>
        <v>0</v>
      </c>
    </row>
    <row r="1119" spans="1:8" x14ac:dyDescent="0.4">
      <c r="A1119" s="115"/>
      <c r="B1119" s="121"/>
      <c r="C1119" s="102"/>
      <c r="D1119" s="115"/>
      <c r="E1119" s="115"/>
      <c r="F1119" s="105"/>
      <c r="G1119" s="105"/>
      <c r="H1119" s="105">
        <f t="shared" si="17"/>
        <v>0</v>
      </c>
    </row>
    <row r="1120" spans="1:8" x14ac:dyDescent="0.4">
      <c r="A1120" s="115"/>
      <c r="B1120" s="121"/>
      <c r="C1120" s="102"/>
      <c r="D1120" s="115"/>
      <c r="E1120" s="115"/>
      <c r="F1120" s="105"/>
      <c r="G1120" s="105"/>
      <c r="H1120" s="105">
        <f t="shared" si="17"/>
        <v>0</v>
      </c>
    </row>
    <row r="1121" spans="1:8" x14ac:dyDescent="0.4">
      <c r="A1121" s="115"/>
      <c r="B1121" s="121"/>
      <c r="C1121" s="102"/>
      <c r="D1121" s="115"/>
      <c r="E1121" s="115"/>
      <c r="F1121" s="105"/>
      <c r="G1121" s="105"/>
      <c r="H1121" s="105">
        <f t="shared" si="17"/>
        <v>0</v>
      </c>
    </row>
    <row r="1122" spans="1:8" x14ac:dyDescent="0.4">
      <c r="A1122" s="115"/>
      <c r="B1122" s="121"/>
      <c r="C1122" s="102"/>
      <c r="D1122" s="115"/>
      <c r="E1122" s="115"/>
      <c r="F1122" s="105"/>
      <c r="G1122" s="105"/>
      <c r="H1122" s="105">
        <f t="shared" si="17"/>
        <v>0</v>
      </c>
    </row>
    <row r="1123" spans="1:8" x14ac:dyDescent="0.4">
      <c r="A1123" s="115"/>
      <c r="B1123" s="121"/>
      <c r="C1123" s="102"/>
      <c r="D1123" s="115"/>
      <c r="E1123" s="115"/>
      <c r="F1123" s="105"/>
      <c r="G1123" s="105"/>
      <c r="H1123" s="105">
        <f t="shared" si="17"/>
        <v>0</v>
      </c>
    </row>
    <row r="1124" spans="1:8" x14ac:dyDescent="0.4">
      <c r="A1124" s="115"/>
      <c r="B1124" s="121"/>
      <c r="C1124" s="102"/>
      <c r="D1124" s="115"/>
      <c r="E1124" s="115"/>
      <c r="F1124" s="105"/>
      <c r="G1124" s="105"/>
      <c r="H1124" s="105">
        <f t="shared" si="17"/>
        <v>0</v>
      </c>
    </row>
    <row r="1125" spans="1:8" x14ac:dyDescent="0.4">
      <c r="A1125" s="115"/>
      <c r="B1125" s="121"/>
      <c r="C1125" s="102"/>
      <c r="D1125" s="115"/>
      <c r="E1125" s="115"/>
      <c r="F1125" s="105"/>
      <c r="G1125" s="105"/>
      <c r="H1125" s="105">
        <f t="shared" si="17"/>
        <v>0</v>
      </c>
    </row>
    <row r="1126" spans="1:8" x14ac:dyDescent="0.4">
      <c r="A1126" s="115"/>
      <c r="B1126" s="121"/>
      <c r="C1126" s="102"/>
      <c r="D1126" s="115"/>
      <c r="E1126" s="115"/>
      <c r="F1126" s="105"/>
      <c r="G1126" s="105"/>
      <c r="H1126" s="105">
        <f t="shared" si="17"/>
        <v>0</v>
      </c>
    </row>
    <row r="1127" spans="1:8" x14ac:dyDescent="0.4">
      <c r="A1127" s="115"/>
      <c r="B1127" s="121"/>
      <c r="C1127" s="102"/>
      <c r="D1127" s="115"/>
      <c r="E1127" s="115"/>
      <c r="F1127" s="105"/>
      <c r="G1127" s="105"/>
      <c r="H1127" s="105">
        <f t="shared" si="17"/>
        <v>0</v>
      </c>
    </row>
    <row r="1128" spans="1:8" x14ac:dyDescent="0.4">
      <c r="A1128" s="115"/>
      <c r="B1128" s="121"/>
      <c r="C1128" s="102"/>
      <c r="D1128" s="115"/>
      <c r="E1128" s="115"/>
      <c r="F1128" s="105"/>
      <c r="G1128" s="105"/>
      <c r="H1128" s="105">
        <f t="shared" si="17"/>
        <v>0</v>
      </c>
    </row>
    <row r="1129" spans="1:8" x14ac:dyDescent="0.4">
      <c r="A1129" s="115"/>
      <c r="B1129" s="121"/>
      <c r="C1129" s="102"/>
      <c r="D1129" s="115"/>
      <c r="E1129" s="115"/>
      <c r="F1129" s="105"/>
      <c r="G1129" s="105"/>
      <c r="H1129" s="105">
        <f t="shared" si="17"/>
        <v>0</v>
      </c>
    </row>
    <row r="1130" spans="1:8" x14ac:dyDescent="0.4">
      <c r="A1130" s="115"/>
      <c r="B1130" s="121"/>
      <c r="C1130" s="102"/>
      <c r="D1130" s="115"/>
      <c r="E1130" s="115"/>
      <c r="F1130" s="105"/>
      <c r="G1130" s="105"/>
      <c r="H1130" s="105">
        <f t="shared" si="17"/>
        <v>0</v>
      </c>
    </row>
    <row r="1131" spans="1:8" x14ac:dyDescent="0.4">
      <c r="A1131" s="115"/>
      <c r="B1131" s="121"/>
      <c r="C1131" s="102"/>
      <c r="D1131" s="115"/>
      <c r="E1131" s="115"/>
      <c r="F1131" s="105"/>
      <c r="G1131" s="105"/>
      <c r="H1131" s="105">
        <f t="shared" si="17"/>
        <v>0</v>
      </c>
    </row>
    <row r="1132" spans="1:8" x14ac:dyDescent="0.4">
      <c r="A1132" s="115"/>
      <c r="B1132" s="121"/>
      <c r="C1132" s="102"/>
      <c r="D1132" s="115"/>
      <c r="E1132" s="115"/>
      <c r="F1132" s="105"/>
      <c r="G1132" s="105"/>
      <c r="H1132" s="105">
        <f t="shared" si="17"/>
        <v>0</v>
      </c>
    </row>
    <row r="1133" spans="1:8" x14ac:dyDescent="0.4">
      <c r="A1133" s="115"/>
      <c r="B1133" s="121"/>
      <c r="C1133" s="102"/>
      <c r="D1133" s="115"/>
      <c r="E1133" s="115"/>
      <c r="F1133" s="105"/>
      <c r="G1133" s="105"/>
      <c r="H1133" s="105">
        <f t="shared" si="17"/>
        <v>0</v>
      </c>
    </row>
    <row r="1134" spans="1:8" x14ac:dyDescent="0.4">
      <c r="A1134" s="115"/>
      <c r="B1134" s="121"/>
      <c r="C1134" s="102"/>
      <c r="D1134" s="115"/>
      <c r="E1134" s="115"/>
      <c r="F1134" s="105"/>
      <c r="G1134" s="105"/>
      <c r="H1134" s="105">
        <f t="shared" si="17"/>
        <v>0</v>
      </c>
    </row>
    <row r="1135" spans="1:8" x14ac:dyDescent="0.4">
      <c r="A1135" s="115"/>
      <c r="B1135" s="121"/>
      <c r="C1135" s="102"/>
      <c r="D1135" s="115"/>
      <c r="E1135" s="115"/>
      <c r="F1135" s="105"/>
      <c r="G1135" s="105"/>
      <c r="H1135" s="105">
        <f t="shared" si="17"/>
        <v>0</v>
      </c>
    </row>
    <row r="1136" spans="1:8" x14ac:dyDescent="0.4">
      <c r="A1136" s="115"/>
      <c r="B1136" s="121"/>
      <c r="C1136" s="102"/>
      <c r="D1136" s="115"/>
      <c r="E1136" s="115"/>
      <c r="F1136" s="105"/>
      <c r="G1136" s="105"/>
      <c r="H1136" s="105">
        <f t="shared" si="17"/>
        <v>0</v>
      </c>
    </row>
    <row r="1137" spans="1:8" x14ac:dyDescent="0.4">
      <c r="A1137" s="115"/>
      <c r="B1137" s="121"/>
      <c r="C1137" s="102"/>
      <c r="D1137" s="115"/>
      <c r="E1137" s="115"/>
      <c r="F1137" s="105"/>
      <c r="G1137" s="105"/>
      <c r="H1137" s="105">
        <f t="shared" si="17"/>
        <v>0</v>
      </c>
    </row>
    <row r="1138" spans="1:8" x14ac:dyDescent="0.4">
      <c r="A1138" s="115"/>
      <c r="B1138" s="121"/>
      <c r="C1138" s="102"/>
      <c r="D1138" s="115"/>
      <c r="E1138" s="115"/>
      <c r="F1138" s="105"/>
      <c r="G1138" s="105"/>
      <c r="H1138" s="105">
        <f t="shared" si="17"/>
        <v>0</v>
      </c>
    </row>
    <row r="1139" spans="1:8" x14ac:dyDescent="0.4">
      <c r="A1139" s="115"/>
      <c r="B1139" s="121"/>
      <c r="C1139" s="102"/>
      <c r="D1139" s="115"/>
      <c r="E1139" s="115"/>
      <c r="F1139" s="105"/>
      <c r="G1139" s="105"/>
      <c r="H1139" s="105">
        <f t="shared" si="17"/>
        <v>0</v>
      </c>
    </row>
    <row r="1140" spans="1:8" x14ac:dyDescent="0.4">
      <c r="A1140" s="115"/>
      <c r="B1140" s="121"/>
      <c r="C1140" s="102"/>
      <c r="D1140" s="115"/>
      <c r="E1140" s="115"/>
      <c r="F1140" s="105"/>
      <c r="G1140" s="105"/>
      <c r="H1140" s="105">
        <f t="shared" si="17"/>
        <v>0</v>
      </c>
    </row>
    <row r="1141" spans="1:8" x14ac:dyDescent="0.4">
      <c r="A1141" s="115"/>
      <c r="B1141" s="121"/>
      <c r="C1141" s="102"/>
      <c r="D1141" s="115"/>
      <c r="E1141" s="115"/>
      <c r="F1141" s="105"/>
      <c r="G1141" s="105"/>
      <c r="H1141" s="105">
        <f t="shared" si="17"/>
        <v>0</v>
      </c>
    </row>
    <row r="1142" spans="1:8" x14ac:dyDescent="0.4">
      <c r="A1142" s="115"/>
      <c r="B1142" s="121"/>
      <c r="C1142" s="102"/>
      <c r="D1142" s="115"/>
      <c r="E1142" s="115"/>
      <c r="F1142" s="105"/>
      <c r="G1142" s="105"/>
      <c r="H1142" s="105">
        <f t="shared" si="17"/>
        <v>0</v>
      </c>
    </row>
    <row r="1143" spans="1:8" x14ac:dyDescent="0.4">
      <c r="A1143" s="115"/>
      <c r="B1143" s="121"/>
      <c r="C1143" s="102"/>
      <c r="D1143" s="115"/>
      <c r="E1143" s="115"/>
      <c r="F1143" s="105"/>
      <c r="G1143" s="105"/>
      <c r="H1143" s="105">
        <f t="shared" si="17"/>
        <v>0</v>
      </c>
    </row>
    <row r="1144" spans="1:8" x14ac:dyDescent="0.4">
      <c r="A1144" s="115"/>
      <c r="B1144" s="121"/>
      <c r="C1144" s="102"/>
      <c r="D1144" s="115"/>
      <c r="E1144" s="115"/>
      <c r="F1144" s="105"/>
      <c r="G1144" s="105"/>
      <c r="H1144" s="105">
        <f t="shared" si="17"/>
        <v>0</v>
      </c>
    </row>
    <row r="1145" spans="1:8" x14ac:dyDescent="0.4">
      <c r="A1145" s="115"/>
      <c r="B1145" s="121"/>
      <c r="C1145" s="102"/>
      <c r="D1145" s="115"/>
      <c r="E1145" s="115"/>
      <c r="F1145" s="105"/>
      <c r="G1145" s="105"/>
      <c r="H1145" s="105">
        <f t="shared" si="17"/>
        <v>0</v>
      </c>
    </row>
    <row r="1146" spans="1:8" x14ac:dyDescent="0.4">
      <c r="A1146" s="115"/>
      <c r="B1146" s="121"/>
      <c r="C1146" s="102"/>
      <c r="D1146" s="115"/>
      <c r="E1146" s="115"/>
      <c r="F1146" s="105"/>
      <c r="G1146" s="105"/>
      <c r="H1146" s="105">
        <f t="shared" si="17"/>
        <v>0</v>
      </c>
    </row>
    <row r="1147" spans="1:8" x14ac:dyDescent="0.4">
      <c r="A1147" s="115"/>
      <c r="B1147" s="121"/>
      <c r="C1147" s="102"/>
      <c r="D1147" s="115"/>
      <c r="E1147" s="115"/>
      <c r="F1147" s="105"/>
      <c r="G1147" s="105"/>
      <c r="H1147" s="105">
        <f t="shared" si="17"/>
        <v>0</v>
      </c>
    </row>
    <row r="1148" spans="1:8" x14ac:dyDescent="0.4">
      <c r="A1148" s="115"/>
      <c r="B1148" s="121"/>
      <c r="C1148" s="102"/>
      <c r="D1148" s="115"/>
      <c r="E1148" s="115"/>
      <c r="F1148" s="105"/>
      <c r="G1148" s="105"/>
      <c r="H1148" s="105">
        <f t="shared" si="17"/>
        <v>0</v>
      </c>
    </row>
    <row r="1149" spans="1:8" x14ac:dyDescent="0.4">
      <c r="A1149" s="115"/>
      <c r="B1149" s="121"/>
      <c r="C1149" s="102"/>
      <c r="D1149" s="115"/>
      <c r="E1149" s="115"/>
      <c r="F1149" s="105"/>
      <c r="G1149" s="105"/>
      <c r="H1149" s="105">
        <f t="shared" si="17"/>
        <v>0</v>
      </c>
    </row>
    <row r="1150" spans="1:8" x14ac:dyDescent="0.4">
      <c r="A1150" s="115"/>
      <c r="B1150" s="121"/>
      <c r="C1150" s="102"/>
      <c r="D1150" s="115"/>
      <c r="E1150" s="115"/>
      <c r="F1150" s="105"/>
      <c r="G1150" s="105"/>
      <c r="H1150" s="105">
        <f t="shared" si="17"/>
        <v>0</v>
      </c>
    </row>
    <row r="1151" spans="1:8" x14ac:dyDescent="0.4">
      <c r="A1151" s="115"/>
      <c r="B1151" s="121"/>
      <c r="C1151" s="102"/>
      <c r="D1151" s="115"/>
      <c r="E1151" s="115"/>
      <c r="F1151" s="105"/>
      <c r="G1151" s="105"/>
      <c r="H1151" s="105">
        <f t="shared" si="17"/>
        <v>0</v>
      </c>
    </row>
    <row r="1152" spans="1:8" x14ac:dyDescent="0.4">
      <c r="A1152" s="115"/>
      <c r="B1152" s="121"/>
      <c r="C1152" s="102"/>
      <c r="D1152" s="115"/>
      <c r="E1152" s="115"/>
      <c r="F1152" s="105"/>
      <c r="G1152" s="105"/>
      <c r="H1152" s="105">
        <f t="shared" si="17"/>
        <v>0</v>
      </c>
    </row>
    <row r="1153" spans="1:8" x14ac:dyDescent="0.4">
      <c r="A1153" s="115"/>
      <c r="B1153" s="121"/>
      <c r="C1153" s="102"/>
      <c r="D1153" s="115"/>
      <c r="E1153" s="115"/>
      <c r="F1153" s="105"/>
      <c r="G1153" s="105"/>
      <c r="H1153" s="105">
        <f t="shared" si="17"/>
        <v>0</v>
      </c>
    </row>
    <row r="1154" spans="1:8" x14ac:dyDescent="0.4">
      <c r="A1154" s="115"/>
      <c r="B1154" s="121"/>
      <c r="C1154" s="102"/>
      <c r="D1154" s="115"/>
      <c r="E1154" s="115"/>
      <c r="F1154" s="105"/>
      <c r="G1154" s="105"/>
      <c r="H1154" s="105">
        <f t="shared" si="17"/>
        <v>0</v>
      </c>
    </row>
    <row r="1155" spans="1:8" x14ac:dyDescent="0.4">
      <c r="A1155" s="115"/>
      <c r="B1155" s="121"/>
      <c r="C1155" s="102"/>
      <c r="D1155" s="115"/>
      <c r="E1155" s="115"/>
      <c r="F1155" s="105"/>
      <c r="G1155" s="105"/>
      <c r="H1155" s="105">
        <f t="shared" si="17"/>
        <v>0</v>
      </c>
    </row>
    <row r="1156" spans="1:8" x14ac:dyDescent="0.4">
      <c r="A1156" s="115"/>
      <c r="B1156" s="121"/>
      <c r="C1156" s="102"/>
      <c r="D1156" s="115"/>
      <c r="E1156" s="115"/>
      <c r="F1156" s="105"/>
      <c r="G1156" s="105"/>
      <c r="H1156" s="105">
        <f t="shared" si="17"/>
        <v>0</v>
      </c>
    </row>
    <row r="1157" spans="1:8" x14ac:dyDescent="0.4">
      <c r="A1157" s="115"/>
      <c r="B1157" s="121"/>
      <c r="C1157" s="102"/>
      <c r="D1157" s="115"/>
      <c r="E1157" s="115"/>
      <c r="F1157" s="105"/>
      <c r="G1157" s="105"/>
      <c r="H1157" s="105">
        <f t="shared" si="17"/>
        <v>0</v>
      </c>
    </row>
    <row r="1158" spans="1:8" x14ac:dyDescent="0.4">
      <c r="A1158" s="115"/>
      <c r="B1158" s="121"/>
      <c r="C1158" s="102"/>
      <c r="D1158" s="115"/>
      <c r="E1158" s="115"/>
      <c r="F1158" s="105"/>
      <c r="G1158" s="105"/>
      <c r="H1158" s="105">
        <f t="shared" si="17"/>
        <v>0</v>
      </c>
    </row>
    <row r="1159" spans="1:8" x14ac:dyDescent="0.4">
      <c r="A1159" s="115"/>
      <c r="B1159" s="121"/>
      <c r="C1159" s="102"/>
      <c r="D1159" s="115"/>
      <c r="E1159" s="115"/>
      <c r="F1159" s="105"/>
      <c r="G1159" s="105"/>
      <c r="H1159" s="105">
        <f t="shared" si="17"/>
        <v>0</v>
      </c>
    </row>
    <row r="1160" spans="1:8" x14ac:dyDescent="0.4">
      <c r="A1160" s="115"/>
      <c r="B1160" s="121"/>
      <c r="C1160" s="102"/>
      <c r="D1160" s="115"/>
      <c r="E1160" s="115"/>
      <c r="F1160" s="105"/>
      <c r="G1160" s="105"/>
      <c r="H1160" s="105">
        <f t="shared" si="17"/>
        <v>0</v>
      </c>
    </row>
    <row r="1161" spans="1:8" x14ac:dyDescent="0.4">
      <c r="A1161" s="115"/>
      <c r="B1161" s="121"/>
      <c r="C1161" s="102"/>
      <c r="D1161" s="115"/>
      <c r="E1161" s="115"/>
      <c r="F1161" s="105"/>
      <c r="G1161" s="105"/>
      <c r="H1161" s="105">
        <f t="shared" si="17"/>
        <v>0</v>
      </c>
    </row>
    <row r="1162" spans="1:8" x14ac:dyDescent="0.4">
      <c r="A1162" s="115"/>
      <c r="B1162" s="121"/>
      <c r="C1162" s="102"/>
      <c r="D1162" s="115"/>
      <c r="E1162" s="115"/>
      <c r="F1162" s="105"/>
      <c r="G1162" s="105"/>
      <c r="H1162" s="105">
        <f t="shared" si="17"/>
        <v>0</v>
      </c>
    </row>
    <row r="1163" spans="1:8" x14ac:dyDescent="0.4">
      <c r="A1163" s="115"/>
      <c r="B1163" s="121"/>
      <c r="C1163" s="102"/>
      <c r="D1163" s="115"/>
      <c r="E1163" s="115"/>
      <c r="F1163" s="105"/>
      <c r="G1163" s="105"/>
      <c r="H1163" s="105">
        <f t="shared" si="17"/>
        <v>0</v>
      </c>
    </row>
    <row r="1164" spans="1:8" x14ac:dyDescent="0.4">
      <c r="A1164" s="115"/>
      <c r="B1164" s="121"/>
      <c r="C1164" s="102"/>
      <c r="D1164" s="115"/>
      <c r="E1164" s="115"/>
      <c r="F1164" s="105"/>
      <c r="G1164" s="105"/>
      <c r="H1164" s="105">
        <f t="shared" si="17"/>
        <v>0</v>
      </c>
    </row>
    <row r="1165" spans="1:8" x14ac:dyDescent="0.4">
      <c r="A1165" s="115"/>
      <c r="B1165" s="121"/>
      <c r="C1165" s="102"/>
      <c r="D1165" s="115"/>
      <c r="E1165" s="115"/>
      <c r="F1165" s="105"/>
      <c r="G1165" s="105"/>
      <c r="H1165" s="105">
        <f t="shared" si="17"/>
        <v>0</v>
      </c>
    </row>
    <row r="1166" spans="1:8" x14ac:dyDescent="0.4">
      <c r="A1166" s="115"/>
      <c r="B1166" s="121"/>
      <c r="C1166" s="102"/>
      <c r="D1166" s="115"/>
      <c r="E1166" s="115"/>
      <c r="F1166" s="105"/>
      <c r="G1166" s="105"/>
      <c r="H1166" s="105">
        <f t="shared" si="17"/>
        <v>0</v>
      </c>
    </row>
    <row r="1167" spans="1:8" x14ac:dyDescent="0.4">
      <c r="A1167" s="115"/>
      <c r="B1167" s="121"/>
      <c r="C1167" s="102"/>
      <c r="D1167" s="115"/>
      <c r="E1167" s="115"/>
      <c r="F1167" s="105"/>
      <c r="G1167" s="105"/>
      <c r="H1167" s="105">
        <f t="shared" si="17"/>
        <v>0</v>
      </c>
    </row>
    <row r="1168" spans="1:8" x14ac:dyDescent="0.4">
      <c r="A1168" s="115"/>
      <c r="B1168" s="121"/>
      <c r="C1168" s="102"/>
      <c r="D1168" s="115"/>
      <c r="E1168" s="115"/>
      <c r="F1168" s="105"/>
      <c r="G1168" s="105"/>
      <c r="H1168" s="105">
        <f t="shared" ref="H1168:H1231" si="18">H1167+F1168-G1168</f>
        <v>0</v>
      </c>
    </row>
    <row r="1169" spans="1:8" x14ac:dyDescent="0.4">
      <c r="A1169" s="115"/>
      <c r="B1169" s="121"/>
      <c r="C1169" s="102"/>
      <c r="D1169" s="115"/>
      <c r="E1169" s="115"/>
      <c r="F1169" s="105"/>
      <c r="G1169" s="105"/>
      <c r="H1169" s="105">
        <f t="shared" si="18"/>
        <v>0</v>
      </c>
    </row>
    <row r="1170" spans="1:8" x14ac:dyDescent="0.4">
      <c r="A1170" s="115"/>
      <c r="B1170" s="121"/>
      <c r="C1170" s="102"/>
      <c r="D1170" s="115"/>
      <c r="E1170" s="115"/>
      <c r="F1170" s="105"/>
      <c r="G1170" s="105"/>
      <c r="H1170" s="105">
        <f t="shared" si="18"/>
        <v>0</v>
      </c>
    </row>
    <row r="1171" spans="1:8" x14ac:dyDescent="0.4">
      <c r="A1171" s="115"/>
      <c r="B1171" s="121"/>
      <c r="C1171" s="102"/>
      <c r="D1171" s="115"/>
      <c r="E1171" s="115"/>
      <c r="F1171" s="105"/>
      <c r="G1171" s="105"/>
      <c r="H1171" s="105">
        <f t="shared" si="18"/>
        <v>0</v>
      </c>
    </row>
    <row r="1172" spans="1:8" x14ac:dyDescent="0.4">
      <c r="A1172" s="115"/>
      <c r="B1172" s="121"/>
      <c r="C1172" s="102"/>
      <c r="D1172" s="115"/>
      <c r="E1172" s="115"/>
      <c r="F1172" s="105"/>
      <c r="G1172" s="105"/>
      <c r="H1172" s="105">
        <f t="shared" si="18"/>
        <v>0</v>
      </c>
    </row>
    <row r="1173" spans="1:8" x14ac:dyDescent="0.4">
      <c r="A1173" s="115"/>
      <c r="B1173" s="121"/>
      <c r="C1173" s="102"/>
      <c r="D1173" s="115"/>
      <c r="E1173" s="115"/>
      <c r="F1173" s="105"/>
      <c r="G1173" s="105"/>
      <c r="H1173" s="105">
        <f t="shared" si="18"/>
        <v>0</v>
      </c>
    </row>
    <row r="1174" spans="1:8" x14ac:dyDescent="0.4">
      <c r="A1174" s="115"/>
      <c r="B1174" s="121"/>
      <c r="C1174" s="102"/>
      <c r="D1174" s="115"/>
      <c r="E1174" s="115"/>
      <c r="F1174" s="105"/>
      <c r="G1174" s="105"/>
      <c r="H1174" s="105">
        <f t="shared" si="18"/>
        <v>0</v>
      </c>
    </row>
    <row r="1175" spans="1:8" x14ac:dyDescent="0.4">
      <c r="A1175" s="115"/>
      <c r="B1175" s="121"/>
      <c r="C1175" s="102"/>
      <c r="D1175" s="115"/>
      <c r="E1175" s="115"/>
      <c r="F1175" s="105"/>
      <c r="G1175" s="105"/>
      <c r="H1175" s="105">
        <f t="shared" si="18"/>
        <v>0</v>
      </c>
    </row>
    <row r="1176" spans="1:8" x14ac:dyDescent="0.4">
      <c r="A1176" s="115"/>
      <c r="B1176" s="121"/>
      <c r="C1176" s="102"/>
      <c r="D1176" s="115"/>
      <c r="E1176" s="115"/>
      <c r="F1176" s="105"/>
      <c r="G1176" s="105"/>
      <c r="H1176" s="105">
        <f t="shared" si="18"/>
        <v>0</v>
      </c>
    </row>
    <row r="1177" spans="1:8" x14ac:dyDescent="0.4">
      <c r="A1177" s="115"/>
      <c r="B1177" s="121"/>
      <c r="C1177" s="102"/>
      <c r="D1177" s="115"/>
      <c r="E1177" s="115"/>
      <c r="F1177" s="105"/>
      <c r="G1177" s="105"/>
      <c r="H1177" s="105">
        <f t="shared" si="18"/>
        <v>0</v>
      </c>
    </row>
    <row r="1178" spans="1:8" x14ac:dyDescent="0.4">
      <c r="A1178" s="115"/>
      <c r="B1178" s="121"/>
      <c r="C1178" s="102"/>
      <c r="D1178" s="115"/>
      <c r="E1178" s="115"/>
      <c r="F1178" s="105"/>
      <c r="G1178" s="105"/>
      <c r="H1178" s="105">
        <f t="shared" si="18"/>
        <v>0</v>
      </c>
    </row>
    <row r="1179" spans="1:8" x14ac:dyDescent="0.4">
      <c r="A1179" s="115"/>
      <c r="B1179" s="121"/>
      <c r="C1179" s="102"/>
      <c r="D1179" s="115"/>
      <c r="E1179" s="115"/>
      <c r="F1179" s="105"/>
      <c r="G1179" s="105"/>
      <c r="H1179" s="105">
        <f t="shared" si="18"/>
        <v>0</v>
      </c>
    </row>
    <row r="1180" spans="1:8" x14ac:dyDescent="0.4">
      <c r="A1180" s="115"/>
      <c r="B1180" s="121"/>
      <c r="C1180" s="102"/>
      <c r="D1180" s="115"/>
      <c r="E1180" s="115"/>
      <c r="F1180" s="105"/>
      <c r="G1180" s="105"/>
      <c r="H1180" s="105">
        <f t="shared" si="18"/>
        <v>0</v>
      </c>
    </row>
    <row r="1181" spans="1:8" x14ac:dyDescent="0.4">
      <c r="A1181" s="115"/>
      <c r="B1181" s="121"/>
      <c r="C1181" s="102"/>
      <c r="D1181" s="115"/>
      <c r="E1181" s="115"/>
      <c r="F1181" s="105"/>
      <c r="G1181" s="105"/>
      <c r="H1181" s="105">
        <f t="shared" si="18"/>
        <v>0</v>
      </c>
    </row>
    <row r="1182" spans="1:8" x14ac:dyDescent="0.4">
      <c r="A1182" s="115"/>
      <c r="B1182" s="121"/>
      <c r="C1182" s="102"/>
      <c r="D1182" s="115"/>
      <c r="E1182" s="115"/>
      <c r="F1182" s="105"/>
      <c r="G1182" s="105"/>
      <c r="H1182" s="105">
        <f t="shared" si="18"/>
        <v>0</v>
      </c>
    </row>
    <row r="1183" spans="1:8" x14ac:dyDescent="0.4">
      <c r="A1183" s="115"/>
      <c r="B1183" s="121"/>
      <c r="C1183" s="102"/>
      <c r="D1183" s="115"/>
      <c r="E1183" s="115"/>
      <c r="F1183" s="105"/>
      <c r="G1183" s="105"/>
      <c r="H1183" s="105">
        <f t="shared" si="18"/>
        <v>0</v>
      </c>
    </row>
    <row r="1184" spans="1:8" x14ac:dyDescent="0.4">
      <c r="A1184" s="115"/>
      <c r="B1184" s="121"/>
      <c r="C1184" s="102"/>
      <c r="D1184" s="115"/>
      <c r="E1184" s="115"/>
      <c r="F1184" s="105"/>
      <c r="G1184" s="105"/>
      <c r="H1184" s="105">
        <f t="shared" si="18"/>
        <v>0</v>
      </c>
    </row>
    <row r="1185" spans="1:8" x14ac:dyDescent="0.4">
      <c r="A1185" s="115"/>
      <c r="B1185" s="121"/>
      <c r="C1185" s="102"/>
      <c r="D1185" s="115"/>
      <c r="E1185" s="115"/>
      <c r="F1185" s="105"/>
      <c r="G1185" s="105"/>
      <c r="H1185" s="105">
        <f t="shared" si="18"/>
        <v>0</v>
      </c>
    </row>
    <row r="1186" spans="1:8" x14ac:dyDescent="0.4">
      <c r="A1186" s="115"/>
      <c r="B1186" s="121"/>
      <c r="C1186" s="102"/>
      <c r="D1186" s="115"/>
      <c r="E1186" s="115"/>
      <c r="F1186" s="105"/>
      <c r="G1186" s="105"/>
      <c r="H1186" s="105">
        <f t="shared" si="18"/>
        <v>0</v>
      </c>
    </row>
    <row r="1187" spans="1:8" x14ac:dyDescent="0.4">
      <c r="A1187" s="115"/>
      <c r="B1187" s="121"/>
      <c r="C1187" s="102"/>
      <c r="D1187" s="115"/>
      <c r="E1187" s="115"/>
      <c r="F1187" s="105"/>
      <c r="G1187" s="105"/>
      <c r="H1187" s="105">
        <f t="shared" si="18"/>
        <v>0</v>
      </c>
    </row>
    <row r="1188" spans="1:8" x14ac:dyDescent="0.4">
      <c r="A1188" s="115"/>
      <c r="B1188" s="121"/>
      <c r="C1188" s="102"/>
      <c r="D1188" s="115"/>
      <c r="E1188" s="115"/>
      <c r="F1188" s="105"/>
      <c r="G1188" s="105"/>
      <c r="H1188" s="105">
        <f t="shared" si="18"/>
        <v>0</v>
      </c>
    </row>
    <row r="1189" spans="1:8" x14ac:dyDescent="0.4">
      <c r="A1189" s="115"/>
      <c r="B1189" s="121"/>
      <c r="C1189" s="102"/>
      <c r="D1189" s="115"/>
      <c r="E1189" s="115"/>
      <c r="F1189" s="105"/>
      <c r="G1189" s="105"/>
      <c r="H1189" s="105">
        <f t="shared" si="18"/>
        <v>0</v>
      </c>
    </row>
    <row r="1190" spans="1:8" x14ac:dyDescent="0.4">
      <c r="A1190" s="115"/>
      <c r="B1190" s="121"/>
      <c r="C1190" s="102"/>
      <c r="D1190" s="115"/>
      <c r="E1190" s="115"/>
      <c r="F1190" s="105"/>
      <c r="G1190" s="105"/>
      <c r="H1190" s="105">
        <f t="shared" si="18"/>
        <v>0</v>
      </c>
    </row>
    <row r="1191" spans="1:8" x14ac:dyDescent="0.4">
      <c r="A1191" s="115"/>
      <c r="B1191" s="121"/>
      <c r="C1191" s="102"/>
      <c r="D1191" s="115"/>
      <c r="E1191" s="115"/>
      <c r="F1191" s="105"/>
      <c r="G1191" s="105"/>
      <c r="H1191" s="105">
        <f t="shared" si="18"/>
        <v>0</v>
      </c>
    </row>
    <row r="1192" spans="1:8" x14ac:dyDescent="0.4">
      <c r="A1192" s="115"/>
      <c r="B1192" s="121"/>
      <c r="C1192" s="102"/>
      <c r="D1192" s="115"/>
      <c r="E1192" s="115"/>
      <c r="F1192" s="105"/>
      <c r="G1192" s="105"/>
      <c r="H1192" s="105">
        <f t="shared" si="18"/>
        <v>0</v>
      </c>
    </row>
    <row r="1193" spans="1:8" x14ac:dyDescent="0.4">
      <c r="A1193" s="115"/>
      <c r="B1193" s="121"/>
      <c r="C1193" s="102"/>
      <c r="D1193" s="115"/>
      <c r="E1193" s="115"/>
      <c r="F1193" s="105"/>
      <c r="G1193" s="105"/>
      <c r="H1193" s="105">
        <f t="shared" si="18"/>
        <v>0</v>
      </c>
    </row>
    <row r="1194" spans="1:8" x14ac:dyDescent="0.4">
      <c r="A1194" s="115"/>
      <c r="B1194" s="121"/>
      <c r="C1194" s="102"/>
      <c r="D1194" s="115"/>
      <c r="E1194" s="115"/>
      <c r="F1194" s="105"/>
      <c r="G1194" s="105"/>
      <c r="H1194" s="105">
        <f t="shared" si="18"/>
        <v>0</v>
      </c>
    </row>
    <row r="1195" spans="1:8" x14ac:dyDescent="0.4">
      <c r="A1195" s="115"/>
      <c r="B1195" s="121"/>
      <c r="C1195" s="102"/>
      <c r="D1195" s="115"/>
      <c r="E1195" s="115"/>
      <c r="F1195" s="105"/>
      <c r="G1195" s="105"/>
      <c r="H1195" s="105">
        <f t="shared" si="18"/>
        <v>0</v>
      </c>
    </row>
    <row r="1196" spans="1:8" x14ac:dyDescent="0.4">
      <c r="A1196" s="115"/>
      <c r="B1196" s="121"/>
      <c r="C1196" s="102"/>
      <c r="D1196" s="115"/>
      <c r="E1196" s="115"/>
      <c r="F1196" s="105"/>
      <c r="G1196" s="105"/>
      <c r="H1196" s="105">
        <f t="shared" si="18"/>
        <v>0</v>
      </c>
    </row>
    <row r="1197" spans="1:8" x14ac:dyDescent="0.4">
      <c r="A1197" s="115"/>
      <c r="B1197" s="121"/>
      <c r="C1197" s="102"/>
      <c r="D1197" s="115"/>
      <c r="E1197" s="115"/>
      <c r="F1197" s="105"/>
      <c r="G1197" s="105"/>
      <c r="H1197" s="105">
        <f t="shared" si="18"/>
        <v>0</v>
      </c>
    </row>
    <row r="1198" spans="1:8" x14ac:dyDescent="0.4">
      <c r="A1198" s="115"/>
      <c r="B1198" s="121"/>
      <c r="C1198" s="102"/>
      <c r="D1198" s="115"/>
      <c r="E1198" s="115"/>
      <c r="F1198" s="105"/>
      <c r="G1198" s="105"/>
      <c r="H1198" s="105">
        <f t="shared" si="18"/>
        <v>0</v>
      </c>
    </row>
    <row r="1199" spans="1:8" x14ac:dyDescent="0.4">
      <c r="A1199" s="115"/>
      <c r="B1199" s="121"/>
      <c r="C1199" s="102"/>
      <c r="D1199" s="115"/>
      <c r="E1199" s="115"/>
      <c r="F1199" s="105"/>
      <c r="G1199" s="105"/>
      <c r="H1199" s="105">
        <f t="shared" si="18"/>
        <v>0</v>
      </c>
    </row>
    <row r="1200" spans="1:8" x14ac:dyDescent="0.4">
      <c r="A1200" s="115"/>
      <c r="B1200" s="121"/>
      <c r="C1200" s="102"/>
      <c r="D1200" s="115"/>
      <c r="E1200" s="115"/>
      <c r="F1200" s="105"/>
      <c r="G1200" s="105"/>
      <c r="H1200" s="105">
        <f t="shared" si="18"/>
        <v>0</v>
      </c>
    </row>
    <row r="1201" spans="1:8" x14ac:dyDescent="0.4">
      <c r="A1201" s="115"/>
      <c r="B1201" s="121"/>
      <c r="C1201" s="102"/>
      <c r="D1201" s="115"/>
      <c r="E1201" s="115"/>
      <c r="F1201" s="105"/>
      <c r="G1201" s="105"/>
      <c r="H1201" s="105">
        <f t="shared" si="18"/>
        <v>0</v>
      </c>
    </row>
    <row r="1202" spans="1:8" x14ac:dyDescent="0.4">
      <c r="A1202" s="115"/>
      <c r="B1202" s="121"/>
      <c r="C1202" s="102"/>
      <c r="D1202" s="115"/>
      <c r="E1202" s="115"/>
      <c r="F1202" s="105"/>
      <c r="G1202" s="105"/>
      <c r="H1202" s="105">
        <f t="shared" si="18"/>
        <v>0</v>
      </c>
    </row>
    <row r="1203" spans="1:8" x14ac:dyDescent="0.4">
      <c r="A1203" s="115"/>
      <c r="B1203" s="121"/>
      <c r="C1203" s="102"/>
      <c r="D1203" s="115"/>
      <c r="E1203" s="115"/>
      <c r="F1203" s="105"/>
      <c r="G1203" s="105"/>
      <c r="H1203" s="105">
        <f t="shared" si="18"/>
        <v>0</v>
      </c>
    </row>
    <row r="1204" spans="1:8" x14ac:dyDescent="0.4">
      <c r="A1204" s="115"/>
      <c r="B1204" s="121"/>
      <c r="C1204" s="102"/>
      <c r="D1204" s="115"/>
      <c r="E1204" s="115"/>
      <c r="F1204" s="105"/>
      <c r="G1204" s="105"/>
      <c r="H1204" s="105">
        <f t="shared" si="18"/>
        <v>0</v>
      </c>
    </row>
    <row r="1205" spans="1:8" x14ac:dyDescent="0.4">
      <c r="A1205" s="115"/>
      <c r="B1205" s="121"/>
      <c r="C1205" s="102"/>
      <c r="D1205" s="115"/>
      <c r="E1205" s="115"/>
      <c r="F1205" s="105"/>
      <c r="G1205" s="105"/>
      <c r="H1205" s="105">
        <f t="shared" si="18"/>
        <v>0</v>
      </c>
    </row>
    <row r="1206" spans="1:8" x14ac:dyDescent="0.4">
      <c r="A1206" s="115"/>
      <c r="B1206" s="121"/>
      <c r="C1206" s="102"/>
      <c r="D1206" s="115"/>
      <c r="E1206" s="115"/>
      <c r="F1206" s="105"/>
      <c r="G1206" s="105"/>
      <c r="H1206" s="105">
        <f t="shared" si="18"/>
        <v>0</v>
      </c>
    </row>
    <row r="1207" spans="1:8" x14ac:dyDescent="0.4">
      <c r="A1207" s="115"/>
      <c r="B1207" s="121"/>
      <c r="C1207" s="102"/>
      <c r="D1207" s="115"/>
      <c r="E1207" s="115"/>
      <c r="F1207" s="105"/>
      <c r="G1207" s="105"/>
      <c r="H1207" s="105">
        <f t="shared" si="18"/>
        <v>0</v>
      </c>
    </row>
    <row r="1208" spans="1:8" x14ac:dyDescent="0.4">
      <c r="A1208" s="115"/>
      <c r="B1208" s="121"/>
      <c r="C1208" s="102"/>
      <c r="D1208" s="115"/>
      <c r="E1208" s="115"/>
      <c r="F1208" s="105"/>
      <c r="G1208" s="105"/>
      <c r="H1208" s="105">
        <f t="shared" si="18"/>
        <v>0</v>
      </c>
    </row>
    <row r="1209" spans="1:8" x14ac:dyDescent="0.4">
      <c r="A1209" s="115"/>
      <c r="B1209" s="121"/>
      <c r="C1209" s="102"/>
      <c r="D1209" s="115"/>
      <c r="E1209" s="115"/>
      <c r="F1209" s="105"/>
      <c r="G1209" s="105"/>
      <c r="H1209" s="105">
        <f t="shared" si="18"/>
        <v>0</v>
      </c>
    </row>
    <row r="1210" spans="1:8" x14ac:dyDescent="0.4">
      <c r="A1210" s="115"/>
      <c r="B1210" s="121"/>
      <c r="C1210" s="102"/>
      <c r="D1210" s="115"/>
      <c r="E1210" s="115"/>
      <c r="F1210" s="105"/>
      <c r="G1210" s="105"/>
      <c r="H1210" s="105">
        <f t="shared" si="18"/>
        <v>0</v>
      </c>
    </row>
    <row r="1211" spans="1:8" x14ac:dyDescent="0.4">
      <c r="A1211" s="115"/>
      <c r="B1211" s="121"/>
      <c r="C1211" s="102"/>
      <c r="D1211" s="115"/>
      <c r="E1211" s="115"/>
      <c r="F1211" s="105"/>
      <c r="G1211" s="105"/>
      <c r="H1211" s="105">
        <f t="shared" si="18"/>
        <v>0</v>
      </c>
    </row>
    <row r="1212" spans="1:8" x14ac:dyDescent="0.4">
      <c r="A1212" s="115"/>
      <c r="B1212" s="121"/>
      <c r="C1212" s="102"/>
      <c r="D1212" s="115"/>
      <c r="E1212" s="115"/>
      <c r="F1212" s="105"/>
      <c r="G1212" s="105"/>
      <c r="H1212" s="105">
        <f t="shared" si="18"/>
        <v>0</v>
      </c>
    </row>
    <row r="1213" spans="1:8" x14ac:dyDescent="0.4">
      <c r="A1213" s="115"/>
      <c r="B1213" s="121"/>
      <c r="C1213" s="102"/>
      <c r="D1213" s="115"/>
      <c r="E1213" s="115"/>
      <c r="F1213" s="105"/>
      <c r="G1213" s="105"/>
      <c r="H1213" s="105">
        <f t="shared" si="18"/>
        <v>0</v>
      </c>
    </row>
    <row r="1214" spans="1:8" x14ac:dyDescent="0.4">
      <c r="A1214" s="115"/>
      <c r="B1214" s="121"/>
      <c r="C1214" s="102"/>
      <c r="D1214" s="115"/>
      <c r="E1214" s="115"/>
      <c r="F1214" s="105"/>
      <c r="G1214" s="105"/>
      <c r="H1214" s="105">
        <f t="shared" si="18"/>
        <v>0</v>
      </c>
    </row>
    <row r="1215" spans="1:8" x14ac:dyDescent="0.4">
      <c r="A1215" s="115"/>
      <c r="B1215" s="121"/>
      <c r="C1215" s="102"/>
      <c r="D1215" s="115"/>
      <c r="E1215" s="115"/>
      <c r="F1215" s="105"/>
      <c r="G1215" s="105"/>
      <c r="H1215" s="105">
        <f t="shared" si="18"/>
        <v>0</v>
      </c>
    </row>
    <row r="1216" spans="1:8" x14ac:dyDescent="0.4">
      <c r="A1216" s="115"/>
      <c r="B1216" s="121"/>
      <c r="C1216" s="102"/>
      <c r="D1216" s="115"/>
      <c r="E1216" s="115"/>
      <c r="F1216" s="105"/>
      <c r="G1216" s="105"/>
      <c r="H1216" s="105">
        <f t="shared" si="18"/>
        <v>0</v>
      </c>
    </row>
    <row r="1217" spans="1:8" x14ac:dyDescent="0.4">
      <c r="A1217" s="115"/>
      <c r="B1217" s="121"/>
      <c r="C1217" s="102"/>
      <c r="D1217" s="115"/>
      <c r="E1217" s="115"/>
      <c r="F1217" s="105"/>
      <c r="G1217" s="105"/>
      <c r="H1217" s="105">
        <f t="shared" si="18"/>
        <v>0</v>
      </c>
    </row>
    <row r="1218" spans="1:8" x14ac:dyDescent="0.4">
      <c r="A1218" s="115"/>
      <c r="B1218" s="121"/>
      <c r="C1218" s="102"/>
      <c r="D1218" s="115"/>
      <c r="E1218" s="115"/>
      <c r="F1218" s="105"/>
      <c r="G1218" s="105"/>
      <c r="H1218" s="105">
        <f t="shared" si="18"/>
        <v>0</v>
      </c>
    </row>
    <row r="1219" spans="1:8" x14ac:dyDescent="0.4">
      <c r="A1219" s="115"/>
      <c r="B1219" s="121"/>
      <c r="C1219" s="102"/>
      <c r="D1219" s="115"/>
      <c r="E1219" s="115"/>
      <c r="F1219" s="105"/>
      <c r="G1219" s="105"/>
      <c r="H1219" s="105">
        <f t="shared" si="18"/>
        <v>0</v>
      </c>
    </row>
    <row r="1220" spans="1:8" x14ac:dyDescent="0.4">
      <c r="A1220" s="115"/>
      <c r="B1220" s="121"/>
      <c r="C1220" s="102"/>
      <c r="D1220" s="115"/>
      <c r="E1220" s="115"/>
      <c r="F1220" s="105"/>
      <c r="G1220" s="105"/>
      <c r="H1220" s="105">
        <f t="shared" si="18"/>
        <v>0</v>
      </c>
    </row>
    <row r="1221" spans="1:8" x14ac:dyDescent="0.4">
      <c r="A1221" s="115"/>
      <c r="B1221" s="121"/>
      <c r="C1221" s="102"/>
      <c r="D1221" s="115"/>
      <c r="E1221" s="115"/>
      <c r="F1221" s="105"/>
      <c r="G1221" s="105"/>
      <c r="H1221" s="105">
        <f t="shared" si="18"/>
        <v>0</v>
      </c>
    </row>
    <row r="1222" spans="1:8" x14ac:dyDescent="0.4">
      <c r="A1222" s="115"/>
      <c r="B1222" s="121"/>
      <c r="C1222" s="102"/>
      <c r="D1222" s="115"/>
      <c r="E1222" s="115"/>
      <c r="F1222" s="105"/>
      <c r="G1222" s="105"/>
      <c r="H1222" s="105">
        <f t="shared" si="18"/>
        <v>0</v>
      </c>
    </row>
    <row r="1223" spans="1:8" x14ac:dyDescent="0.4">
      <c r="A1223" s="115"/>
      <c r="B1223" s="121"/>
      <c r="C1223" s="102"/>
      <c r="D1223" s="115"/>
      <c r="E1223" s="115"/>
      <c r="F1223" s="105"/>
      <c r="G1223" s="105"/>
      <c r="H1223" s="105">
        <f t="shared" si="18"/>
        <v>0</v>
      </c>
    </row>
    <row r="1224" spans="1:8" x14ac:dyDescent="0.4">
      <c r="A1224" s="115"/>
      <c r="B1224" s="121"/>
      <c r="C1224" s="102"/>
      <c r="D1224" s="115"/>
      <c r="E1224" s="115"/>
      <c r="F1224" s="105"/>
      <c r="G1224" s="105"/>
      <c r="H1224" s="105">
        <f t="shared" si="18"/>
        <v>0</v>
      </c>
    </row>
    <row r="1225" spans="1:8" x14ac:dyDescent="0.4">
      <c r="A1225" s="115"/>
      <c r="B1225" s="121"/>
      <c r="C1225" s="102"/>
      <c r="D1225" s="115"/>
      <c r="E1225" s="115"/>
      <c r="F1225" s="105"/>
      <c r="G1225" s="105"/>
      <c r="H1225" s="105">
        <f t="shared" si="18"/>
        <v>0</v>
      </c>
    </row>
    <row r="1226" spans="1:8" x14ac:dyDescent="0.4">
      <c r="A1226" s="115"/>
      <c r="B1226" s="121"/>
      <c r="C1226" s="102"/>
      <c r="D1226" s="115"/>
      <c r="E1226" s="115"/>
      <c r="F1226" s="105"/>
      <c r="G1226" s="105"/>
      <c r="H1226" s="105">
        <f t="shared" si="18"/>
        <v>0</v>
      </c>
    </row>
    <row r="1227" spans="1:8" x14ac:dyDescent="0.4">
      <c r="A1227" s="115"/>
      <c r="B1227" s="121"/>
      <c r="C1227" s="102"/>
      <c r="D1227" s="115"/>
      <c r="E1227" s="115"/>
      <c r="F1227" s="105"/>
      <c r="G1227" s="105"/>
      <c r="H1227" s="105">
        <f t="shared" si="18"/>
        <v>0</v>
      </c>
    </row>
    <row r="1228" spans="1:8" x14ac:dyDescent="0.4">
      <c r="A1228" s="115"/>
      <c r="B1228" s="121"/>
      <c r="C1228" s="102"/>
      <c r="D1228" s="115"/>
      <c r="E1228" s="115"/>
      <c r="F1228" s="105"/>
      <c r="G1228" s="105"/>
      <c r="H1228" s="105">
        <f t="shared" si="18"/>
        <v>0</v>
      </c>
    </row>
    <row r="1229" spans="1:8" x14ac:dyDescent="0.4">
      <c r="A1229" s="115"/>
      <c r="B1229" s="121"/>
      <c r="C1229" s="102"/>
      <c r="D1229" s="115"/>
      <c r="E1229" s="115"/>
      <c r="F1229" s="105"/>
      <c r="G1229" s="105"/>
      <c r="H1229" s="105">
        <f t="shared" si="18"/>
        <v>0</v>
      </c>
    </row>
    <row r="1230" spans="1:8" x14ac:dyDescent="0.4">
      <c r="A1230" s="115"/>
      <c r="B1230" s="121"/>
      <c r="C1230" s="102"/>
      <c r="D1230" s="115"/>
      <c r="E1230" s="115"/>
      <c r="F1230" s="105"/>
      <c r="G1230" s="105"/>
      <c r="H1230" s="105">
        <f t="shared" si="18"/>
        <v>0</v>
      </c>
    </row>
    <row r="1231" spans="1:8" x14ac:dyDescent="0.4">
      <c r="A1231" s="115"/>
      <c r="B1231" s="121"/>
      <c r="C1231" s="102"/>
      <c r="D1231" s="115"/>
      <c r="E1231" s="115"/>
      <c r="F1231" s="105"/>
      <c r="G1231" s="105"/>
      <c r="H1231" s="105">
        <f t="shared" si="18"/>
        <v>0</v>
      </c>
    </row>
    <row r="1232" spans="1:8" x14ac:dyDescent="0.4">
      <c r="A1232" s="115"/>
      <c r="B1232" s="121"/>
      <c r="C1232" s="102"/>
      <c r="D1232" s="115"/>
      <c r="E1232" s="115"/>
      <c r="F1232" s="105"/>
      <c r="G1232" s="105"/>
      <c r="H1232" s="105">
        <f t="shared" ref="H1232:H1295" si="19">H1231+F1232-G1232</f>
        <v>0</v>
      </c>
    </row>
    <row r="1233" spans="1:8" x14ac:dyDescent="0.4">
      <c r="A1233" s="115"/>
      <c r="B1233" s="121"/>
      <c r="C1233" s="102"/>
      <c r="D1233" s="115"/>
      <c r="E1233" s="115"/>
      <c r="F1233" s="105"/>
      <c r="G1233" s="105"/>
      <c r="H1233" s="105">
        <f t="shared" si="19"/>
        <v>0</v>
      </c>
    </row>
    <row r="1234" spans="1:8" x14ac:dyDescent="0.4">
      <c r="A1234" s="115"/>
      <c r="B1234" s="121"/>
      <c r="C1234" s="102"/>
      <c r="D1234" s="115"/>
      <c r="E1234" s="115"/>
      <c r="F1234" s="105"/>
      <c r="G1234" s="105"/>
      <c r="H1234" s="105">
        <f t="shared" si="19"/>
        <v>0</v>
      </c>
    </row>
    <row r="1235" spans="1:8" x14ac:dyDescent="0.4">
      <c r="A1235" s="115"/>
      <c r="B1235" s="121"/>
      <c r="C1235" s="102"/>
      <c r="D1235" s="115"/>
      <c r="E1235" s="115"/>
      <c r="F1235" s="105"/>
      <c r="G1235" s="105"/>
      <c r="H1235" s="105">
        <f t="shared" si="19"/>
        <v>0</v>
      </c>
    </row>
    <row r="1236" spans="1:8" x14ac:dyDescent="0.4">
      <c r="A1236" s="115"/>
      <c r="B1236" s="121"/>
      <c r="C1236" s="102"/>
      <c r="D1236" s="115"/>
      <c r="E1236" s="115"/>
      <c r="F1236" s="105"/>
      <c r="G1236" s="105"/>
      <c r="H1236" s="105">
        <f t="shared" si="19"/>
        <v>0</v>
      </c>
    </row>
    <row r="1237" spans="1:8" x14ac:dyDescent="0.4">
      <c r="A1237" s="115"/>
      <c r="B1237" s="121"/>
      <c r="C1237" s="102"/>
      <c r="D1237" s="115"/>
      <c r="E1237" s="115"/>
      <c r="F1237" s="105"/>
      <c r="G1237" s="105"/>
      <c r="H1237" s="105">
        <f t="shared" si="19"/>
        <v>0</v>
      </c>
    </row>
    <row r="1238" spans="1:8" x14ac:dyDescent="0.4">
      <c r="A1238" s="115"/>
      <c r="B1238" s="121"/>
      <c r="C1238" s="102"/>
      <c r="D1238" s="115"/>
      <c r="E1238" s="115"/>
      <c r="F1238" s="105"/>
      <c r="G1238" s="105"/>
      <c r="H1238" s="105">
        <f t="shared" si="19"/>
        <v>0</v>
      </c>
    </row>
    <row r="1239" spans="1:8" x14ac:dyDescent="0.4">
      <c r="A1239" s="115"/>
      <c r="B1239" s="121"/>
      <c r="C1239" s="102"/>
      <c r="D1239" s="115"/>
      <c r="E1239" s="115"/>
      <c r="F1239" s="105"/>
      <c r="G1239" s="105"/>
      <c r="H1239" s="105">
        <f t="shared" si="19"/>
        <v>0</v>
      </c>
    </row>
    <row r="1240" spans="1:8" x14ac:dyDescent="0.4">
      <c r="A1240" s="115"/>
      <c r="B1240" s="121"/>
      <c r="C1240" s="102"/>
      <c r="D1240" s="115"/>
      <c r="E1240" s="115"/>
      <c r="F1240" s="105"/>
      <c r="G1240" s="105"/>
      <c r="H1240" s="105">
        <f t="shared" si="19"/>
        <v>0</v>
      </c>
    </row>
    <row r="1241" spans="1:8" x14ac:dyDescent="0.4">
      <c r="A1241" s="115"/>
      <c r="B1241" s="121"/>
      <c r="C1241" s="102"/>
      <c r="D1241" s="115"/>
      <c r="E1241" s="115"/>
      <c r="F1241" s="105"/>
      <c r="G1241" s="105"/>
      <c r="H1241" s="105">
        <f t="shared" si="19"/>
        <v>0</v>
      </c>
    </row>
    <row r="1242" spans="1:8" x14ac:dyDescent="0.4">
      <c r="A1242" s="115"/>
      <c r="B1242" s="121"/>
      <c r="C1242" s="102"/>
      <c r="D1242" s="115"/>
      <c r="E1242" s="115"/>
      <c r="F1242" s="105"/>
      <c r="G1242" s="105"/>
      <c r="H1242" s="105">
        <f t="shared" si="19"/>
        <v>0</v>
      </c>
    </row>
    <row r="1243" spans="1:8" x14ac:dyDescent="0.4">
      <c r="A1243" s="115"/>
      <c r="B1243" s="121"/>
      <c r="C1243" s="102"/>
      <c r="D1243" s="115"/>
      <c r="E1243" s="115"/>
      <c r="F1243" s="105"/>
      <c r="G1243" s="105"/>
      <c r="H1243" s="105">
        <f t="shared" si="19"/>
        <v>0</v>
      </c>
    </row>
    <row r="1244" spans="1:8" x14ac:dyDescent="0.4">
      <c r="A1244" s="115"/>
      <c r="B1244" s="121"/>
      <c r="C1244" s="102"/>
      <c r="D1244" s="115"/>
      <c r="E1244" s="115"/>
      <c r="F1244" s="105"/>
      <c r="G1244" s="105"/>
      <c r="H1244" s="105">
        <f t="shared" si="19"/>
        <v>0</v>
      </c>
    </row>
    <row r="1245" spans="1:8" x14ac:dyDescent="0.4">
      <c r="A1245" s="115"/>
      <c r="B1245" s="121"/>
      <c r="C1245" s="102"/>
      <c r="D1245" s="115"/>
      <c r="E1245" s="115"/>
      <c r="F1245" s="105"/>
      <c r="G1245" s="105"/>
      <c r="H1245" s="105">
        <f t="shared" si="19"/>
        <v>0</v>
      </c>
    </row>
    <row r="1246" spans="1:8" x14ac:dyDescent="0.4">
      <c r="A1246" s="115"/>
      <c r="B1246" s="121"/>
      <c r="C1246" s="102"/>
      <c r="D1246" s="115"/>
      <c r="E1246" s="115"/>
      <c r="F1246" s="105"/>
      <c r="G1246" s="105"/>
      <c r="H1246" s="105">
        <f t="shared" si="19"/>
        <v>0</v>
      </c>
    </row>
    <row r="1247" spans="1:8" x14ac:dyDescent="0.4">
      <c r="A1247" s="115"/>
      <c r="B1247" s="121"/>
      <c r="C1247" s="102"/>
      <c r="D1247" s="115"/>
      <c r="E1247" s="115"/>
      <c r="F1247" s="105"/>
      <c r="G1247" s="105"/>
      <c r="H1247" s="105">
        <f t="shared" si="19"/>
        <v>0</v>
      </c>
    </row>
    <row r="1248" spans="1:8" x14ac:dyDescent="0.4">
      <c r="A1248" s="115"/>
      <c r="B1248" s="121"/>
      <c r="C1248" s="102"/>
      <c r="D1248" s="115"/>
      <c r="E1248" s="115"/>
      <c r="F1248" s="105"/>
      <c r="G1248" s="105"/>
      <c r="H1248" s="105">
        <f t="shared" si="19"/>
        <v>0</v>
      </c>
    </row>
    <row r="1249" spans="1:8" x14ac:dyDescent="0.4">
      <c r="A1249" s="115"/>
      <c r="B1249" s="121"/>
      <c r="C1249" s="102"/>
      <c r="D1249" s="115"/>
      <c r="E1249" s="115"/>
      <c r="F1249" s="105"/>
      <c r="G1249" s="105"/>
      <c r="H1249" s="105">
        <f t="shared" si="19"/>
        <v>0</v>
      </c>
    </row>
    <row r="1250" spans="1:8" x14ac:dyDescent="0.4">
      <c r="A1250" s="115"/>
      <c r="B1250" s="121"/>
      <c r="C1250" s="102"/>
      <c r="D1250" s="115"/>
      <c r="E1250" s="115"/>
      <c r="F1250" s="105"/>
      <c r="G1250" s="105"/>
      <c r="H1250" s="105">
        <f t="shared" si="19"/>
        <v>0</v>
      </c>
    </row>
    <row r="1251" spans="1:8" x14ac:dyDescent="0.4">
      <c r="A1251" s="115"/>
      <c r="B1251" s="121"/>
      <c r="C1251" s="102"/>
      <c r="D1251" s="115"/>
      <c r="E1251" s="115"/>
      <c r="F1251" s="105"/>
      <c r="G1251" s="105"/>
      <c r="H1251" s="105">
        <f t="shared" si="19"/>
        <v>0</v>
      </c>
    </row>
    <row r="1252" spans="1:8" x14ac:dyDescent="0.4">
      <c r="A1252" s="115"/>
      <c r="B1252" s="121"/>
      <c r="C1252" s="102"/>
      <c r="D1252" s="115"/>
      <c r="E1252" s="115"/>
      <c r="F1252" s="105"/>
      <c r="G1252" s="105"/>
      <c r="H1252" s="105">
        <f t="shared" si="19"/>
        <v>0</v>
      </c>
    </row>
    <row r="1253" spans="1:8" x14ac:dyDescent="0.4">
      <c r="A1253" s="115"/>
      <c r="B1253" s="121"/>
      <c r="C1253" s="102"/>
      <c r="D1253" s="115"/>
      <c r="E1253" s="115"/>
      <c r="F1253" s="105"/>
      <c r="G1253" s="105"/>
      <c r="H1253" s="105">
        <f t="shared" si="19"/>
        <v>0</v>
      </c>
    </row>
    <row r="1254" spans="1:8" x14ac:dyDescent="0.4">
      <c r="A1254" s="115"/>
      <c r="B1254" s="121"/>
      <c r="C1254" s="102"/>
      <c r="D1254" s="115"/>
      <c r="E1254" s="115"/>
      <c r="F1254" s="105"/>
      <c r="G1254" s="105"/>
      <c r="H1254" s="105">
        <f t="shared" si="19"/>
        <v>0</v>
      </c>
    </row>
    <row r="1255" spans="1:8" x14ac:dyDescent="0.4">
      <c r="A1255" s="115"/>
      <c r="B1255" s="121"/>
      <c r="C1255" s="102"/>
      <c r="D1255" s="115"/>
      <c r="E1255" s="115"/>
      <c r="F1255" s="105"/>
      <c r="G1255" s="105"/>
      <c r="H1255" s="105">
        <f t="shared" si="19"/>
        <v>0</v>
      </c>
    </row>
    <row r="1256" spans="1:8" x14ac:dyDescent="0.4">
      <c r="A1256" s="115"/>
      <c r="B1256" s="121"/>
      <c r="C1256" s="102"/>
      <c r="D1256" s="115"/>
      <c r="E1256" s="115"/>
      <c r="F1256" s="105"/>
      <c r="G1256" s="105"/>
      <c r="H1256" s="105">
        <f t="shared" si="19"/>
        <v>0</v>
      </c>
    </row>
    <row r="1257" spans="1:8" x14ac:dyDescent="0.4">
      <c r="A1257" s="115"/>
      <c r="B1257" s="121"/>
      <c r="C1257" s="102"/>
      <c r="D1257" s="115"/>
      <c r="E1257" s="115"/>
      <c r="F1257" s="105"/>
      <c r="G1257" s="105"/>
      <c r="H1257" s="105">
        <f t="shared" si="19"/>
        <v>0</v>
      </c>
    </row>
    <row r="1258" spans="1:8" x14ac:dyDescent="0.4">
      <c r="A1258" s="115"/>
      <c r="B1258" s="121"/>
      <c r="C1258" s="102"/>
      <c r="D1258" s="115"/>
      <c r="E1258" s="115"/>
      <c r="F1258" s="105"/>
      <c r="G1258" s="105"/>
      <c r="H1258" s="105">
        <f t="shared" si="19"/>
        <v>0</v>
      </c>
    </row>
    <row r="1259" spans="1:8" x14ac:dyDescent="0.4">
      <c r="A1259" s="115"/>
      <c r="B1259" s="121"/>
      <c r="C1259" s="102"/>
      <c r="D1259" s="115"/>
      <c r="E1259" s="115"/>
      <c r="F1259" s="105"/>
      <c r="G1259" s="105"/>
      <c r="H1259" s="105">
        <f t="shared" si="19"/>
        <v>0</v>
      </c>
    </row>
    <row r="1260" spans="1:8" x14ac:dyDescent="0.4">
      <c r="A1260" s="115"/>
      <c r="B1260" s="121"/>
      <c r="C1260" s="102"/>
      <c r="D1260" s="115"/>
      <c r="E1260" s="115"/>
      <c r="F1260" s="105"/>
      <c r="G1260" s="105"/>
      <c r="H1260" s="105">
        <f t="shared" si="19"/>
        <v>0</v>
      </c>
    </row>
    <row r="1261" spans="1:8" x14ac:dyDescent="0.4">
      <c r="A1261" s="115"/>
      <c r="B1261" s="121"/>
      <c r="C1261" s="102"/>
      <c r="D1261" s="115"/>
      <c r="E1261" s="115"/>
      <c r="F1261" s="105"/>
      <c r="G1261" s="105"/>
      <c r="H1261" s="105">
        <f t="shared" si="19"/>
        <v>0</v>
      </c>
    </row>
    <row r="1262" spans="1:8" x14ac:dyDescent="0.4">
      <c r="A1262" s="115"/>
      <c r="B1262" s="121"/>
      <c r="C1262" s="102"/>
      <c r="D1262" s="115"/>
      <c r="E1262" s="115"/>
      <c r="F1262" s="105"/>
      <c r="G1262" s="105"/>
      <c r="H1262" s="105">
        <f t="shared" si="19"/>
        <v>0</v>
      </c>
    </row>
    <row r="1263" spans="1:8" x14ac:dyDescent="0.4">
      <c r="A1263" s="115"/>
      <c r="B1263" s="121"/>
      <c r="C1263" s="102"/>
      <c r="D1263" s="115"/>
      <c r="E1263" s="115"/>
      <c r="F1263" s="105"/>
      <c r="G1263" s="105"/>
      <c r="H1263" s="105">
        <f t="shared" si="19"/>
        <v>0</v>
      </c>
    </row>
    <row r="1264" spans="1:8" x14ac:dyDescent="0.4">
      <c r="A1264" s="115"/>
      <c r="B1264" s="121"/>
      <c r="C1264" s="102"/>
      <c r="D1264" s="115"/>
      <c r="E1264" s="115"/>
      <c r="F1264" s="105"/>
      <c r="G1264" s="105"/>
      <c r="H1264" s="105">
        <f t="shared" si="19"/>
        <v>0</v>
      </c>
    </row>
    <row r="1265" spans="1:8" x14ac:dyDescent="0.4">
      <c r="A1265" s="115"/>
      <c r="B1265" s="121"/>
      <c r="C1265" s="102"/>
      <c r="D1265" s="115"/>
      <c r="E1265" s="115"/>
      <c r="F1265" s="105"/>
      <c r="G1265" s="105"/>
      <c r="H1265" s="105">
        <f t="shared" si="19"/>
        <v>0</v>
      </c>
    </row>
    <row r="1266" spans="1:8" x14ac:dyDescent="0.4">
      <c r="A1266" s="115"/>
      <c r="B1266" s="121"/>
      <c r="C1266" s="102"/>
      <c r="D1266" s="115"/>
      <c r="E1266" s="115"/>
      <c r="F1266" s="105"/>
      <c r="G1266" s="105"/>
      <c r="H1266" s="105">
        <f t="shared" si="19"/>
        <v>0</v>
      </c>
    </row>
    <row r="1267" spans="1:8" x14ac:dyDescent="0.4">
      <c r="A1267" s="115"/>
      <c r="B1267" s="121"/>
      <c r="C1267" s="102"/>
      <c r="D1267" s="115"/>
      <c r="E1267" s="115"/>
      <c r="F1267" s="105"/>
      <c r="G1267" s="105"/>
      <c r="H1267" s="105">
        <f t="shared" si="19"/>
        <v>0</v>
      </c>
    </row>
    <row r="1268" spans="1:8" x14ac:dyDescent="0.4">
      <c r="A1268" s="115"/>
      <c r="B1268" s="121"/>
      <c r="C1268" s="102"/>
      <c r="D1268" s="115"/>
      <c r="E1268" s="115"/>
      <c r="F1268" s="105"/>
      <c r="G1268" s="105"/>
      <c r="H1268" s="105">
        <f t="shared" si="19"/>
        <v>0</v>
      </c>
    </row>
    <row r="1269" spans="1:8" x14ac:dyDescent="0.4">
      <c r="A1269" s="115"/>
      <c r="B1269" s="121"/>
      <c r="C1269" s="102"/>
      <c r="D1269" s="115"/>
      <c r="E1269" s="115"/>
      <c r="F1269" s="105"/>
      <c r="G1269" s="105"/>
      <c r="H1269" s="105">
        <f t="shared" si="19"/>
        <v>0</v>
      </c>
    </row>
    <row r="1270" spans="1:8" x14ac:dyDescent="0.4">
      <c r="A1270" s="115"/>
      <c r="B1270" s="121"/>
      <c r="C1270" s="102"/>
      <c r="D1270" s="115"/>
      <c r="E1270" s="115"/>
      <c r="F1270" s="105"/>
      <c r="G1270" s="105"/>
      <c r="H1270" s="105">
        <f t="shared" si="19"/>
        <v>0</v>
      </c>
    </row>
    <row r="1271" spans="1:8" x14ac:dyDescent="0.4">
      <c r="A1271" s="115"/>
      <c r="B1271" s="121"/>
      <c r="C1271" s="102"/>
      <c r="D1271" s="115"/>
      <c r="E1271" s="115"/>
      <c r="F1271" s="105"/>
      <c r="G1271" s="105"/>
      <c r="H1271" s="105">
        <f t="shared" si="19"/>
        <v>0</v>
      </c>
    </row>
    <row r="1272" spans="1:8" x14ac:dyDescent="0.4">
      <c r="A1272" s="115"/>
      <c r="B1272" s="121"/>
      <c r="C1272" s="102"/>
      <c r="D1272" s="115"/>
      <c r="E1272" s="115"/>
      <c r="F1272" s="105"/>
      <c r="G1272" s="105"/>
      <c r="H1272" s="105">
        <f t="shared" si="19"/>
        <v>0</v>
      </c>
    </row>
    <row r="1273" spans="1:8" x14ac:dyDescent="0.4">
      <c r="A1273" s="115"/>
      <c r="B1273" s="121"/>
      <c r="C1273" s="102"/>
      <c r="D1273" s="115"/>
      <c r="E1273" s="115"/>
      <c r="F1273" s="105"/>
      <c r="G1273" s="105"/>
      <c r="H1273" s="105">
        <f t="shared" si="19"/>
        <v>0</v>
      </c>
    </row>
    <row r="1274" spans="1:8" x14ac:dyDescent="0.4">
      <c r="A1274" s="115"/>
      <c r="B1274" s="121"/>
      <c r="C1274" s="102"/>
      <c r="D1274" s="115"/>
      <c r="E1274" s="115"/>
      <c r="F1274" s="105"/>
      <c r="G1274" s="105"/>
      <c r="H1274" s="105">
        <f t="shared" si="19"/>
        <v>0</v>
      </c>
    </row>
    <row r="1275" spans="1:8" x14ac:dyDescent="0.4">
      <c r="A1275" s="115"/>
      <c r="B1275" s="121"/>
      <c r="C1275" s="102"/>
      <c r="D1275" s="115"/>
      <c r="E1275" s="115"/>
      <c r="F1275" s="105"/>
      <c r="G1275" s="105"/>
      <c r="H1275" s="105">
        <f t="shared" si="19"/>
        <v>0</v>
      </c>
    </row>
    <row r="1276" spans="1:8" x14ac:dyDescent="0.4">
      <c r="A1276" s="115"/>
      <c r="B1276" s="121"/>
      <c r="C1276" s="102"/>
      <c r="D1276" s="115"/>
      <c r="E1276" s="115"/>
      <c r="F1276" s="105"/>
      <c r="G1276" s="105"/>
      <c r="H1276" s="105">
        <f t="shared" si="19"/>
        <v>0</v>
      </c>
    </row>
    <row r="1277" spans="1:8" x14ac:dyDescent="0.4">
      <c r="A1277" s="115"/>
      <c r="B1277" s="121"/>
      <c r="C1277" s="102"/>
      <c r="D1277" s="115"/>
      <c r="E1277" s="115"/>
      <c r="F1277" s="105"/>
      <c r="G1277" s="105"/>
      <c r="H1277" s="105">
        <f t="shared" si="19"/>
        <v>0</v>
      </c>
    </row>
    <row r="1278" spans="1:8" x14ac:dyDescent="0.4">
      <c r="A1278" s="115"/>
      <c r="B1278" s="121"/>
      <c r="C1278" s="102"/>
      <c r="D1278" s="115"/>
      <c r="E1278" s="115"/>
      <c r="F1278" s="105"/>
      <c r="G1278" s="105"/>
      <c r="H1278" s="105">
        <f t="shared" si="19"/>
        <v>0</v>
      </c>
    </row>
    <row r="1279" spans="1:8" x14ac:dyDescent="0.4">
      <c r="A1279" s="115"/>
      <c r="B1279" s="121"/>
      <c r="C1279" s="102"/>
      <c r="D1279" s="115"/>
      <c r="E1279" s="115"/>
      <c r="F1279" s="105"/>
      <c r="G1279" s="105"/>
      <c r="H1279" s="105">
        <f t="shared" si="19"/>
        <v>0</v>
      </c>
    </row>
    <row r="1280" spans="1:8" x14ac:dyDescent="0.4">
      <c r="A1280" s="115"/>
      <c r="B1280" s="121"/>
      <c r="C1280" s="102"/>
      <c r="D1280" s="115"/>
      <c r="E1280" s="115"/>
      <c r="F1280" s="105"/>
      <c r="G1280" s="105"/>
      <c r="H1280" s="105">
        <f t="shared" si="19"/>
        <v>0</v>
      </c>
    </row>
    <row r="1281" spans="1:8" x14ac:dyDescent="0.4">
      <c r="A1281" s="115"/>
      <c r="B1281" s="121"/>
      <c r="C1281" s="102"/>
      <c r="D1281" s="115"/>
      <c r="E1281" s="115"/>
      <c r="F1281" s="105"/>
      <c r="G1281" s="105"/>
      <c r="H1281" s="105">
        <f t="shared" si="19"/>
        <v>0</v>
      </c>
    </row>
    <row r="1282" spans="1:8" x14ac:dyDescent="0.4">
      <c r="A1282" s="115"/>
      <c r="B1282" s="121"/>
      <c r="C1282" s="102"/>
      <c r="D1282" s="115"/>
      <c r="E1282" s="115"/>
      <c r="F1282" s="105"/>
      <c r="G1282" s="105"/>
      <c r="H1282" s="105">
        <f t="shared" si="19"/>
        <v>0</v>
      </c>
    </row>
    <row r="1283" spans="1:8" x14ac:dyDescent="0.4">
      <c r="A1283" s="115"/>
      <c r="B1283" s="121"/>
      <c r="C1283" s="102"/>
      <c r="D1283" s="115"/>
      <c r="E1283" s="115"/>
      <c r="F1283" s="105"/>
      <c r="G1283" s="105"/>
      <c r="H1283" s="105">
        <f t="shared" si="19"/>
        <v>0</v>
      </c>
    </row>
    <row r="1284" spans="1:8" x14ac:dyDescent="0.4">
      <c r="A1284" s="115"/>
      <c r="B1284" s="121"/>
      <c r="C1284" s="102"/>
      <c r="D1284" s="115"/>
      <c r="E1284" s="115"/>
      <c r="F1284" s="105"/>
      <c r="G1284" s="105"/>
      <c r="H1284" s="105">
        <f t="shared" si="19"/>
        <v>0</v>
      </c>
    </row>
    <row r="1285" spans="1:8" x14ac:dyDescent="0.4">
      <c r="A1285" s="115"/>
      <c r="B1285" s="121"/>
      <c r="C1285" s="102"/>
      <c r="D1285" s="115"/>
      <c r="E1285" s="115"/>
      <c r="F1285" s="105"/>
      <c r="G1285" s="105"/>
      <c r="H1285" s="105">
        <f t="shared" si="19"/>
        <v>0</v>
      </c>
    </row>
    <row r="1286" spans="1:8" x14ac:dyDescent="0.4">
      <c r="A1286" s="115"/>
      <c r="B1286" s="121"/>
      <c r="C1286" s="102"/>
      <c r="D1286" s="115"/>
      <c r="E1286" s="115"/>
      <c r="F1286" s="105"/>
      <c r="G1286" s="105"/>
      <c r="H1286" s="105">
        <f t="shared" si="19"/>
        <v>0</v>
      </c>
    </row>
    <row r="1287" spans="1:8" x14ac:dyDescent="0.4">
      <c r="A1287" s="115"/>
      <c r="B1287" s="121"/>
      <c r="C1287" s="102"/>
      <c r="D1287" s="115"/>
      <c r="E1287" s="115"/>
      <c r="F1287" s="105"/>
      <c r="G1287" s="105"/>
      <c r="H1287" s="105">
        <f t="shared" si="19"/>
        <v>0</v>
      </c>
    </row>
    <row r="1288" spans="1:8" x14ac:dyDescent="0.4">
      <c r="A1288" s="115"/>
      <c r="B1288" s="121"/>
      <c r="C1288" s="102"/>
      <c r="D1288" s="115"/>
      <c r="E1288" s="115"/>
      <c r="F1288" s="105"/>
      <c r="G1288" s="105"/>
      <c r="H1288" s="105">
        <f t="shared" si="19"/>
        <v>0</v>
      </c>
    </row>
    <row r="1289" spans="1:8" x14ac:dyDescent="0.4">
      <c r="A1289" s="115"/>
      <c r="B1289" s="121"/>
      <c r="C1289" s="102"/>
      <c r="D1289" s="115"/>
      <c r="E1289" s="115"/>
      <c r="F1289" s="105"/>
      <c r="G1289" s="105"/>
      <c r="H1289" s="105">
        <f t="shared" si="19"/>
        <v>0</v>
      </c>
    </row>
    <row r="1290" spans="1:8" x14ac:dyDescent="0.4">
      <c r="A1290" s="115"/>
      <c r="B1290" s="121"/>
      <c r="C1290" s="102"/>
      <c r="D1290" s="115"/>
      <c r="E1290" s="115"/>
      <c r="F1290" s="105"/>
      <c r="G1290" s="105"/>
      <c r="H1290" s="105">
        <f t="shared" si="19"/>
        <v>0</v>
      </c>
    </row>
    <row r="1291" spans="1:8" x14ac:dyDescent="0.4">
      <c r="A1291" s="115"/>
      <c r="B1291" s="121"/>
      <c r="C1291" s="102"/>
      <c r="D1291" s="122"/>
      <c r="E1291" s="122"/>
      <c r="F1291" s="105"/>
      <c r="G1291" s="105"/>
      <c r="H1291" s="105">
        <f t="shared" si="19"/>
        <v>0</v>
      </c>
    </row>
    <row r="1292" spans="1:8" x14ac:dyDescent="0.4">
      <c r="A1292" s="115"/>
      <c r="B1292" s="121"/>
      <c r="C1292" s="102"/>
      <c r="D1292" s="122"/>
      <c r="E1292" s="122"/>
      <c r="F1292" s="105"/>
      <c r="G1292" s="105"/>
      <c r="H1292" s="105">
        <f t="shared" si="19"/>
        <v>0</v>
      </c>
    </row>
    <row r="1293" spans="1:8" x14ac:dyDescent="0.4">
      <c r="A1293" s="115"/>
      <c r="B1293" s="121"/>
      <c r="C1293" s="102"/>
      <c r="D1293" s="122"/>
      <c r="E1293" s="122"/>
      <c r="F1293" s="105"/>
      <c r="G1293" s="105"/>
      <c r="H1293" s="105">
        <f t="shared" si="19"/>
        <v>0</v>
      </c>
    </row>
    <row r="1294" spans="1:8" x14ac:dyDescent="0.4">
      <c r="A1294" s="115"/>
      <c r="B1294" s="121"/>
      <c r="C1294" s="102"/>
      <c r="D1294" s="122"/>
      <c r="E1294" s="122"/>
      <c r="F1294" s="105"/>
      <c r="G1294" s="105"/>
      <c r="H1294" s="105">
        <f t="shared" si="19"/>
        <v>0</v>
      </c>
    </row>
    <row r="1295" spans="1:8" x14ac:dyDescent="0.4">
      <c r="A1295" s="115"/>
      <c r="B1295" s="121"/>
      <c r="C1295" s="102"/>
      <c r="D1295" s="122"/>
      <c r="E1295" s="122"/>
      <c r="F1295" s="105"/>
      <c r="G1295" s="105"/>
      <c r="H1295" s="105">
        <f t="shared" si="19"/>
        <v>0</v>
      </c>
    </row>
    <row r="1296" spans="1:8" x14ac:dyDescent="0.4">
      <c r="A1296" s="115"/>
      <c r="B1296" s="121"/>
      <c r="C1296" s="102"/>
      <c r="D1296" s="115"/>
      <c r="E1296" s="115"/>
      <c r="F1296" s="105"/>
      <c r="G1296" s="105"/>
      <c r="H1296" s="105">
        <f t="shared" ref="H1296:H1359" si="20">H1295+F1296-G1296</f>
        <v>0</v>
      </c>
    </row>
    <row r="1297" spans="1:8" x14ac:dyDescent="0.4">
      <c r="A1297" s="115"/>
      <c r="B1297" s="121"/>
      <c r="C1297" s="102"/>
      <c r="D1297" s="115"/>
      <c r="E1297" s="115"/>
      <c r="F1297" s="105"/>
      <c r="G1297" s="105"/>
      <c r="H1297" s="105">
        <f t="shared" si="20"/>
        <v>0</v>
      </c>
    </row>
    <row r="1298" spans="1:8" x14ac:dyDescent="0.4">
      <c r="A1298" s="115"/>
      <c r="B1298" s="121"/>
      <c r="C1298" s="102"/>
      <c r="D1298" s="115"/>
      <c r="E1298" s="115"/>
      <c r="F1298" s="105"/>
      <c r="G1298" s="105"/>
      <c r="H1298" s="105">
        <f t="shared" si="20"/>
        <v>0</v>
      </c>
    </row>
    <row r="1299" spans="1:8" x14ac:dyDescent="0.4">
      <c r="A1299" s="115"/>
      <c r="B1299" s="121"/>
      <c r="C1299" s="102"/>
      <c r="D1299" s="115"/>
      <c r="E1299" s="115"/>
      <c r="F1299" s="105"/>
      <c r="G1299" s="105"/>
      <c r="H1299" s="105">
        <f t="shared" si="20"/>
        <v>0</v>
      </c>
    </row>
    <row r="1300" spans="1:8" x14ac:dyDescent="0.4">
      <c r="A1300" s="115"/>
      <c r="B1300" s="121"/>
      <c r="C1300" s="102"/>
      <c r="D1300" s="115"/>
      <c r="E1300" s="115"/>
      <c r="F1300" s="105"/>
      <c r="G1300" s="105"/>
      <c r="H1300" s="105">
        <f t="shared" si="20"/>
        <v>0</v>
      </c>
    </row>
    <row r="1301" spans="1:8" x14ac:dyDescent="0.4">
      <c r="A1301" s="115"/>
      <c r="B1301" s="121"/>
      <c r="C1301" s="102"/>
      <c r="D1301" s="115"/>
      <c r="E1301" s="115"/>
      <c r="F1301" s="105"/>
      <c r="G1301" s="105"/>
      <c r="H1301" s="105">
        <f t="shared" si="20"/>
        <v>0</v>
      </c>
    </row>
    <row r="1302" spans="1:8" x14ac:dyDescent="0.4">
      <c r="A1302" s="115"/>
      <c r="B1302" s="121"/>
      <c r="C1302" s="102"/>
      <c r="D1302" s="115"/>
      <c r="E1302" s="115"/>
      <c r="F1302" s="105"/>
      <c r="G1302" s="105"/>
      <c r="H1302" s="105">
        <f t="shared" si="20"/>
        <v>0</v>
      </c>
    </row>
    <row r="1303" spans="1:8" x14ac:dyDescent="0.4">
      <c r="A1303" s="115"/>
      <c r="B1303" s="121"/>
      <c r="C1303" s="102"/>
      <c r="D1303" s="115"/>
      <c r="E1303" s="115"/>
      <c r="F1303" s="105"/>
      <c r="G1303" s="105"/>
      <c r="H1303" s="105">
        <f t="shared" si="20"/>
        <v>0</v>
      </c>
    </row>
    <row r="1304" spans="1:8" x14ac:dyDescent="0.4">
      <c r="A1304" s="115"/>
      <c r="B1304" s="121"/>
      <c r="C1304" s="102"/>
      <c r="D1304" s="115"/>
      <c r="E1304" s="115"/>
      <c r="F1304" s="105"/>
      <c r="G1304" s="105"/>
      <c r="H1304" s="105">
        <f t="shared" si="20"/>
        <v>0</v>
      </c>
    </row>
    <row r="1305" spans="1:8" x14ac:dyDescent="0.4">
      <c r="A1305" s="115"/>
      <c r="B1305" s="121"/>
      <c r="C1305" s="102"/>
      <c r="D1305" s="115"/>
      <c r="E1305" s="115"/>
      <c r="F1305" s="105"/>
      <c r="G1305" s="105"/>
      <c r="H1305" s="105">
        <f t="shared" si="20"/>
        <v>0</v>
      </c>
    </row>
    <row r="1306" spans="1:8" x14ac:dyDescent="0.4">
      <c r="A1306" s="115"/>
      <c r="B1306" s="121"/>
      <c r="C1306" s="102"/>
      <c r="D1306" s="115"/>
      <c r="E1306" s="115"/>
      <c r="F1306" s="105"/>
      <c r="G1306" s="105"/>
      <c r="H1306" s="105">
        <f t="shared" si="20"/>
        <v>0</v>
      </c>
    </row>
    <row r="1307" spans="1:8" x14ac:dyDescent="0.4">
      <c r="A1307" s="115"/>
      <c r="B1307" s="121"/>
      <c r="C1307" s="102"/>
      <c r="D1307" s="115"/>
      <c r="E1307" s="115"/>
      <c r="F1307" s="105"/>
      <c r="G1307" s="105"/>
      <c r="H1307" s="105">
        <f t="shared" si="20"/>
        <v>0</v>
      </c>
    </row>
    <row r="1308" spans="1:8" x14ac:dyDescent="0.4">
      <c r="A1308" s="115"/>
      <c r="B1308" s="121"/>
      <c r="C1308" s="102"/>
      <c r="D1308" s="115"/>
      <c r="E1308" s="115"/>
      <c r="F1308" s="105"/>
      <c r="G1308" s="105"/>
      <c r="H1308" s="105">
        <f t="shared" si="20"/>
        <v>0</v>
      </c>
    </row>
    <row r="1309" spans="1:8" x14ac:dyDescent="0.4">
      <c r="A1309" s="115"/>
      <c r="B1309" s="121"/>
      <c r="C1309" s="102"/>
      <c r="D1309" s="115"/>
      <c r="E1309" s="115"/>
      <c r="F1309" s="105"/>
      <c r="G1309" s="105"/>
      <c r="H1309" s="105">
        <f t="shared" si="20"/>
        <v>0</v>
      </c>
    </row>
    <row r="1310" spans="1:8" x14ac:dyDescent="0.4">
      <c r="A1310" s="115"/>
      <c r="B1310" s="121"/>
      <c r="C1310" s="102"/>
      <c r="D1310" s="115"/>
      <c r="E1310" s="115"/>
      <c r="F1310" s="105"/>
      <c r="G1310" s="105"/>
      <c r="H1310" s="105">
        <f t="shared" si="20"/>
        <v>0</v>
      </c>
    </row>
    <row r="1311" spans="1:8" x14ac:dyDescent="0.4">
      <c r="A1311" s="115"/>
      <c r="B1311" s="121"/>
      <c r="C1311" s="102"/>
      <c r="D1311" s="115"/>
      <c r="E1311" s="115"/>
      <c r="F1311" s="105"/>
      <c r="G1311" s="105"/>
      <c r="H1311" s="105">
        <f t="shared" si="20"/>
        <v>0</v>
      </c>
    </row>
    <row r="1312" spans="1:8" x14ac:dyDescent="0.4">
      <c r="A1312" s="115"/>
      <c r="B1312" s="121"/>
      <c r="C1312" s="102"/>
      <c r="D1312" s="115"/>
      <c r="E1312" s="115"/>
      <c r="F1312" s="105"/>
      <c r="G1312" s="105"/>
      <c r="H1312" s="105">
        <f t="shared" si="20"/>
        <v>0</v>
      </c>
    </row>
    <row r="1313" spans="1:8" x14ac:dyDescent="0.4">
      <c r="A1313" s="115"/>
      <c r="B1313" s="121"/>
      <c r="C1313" s="102"/>
      <c r="D1313" s="115"/>
      <c r="E1313" s="115"/>
      <c r="F1313" s="105"/>
      <c r="G1313" s="105"/>
      <c r="H1313" s="105">
        <f t="shared" si="20"/>
        <v>0</v>
      </c>
    </row>
    <row r="1314" spans="1:8" x14ac:dyDescent="0.4">
      <c r="A1314" s="115"/>
      <c r="B1314" s="121"/>
      <c r="C1314" s="102"/>
      <c r="D1314" s="115"/>
      <c r="E1314" s="115"/>
      <c r="F1314" s="105"/>
      <c r="G1314" s="105"/>
      <c r="H1314" s="105">
        <f t="shared" si="20"/>
        <v>0</v>
      </c>
    </row>
    <row r="1315" spans="1:8" x14ac:dyDescent="0.4">
      <c r="A1315" s="115"/>
      <c r="B1315" s="121"/>
      <c r="C1315" s="102"/>
      <c r="D1315" s="115"/>
      <c r="E1315" s="115"/>
      <c r="F1315" s="105"/>
      <c r="G1315" s="105"/>
      <c r="H1315" s="105">
        <f t="shared" si="20"/>
        <v>0</v>
      </c>
    </row>
    <row r="1316" spans="1:8" x14ac:dyDescent="0.4">
      <c r="A1316" s="115"/>
      <c r="B1316" s="121"/>
      <c r="C1316" s="102"/>
      <c r="D1316" s="115"/>
      <c r="E1316" s="115"/>
      <c r="F1316" s="105"/>
      <c r="G1316" s="105"/>
      <c r="H1316" s="105">
        <f t="shared" si="20"/>
        <v>0</v>
      </c>
    </row>
    <row r="1317" spans="1:8" x14ac:dyDescent="0.4">
      <c r="A1317" s="115"/>
      <c r="B1317" s="121"/>
      <c r="C1317" s="102"/>
      <c r="D1317" s="115"/>
      <c r="E1317" s="115"/>
      <c r="F1317" s="105"/>
      <c r="G1317" s="105"/>
      <c r="H1317" s="105">
        <f t="shared" si="20"/>
        <v>0</v>
      </c>
    </row>
    <row r="1318" spans="1:8" x14ac:dyDescent="0.4">
      <c r="A1318" s="115"/>
      <c r="B1318" s="121"/>
      <c r="C1318" s="102"/>
      <c r="D1318" s="115"/>
      <c r="E1318" s="115"/>
      <c r="F1318" s="105"/>
      <c r="G1318" s="105"/>
      <c r="H1318" s="105">
        <f t="shared" si="20"/>
        <v>0</v>
      </c>
    </row>
    <row r="1319" spans="1:8" x14ac:dyDescent="0.4">
      <c r="A1319" s="115"/>
      <c r="B1319" s="121"/>
      <c r="C1319" s="102"/>
      <c r="D1319" s="115"/>
      <c r="E1319" s="115"/>
      <c r="F1319" s="105"/>
      <c r="G1319" s="105"/>
      <c r="H1319" s="105">
        <f t="shared" si="20"/>
        <v>0</v>
      </c>
    </row>
    <row r="1320" spans="1:8" x14ac:dyDescent="0.4">
      <c r="A1320" s="115"/>
      <c r="B1320" s="121"/>
      <c r="C1320" s="102"/>
      <c r="D1320" s="115"/>
      <c r="E1320" s="115"/>
      <c r="F1320" s="105"/>
      <c r="G1320" s="105"/>
      <c r="H1320" s="105">
        <f t="shared" si="20"/>
        <v>0</v>
      </c>
    </row>
    <row r="1321" spans="1:8" x14ac:dyDescent="0.4">
      <c r="A1321" s="115"/>
      <c r="B1321" s="121"/>
      <c r="C1321" s="102"/>
      <c r="D1321" s="115"/>
      <c r="E1321" s="115"/>
      <c r="F1321" s="105"/>
      <c r="G1321" s="105"/>
      <c r="H1321" s="105">
        <f t="shared" si="20"/>
        <v>0</v>
      </c>
    </row>
    <row r="1322" spans="1:8" x14ac:dyDescent="0.4">
      <c r="A1322" s="115"/>
      <c r="B1322" s="121"/>
      <c r="C1322" s="102"/>
      <c r="D1322" s="115"/>
      <c r="E1322" s="115"/>
      <c r="F1322" s="105"/>
      <c r="G1322" s="105"/>
      <c r="H1322" s="105">
        <f t="shared" si="20"/>
        <v>0</v>
      </c>
    </row>
    <row r="1323" spans="1:8" x14ac:dyDescent="0.4">
      <c r="A1323" s="115"/>
      <c r="B1323" s="121"/>
      <c r="C1323" s="102"/>
      <c r="D1323" s="115"/>
      <c r="E1323" s="115"/>
      <c r="F1323" s="105"/>
      <c r="G1323" s="105"/>
      <c r="H1323" s="105">
        <f t="shared" si="20"/>
        <v>0</v>
      </c>
    </row>
    <row r="1324" spans="1:8" x14ac:dyDescent="0.4">
      <c r="A1324" s="115"/>
      <c r="B1324" s="121"/>
      <c r="C1324" s="102"/>
      <c r="D1324" s="115"/>
      <c r="E1324" s="115"/>
      <c r="F1324" s="105"/>
      <c r="G1324" s="105"/>
      <c r="H1324" s="105">
        <f t="shared" si="20"/>
        <v>0</v>
      </c>
    </row>
    <row r="1325" spans="1:8" x14ac:dyDescent="0.4">
      <c r="A1325" s="115"/>
      <c r="B1325" s="121"/>
      <c r="C1325" s="102"/>
      <c r="D1325" s="115"/>
      <c r="E1325" s="115"/>
      <c r="F1325" s="105"/>
      <c r="G1325" s="105"/>
      <c r="H1325" s="105">
        <f t="shared" si="20"/>
        <v>0</v>
      </c>
    </row>
    <row r="1326" spans="1:8" x14ac:dyDescent="0.4">
      <c r="A1326" s="115"/>
      <c r="B1326" s="121"/>
      <c r="C1326" s="102"/>
      <c r="D1326" s="115"/>
      <c r="E1326" s="115"/>
      <c r="F1326" s="105"/>
      <c r="G1326" s="105"/>
      <c r="H1326" s="105">
        <f t="shared" si="20"/>
        <v>0</v>
      </c>
    </row>
    <row r="1327" spans="1:8" x14ac:dyDescent="0.4">
      <c r="A1327" s="115"/>
      <c r="B1327" s="121"/>
      <c r="C1327" s="102"/>
      <c r="D1327" s="115"/>
      <c r="E1327" s="115"/>
      <c r="F1327" s="105"/>
      <c r="G1327" s="105"/>
      <c r="H1327" s="105">
        <f t="shared" si="20"/>
        <v>0</v>
      </c>
    </row>
    <row r="1328" spans="1:8" x14ac:dyDescent="0.4">
      <c r="A1328" s="115"/>
      <c r="B1328" s="121"/>
      <c r="C1328" s="102"/>
      <c r="D1328" s="115"/>
      <c r="E1328" s="115"/>
      <c r="F1328" s="105"/>
      <c r="G1328" s="105"/>
      <c r="H1328" s="105">
        <f t="shared" si="20"/>
        <v>0</v>
      </c>
    </row>
    <row r="1329" spans="1:8" x14ac:dyDescent="0.4">
      <c r="A1329" s="115"/>
      <c r="B1329" s="121"/>
      <c r="C1329" s="102"/>
      <c r="D1329" s="115"/>
      <c r="E1329" s="115"/>
      <c r="F1329" s="105"/>
      <c r="G1329" s="105"/>
      <c r="H1329" s="105">
        <f t="shared" si="20"/>
        <v>0</v>
      </c>
    </row>
    <row r="1330" spans="1:8" x14ac:dyDescent="0.4">
      <c r="A1330" s="115"/>
      <c r="B1330" s="121"/>
      <c r="C1330" s="102"/>
      <c r="D1330" s="115"/>
      <c r="E1330" s="115"/>
      <c r="F1330" s="105"/>
      <c r="G1330" s="105"/>
      <c r="H1330" s="105">
        <f t="shared" si="20"/>
        <v>0</v>
      </c>
    </row>
    <row r="1331" spans="1:8" x14ac:dyDescent="0.4">
      <c r="A1331" s="115"/>
      <c r="B1331" s="121"/>
      <c r="C1331" s="102"/>
      <c r="D1331" s="115"/>
      <c r="E1331" s="115"/>
      <c r="F1331" s="105"/>
      <c r="G1331" s="105"/>
      <c r="H1331" s="105">
        <f t="shared" si="20"/>
        <v>0</v>
      </c>
    </row>
    <row r="1332" spans="1:8" x14ac:dyDescent="0.4">
      <c r="A1332" s="115"/>
      <c r="B1332" s="121"/>
      <c r="C1332" s="102"/>
      <c r="D1332" s="115"/>
      <c r="E1332" s="115"/>
      <c r="F1332" s="105"/>
      <c r="G1332" s="105"/>
      <c r="H1332" s="105">
        <f t="shared" si="20"/>
        <v>0</v>
      </c>
    </row>
    <row r="1333" spans="1:8" x14ac:dyDescent="0.4">
      <c r="A1333" s="115"/>
      <c r="B1333" s="121"/>
      <c r="C1333" s="102"/>
      <c r="D1333" s="115"/>
      <c r="E1333" s="115"/>
      <c r="F1333" s="105"/>
      <c r="G1333" s="105"/>
      <c r="H1333" s="105">
        <f t="shared" si="20"/>
        <v>0</v>
      </c>
    </row>
    <row r="1334" spans="1:8" x14ac:dyDescent="0.4">
      <c r="A1334" s="115"/>
      <c r="B1334" s="121"/>
      <c r="C1334" s="102"/>
      <c r="D1334" s="115"/>
      <c r="E1334" s="115"/>
      <c r="F1334" s="105"/>
      <c r="G1334" s="105"/>
      <c r="H1334" s="105">
        <f t="shared" si="20"/>
        <v>0</v>
      </c>
    </row>
    <row r="1335" spans="1:8" x14ac:dyDescent="0.4">
      <c r="A1335" s="115"/>
      <c r="B1335" s="121"/>
      <c r="C1335" s="102"/>
      <c r="D1335" s="115"/>
      <c r="E1335" s="115"/>
      <c r="F1335" s="105"/>
      <c r="G1335" s="105"/>
      <c r="H1335" s="105">
        <f t="shared" si="20"/>
        <v>0</v>
      </c>
    </row>
    <row r="1336" spans="1:8" x14ac:dyDescent="0.4">
      <c r="A1336" s="115"/>
      <c r="B1336" s="121"/>
      <c r="C1336" s="102"/>
      <c r="D1336" s="115"/>
      <c r="E1336" s="115"/>
      <c r="F1336" s="105"/>
      <c r="G1336" s="105"/>
      <c r="H1336" s="105">
        <f t="shared" si="20"/>
        <v>0</v>
      </c>
    </row>
    <row r="1337" spans="1:8" x14ac:dyDescent="0.4">
      <c r="A1337" s="115"/>
      <c r="B1337" s="121"/>
      <c r="C1337" s="102"/>
      <c r="D1337" s="115"/>
      <c r="E1337" s="115"/>
      <c r="F1337" s="105"/>
      <c r="G1337" s="105"/>
      <c r="H1337" s="105">
        <f t="shared" si="20"/>
        <v>0</v>
      </c>
    </row>
    <row r="1338" spans="1:8" x14ac:dyDescent="0.4">
      <c r="A1338" s="115"/>
      <c r="B1338" s="121"/>
      <c r="C1338" s="102"/>
      <c r="D1338" s="115"/>
      <c r="E1338" s="115"/>
      <c r="F1338" s="105"/>
      <c r="G1338" s="105"/>
      <c r="H1338" s="105">
        <f t="shared" si="20"/>
        <v>0</v>
      </c>
    </row>
    <row r="1339" spans="1:8" x14ac:dyDescent="0.4">
      <c r="A1339" s="115"/>
      <c r="B1339" s="121"/>
      <c r="C1339" s="102"/>
      <c r="D1339" s="115"/>
      <c r="E1339" s="115"/>
      <c r="F1339" s="105"/>
      <c r="G1339" s="105"/>
      <c r="H1339" s="105">
        <f t="shared" si="20"/>
        <v>0</v>
      </c>
    </row>
    <row r="1340" spans="1:8" x14ac:dyDescent="0.4">
      <c r="A1340" s="115"/>
      <c r="B1340" s="121"/>
      <c r="C1340" s="102"/>
      <c r="D1340" s="115"/>
      <c r="E1340" s="115"/>
      <c r="F1340" s="105"/>
      <c r="G1340" s="105"/>
      <c r="H1340" s="105">
        <f t="shared" si="20"/>
        <v>0</v>
      </c>
    </row>
    <row r="1341" spans="1:8" x14ac:dyDescent="0.4">
      <c r="A1341" s="115"/>
      <c r="B1341" s="121"/>
      <c r="C1341" s="102"/>
      <c r="D1341" s="115"/>
      <c r="E1341" s="115"/>
      <c r="F1341" s="105"/>
      <c r="G1341" s="105"/>
      <c r="H1341" s="105">
        <f t="shared" si="20"/>
        <v>0</v>
      </c>
    </row>
    <row r="1342" spans="1:8" x14ac:dyDescent="0.4">
      <c r="A1342" s="115"/>
      <c r="B1342" s="121"/>
      <c r="C1342" s="102"/>
      <c r="D1342" s="115"/>
      <c r="E1342" s="115"/>
      <c r="F1342" s="105"/>
      <c r="G1342" s="105"/>
      <c r="H1342" s="105">
        <f t="shared" si="20"/>
        <v>0</v>
      </c>
    </row>
    <row r="1343" spans="1:8" x14ac:dyDescent="0.4">
      <c r="A1343" s="115"/>
      <c r="B1343" s="121"/>
      <c r="C1343" s="102"/>
      <c r="D1343" s="115"/>
      <c r="E1343" s="115"/>
      <c r="F1343" s="105"/>
      <c r="G1343" s="105"/>
      <c r="H1343" s="105">
        <f t="shared" si="20"/>
        <v>0</v>
      </c>
    </row>
    <row r="1344" spans="1:8" x14ac:dyDescent="0.4">
      <c r="A1344" s="115"/>
      <c r="B1344" s="121"/>
      <c r="C1344" s="102"/>
      <c r="D1344" s="115"/>
      <c r="E1344" s="115"/>
      <c r="F1344" s="105"/>
      <c r="G1344" s="105"/>
      <c r="H1344" s="105">
        <f t="shared" si="20"/>
        <v>0</v>
      </c>
    </row>
    <row r="1345" spans="1:8" x14ac:dyDescent="0.4">
      <c r="A1345" s="115"/>
      <c r="B1345" s="121"/>
      <c r="C1345" s="102"/>
      <c r="D1345" s="115"/>
      <c r="E1345" s="115"/>
      <c r="F1345" s="105"/>
      <c r="G1345" s="105"/>
      <c r="H1345" s="105">
        <f t="shared" si="20"/>
        <v>0</v>
      </c>
    </row>
    <row r="1346" spans="1:8" x14ac:dyDescent="0.4">
      <c r="A1346" s="115"/>
      <c r="B1346" s="121"/>
      <c r="C1346" s="102"/>
      <c r="D1346" s="115"/>
      <c r="E1346" s="115"/>
      <c r="F1346" s="105"/>
      <c r="G1346" s="105"/>
      <c r="H1346" s="105">
        <f t="shared" si="20"/>
        <v>0</v>
      </c>
    </row>
    <row r="1347" spans="1:8" x14ac:dyDescent="0.4">
      <c r="A1347" s="115"/>
      <c r="B1347" s="121"/>
      <c r="C1347" s="102"/>
      <c r="D1347" s="115"/>
      <c r="E1347" s="115"/>
      <c r="F1347" s="105"/>
      <c r="G1347" s="105"/>
      <c r="H1347" s="105">
        <f t="shared" si="20"/>
        <v>0</v>
      </c>
    </row>
    <row r="1348" spans="1:8" x14ac:dyDescent="0.4">
      <c r="A1348" s="115"/>
      <c r="B1348" s="121"/>
      <c r="C1348" s="102"/>
      <c r="D1348" s="115"/>
      <c r="E1348" s="115"/>
      <c r="F1348" s="105"/>
      <c r="G1348" s="105"/>
      <c r="H1348" s="105">
        <f t="shared" si="20"/>
        <v>0</v>
      </c>
    </row>
    <row r="1349" spans="1:8" x14ac:dyDescent="0.4">
      <c r="A1349" s="115"/>
      <c r="B1349" s="121"/>
      <c r="C1349" s="102"/>
      <c r="D1349" s="115"/>
      <c r="E1349" s="115"/>
      <c r="F1349" s="105"/>
      <c r="G1349" s="105"/>
      <c r="H1349" s="105">
        <f t="shared" si="20"/>
        <v>0</v>
      </c>
    </row>
    <row r="1350" spans="1:8" x14ac:dyDescent="0.4">
      <c r="A1350" s="115"/>
      <c r="B1350" s="121"/>
      <c r="C1350" s="102"/>
      <c r="D1350" s="115"/>
      <c r="E1350" s="115"/>
      <c r="F1350" s="105"/>
      <c r="G1350" s="105"/>
      <c r="H1350" s="105">
        <f t="shared" si="20"/>
        <v>0</v>
      </c>
    </row>
    <row r="1351" spans="1:8" x14ac:dyDescent="0.4">
      <c r="A1351" s="115"/>
      <c r="B1351" s="121"/>
      <c r="C1351" s="102"/>
      <c r="D1351" s="115"/>
      <c r="E1351" s="115"/>
      <c r="F1351" s="105"/>
      <c r="G1351" s="105"/>
      <c r="H1351" s="105">
        <f t="shared" si="20"/>
        <v>0</v>
      </c>
    </row>
    <row r="1352" spans="1:8" x14ac:dyDescent="0.4">
      <c r="A1352" s="115"/>
      <c r="B1352" s="121"/>
      <c r="C1352" s="102"/>
      <c r="D1352" s="115"/>
      <c r="E1352" s="115"/>
      <c r="F1352" s="105"/>
      <c r="G1352" s="105"/>
      <c r="H1352" s="105">
        <f t="shared" si="20"/>
        <v>0</v>
      </c>
    </row>
    <row r="1353" spans="1:8" x14ac:dyDescent="0.4">
      <c r="A1353" s="115"/>
      <c r="B1353" s="121"/>
      <c r="C1353" s="102"/>
      <c r="D1353" s="115"/>
      <c r="E1353" s="115"/>
      <c r="F1353" s="105"/>
      <c r="G1353" s="105"/>
      <c r="H1353" s="105">
        <f t="shared" si="20"/>
        <v>0</v>
      </c>
    </row>
    <row r="1354" spans="1:8" x14ac:dyDescent="0.4">
      <c r="A1354" s="115"/>
      <c r="B1354" s="121"/>
      <c r="C1354" s="102"/>
      <c r="D1354" s="115"/>
      <c r="E1354" s="115"/>
      <c r="F1354" s="105"/>
      <c r="G1354" s="105"/>
      <c r="H1354" s="105">
        <f t="shared" si="20"/>
        <v>0</v>
      </c>
    </row>
    <row r="1355" spans="1:8" x14ac:dyDescent="0.4">
      <c r="A1355" s="115"/>
      <c r="B1355" s="121"/>
      <c r="C1355" s="102"/>
      <c r="D1355" s="115"/>
      <c r="E1355" s="115"/>
      <c r="F1355" s="105"/>
      <c r="G1355" s="105"/>
      <c r="H1355" s="105">
        <f t="shared" si="20"/>
        <v>0</v>
      </c>
    </row>
    <row r="1356" spans="1:8" x14ac:dyDescent="0.4">
      <c r="A1356" s="115"/>
      <c r="B1356" s="121"/>
      <c r="C1356" s="102"/>
      <c r="D1356" s="115"/>
      <c r="E1356" s="115"/>
      <c r="F1356" s="105"/>
      <c r="G1356" s="105"/>
      <c r="H1356" s="105">
        <f t="shared" si="20"/>
        <v>0</v>
      </c>
    </row>
    <row r="1357" spans="1:8" x14ac:dyDescent="0.4">
      <c r="A1357" s="115"/>
      <c r="B1357" s="121"/>
      <c r="C1357" s="102"/>
      <c r="D1357" s="115"/>
      <c r="E1357" s="115"/>
      <c r="F1357" s="105"/>
      <c r="G1357" s="105"/>
      <c r="H1357" s="105">
        <f t="shared" si="20"/>
        <v>0</v>
      </c>
    </row>
    <row r="1358" spans="1:8" x14ac:dyDescent="0.4">
      <c r="A1358" s="115"/>
      <c r="B1358" s="121"/>
      <c r="C1358" s="102"/>
      <c r="D1358" s="115"/>
      <c r="E1358" s="115"/>
      <c r="F1358" s="105"/>
      <c r="G1358" s="105"/>
      <c r="H1358" s="105">
        <f t="shared" si="20"/>
        <v>0</v>
      </c>
    </row>
    <row r="1359" spans="1:8" x14ac:dyDescent="0.4">
      <c r="A1359" s="115"/>
      <c r="B1359" s="121"/>
      <c r="C1359" s="102"/>
      <c r="D1359" s="115"/>
      <c r="E1359" s="115"/>
      <c r="F1359" s="105"/>
      <c r="G1359" s="105"/>
      <c r="H1359" s="105">
        <f t="shared" si="20"/>
        <v>0</v>
      </c>
    </row>
    <row r="1360" spans="1:8" x14ac:dyDescent="0.4">
      <c r="A1360" s="115"/>
      <c r="B1360" s="121"/>
      <c r="C1360" s="102"/>
      <c r="D1360" s="115"/>
      <c r="E1360" s="115"/>
      <c r="F1360" s="105"/>
      <c r="G1360" s="105"/>
      <c r="H1360" s="105">
        <f t="shared" ref="H1360:H1423" si="21">H1359+F1360-G1360</f>
        <v>0</v>
      </c>
    </row>
    <row r="1361" spans="1:8" x14ac:dyDescent="0.4">
      <c r="A1361" s="115"/>
      <c r="B1361" s="121"/>
      <c r="C1361" s="102"/>
      <c r="D1361" s="115"/>
      <c r="E1361" s="115"/>
      <c r="F1361" s="105"/>
      <c r="G1361" s="105"/>
      <c r="H1361" s="105">
        <f t="shared" si="21"/>
        <v>0</v>
      </c>
    </row>
    <row r="1362" spans="1:8" x14ac:dyDescent="0.4">
      <c r="A1362" s="115"/>
      <c r="B1362" s="121"/>
      <c r="C1362" s="102"/>
      <c r="D1362" s="115"/>
      <c r="E1362" s="115"/>
      <c r="F1362" s="105"/>
      <c r="G1362" s="105"/>
      <c r="H1362" s="105">
        <f t="shared" si="21"/>
        <v>0</v>
      </c>
    </row>
    <row r="1363" spans="1:8" x14ac:dyDescent="0.4">
      <c r="A1363" s="115"/>
      <c r="B1363" s="121"/>
      <c r="C1363" s="102"/>
      <c r="D1363" s="115"/>
      <c r="E1363" s="115"/>
      <c r="F1363" s="105"/>
      <c r="G1363" s="105"/>
      <c r="H1363" s="105">
        <f t="shared" si="21"/>
        <v>0</v>
      </c>
    </row>
    <row r="1364" spans="1:8" x14ac:dyDescent="0.4">
      <c r="A1364" s="115"/>
      <c r="B1364" s="121"/>
      <c r="C1364" s="102"/>
      <c r="D1364" s="115"/>
      <c r="E1364" s="115"/>
      <c r="F1364" s="105"/>
      <c r="G1364" s="105"/>
      <c r="H1364" s="105">
        <f t="shared" si="21"/>
        <v>0</v>
      </c>
    </row>
    <row r="1365" spans="1:8" x14ac:dyDescent="0.4">
      <c r="A1365" s="115"/>
      <c r="B1365" s="121"/>
      <c r="C1365" s="102"/>
      <c r="D1365" s="115"/>
      <c r="E1365" s="115"/>
      <c r="F1365" s="105"/>
      <c r="G1365" s="105"/>
      <c r="H1365" s="105">
        <f t="shared" si="21"/>
        <v>0</v>
      </c>
    </row>
    <row r="1366" spans="1:8" x14ac:dyDescent="0.4">
      <c r="A1366" s="115"/>
      <c r="B1366" s="121"/>
      <c r="C1366" s="102"/>
      <c r="D1366" s="115"/>
      <c r="E1366" s="115"/>
      <c r="F1366" s="105"/>
      <c r="G1366" s="105"/>
      <c r="H1366" s="105">
        <f t="shared" si="21"/>
        <v>0</v>
      </c>
    </row>
    <row r="1367" spans="1:8" x14ac:dyDescent="0.4">
      <c r="A1367" s="115"/>
      <c r="B1367" s="121"/>
      <c r="C1367" s="102"/>
      <c r="D1367" s="115"/>
      <c r="E1367" s="115"/>
      <c r="F1367" s="105"/>
      <c r="G1367" s="105"/>
      <c r="H1367" s="105">
        <f t="shared" si="21"/>
        <v>0</v>
      </c>
    </row>
    <row r="1368" spans="1:8" x14ac:dyDescent="0.4">
      <c r="A1368" s="115"/>
      <c r="B1368" s="121"/>
      <c r="C1368" s="102"/>
      <c r="D1368" s="115"/>
      <c r="E1368" s="115"/>
      <c r="F1368" s="105"/>
      <c r="G1368" s="105"/>
      <c r="H1368" s="105">
        <f t="shared" si="21"/>
        <v>0</v>
      </c>
    </row>
    <row r="1369" spans="1:8" x14ac:dyDescent="0.4">
      <c r="A1369" s="115"/>
      <c r="B1369" s="121"/>
      <c r="C1369" s="102"/>
      <c r="D1369" s="115"/>
      <c r="E1369" s="115"/>
      <c r="F1369" s="105"/>
      <c r="G1369" s="105"/>
      <c r="H1369" s="105">
        <f t="shared" si="21"/>
        <v>0</v>
      </c>
    </row>
    <row r="1370" spans="1:8" x14ac:dyDescent="0.4">
      <c r="A1370" s="115"/>
      <c r="B1370" s="121"/>
      <c r="C1370" s="102"/>
      <c r="D1370" s="115"/>
      <c r="E1370" s="115"/>
      <c r="F1370" s="105"/>
      <c r="G1370" s="105"/>
      <c r="H1370" s="105">
        <f t="shared" si="21"/>
        <v>0</v>
      </c>
    </row>
    <row r="1371" spans="1:8" x14ac:dyDescent="0.4">
      <c r="A1371" s="115"/>
      <c r="B1371" s="121"/>
      <c r="C1371" s="102"/>
      <c r="D1371" s="115"/>
      <c r="E1371" s="115"/>
      <c r="F1371" s="105"/>
      <c r="G1371" s="105"/>
      <c r="H1371" s="105">
        <f t="shared" si="21"/>
        <v>0</v>
      </c>
    </row>
    <row r="1372" spans="1:8" x14ac:dyDescent="0.4">
      <c r="A1372" s="115"/>
      <c r="B1372" s="121"/>
      <c r="C1372" s="102"/>
      <c r="D1372" s="115"/>
      <c r="E1372" s="115"/>
      <c r="F1372" s="105"/>
      <c r="G1372" s="105"/>
      <c r="H1372" s="105">
        <f t="shared" si="21"/>
        <v>0</v>
      </c>
    </row>
    <row r="1373" spans="1:8" x14ac:dyDescent="0.4">
      <c r="A1373" s="115"/>
      <c r="B1373" s="121"/>
      <c r="C1373" s="102"/>
      <c r="D1373" s="115"/>
      <c r="E1373" s="115"/>
      <c r="F1373" s="105"/>
      <c r="G1373" s="105"/>
      <c r="H1373" s="105">
        <f t="shared" si="21"/>
        <v>0</v>
      </c>
    </row>
    <row r="1374" spans="1:8" x14ac:dyDescent="0.4">
      <c r="A1374" s="115"/>
      <c r="B1374" s="121"/>
      <c r="C1374" s="102"/>
      <c r="D1374" s="115"/>
      <c r="E1374" s="115"/>
      <c r="F1374" s="105"/>
      <c r="G1374" s="105"/>
      <c r="H1374" s="105">
        <f t="shared" si="21"/>
        <v>0</v>
      </c>
    </row>
    <row r="1375" spans="1:8" x14ac:dyDescent="0.4">
      <c r="A1375" s="115"/>
      <c r="B1375" s="121"/>
      <c r="C1375" s="102"/>
      <c r="D1375" s="115"/>
      <c r="E1375" s="115"/>
      <c r="F1375" s="105"/>
      <c r="G1375" s="105"/>
      <c r="H1375" s="105">
        <f t="shared" si="21"/>
        <v>0</v>
      </c>
    </row>
    <row r="1376" spans="1:8" x14ac:dyDescent="0.4">
      <c r="A1376" s="115"/>
      <c r="B1376" s="121"/>
      <c r="C1376" s="102"/>
      <c r="D1376" s="115"/>
      <c r="E1376" s="115"/>
      <c r="F1376" s="105"/>
      <c r="G1376" s="105"/>
      <c r="H1376" s="105">
        <f t="shared" si="21"/>
        <v>0</v>
      </c>
    </row>
    <row r="1377" spans="1:8" x14ac:dyDescent="0.4">
      <c r="A1377" s="115"/>
      <c r="B1377" s="121"/>
      <c r="C1377" s="102"/>
      <c r="D1377" s="115"/>
      <c r="E1377" s="115"/>
      <c r="F1377" s="105"/>
      <c r="G1377" s="105"/>
      <c r="H1377" s="105">
        <f t="shared" si="21"/>
        <v>0</v>
      </c>
    </row>
    <row r="1378" spans="1:8" x14ac:dyDescent="0.4">
      <c r="A1378" s="115"/>
      <c r="B1378" s="121"/>
      <c r="C1378" s="102"/>
      <c r="D1378" s="115"/>
      <c r="E1378" s="115"/>
      <c r="F1378" s="105"/>
      <c r="G1378" s="105"/>
      <c r="H1378" s="105">
        <f t="shared" si="21"/>
        <v>0</v>
      </c>
    </row>
    <row r="1379" spans="1:8" x14ac:dyDescent="0.4">
      <c r="A1379" s="115"/>
      <c r="B1379" s="121"/>
      <c r="C1379" s="102"/>
      <c r="D1379" s="115"/>
      <c r="E1379" s="115"/>
      <c r="F1379" s="105"/>
      <c r="G1379" s="105"/>
      <c r="H1379" s="105">
        <f t="shared" si="21"/>
        <v>0</v>
      </c>
    </row>
    <row r="1380" spans="1:8" x14ac:dyDescent="0.4">
      <c r="A1380" s="115"/>
      <c r="B1380" s="121"/>
      <c r="C1380" s="102"/>
      <c r="D1380" s="115"/>
      <c r="E1380" s="115"/>
      <c r="F1380" s="105"/>
      <c r="G1380" s="105"/>
      <c r="H1380" s="105">
        <f t="shared" si="21"/>
        <v>0</v>
      </c>
    </row>
    <row r="1381" spans="1:8" x14ac:dyDescent="0.4">
      <c r="A1381" s="115"/>
      <c r="B1381" s="121"/>
      <c r="C1381" s="102"/>
      <c r="D1381" s="115"/>
      <c r="E1381" s="115"/>
      <c r="F1381" s="105"/>
      <c r="G1381" s="105"/>
      <c r="H1381" s="105">
        <f t="shared" si="21"/>
        <v>0</v>
      </c>
    </row>
    <row r="1382" spans="1:8" x14ac:dyDescent="0.4">
      <c r="A1382" s="115"/>
      <c r="B1382" s="121"/>
      <c r="C1382" s="102"/>
      <c r="D1382" s="115"/>
      <c r="E1382" s="115"/>
      <c r="F1382" s="105"/>
      <c r="G1382" s="105"/>
      <c r="H1382" s="105">
        <f t="shared" si="21"/>
        <v>0</v>
      </c>
    </row>
    <row r="1383" spans="1:8" x14ac:dyDescent="0.4">
      <c r="A1383" s="115"/>
      <c r="B1383" s="121"/>
      <c r="C1383" s="102"/>
      <c r="D1383" s="115"/>
      <c r="E1383" s="115"/>
      <c r="F1383" s="105"/>
      <c r="G1383" s="105"/>
      <c r="H1383" s="105">
        <f t="shared" si="21"/>
        <v>0</v>
      </c>
    </row>
    <row r="1384" spans="1:8" x14ac:dyDescent="0.4">
      <c r="A1384" s="115"/>
      <c r="B1384" s="121"/>
      <c r="C1384" s="102"/>
      <c r="D1384" s="115"/>
      <c r="E1384" s="115"/>
      <c r="F1384" s="105"/>
      <c r="G1384" s="105"/>
      <c r="H1384" s="105">
        <f t="shared" si="21"/>
        <v>0</v>
      </c>
    </row>
    <row r="1385" spans="1:8" x14ac:dyDescent="0.4">
      <c r="A1385" s="115"/>
      <c r="B1385" s="121"/>
      <c r="C1385" s="102"/>
      <c r="D1385" s="115"/>
      <c r="E1385" s="115"/>
      <c r="F1385" s="105"/>
      <c r="G1385" s="105"/>
      <c r="H1385" s="105">
        <f t="shared" si="21"/>
        <v>0</v>
      </c>
    </row>
    <row r="1386" spans="1:8" x14ac:dyDescent="0.4">
      <c r="A1386" s="115"/>
      <c r="B1386" s="121"/>
      <c r="C1386" s="102"/>
      <c r="D1386" s="115"/>
      <c r="E1386" s="115"/>
      <c r="F1386" s="105"/>
      <c r="G1386" s="105"/>
      <c r="H1386" s="105">
        <f t="shared" si="21"/>
        <v>0</v>
      </c>
    </row>
    <row r="1387" spans="1:8" x14ac:dyDescent="0.4">
      <c r="A1387" s="115"/>
      <c r="B1387" s="121"/>
      <c r="C1387" s="102"/>
      <c r="D1387" s="115"/>
      <c r="E1387" s="115"/>
      <c r="F1387" s="105"/>
      <c r="G1387" s="105"/>
      <c r="H1387" s="105">
        <f t="shared" si="21"/>
        <v>0</v>
      </c>
    </row>
    <row r="1388" spans="1:8" x14ac:dyDescent="0.4">
      <c r="A1388" s="115"/>
      <c r="B1388" s="121"/>
      <c r="C1388" s="102"/>
      <c r="D1388" s="115"/>
      <c r="E1388" s="115"/>
      <c r="F1388" s="105"/>
      <c r="G1388" s="105"/>
      <c r="H1388" s="105">
        <f t="shared" si="21"/>
        <v>0</v>
      </c>
    </row>
    <row r="1389" spans="1:8" x14ac:dyDescent="0.4">
      <c r="A1389" s="115"/>
      <c r="B1389" s="121"/>
      <c r="C1389" s="102"/>
      <c r="D1389" s="115"/>
      <c r="E1389" s="115"/>
      <c r="F1389" s="105"/>
      <c r="G1389" s="105"/>
      <c r="H1389" s="105">
        <f t="shared" si="21"/>
        <v>0</v>
      </c>
    </row>
    <row r="1390" spans="1:8" x14ac:dyDescent="0.4">
      <c r="A1390" s="115"/>
      <c r="B1390" s="121"/>
      <c r="C1390" s="102"/>
      <c r="D1390" s="115"/>
      <c r="E1390" s="115"/>
      <c r="F1390" s="105"/>
      <c r="G1390" s="105"/>
      <c r="H1390" s="105">
        <f t="shared" si="21"/>
        <v>0</v>
      </c>
    </row>
    <row r="1391" spans="1:8" x14ac:dyDescent="0.4">
      <c r="A1391" s="115"/>
      <c r="B1391" s="121"/>
      <c r="C1391" s="102"/>
      <c r="D1391" s="115"/>
      <c r="E1391" s="115"/>
      <c r="F1391" s="105"/>
      <c r="G1391" s="105"/>
      <c r="H1391" s="105">
        <f t="shared" si="21"/>
        <v>0</v>
      </c>
    </row>
    <row r="1392" spans="1:8" x14ac:dyDescent="0.4">
      <c r="A1392" s="115"/>
      <c r="B1392" s="121"/>
      <c r="C1392" s="102"/>
      <c r="D1392" s="115"/>
      <c r="E1392" s="115"/>
      <c r="F1392" s="105"/>
      <c r="G1392" s="105"/>
      <c r="H1392" s="105">
        <f t="shared" si="21"/>
        <v>0</v>
      </c>
    </row>
    <row r="1393" spans="1:8" x14ac:dyDescent="0.4">
      <c r="A1393" s="115"/>
      <c r="B1393" s="121"/>
      <c r="C1393" s="102"/>
      <c r="D1393" s="115"/>
      <c r="E1393" s="115"/>
      <c r="F1393" s="105"/>
      <c r="G1393" s="105"/>
      <c r="H1393" s="105">
        <f t="shared" si="21"/>
        <v>0</v>
      </c>
    </row>
    <row r="1394" spans="1:8" x14ac:dyDescent="0.4">
      <c r="A1394" s="115"/>
      <c r="B1394" s="121"/>
      <c r="C1394" s="102"/>
      <c r="D1394" s="115"/>
      <c r="E1394" s="115"/>
      <c r="F1394" s="105"/>
      <c r="G1394" s="105"/>
      <c r="H1394" s="105">
        <f t="shared" si="21"/>
        <v>0</v>
      </c>
    </row>
    <row r="1395" spans="1:8" x14ac:dyDescent="0.4">
      <c r="A1395" s="115"/>
      <c r="B1395" s="121"/>
      <c r="C1395" s="102"/>
      <c r="D1395" s="115"/>
      <c r="E1395" s="115"/>
      <c r="F1395" s="105"/>
      <c r="G1395" s="105"/>
      <c r="H1395" s="105">
        <f t="shared" si="21"/>
        <v>0</v>
      </c>
    </row>
    <row r="1396" spans="1:8" x14ac:dyDescent="0.4">
      <c r="A1396" s="115"/>
      <c r="B1396" s="121"/>
      <c r="C1396" s="102"/>
      <c r="D1396" s="115"/>
      <c r="E1396" s="115"/>
      <c r="F1396" s="105"/>
      <c r="G1396" s="105"/>
      <c r="H1396" s="105">
        <f t="shared" si="21"/>
        <v>0</v>
      </c>
    </row>
    <row r="1397" spans="1:8" x14ac:dyDescent="0.4">
      <c r="A1397" s="115"/>
      <c r="B1397" s="121"/>
      <c r="C1397" s="102"/>
      <c r="D1397" s="115"/>
      <c r="E1397" s="115"/>
      <c r="F1397" s="105"/>
      <c r="G1397" s="105"/>
      <c r="H1397" s="105">
        <f t="shared" si="21"/>
        <v>0</v>
      </c>
    </row>
    <row r="1398" spans="1:8" x14ac:dyDescent="0.4">
      <c r="A1398" s="115"/>
      <c r="B1398" s="121"/>
      <c r="C1398" s="102"/>
      <c r="D1398" s="115"/>
      <c r="E1398" s="115"/>
      <c r="F1398" s="105"/>
      <c r="G1398" s="105"/>
      <c r="H1398" s="105">
        <f t="shared" si="21"/>
        <v>0</v>
      </c>
    </row>
    <row r="1399" spans="1:8" x14ac:dyDescent="0.4">
      <c r="A1399" s="115"/>
      <c r="B1399" s="121"/>
      <c r="C1399" s="102"/>
      <c r="D1399" s="115"/>
      <c r="E1399" s="115"/>
      <c r="F1399" s="105"/>
      <c r="G1399" s="105"/>
      <c r="H1399" s="105">
        <f t="shared" si="21"/>
        <v>0</v>
      </c>
    </row>
    <row r="1400" spans="1:8" x14ac:dyDescent="0.4">
      <c r="A1400" s="115"/>
      <c r="B1400" s="121"/>
      <c r="C1400" s="102"/>
      <c r="D1400" s="115"/>
      <c r="E1400" s="115"/>
      <c r="F1400" s="105"/>
      <c r="G1400" s="105"/>
      <c r="H1400" s="105">
        <f t="shared" si="21"/>
        <v>0</v>
      </c>
    </row>
    <row r="1401" spans="1:8" x14ac:dyDescent="0.4">
      <c r="A1401" s="115"/>
      <c r="B1401" s="121"/>
      <c r="C1401" s="102"/>
      <c r="D1401" s="115"/>
      <c r="E1401" s="115"/>
      <c r="F1401" s="105"/>
      <c r="G1401" s="105"/>
      <c r="H1401" s="105">
        <f t="shared" si="21"/>
        <v>0</v>
      </c>
    </row>
    <row r="1402" spans="1:8" x14ac:dyDescent="0.4">
      <c r="A1402" s="115"/>
      <c r="B1402" s="121"/>
      <c r="C1402" s="102"/>
      <c r="D1402" s="115"/>
      <c r="E1402" s="115"/>
      <c r="F1402" s="105"/>
      <c r="G1402" s="105"/>
      <c r="H1402" s="105">
        <f t="shared" si="21"/>
        <v>0</v>
      </c>
    </row>
    <row r="1403" spans="1:8" x14ac:dyDescent="0.4">
      <c r="A1403" s="115"/>
      <c r="B1403" s="121"/>
      <c r="C1403" s="102"/>
      <c r="D1403" s="115"/>
      <c r="E1403" s="115"/>
      <c r="F1403" s="105"/>
      <c r="G1403" s="105"/>
      <c r="H1403" s="105">
        <f t="shared" si="21"/>
        <v>0</v>
      </c>
    </row>
    <row r="1404" spans="1:8" x14ac:dyDescent="0.4">
      <c r="A1404" s="115"/>
      <c r="B1404" s="121"/>
      <c r="C1404" s="102"/>
      <c r="D1404" s="115"/>
      <c r="E1404" s="115"/>
      <c r="F1404" s="105"/>
      <c r="G1404" s="105"/>
      <c r="H1404" s="105">
        <f t="shared" si="21"/>
        <v>0</v>
      </c>
    </row>
    <row r="1405" spans="1:8" x14ac:dyDescent="0.4">
      <c r="A1405" s="115"/>
      <c r="B1405" s="121"/>
      <c r="C1405" s="102"/>
      <c r="D1405" s="115"/>
      <c r="E1405" s="115"/>
      <c r="F1405" s="105"/>
      <c r="G1405" s="105"/>
      <c r="H1405" s="105">
        <f t="shared" si="21"/>
        <v>0</v>
      </c>
    </row>
    <row r="1406" spans="1:8" x14ac:dyDescent="0.4">
      <c r="A1406" s="115"/>
      <c r="B1406" s="121"/>
      <c r="C1406" s="102"/>
      <c r="D1406" s="115"/>
      <c r="E1406" s="115"/>
      <c r="F1406" s="105"/>
      <c r="G1406" s="105"/>
      <c r="H1406" s="105">
        <f t="shared" si="21"/>
        <v>0</v>
      </c>
    </row>
    <row r="1407" spans="1:8" x14ac:dyDescent="0.4">
      <c r="A1407" s="115"/>
      <c r="B1407" s="121"/>
      <c r="C1407" s="102"/>
      <c r="D1407" s="115"/>
      <c r="E1407" s="115"/>
      <c r="F1407" s="105"/>
      <c r="G1407" s="105"/>
      <c r="H1407" s="105">
        <f t="shared" si="21"/>
        <v>0</v>
      </c>
    </row>
    <row r="1408" spans="1:8" x14ac:dyDescent="0.4">
      <c r="A1408" s="115"/>
      <c r="B1408" s="121"/>
      <c r="C1408" s="102"/>
      <c r="D1408" s="115"/>
      <c r="E1408" s="115"/>
      <c r="F1408" s="105"/>
      <c r="G1408" s="105"/>
      <c r="H1408" s="105">
        <f t="shared" si="21"/>
        <v>0</v>
      </c>
    </row>
    <row r="1409" spans="1:8" x14ac:dyDescent="0.4">
      <c r="A1409" s="115"/>
      <c r="B1409" s="121"/>
      <c r="C1409" s="102"/>
      <c r="D1409" s="115"/>
      <c r="E1409" s="115"/>
      <c r="F1409" s="105"/>
      <c r="G1409" s="105"/>
      <c r="H1409" s="105">
        <f t="shared" si="21"/>
        <v>0</v>
      </c>
    </row>
    <row r="1410" spans="1:8" x14ac:dyDescent="0.4">
      <c r="A1410" s="115"/>
      <c r="B1410" s="121"/>
      <c r="C1410" s="102"/>
      <c r="D1410" s="115"/>
      <c r="E1410" s="115"/>
      <c r="F1410" s="105"/>
      <c r="G1410" s="105"/>
      <c r="H1410" s="105">
        <f t="shared" si="21"/>
        <v>0</v>
      </c>
    </row>
    <row r="1411" spans="1:8" x14ac:dyDescent="0.4">
      <c r="A1411" s="115"/>
      <c r="B1411" s="121"/>
      <c r="C1411" s="102"/>
      <c r="D1411" s="115"/>
      <c r="E1411" s="115"/>
      <c r="F1411" s="105"/>
      <c r="G1411" s="105"/>
      <c r="H1411" s="105">
        <f t="shared" si="21"/>
        <v>0</v>
      </c>
    </row>
    <row r="1412" spans="1:8" x14ac:dyDescent="0.4">
      <c r="A1412" s="115"/>
      <c r="B1412" s="121"/>
      <c r="C1412" s="102"/>
      <c r="D1412" s="115"/>
      <c r="E1412" s="115"/>
      <c r="F1412" s="105"/>
      <c r="G1412" s="105"/>
      <c r="H1412" s="105">
        <f t="shared" si="21"/>
        <v>0</v>
      </c>
    </row>
    <row r="1413" spans="1:8" x14ac:dyDescent="0.4">
      <c r="A1413" s="115"/>
      <c r="B1413" s="121"/>
      <c r="C1413" s="102"/>
      <c r="D1413" s="115"/>
      <c r="E1413" s="115"/>
      <c r="F1413" s="105"/>
      <c r="G1413" s="105"/>
      <c r="H1413" s="105">
        <f t="shared" si="21"/>
        <v>0</v>
      </c>
    </row>
    <row r="1414" spans="1:8" x14ac:dyDescent="0.4">
      <c r="A1414" s="115"/>
      <c r="B1414" s="121"/>
      <c r="C1414" s="102"/>
      <c r="D1414" s="115"/>
      <c r="E1414" s="115"/>
      <c r="F1414" s="105"/>
      <c r="G1414" s="105"/>
      <c r="H1414" s="105">
        <f t="shared" si="21"/>
        <v>0</v>
      </c>
    </row>
    <row r="1415" spans="1:8" x14ac:dyDescent="0.4">
      <c r="A1415" s="115"/>
      <c r="B1415" s="121"/>
      <c r="C1415" s="102"/>
      <c r="D1415" s="115"/>
      <c r="E1415" s="115"/>
      <c r="F1415" s="105"/>
      <c r="G1415" s="105"/>
      <c r="H1415" s="105">
        <f t="shared" si="21"/>
        <v>0</v>
      </c>
    </row>
    <row r="1416" spans="1:8" x14ac:dyDescent="0.4">
      <c r="A1416" s="115"/>
      <c r="B1416" s="121"/>
      <c r="C1416" s="102"/>
      <c r="D1416" s="115"/>
      <c r="E1416" s="115"/>
      <c r="F1416" s="114"/>
      <c r="G1416" s="114"/>
      <c r="H1416" s="114">
        <f t="shared" si="21"/>
        <v>0</v>
      </c>
    </row>
    <row r="1417" spans="1:8" x14ac:dyDescent="0.4">
      <c r="A1417" s="115"/>
      <c r="B1417" s="121"/>
      <c r="C1417" s="102"/>
      <c r="D1417" s="115"/>
      <c r="E1417" s="115"/>
      <c r="F1417" s="114"/>
      <c r="G1417" s="114"/>
      <c r="H1417" s="114">
        <f t="shared" si="21"/>
        <v>0</v>
      </c>
    </row>
    <row r="1418" spans="1:8" x14ac:dyDescent="0.4">
      <c r="A1418" s="115"/>
      <c r="B1418" s="121"/>
      <c r="C1418" s="102"/>
      <c r="D1418" s="115"/>
      <c r="E1418" s="115"/>
      <c r="F1418" s="114"/>
      <c r="G1418" s="114"/>
      <c r="H1418" s="114">
        <f t="shared" si="21"/>
        <v>0</v>
      </c>
    </row>
    <row r="1419" spans="1:8" x14ac:dyDescent="0.4">
      <c r="A1419" s="115"/>
      <c r="B1419" s="121"/>
      <c r="C1419" s="102"/>
      <c r="D1419" s="115"/>
      <c r="E1419" s="115"/>
      <c r="F1419" s="114"/>
      <c r="G1419" s="114"/>
      <c r="H1419" s="114">
        <f t="shared" si="21"/>
        <v>0</v>
      </c>
    </row>
    <row r="1420" spans="1:8" x14ac:dyDescent="0.4">
      <c r="A1420" s="115"/>
      <c r="B1420" s="121"/>
      <c r="C1420" s="102"/>
      <c r="D1420" s="115"/>
      <c r="E1420" s="115"/>
      <c r="F1420" s="114"/>
      <c r="G1420" s="114"/>
      <c r="H1420" s="114">
        <f t="shared" si="21"/>
        <v>0</v>
      </c>
    </row>
    <row r="1421" spans="1:8" x14ac:dyDescent="0.4">
      <c r="A1421" s="115"/>
      <c r="B1421" s="121"/>
      <c r="C1421" s="102"/>
      <c r="D1421" s="115"/>
      <c r="E1421" s="115"/>
      <c r="F1421" s="114"/>
      <c r="G1421" s="114"/>
      <c r="H1421" s="114">
        <f t="shared" si="21"/>
        <v>0</v>
      </c>
    </row>
    <row r="1422" spans="1:8" x14ac:dyDescent="0.4">
      <c r="A1422" s="115"/>
      <c r="B1422" s="121"/>
      <c r="C1422" s="102"/>
      <c r="D1422" s="115"/>
      <c r="E1422" s="115"/>
      <c r="F1422" s="114"/>
      <c r="G1422" s="114"/>
      <c r="H1422" s="114">
        <f t="shared" si="21"/>
        <v>0</v>
      </c>
    </row>
    <row r="1423" spans="1:8" x14ac:dyDescent="0.4">
      <c r="A1423" s="115"/>
      <c r="B1423" s="121"/>
      <c r="C1423" s="102"/>
      <c r="D1423" s="115"/>
      <c r="E1423" s="115"/>
      <c r="F1423" s="114"/>
      <c r="G1423" s="114"/>
      <c r="H1423" s="114">
        <f t="shared" si="21"/>
        <v>0</v>
      </c>
    </row>
    <row r="1424" spans="1:8" x14ac:dyDescent="0.4">
      <c r="A1424" s="115"/>
      <c r="B1424" s="121"/>
      <c r="C1424" s="102"/>
      <c r="D1424" s="115"/>
      <c r="E1424" s="115"/>
      <c r="F1424" s="114"/>
      <c r="G1424" s="114"/>
      <c r="H1424" s="114">
        <f t="shared" ref="H1424:H1434" si="22">H1423+F1424-G1424</f>
        <v>0</v>
      </c>
    </row>
    <row r="1425" spans="1:8" x14ac:dyDescent="0.4">
      <c r="A1425" s="115"/>
      <c r="B1425" s="121"/>
      <c r="C1425" s="102"/>
      <c r="D1425" s="115"/>
      <c r="E1425" s="115"/>
      <c r="F1425" s="114"/>
      <c r="G1425" s="114"/>
      <c r="H1425" s="114">
        <f t="shared" si="22"/>
        <v>0</v>
      </c>
    </row>
    <row r="1426" spans="1:8" x14ac:dyDescent="0.4">
      <c r="A1426" s="115"/>
      <c r="B1426" s="121"/>
      <c r="C1426" s="102"/>
      <c r="D1426" s="115"/>
      <c r="E1426" s="115"/>
      <c r="F1426" s="114"/>
      <c r="G1426" s="114"/>
      <c r="H1426" s="114">
        <f t="shared" si="22"/>
        <v>0</v>
      </c>
    </row>
    <row r="1427" spans="1:8" x14ac:dyDescent="0.4">
      <c r="A1427" s="115"/>
      <c r="B1427" s="121"/>
      <c r="C1427" s="102"/>
      <c r="D1427" s="115"/>
      <c r="E1427" s="115"/>
      <c r="F1427" s="114"/>
      <c r="G1427" s="114"/>
      <c r="H1427" s="114">
        <f t="shared" si="22"/>
        <v>0</v>
      </c>
    </row>
    <row r="1428" spans="1:8" x14ac:dyDescent="0.4">
      <c r="A1428" s="115"/>
      <c r="B1428" s="121"/>
      <c r="C1428" s="102"/>
      <c r="D1428" s="115"/>
      <c r="E1428" s="115"/>
      <c r="F1428" s="114"/>
      <c r="G1428" s="114"/>
      <c r="H1428" s="114">
        <f t="shared" si="22"/>
        <v>0</v>
      </c>
    </row>
    <row r="1429" spans="1:8" x14ac:dyDescent="0.4">
      <c r="A1429" s="115"/>
      <c r="B1429" s="121"/>
      <c r="C1429" s="102"/>
      <c r="D1429" s="115"/>
      <c r="E1429" s="115"/>
      <c r="F1429" s="114"/>
      <c r="G1429" s="114"/>
      <c r="H1429" s="114">
        <f t="shared" si="22"/>
        <v>0</v>
      </c>
    </row>
    <row r="1430" spans="1:8" x14ac:dyDescent="0.4">
      <c r="A1430" s="115"/>
      <c r="B1430" s="121"/>
      <c r="C1430" s="102"/>
      <c r="D1430" s="115"/>
      <c r="E1430" s="115"/>
      <c r="F1430" s="114"/>
      <c r="G1430" s="114"/>
      <c r="H1430" s="114">
        <f t="shared" si="22"/>
        <v>0</v>
      </c>
    </row>
    <row r="1431" spans="1:8" x14ac:dyDescent="0.4">
      <c r="A1431" s="115"/>
      <c r="B1431" s="121"/>
      <c r="C1431" s="102"/>
      <c r="D1431" s="115"/>
      <c r="E1431" s="115"/>
      <c r="F1431" s="114"/>
      <c r="G1431" s="114"/>
      <c r="H1431" s="114">
        <f t="shared" si="22"/>
        <v>0</v>
      </c>
    </row>
    <row r="1432" spans="1:8" x14ac:dyDescent="0.4">
      <c r="A1432" s="115"/>
      <c r="B1432" s="121"/>
      <c r="C1432" s="102"/>
      <c r="D1432" s="115"/>
      <c r="E1432" s="115"/>
      <c r="F1432" s="114"/>
      <c r="G1432" s="114"/>
      <c r="H1432" s="114">
        <f t="shared" si="22"/>
        <v>0</v>
      </c>
    </row>
    <row r="1433" spans="1:8" x14ac:dyDescent="0.4">
      <c r="A1433" s="115"/>
      <c r="B1433" s="121"/>
      <c r="C1433" s="102"/>
      <c r="D1433" s="115"/>
      <c r="E1433" s="115"/>
      <c r="F1433" s="114"/>
      <c r="G1433" s="114"/>
      <c r="H1433" s="114">
        <f t="shared" si="22"/>
        <v>0</v>
      </c>
    </row>
    <row r="1434" spans="1:8" x14ac:dyDescent="0.4">
      <c r="A1434" s="115"/>
      <c r="B1434" s="121"/>
      <c r="C1434" s="102"/>
      <c r="D1434" s="115"/>
      <c r="E1434" s="115"/>
      <c r="F1434" s="114"/>
      <c r="G1434" s="114"/>
      <c r="H1434" s="114">
        <f t="shared" si="22"/>
        <v>0</v>
      </c>
    </row>
    <row r="1435" spans="1:8" x14ac:dyDescent="0.4">
      <c r="A1435" s="118"/>
      <c r="B1435" s="119"/>
      <c r="C1435" s="123">
        <v>1</v>
      </c>
      <c r="D1435" s="95" t="s">
        <v>5</v>
      </c>
      <c r="E1435" s="95"/>
      <c r="F1435" s="116">
        <f>SUM(F7:F1434)</f>
        <v>0</v>
      </c>
      <c r="G1435" s="116">
        <f>SUM(G7:G1434)</f>
        <v>0</v>
      </c>
      <c r="H1435" s="116"/>
    </row>
    <row r="1437" spans="1:8" x14ac:dyDescent="0.4">
      <c r="G1437" s="90">
        <v>4</v>
      </c>
    </row>
  </sheetData>
  <autoFilter ref="A5:H1434" xr:uid="{00000000-0009-0000-0000-000008000000}"/>
  <mergeCells count="3">
    <mergeCell ref="B1:H1"/>
    <mergeCell ref="B2:H2"/>
    <mergeCell ref="B3:H3"/>
  </mergeCells>
  <dataValidations count="1">
    <dataValidation type="list" allowBlank="1" showInputMessage="1" showErrorMessage="1" sqref="C7:C1434" xr:uid="{00000000-0002-0000-0800-000000000000}">
      <formula1>"Pendapatan,Biaya Jasa,Gaji,Listrik Internet PDAM,BPJS,Operasional,Pemasaran,Transport,Pemeliharaan,Sewa,Administrasi &amp; Umum,Pajak,PLU,BLU,Kas,Aset Tetap,PPN Masukan,PPN Keluaran,PPh 23,PPh 22,PPh 25,Piutang,Hutang,Modal,Prive/Dividen"</formula1>
    </dataValidation>
  </dataValidations>
  <pageMargins left="0.7" right="0.7" top="0.75" bottom="0.75" header="0.3" footer="0.3"/>
  <pageSetup paperSize="9"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7"/>
  <sheetViews>
    <sheetView showGridLines="0" zoomScale="110" zoomScaleNormal="110" workbookViewId="0">
      <selection activeCell="K3" sqref="K3"/>
    </sheetView>
  </sheetViews>
  <sheetFormatPr defaultColWidth="8.90625" defaultRowHeight="14" x14ac:dyDescent="0.4"/>
  <cols>
    <col min="1" max="1" width="7.08984375" style="87" customWidth="1"/>
    <col min="2" max="2" width="24.6328125" style="88" customWidth="1"/>
    <col min="3" max="3" width="15.6328125" style="88" customWidth="1"/>
    <col min="4" max="4" width="12.453125" style="124" customWidth="1"/>
    <col min="5" max="5" width="16.90625" style="124" customWidth="1"/>
    <col min="6" max="6" width="16.36328125" style="124" customWidth="1"/>
    <col min="7" max="7" width="8.90625" style="88"/>
    <col min="8" max="8" width="28.36328125" style="88" customWidth="1"/>
    <col min="9" max="16384" width="8.90625" style="88"/>
  </cols>
  <sheetData>
    <row r="1" spans="1:13" x14ac:dyDescent="0.4">
      <c r="A1" s="319" t="s">
        <v>285</v>
      </c>
      <c r="B1" s="319"/>
      <c r="C1" s="319"/>
      <c r="D1" s="319"/>
      <c r="E1" s="319"/>
      <c r="F1" s="319"/>
      <c r="H1" s="221" t="s">
        <v>286</v>
      </c>
      <c r="I1" s="222"/>
      <c r="J1" s="222"/>
      <c r="K1" s="222"/>
      <c r="L1" s="222"/>
      <c r="M1" s="222"/>
    </row>
    <row r="2" spans="1:13" x14ac:dyDescent="0.4">
      <c r="A2" s="319" t="str">
        <f>[60]KAS!B3</f>
        <v>2025</v>
      </c>
      <c r="B2" s="319"/>
      <c r="C2" s="319"/>
      <c r="D2" s="319"/>
      <c r="E2" s="319"/>
      <c r="F2" s="319"/>
      <c r="H2" s="223">
        <f>F1007</f>
        <v>0</v>
      </c>
      <c r="I2" s="222"/>
      <c r="J2" s="222"/>
      <c r="K2" s="222"/>
      <c r="L2" s="222"/>
      <c r="M2" s="222"/>
    </row>
    <row r="4" spans="1:13" x14ac:dyDescent="0.4">
      <c r="A4" s="219" t="s">
        <v>24</v>
      </c>
      <c r="B4" s="219" t="s">
        <v>287</v>
      </c>
      <c r="C4" s="219" t="s">
        <v>288</v>
      </c>
      <c r="D4" s="220" t="s">
        <v>289</v>
      </c>
      <c r="E4" s="220" t="s">
        <v>290</v>
      </c>
      <c r="F4" s="220" t="s">
        <v>100</v>
      </c>
    </row>
    <row r="5" spans="1:13" x14ac:dyDescent="0.4">
      <c r="A5" s="96">
        <v>1</v>
      </c>
      <c r="B5" s="115"/>
      <c r="C5" s="115"/>
      <c r="D5" s="125"/>
      <c r="E5" s="125"/>
      <c r="F5" s="125">
        <f>D5*E5</f>
        <v>0</v>
      </c>
    </row>
    <row r="6" spans="1:13" x14ac:dyDescent="0.4">
      <c r="A6" s="96">
        <v>2</v>
      </c>
      <c r="B6" s="115"/>
      <c r="C6" s="115"/>
      <c r="D6" s="125"/>
      <c r="E6" s="125"/>
      <c r="F6" s="125">
        <f t="shared" ref="F6:F69" si="0">D6*E6</f>
        <v>0</v>
      </c>
    </row>
    <row r="7" spans="1:13" x14ac:dyDescent="0.4">
      <c r="A7" s="96">
        <v>3</v>
      </c>
      <c r="B7" s="115"/>
      <c r="C7" s="115"/>
      <c r="D7" s="125"/>
      <c r="E7" s="125"/>
      <c r="F7" s="125">
        <f t="shared" si="0"/>
        <v>0</v>
      </c>
    </row>
    <row r="8" spans="1:13" x14ac:dyDescent="0.4">
      <c r="A8" s="96">
        <v>4</v>
      </c>
      <c r="B8" s="115"/>
      <c r="C8" s="115"/>
      <c r="D8" s="125"/>
      <c r="E8" s="125"/>
      <c r="F8" s="125">
        <f t="shared" si="0"/>
        <v>0</v>
      </c>
    </row>
    <row r="9" spans="1:13" x14ac:dyDescent="0.4">
      <c r="A9" s="96">
        <v>5</v>
      </c>
      <c r="B9" s="115"/>
      <c r="C9" s="115"/>
      <c r="D9" s="125"/>
      <c r="E9" s="125"/>
      <c r="F9" s="125">
        <f t="shared" si="0"/>
        <v>0</v>
      </c>
    </row>
    <row r="10" spans="1:13" x14ac:dyDescent="0.4">
      <c r="A10" s="96">
        <v>6</v>
      </c>
      <c r="B10" s="115"/>
      <c r="C10" s="115"/>
      <c r="D10" s="125"/>
      <c r="E10" s="125"/>
      <c r="F10" s="125">
        <f t="shared" si="0"/>
        <v>0</v>
      </c>
    </row>
    <row r="11" spans="1:13" x14ac:dyDescent="0.4">
      <c r="A11" s="96">
        <v>7</v>
      </c>
      <c r="B11" s="115"/>
      <c r="C11" s="115"/>
      <c r="D11" s="125"/>
      <c r="E11" s="125"/>
      <c r="F11" s="125">
        <f t="shared" si="0"/>
        <v>0</v>
      </c>
    </row>
    <row r="12" spans="1:13" x14ac:dyDescent="0.4">
      <c r="A12" s="96">
        <v>8</v>
      </c>
      <c r="B12" s="115"/>
      <c r="C12" s="115"/>
      <c r="D12" s="125"/>
      <c r="E12" s="125"/>
      <c r="F12" s="125">
        <f t="shared" si="0"/>
        <v>0</v>
      </c>
    </row>
    <row r="13" spans="1:13" x14ac:dyDescent="0.4">
      <c r="A13" s="96">
        <v>9</v>
      </c>
      <c r="B13" s="115"/>
      <c r="C13" s="115"/>
      <c r="D13" s="125"/>
      <c r="E13" s="125"/>
      <c r="F13" s="125">
        <f t="shared" si="0"/>
        <v>0</v>
      </c>
    </row>
    <row r="14" spans="1:13" x14ac:dyDescent="0.4">
      <c r="A14" s="96">
        <v>10</v>
      </c>
      <c r="B14" s="115"/>
      <c r="C14" s="115"/>
      <c r="D14" s="125"/>
      <c r="E14" s="125"/>
      <c r="F14" s="125">
        <f t="shared" si="0"/>
        <v>0</v>
      </c>
    </row>
    <row r="15" spans="1:13" x14ac:dyDescent="0.4">
      <c r="A15" s="96">
        <v>11</v>
      </c>
      <c r="B15" s="115"/>
      <c r="C15" s="115"/>
      <c r="D15" s="125"/>
      <c r="E15" s="125"/>
      <c r="F15" s="125">
        <f t="shared" si="0"/>
        <v>0</v>
      </c>
    </row>
    <row r="16" spans="1:13" x14ac:dyDescent="0.4">
      <c r="A16" s="96">
        <v>12</v>
      </c>
      <c r="B16" s="115"/>
      <c r="C16" s="115"/>
      <c r="D16" s="125"/>
      <c r="E16" s="125"/>
      <c r="F16" s="125">
        <f t="shared" si="0"/>
        <v>0</v>
      </c>
    </row>
    <row r="17" spans="1:6" x14ac:dyDescent="0.4">
      <c r="A17" s="96">
        <v>13</v>
      </c>
      <c r="B17" s="115"/>
      <c r="C17" s="115"/>
      <c r="D17" s="125"/>
      <c r="E17" s="125"/>
      <c r="F17" s="125">
        <f t="shared" si="0"/>
        <v>0</v>
      </c>
    </row>
    <row r="18" spans="1:6" x14ac:dyDescent="0.4">
      <c r="A18" s="96">
        <v>14</v>
      </c>
      <c r="B18" s="115"/>
      <c r="C18" s="115"/>
      <c r="D18" s="125"/>
      <c r="E18" s="125"/>
      <c r="F18" s="125">
        <f t="shared" si="0"/>
        <v>0</v>
      </c>
    </row>
    <row r="19" spans="1:6" x14ac:dyDescent="0.4">
      <c r="A19" s="96">
        <v>15</v>
      </c>
      <c r="B19" s="115"/>
      <c r="C19" s="115"/>
      <c r="D19" s="125"/>
      <c r="E19" s="125"/>
      <c r="F19" s="125">
        <f t="shared" si="0"/>
        <v>0</v>
      </c>
    </row>
    <row r="20" spans="1:6" x14ac:dyDescent="0.4">
      <c r="A20" s="96">
        <v>16</v>
      </c>
      <c r="B20" s="115"/>
      <c r="C20" s="115"/>
      <c r="D20" s="125"/>
      <c r="E20" s="125"/>
      <c r="F20" s="125">
        <f t="shared" si="0"/>
        <v>0</v>
      </c>
    </row>
    <row r="21" spans="1:6" x14ac:dyDescent="0.4">
      <c r="A21" s="96">
        <v>17</v>
      </c>
      <c r="B21" s="115"/>
      <c r="C21" s="115"/>
      <c r="D21" s="125"/>
      <c r="E21" s="125"/>
      <c r="F21" s="125">
        <f t="shared" si="0"/>
        <v>0</v>
      </c>
    </row>
    <row r="22" spans="1:6" x14ac:dyDescent="0.4">
      <c r="A22" s="96">
        <v>18</v>
      </c>
      <c r="B22" s="115"/>
      <c r="C22" s="115"/>
      <c r="D22" s="125"/>
      <c r="E22" s="125"/>
      <c r="F22" s="125">
        <f t="shared" si="0"/>
        <v>0</v>
      </c>
    </row>
    <row r="23" spans="1:6" x14ac:dyDescent="0.4">
      <c r="A23" s="96">
        <v>19</v>
      </c>
      <c r="B23" s="115"/>
      <c r="C23" s="115"/>
      <c r="D23" s="125"/>
      <c r="E23" s="125"/>
      <c r="F23" s="125">
        <f t="shared" si="0"/>
        <v>0</v>
      </c>
    </row>
    <row r="24" spans="1:6" x14ac:dyDescent="0.4">
      <c r="A24" s="96">
        <v>20</v>
      </c>
      <c r="B24" s="115"/>
      <c r="C24" s="115"/>
      <c r="D24" s="125"/>
      <c r="E24" s="125"/>
      <c r="F24" s="125">
        <f t="shared" si="0"/>
        <v>0</v>
      </c>
    </row>
    <row r="25" spans="1:6" x14ac:dyDescent="0.4">
      <c r="A25" s="96">
        <v>21</v>
      </c>
      <c r="B25" s="115"/>
      <c r="C25" s="115"/>
      <c r="D25" s="125"/>
      <c r="E25" s="125"/>
      <c r="F25" s="125">
        <f t="shared" si="0"/>
        <v>0</v>
      </c>
    </row>
    <row r="26" spans="1:6" x14ac:dyDescent="0.4">
      <c r="A26" s="96">
        <v>22</v>
      </c>
      <c r="B26" s="115"/>
      <c r="C26" s="115"/>
      <c r="D26" s="125"/>
      <c r="E26" s="125"/>
      <c r="F26" s="125">
        <f t="shared" si="0"/>
        <v>0</v>
      </c>
    </row>
    <row r="27" spans="1:6" x14ac:dyDescent="0.4">
      <c r="A27" s="96">
        <v>23</v>
      </c>
      <c r="B27" s="115"/>
      <c r="C27" s="115"/>
      <c r="D27" s="125"/>
      <c r="E27" s="125"/>
      <c r="F27" s="125">
        <f t="shared" si="0"/>
        <v>0</v>
      </c>
    </row>
    <row r="28" spans="1:6" x14ac:dyDescent="0.4">
      <c r="A28" s="96">
        <v>24</v>
      </c>
      <c r="B28" s="115"/>
      <c r="C28" s="115"/>
      <c r="D28" s="125"/>
      <c r="E28" s="125"/>
      <c r="F28" s="125">
        <f t="shared" si="0"/>
        <v>0</v>
      </c>
    </row>
    <row r="29" spans="1:6" x14ac:dyDescent="0.4">
      <c r="A29" s="96">
        <v>25</v>
      </c>
      <c r="B29" s="115"/>
      <c r="C29" s="115"/>
      <c r="D29" s="125"/>
      <c r="E29" s="125"/>
      <c r="F29" s="125">
        <f t="shared" si="0"/>
        <v>0</v>
      </c>
    </row>
    <row r="30" spans="1:6" x14ac:dyDescent="0.4">
      <c r="A30" s="96">
        <v>26</v>
      </c>
      <c r="B30" s="115"/>
      <c r="C30" s="115"/>
      <c r="D30" s="125"/>
      <c r="E30" s="125"/>
      <c r="F30" s="125">
        <f t="shared" si="0"/>
        <v>0</v>
      </c>
    </row>
    <row r="31" spans="1:6" x14ac:dyDescent="0.4">
      <c r="A31" s="96">
        <v>27</v>
      </c>
      <c r="B31" s="115"/>
      <c r="C31" s="115"/>
      <c r="D31" s="125"/>
      <c r="E31" s="125"/>
      <c r="F31" s="125">
        <f t="shared" si="0"/>
        <v>0</v>
      </c>
    </row>
    <row r="32" spans="1:6" x14ac:dyDescent="0.4">
      <c r="A32" s="96">
        <v>28</v>
      </c>
      <c r="B32" s="115"/>
      <c r="C32" s="115"/>
      <c r="D32" s="125"/>
      <c r="E32" s="125"/>
      <c r="F32" s="125">
        <f t="shared" si="0"/>
        <v>0</v>
      </c>
    </row>
    <row r="33" spans="1:6" x14ac:dyDescent="0.4">
      <c r="A33" s="96">
        <v>29</v>
      </c>
      <c r="B33" s="115"/>
      <c r="C33" s="115"/>
      <c r="D33" s="125"/>
      <c r="E33" s="125"/>
      <c r="F33" s="125">
        <f t="shared" si="0"/>
        <v>0</v>
      </c>
    </row>
    <row r="34" spans="1:6" x14ac:dyDescent="0.4">
      <c r="A34" s="96">
        <v>30</v>
      </c>
      <c r="B34" s="115"/>
      <c r="C34" s="115"/>
      <c r="D34" s="125"/>
      <c r="E34" s="125"/>
      <c r="F34" s="125">
        <f t="shared" si="0"/>
        <v>0</v>
      </c>
    </row>
    <row r="35" spans="1:6" x14ac:dyDescent="0.4">
      <c r="A35" s="96">
        <v>31</v>
      </c>
      <c r="B35" s="115"/>
      <c r="C35" s="115"/>
      <c r="D35" s="125"/>
      <c r="E35" s="125"/>
      <c r="F35" s="125">
        <f t="shared" si="0"/>
        <v>0</v>
      </c>
    </row>
    <row r="36" spans="1:6" x14ac:dyDescent="0.4">
      <c r="A36" s="96">
        <v>32</v>
      </c>
      <c r="B36" s="115"/>
      <c r="C36" s="115"/>
      <c r="D36" s="125"/>
      <c r="E36" s="125"/>
      <c r="F36" s="125">
        <f t="shared" si="0"/>
        <v>0</v>
      </c>
    </row>
    <row r="37" spans="1:6" x14ac:dyDescent="0.4">
      <c r="A37" s="96">
        <v>33</v>
      </c>
      <c r="B37" s="115"/>
      <c r="C37" s="115"/>
      <c r="D37" s="125"/>
      <c r="E37" s="125"/>
      <c r="F37" s="125">
        <f t="shared" si="0"/>
        <v>0</v>
      </c>
    </row>
    <row r="38" spans="1:6" x14ac:dyDescent="0.4">
      <c r="A38" s="96">
        <v>34</v>
      </c>
      <c r="B38" s="115"/>
      <c r="C38" s="115"/>
      <c r="D38" s="125"/>
      <c r="E38" s="125"/>
      <c r="F38" s="125">
        <f t="shared" si="0"/>
        <v>0</v>
      </c>
    </row>
    <row r="39" spans="1:6" x14ac:dyDescent="0.4">
      <c r="A39" s="96">
        <v>35</v>
      </c>
      <c r="B39" s="115"/>
      <c r="C39" s="115"/>
      <c r="D39" s="125"/>
      <c r="E39" s="125"/>
      <c r="F39" s="125">
        <f t="shared" si="0"/>
        <v>0</v>
      </c>
    </row>
    <row r="40" spans="1:6" x14ac:dyDescent="0.4">
      <c r="A40" s="96">
        <v>36</v>
      </c>
      <c r="B40" s="115"/>
      <c r="C40" s="115"/>
      <c r="D40" s="125"/>
      <c r="E40" s="125"/>
      <c r="F40" s="125">
        <f t="shared" si="0"/>
        <v>0</v>
      </c>
    </row>
    <row r="41" spans="1:6" x14ac:dyDescent="0.4">
      <c r="A41" s="96">
        <v>37</v>
      </c>
      <c r="B41" s="115"/>
      <c r="C41" s="115"/>
      <c r="D41" s="125"/>
      <c r="E41" s="125"/>
      <c r="F41" s="125">
        <f t="shared" si="0"/>
        <v>0</v>
      </c>
    </row>
    <row r="42" spans="1:6" x14ac:dyDescent="0.4">
      <c r="A42" s="96">
        <v>38</v>
      </c>
      <c r="B42" s="115"/>
      <c r="C42" s="115"/>
      <c r="D42" s="125"/>
      <c r="E42" s="125"/>
      <c r="F42" s="125">
        <f t="shared" si="0"/>
        <v>0</v>
      </c>
    </row>
    <row r="43" spans="1:6" x14ac:dyDescent="0.4">
      <c r="A43" s="96">
        <v>39</v>
      </c>
      <c r="B43" s="115"/>
      <c r="C43" s="115"/>
      <c r="D43" s="125"/>
      <c r="E43" s="125"/>
      <c r="F43" s="125">
        <f t="shared" si="0"/>
        <v>0</v>
      </c>
    </row>
    <row r="44" spans="1:6" x14ac:dyDescent="0.4">
      <c r="A44" s="96">
        <v>40</v>
      </c>
      <c r="B44" s="115"/>
      <c r="C44" s="115"/>
      <c r="D44" s="125"/>
      <c r="E44" s="125"/>
      <c r="F44" s="125">
        <f t="shared" si="0"/>
        <v>0</v>
      </c>
    </row>
    <row r="45" spans="1:6" x14ac:dyDescent="0.4">
      <c r="A45" s="96">
        <v>41</v>
      </c>
      <c r="B45" s="115"/>
      <c r="C45" s="115"/>
      <c r="D45" s="125"/>
      <c r="E45" s="125"/>
      <c r="F45" s="125">
        <f t="shared" si="0"/>
        <v>0</v>
      </c>
    </row>
    <row r="46" spans="1:6" x14ac:dyDescent="0.4">
      <c r="A46" s="96">
        <v>42</v>
      </c>
      <c r="B46" s="115"/>
      <c r="C46" s="115"/>
      <c r="D46" s="125"/>
      <c r="E46" s="125"/>
      <c r="F46" s="125">
        <f t="shared" si="0"/>
        <v>0</v>
      </c>
    </row>
    <row r="47" spans="1:6" x14ac:dyDescent="0.4">
      <c r="A47" s="96">
        <v>43</v>
      </c>
      <c r="B47" s="115"/>
      <c r="C47" s="115"/>
      <c r="D47" s="125"/>
      <c r="E47" s="125"/>
      <c r="F47" s="125">
        <f t="shared" si="0"/>
        <v>0</v>
      </c>
    </row>
    <row r="48" spans="1:6" x14ac:dyDescent="0.4">
      <c r="A48" s="96">
        <v>44</v>
      </c>
      <c r="B48" s="115"/>
      <c r="C48" s="115"/>
      <c r="D48" s="125"/>
      <c r="E48" s="125"/>
      <c r="F48" s="125">
        <f t="shared" si="0"/>
        <v>0</v>
      </c>
    </row>
    <row r="49" spans="1:6" x14ac:dyDescent="0.4">
      <c r="A49" s="96">
        <v>45</v>
      </c>
      <c r="B49" s="115"/>
      <c r="C49" s="115"/>
      <c r="D49" s="125"/>
      <c r="E49" s="125"/>
      <c r="F49" s="125">
        <f t="shared" si="0"/>
        <v>0</v>
      </c>
    </row>
    <row r="50" spans="1:6" x14ac:dyDescent="0.4">
      <c r="A50" s="96">
        <v>46</v>
      </c>
      <c r="B50" s="115"/>
      <c r="C50" s="115"/>
      <c r="D50" s="125"/>
      <c r="E50" s="125"/>
      <c r="F50" s="125">
        <f t="shared" si="0"/>
        <v>0</v>
      </c>
    </row>
    <row r="51" spans="1:6" x14ac:dyDescent="0.4">
      <c r="A51" s="96">
        <v>47</v>
      </c>
      <c r="B51" s="115"/>
      <c r="C51" s="115"/>
      <c r="D51" s="125"/>
      <c r="E51" s="125"/>
      <c r="F51" s="125">
        <f t="shared" si="0"/>
        <v>0</v>
      </c>
    </row>
    <row r="52" spans="1:6" x14ac:dyDescent="0.4">
      <c r="A52" s="96">
        <v>48</v>
      </c>
      <c r="B52" s="115"/>
      <c r="C52" s="115"/>
      <c r="D52" s="125"/>
      <c r="E52" s="125"/>
      <c r="F52" s="125">
        <f t="shared" si="0"/>
        <v>0</v>
      </c>
    </row>
    <row r="53" spans="1:6" x14ac:dyDescent="0.4">
      <c r="A53" s="96">
        <v>49</v>
      </c>
      <c r="B53" s="115"/>
      <c r="C53" s="115"/>
      <c r="D53" s="125"/>
      <c r="E53" s="125"/>
      <c r="F53" s="125">
        <f t="shared" si="0"/>
        <v>0</v>
      </c>
    </row>
    <row r="54" spans="1:6" x14ac:dyDescent="0.4">
      <c r="A54" s="96">
        <v>50</v>
      </c>
      <c r="B54" s="115"/>
      <c r="C54" s="115"/>
      <c r="D54" s="125"/>
      <c r="E54" s="125"/>
      <c r="F54" s="125">
        <f t="shared" si="0"/>
        <v>0</v>
      </c>
    </row>
    <row r="55" spans="1:6" x14ac:dyDescent="0.4">
      <c r="A55" s="96">
        <v>51</v>
      </c>
      <c r="B55" s="115"/>
      <c r="C55" s="115"/>
      <c r="D55" s="125"/>
      <c r="E55" s="125"/>
      <c r="F55" s="125">
        <f t="shared" si="0"/>
        <v>0</v>
      </c>
    </row>
    <row r="56" spans="1:6" x14ac:dyDescent="0.4">
      <c r="A56" s="96">
        <v>52</v>
      </c>
      <c r="B56" s="115"/>
      <c r="C56" s="115"/>
      <c r="D56" s="125"/>
      <c r="E56" s="125"/>
      <c r="F56" s="125">
        <f t="shared" si="0"/>
        <v>0</v>
      </c>
    </row>
    <row r="57" spans="1:6" x14ac:dyDescent="0.4">
      <c r="A57" s="96">
        <v>53</v>
      </c>
      <c r="B57" s="115"/>
      <c r="C57" s="115"/>
      <c r="D57" s="125"/>
      <c r="E57" s="125"/>
      <c r="F57" s="125">
        <f t="shared" si="0"/>
        <v>0</v>
      </c>
    </row>
    <row r="58" spans="1:6" x14ac:dyDescent="0.4">
      <c r="A58" s="96">
        <v>54</v>
      </c>
      <c r="B58" s="115"/>
      <c r="C58" s="115"/>
      <c r="D58" s="125"/>
      <c r="E58" s="125"/>
      <c r="F58" s="125">
        <f t="shared" si="0"/>
        <v>0</v>
      </c>
    </row>
    <row r="59" spans="1:6" x14ac:dyDescent="0.4">
      <c r="A59" s="96">
        <v>55</v>
      </c>
      <c r="B59" s="115"/>
      <c r="C59" s="115"/>
      <c r="D59" s="125"/>
      <c r="E59" s="125"/>
      <c r="F59" s="125">
        <f t="shared" si="0"/>
        <v>0</v>
      </c>
    </row>
    <row r="60" spans="1:6" x14ac:dyDescent="0.4">
      <c r="A60" s="96">
        <v>56</v>
      </c>
      <c r="B60" s="115"/>
      <c r="C60" s="115"/>
      <c r="D60" s="125"/>
      <c r="E60" s="125"/>
      <c r="F60" s="125">
        <f t="shared" si="0"/>
        <v>0</v>
      </c>
    </row>
    <row r="61" spans="1:6" x14ac:dyDescent="0.4">
      <c r="A61" s="96">
        <v>57</v>
      </c>
      <c r="B61" s="115"/>
      <c r="C61" s="115"/>
      <c r="D61" s="125"/>
      <c r="E61" s="125"/>
      <c r="F61" s="125">
        <f t="shared" si="0"/>
        <v>0</v>
      </c>
    </row>
    <row r="62" spans="1:6" x14ac:dyDescent="0.4">
      <c r="A62" s="96">
        <v>58</v>
      </c>
      <c r="B62" s="115"/>
      <c r="C62" s="115"/>
      <c r="D62" s="125"/>
      <c r="E62" s="125"/>
      <c r="F62" s="125">
        <f t="shared" si="0"/>
        <v>0</v>
      </c>
    </row>
    <row r="63" spans="1:6" x14ac:dyDescent="0.4">
      <c r="A63" s="96">
        <v>59</v>
      </c>
      <c r="B63" s="115"/>
      <c r="C63" s="115"/>
      <c r="D63" s="125"/>
      <c r="E63" s="125"/>
      <c r="F63" s="125">
        <f t="shared" si="0"/>
        <v>0</v>
      </c>
    </row>
    <row r="64" spans="1:6" x14ac:dyDescent="0.4">
      <c r="A64" s="96">
        <v>60</v>
      </c>
      <c r="B64" s="115"/>
      <c r="C64" s="115"/>
      <c r="D64" s="125"/>
      <c r="E64" s="125"/>
      <c r="F64" s="125">
        <f t="shared" si="0"/>
        <v>0</v>
      </c>
    </row>
    <row r="65" spans="1:6" x14ac:dyDescent="0.4">
      <c r="A65" s="96">
        <v>61</v>
      </c>
      <c r="B65" s="115"/>
      <c r="C65" s="115"/>
      <c r="D65" s="125"/>
      <c r="E65" s="125"/>
      <c r="F65" s="125">
        <f t="shared" si="0"/>
        <v>0</v>
      </c>
    </row>
    <row r="66" spans="1:6" x14ac:dyDescent="0.4">
      <c r="A66" s="96">
        <v>62</v>
      </c>
      <c r="B66" s="115"/>
      <c r="C66" s="115"/>
      <c r="D66" s="125"/>
      <c r="E66" s="125"/>
      <c r="F66" s="125">
        <f t="shared" si="0"/>
        <v>0</v>
      </c>
    </row>
    <row r="67" spans="1:6" x14ac:dyDescent="0.4">
      <c r="A67" s="96">
        <v>63</v>
      </c>
      <c r="B67" s="115"/>
      <c r="C67" s="115"/>
      <c r="D67" s="125"/>
      <c r="E67" s="125"/>
      <c r="F67" s="125">
        <f t="shared" si="0"/>
        <v>0</v>
      </c>
    </row>
    <row r="68" spans="1:6" x14ac:dyDescent="0.4">
      <c r="A68" s="96">
        <v>64</v>
      </c>
      <c r="B68" s="115"/>
      <c r="C68" s="115"/>
      <c r="D68" s="125"/>
      <c r="E68" s="125"/>
      <c r="F68" s="125">
        <f t="shared" si="0"/>
        <v>0</v>
      </c>
    </row>
    <row r="69" spans="1:6" x14ac:dyDescent="0.4">
      <c r="A69" s="96">
        <v>65</v>
      </c>
      <c r="B69" s="115"/>
      <c r="C69" s="115"/>
      <c r="D69" s="125"/>
      <c r="E69" s="125"/>
      <c r="F69" s="125">
        <f t="shared" si="0"/>
        <v>0</v>
      </c>
    </row>
    <row r="70" spans="1:6" x14ac:dyDescent="0.4">
      <c r="A70" s="96">
        <v>66</v>
      </c>
      <c r="B70" s="115"/>
      <c r="C70" s="115"/>
      <c r="D70" s="125"/>
      <c r="E70" s="125"/>
      <c r="F70" s="125">
        <f t="shared" ref="F70:F133" si="1">D70*E70</f>
        <v>0</v>
      </c>
    </row>
    <row r="71" spans="1:6" x14ac:dyDescent="0.4">
      <c r="A71" s="96">
        <v>67</v>
      </c>
      <c r="B71" s="115"/>
      <c r="C71" s="115"/>
      <c r="D71" s="125"/>
      <c r="E71" s="125"/>
      <c r="F71" s="125">
        <f t="shared" si="1"/>
        <v>0</v>
      </c>
    </row>
    <row r="72" spans="1:6" x14ac:dyDescent="0.4">
      <c r="A72" s="96">
        <v>68</v>
      </c>
      <c r="B72" s="115"/>
      <c r="C72" s="115"/>
      <c r="D72" s="125"/>
      <c r="E72" s="125"/>
      <c r="F72" s="125">
        <f t="shared" si="1"/>
        <v>0</v>
      </c>
    </row>
    <row r="73" spans="1:6" x14ac:dyDescent="0.4">
      <c r="A73" s="96">
        <v>69</v>
      </c>
      <c r="B73" s="115"/>
      <c r="C73" s="115"/>
      <c r="D73" s="125"/>
      <c r="E73" s="125"/>
      <c r="F73" s="125">
        <f t="shared" si="1"/>
        <v>0</v>
      </c>
    </row>
    <row r="74" spans="1:6" x14ac:dyDescent="0.4">
      <c r="A74" s="96">
        <v>70</v>
      </c>
      <c r="B74" s="115"/>
      <c r="C74" s="115"/>
      <c r="D74" s="125"/>
      <c r="E74" s="125"/>
      <c r="F74" s="125">
        <f t="shared" si="1"/>
        <v>0</v>
      </c>
    </row>
    <row r="75" spans="1:6" x14ac:dyDescent="0.4">
      <c r="A75" s="96">
        <v>71</v>
      </c>
      <c r="B75" s="115"/>
      <c r="C75" s="115"/>
      <c r="D75" s="125"/>
      <c r="E75" s="125"/>
      <c r="F75" s="125">
        <f t="shared" si="1"/>
        <v>0</v>
      </c>
    </row>
    <row r="76" spans="1:6" x14ac:dyDescent="0.4">
      <c r="A76" s="96">
        <v>72</v>
      </c>
      <c r="B76" s="115"/>
      <c r="C76" s="115"/>
      <c r="D76" s="125"/>
      <c r="E76" s="125"/>
      <c r="F76" s="125">
        <f t="shared" si="1"/>
        <v>0</v>
      </c>
    </row>
    <row r="77" spans="1:6" x14ac:dyDescent="0.4">
      <c r="A77" s="96">
        <v>73</v>
      </c>
      <c r="B77" s="115"/>
      <c r="C77" s="115"/>
      <c r="D77" s="125"/>
      <c r="E77" s="125"/>
      <c r="F77" s="125">
        <f t="shared" si="1"/>
        <v>0</v>
      </c>
    </row>
    <row r="78" spans="1:6" x14ac:dyDescent="0.4">
      <c r="A78" s="96">
        <v>74</v>
      </c>
      <c r="B78" s="115"/>
      <c r="C78" s="115"/>
      <c r="D78" s="125"/>
      <c r="E78" s="125"/>
      <c r="F78" s="125">
        <f t="shared" si="1"/>
        <v>0</v>
      </c>
    </row>
    <row r="79" spans="1:6" x14ac:dyDescent="0.4">
      <c r="A79" s="96">
        <v>75</v>
      </c>
      <c r="B79" s="115"/>
      <c r="C79" s="115"/>
      <c r="D79" s="125"/>
      <c r="E79" s="125"/>
      <c r="F79" s="125">
        <f t="shared" si="1"/>
        <v>0</v>
      </c>
    </row>
    <row r="80" spans="1:6" x14ac:dyDescent="0.4">
      <c r="A80" s="96">
        <v>76</v>
      </c>
      <c r="B80" s="115"/>
      <c r="C80" s="115"/>
      <c r="D80" s="125"/>
      <c r="E80" s="125"/>
      <c r="F80" s="125">
        <f t="shared" si="1"/>
        <v>0</v>
      </c>
    </row>
    <row r="81" spans="1:6" x14ac:dyDescent="0.4">
      <c r="A81" s="96">
        <v>77</v>
      </c>
      <c r="B81" s="115"/>
      <c r="C81" s="115"/>
      <c r="D81" s="125"/>
      <c r="E81" s="125"/>
      <c r="F81" s="125">
        <f t="shared" si="1"/>
        <v>0</v>
      </c>
    </row>
    <row r="82" spans="1:6" x14ac:dyDescent="0.4">
      <c r="A82" s="96">
        <v>78</v>
      </c>
      <c r="B82" s="115"/>
      <c r="C82" s="115"/>
      <c r="D82" s="125"/>
      <c r="E82" s="125"/>
      <c r="F82" s="125">
        <f t="shared" si="1"/>
        <v>0</v>
      </c>
    </row>
    <row r="83" spans="1:6" x14ac:dyDescent="0.4">
      <c r="A83" s="96">
        <v>79</v>
      </c>
      <c r="B83" s="115"/>
      <c r="C83" s="115"/>
      <c r="D83" s="125"/>
      <c r="E83" s="125"/>
      <c r="F83" s="125">
        <f t="shared" si="1"/>
        <v>0</v>
      </c>
    </row>
    <row r="84" spans="1:6" x14ac:dyDescent="0.4">
      <c r="A84" s="96">
        <v>80</v>
      </c>
      <c r="B84" s="115"/>
      <c r="C84" s="115"/>
      <c r="D84" s="125"/>
      <c r="E84" s="125"/>
      <c r="F84" s="125">
        <f t="shared" si="1"/>
        <v>0</v>
      </c>
    </row>
    <row r="85" spans="1:6" x14ac:dyDescent="0.4">
      <c r="A85" s="96">
        <v>81</v>
      </c>
      <c r="B85" s="115"/>
      <c r="C85" s="115"/>
      <c r="D85" s="125"/>
      <c r="E85" s="125"/>
      <c r="F85" s="125">
        <f t="shared" si="1"/>
        <v>0</v>
      </c>
    </row>
    <row r="86" spans="1:6" x14ac:dyDescent="0.4">
      <c r="A86" s="96">
        <v>82</v>
      </c>
      <c r="B86" s="115"/>
      <c r="C86" s="115"/>
      <c r="D86" s="125"/>
      <c r="E86" s="125"/>
      <c r="F86" s="125">
        <f t="shared" si="1"/>
        <v>0</v>
      </c>
    </row>
    <row r="87" spans="1:6" x14ac:dyDescent="0.4">
      <c r="A87" s="96">
        <v>83</v>
      </c>
      <c r="B87" s="115"/>
      <c r="C87" s="115"/>
      <c r="D87" s="125"/>
      <c r="E87" s="125"/>
      <c r="F87" s="125">
        <f t="shared" si="1"/>
        <v>0</v>
      </c>
    </row>
    <row r="88" spans="1:6" x14ac:dyDescent="0.4">
      <c r="A88" s="96">
        <v>84</v>
      </c>
      <c r="B88" s="115"/>
      <c r="C88" s="115"/>
      <c r="D88" s="125"/>
      <c r="E88" s="125"/>
      <c r="F88" s="125">
        <f t="shared" si="1"/>
        <v>0</v>
      </c>
    </row>
    <row r="89" spans="1:6" x14ac:dyDescent="0.4">
      <c r="A89" s="96">
        <v>85</v>
      </c>
      <c r="B89" s="115"/>
      <c r="C89" s="115"/>
      <c r="D89" s="125"/>
      <c r="E89" s="125"/>
      <c r="F89" s="125">
        <f t="shared" si="1"/>
        <v>0</v>
      </c>
    </row>
    <row r="90" spans="1:6" x14ac:dyDescent="0.4">
      <c r="A90" s="96">
        <v>86</v>
      </c>
      <c r="B90" s="115"/>
      <c r="C90" s="115"/>
      <c r="D90" s="125"/>
      <c r="E90" s="125"/>
      <c r="F90" s="125">
        <f t="shared" si="1"/>
        <v>0</v>
      </c>
    </row>
    <row r="91" spans="1:6" x14ac:dyDescent="0.4">
      <c r="A91" s="96">
        <v>87</v>
      </c>
      <c r="B91" s="115"/>
      <c r="C91" s="115"/>
      <c r="D91" s="125"/>
      <c r="E91" s="125"/>
      <c r="F91" s="125">
        <f t="shared" si="1"/>
        <v>0</v>
      </c>
    </row>
    <row r="92" spans="1:6" x14ac:dyDescent="0.4">
      <c r="A92" s="96">
        <v>88</v>
      </c>
      <c r="B92" s="115"/>
      <c r="C92" s="115"/>
      <c r="D92" s="125"/>
      <c r="E92" s="125"/>
      <c r="F92" s="125">
        <f t="shared" si="1"/>
        <v>0</v>
      </c>
    </row>
    <row r="93" spans="1:6" x14ac:dyDescent="0.4">
      <c r="A93" s="96">
        <v>89</v>
      </c>
      <c r="B93" s="115"/>
      <c r="C93" s="115"/>
      <c r="D93" s="125"/>
      <c r="E93" s="125"/>
      <c r="F93" s="125">
        <f t="shared" si="1"/>
        <v>0</v>
      </c>
    </row>
    <row r="94" spans="1:6" x14ac:dyDescent="0.4">
      <c r="A94" s="96">
        <v>90</v>
      </c>
      <c r="B94" s="115"/>
      <c r="C94" s="115"/>
      <c r="D94" s="125"/>
      <c r="E94" s="125"/>
      <c r="F94" s="125">
        <f t="shared" si="1"/>
        <v>0</v>
      </c>
    </row>
    <row r="95" spans="1:6" x14ac:dyDescent="0.4">
      <c r="A95" s="96">
        <v>91</v>
      </c>
      <c r="B95" s="115"/>
      <c r="C95" s="115"/>
      <c r="D95" s="125"/>
      <c r="E95" s="125"/>
      <c r="F95" s="125">
        <f t="shared" si="1"/>
        <v>0</v>
      </c>
    </row>
    <row r="96" spans="1:6" x14ac:dyDescent="0.4">
      <c r="A96" s="96">
        <v>92</v>
      </c>
      <c r="B96" s="115"/>
      <c r="C96" s="115"/>
      <c r="D96" s="125"/>
      <c r="E96" s="125"/>
      <c r="F96" s="125">
        <f t="shared" si="1"/>
        <v>0</v>
      </c>
    </row>
    <row r="97" spans="1:6" x14ac:dyDescent="0.4">
      <c r="A97" s="96">
        <v>93</v>
      </c>
      <c r="B97" s="115"/>
      <c r="C97" s="115"/>
      <c r="D97" s="125"/>
      <c r="E97" s="125"/>
      <c r="F97" s="125">
        <f t="shared" si="1"/>
        <v>0</v>
      </c>
    </row>
    <row r="98" spans="1:6" x14ac:dyDescent="0.4">
      <c r="A98" s="96">
        <v>94</v>
      </c>
      <c r="B98" s="115"/>
      <c r="C98" s="115"/>
      <c r="D98" s="125"/>
      <c r="E98" s="125"/>
      <c r="F98" s="125">
        <f t="shared" si="1"/>
        <v>0</v>
      </c>
    </row>
    <row r="99" spans="1:6" x14ac:dyDescent="0.4">
      <c r="A99" s="96">
        <v>95</v>
      </c>
      <c r="B99" s="115"/>
      <c r="C99" s="115"/>
      <c r="D99" s="125"/>
      <c r="E99" s="125"/>
      <c r="F99" s="125">
        <f t="shared" si="1"/>
        <v>0</v>
      </c>
    </row>
    <row r="100" spans="1:6" x14ac:dyDescent="0.4">
      <c r="A100" s="96">
        <v>96</v>
      </c>
      <c r="B100" s="115"/>
      <c r="C100" s="115"/>
      <c r="D100" s="125"/>
      <c r="E100" s="125"/>
      <c r="F100" s="125">
        <f t="shared" si="1"/>
        <v>0</v>
      </c>
    </row>
    <row r="101" spans="1:6" x14ac:dyDescent="0.4">
      <c r="A101" s="96">
        <v>97</v>
      </c>
      <c r="B101" s="115"/>
      <c r="C101" s="115"/>
      <c r="D101" s="125"/>
      <c r="E101" s="125"/>
      <c r="F101" s="125">
        <f t="shared" si="1"/>
        <v>0</v>
      </c>
    </row>
    <row r="102" spans="1:6" x14ac:dyDescent="0.4">
      <c r="A102" s="96">
        <v>98</v>
      </c>
      <c r="B102" s="115"/>
      <c r="C102" s="115"/>
      <c r="D102" s="125"/>
      <c r="E102" s="125"/>
      <c r="F102" s="125">
        <f t="shared" si="1"/>
        <v>0</v>
      </c>
    </row>
    <row r="103" spans="1:6" x14ac:dyDescent="0.4">
      <c r="A103" s="96">
        <v>99</v>
      </c>
      <c r="B103" s="115"/>
      <c r="C103" s="115"/>
      <c r="D103" s="125"/>
      <c r="E103" s="125"/>
      <c r="F103" s="125">
        <f t="shared" si="1"/>
        <v>0</v>
      </c>
    </row>
    <row r="104" spans="1:6" x14ac:dyDescent="0.4">
      <c r="A104" s="96">
        <v>100</v>
      </c>
      <c r="B104" s="115"/>
      <c r="C104" s="115"/>
      <c r="D104" s="125"/>
      <c r="E104" s="125"/>
      <c r="F104" s="125">
        <f t="shared" si="1"/>
        <v>0</v>
      </c>
    </row>
    <row r="105" spans="1:6" x14ac:dyDescent="0.4">
      <c r="A105" s="96">
        <v>101</v>
      </c>
      <c r="B105" s="115"/>
      <c r="C105" s="115"/>
      <c r="D105" s="125"/>
      <c r="E105" s="125"/>
      <c r="F105" s="125">
        <f t="shared" si="1"/>
        <v>0</v>
      </c>
    </row>
    <row r="106" spans="1:6" x14ac:dyDescent="0.4">
      <c r="A106" s="96">
        <v>102</v>
      </c>
      <c r="B106" s="115"/>
      <c r="C106" s="115"/>
      <c r="D106" s="125"/>
      <c r="E106" s="125"/>
      <c r="F106" s="125">
        <f t="shared" si="1"/>
        <v>0</v>
      </c>
    </row>
    <row r="107" spans="1:6" x14ac:dyDescent="0.4">
      <c r="A107" s="96">
        <v>103</v>
      </c>
      <c r="B107" s="115"/>
      <c r="C107" s="115"/>
      <c r="D107" s="125"/>
      <c r="E107" s="125"/>
      <c r="F107" s="125">
        <f t="shared" si="1"/>
        <v>0</v>
      </c>
    </row>
    <row r="108" spans="1:6" x14ac:dyDescent="0.4">
      <c r="A108" s="96">
        <v>104</v>
      </c>
      <c r="B108" s="115"/>
      <c r="C108" s="115"/>
      <c r="D108" s="125"/>
      <c r="E108" s="125"/>
      <c r="F108" s="125">
        <f t="shared" si="1"/>
        <v>0</v>
      </c>
    </row>
    <row r="109" spans="1:6" x14ac:dyDescent="0.4">
      <c r="A109" s="96">
        <v>105</v>
      </c>
      <c r="B109" s="115"/>
      <c r="C109" s="115"/>
      <c r="D109" s="125"/>
      <c r="E109" s="125"/>
      <c r="F109" s="125">
        <f t="shared" si="1"/>
        <v>0</v>
      </c>
    </row>
    <row r="110" spans="1:6" x14ac:dyDescent="0.4">
      <c r="A110" s="96">
        <v>106</v>
      </c>
      <c r="B110" s="115"/>
      <c r="C110" s="115"/>
      <c r="D110" s="125"/>
      <c r="E110" s="125"/>
      <c r="F110" s="125">
        <f t="shared" si="1"/>
        <v>0</v>
      </c>
    </row>
    <row r="111" spans="1:6" x14ac:dyDescent="0.4">
      <c r="A111" s="96">
        <v>107</v>
      </c>
      <c r="B111" s="115"/>
      <c r="C111" s="115"/>
      <c r="D111" s="125"/>
      <c r="E111" s="125"/>
      <c r="F111" s="125">
        <f t="shared" si="1"/>
        <v>0</v>
      </c>
    </row>
    <row r="112" spans="1:6" x14ac:dyDescent="0.4">
      <c r="A112" s="96">
        <v>108</v>
      </c>
      <c r="B112" s="115"/>
      <c r="C112" s="115"/>
      <c r="D112" s="125"/>
      <c r="E112" s="125"/>
      <c r="F112" s="125">
        <f t="shared" si="1"/>
        <v>0</v>
      </c>
    </row>
    <row r="113" spans="1:6" x14ac:dyDescent="0.4">
      <c r="A113" s="96">
        <v>109</v>
      </c>
      <c r="B113" s="115"/>
      <c r="C113" s="115"/>
      <c r="D113" s="125"/>
      <c r="E113" s="125"/>
      <c r="F113" s="125">
        <f t="shared" si="1"/>
        <v>0</v>
      </c>
    </row>
    <row r="114" spans="1:6" x14ac:dyDescent="0.4">
      <c r="A114" s="96">
        <v>110</v>
      </c>
      <c r="B114" s="115"/>
      <c r="C114" s="115"/>
      <c r="D114" s="125"/>
      <c r="E114" s="125"/>
      <c r="F114" s="125">
        <f t="shared" si="1"/>
        <v>0</v>
      </c>
    </row>
    <row r="115" spans="1:6" x14ac:dyDescent="0.4">
      <c r="A115" s="96">
        <v>111</v>
      </c>
      <c r="B115" s="115"/>
      <c r="C115" s="115"/>
      <c r="D115" s="125"/>
      <c r="E115" s="125"/>
      <c r="F115" s="125">
        <f t="shared" si="1"/>
        <v>0</v>
      </c>
    </row>
    <row r="116" spans="1:6" x14ac:dyDescent="0.4">
      <c r="A116" s="96">
        <v>112</v>
      </c>
      <c r="B116" s="115"/>
      <c r="C116" s="115"/>
      <c r="D116" s="125"/>
      <c r="E116" s="125"/>
      <c r="F116" s="125">
        <f t="shared" si="1"/>
        <v>0</v>
      </c>
    </row>
    <row r="117" spans="1:6" x14ac:dyDescent="0.4">
      <c r="A117" s="96">
        <v>113</v>
      </c>
      <c r="B117" s="115"/>
      <c r="C117" s="115"/>
      <c r="D117" s="125"/>
      <c r="E117" s="125"/>
      <c r="F117" s="125">
        <f t="shared" si="1"/>
        <v>0</v>
      </c>
    </row>
    <row r="118" spans="1:6" x14ac:dyDescent="0.4">
      <c r="A118" s="96">
        <v>114</v>
      </c>
      <c r="B118" s="115"/>
      <c r="C118" s="115"/>
      <c r="D118" s="125"/>
      <c r="E118" s="125"/>
      <c r="F118" s="125">
        <f t="shared" si="1"/>
        <v>0</v>
      </c>
    </row>
    <row r="119" spans="1:6" x14ac:dyDescent="0.4">
      <c r="A119" s="96">
        <v>115</v>
      </c>
      <c r="B119" s="115"/>
      <c r="C119" s="115"/>
      <c r="D119" s="125"/>
      <c r="E119" s="125"/>
      <c r="F119" s="125">
        <f t="shared" si="1"/>
        <v>0</v>
      </c>
    </row>
    <row r="120" spans="1:6" x14ac:dyDescent="0.4">
      <c r="A120" s="96">
        <v>116</v>
      </c>
      <c r="B120" s="115"/>
      <c r="C120" s="115"/>
      <c r="D120" s="125"/>
      <c r="E120" s="125"/>
      <c r="F120" s="125">
        <f t="shared" si="1"/>
        <v>0</v>
      </c>
    </row>
    <row r="121" spans="1:6" x14ac:dyDescent="0.4">
      <c r="A121" s="96">
        <v>117</v>
      </c>
      <c r="B121" s="115"/>
      <c r="C121" s="115"/>
      <c r="D121" s="125"/>
      <c r="E121" s="125"/>
      <c r="F121" s="125">
        <f t="shared" si="1"/>
        <v>0</v>
      </c>
    </row>
    <row r="122" spans="1:6" x14ac:dyDescent="0.4">
      <c r="A122" s="96">
        <v>118</v>
      </c>
      <c r="B122" s="115"/>
      <c r="C122" s="115"/>
      <c r="D122" s="125"/>
      <c r="E122" s="125"/>
      <c r="F122" s="125">
        <f t="shared" si="1"/>
        <v>0</v>
      </c>
    </row>
    <row r="123" spans="1:6" x14ac:dyDescent="0.4">
      <c r="A123" s="96">
        <v>119</v>
      </c>
      <c r="B123" s="115"/>
      <c r="C123" s="115"/>
      <c r="D123" s="125"/>
      <c r="E123" s="125"/>
      <c r="F123" s="125">
        <f t="shared" si="1"/>
        <v>0</v>
      </c>
    </row>
    <row r="124" spans="1:6" x14ac:dyDescent="0.4">
      <c r="A124" s="96">
        <v>120</v>
      </c>
      <c r="B124" s="115"/>
      <c r="C124" s="115"/>
      <c r="D124" s="125"/>
      <c r="E124" s="125"/>
      <c r="F124" s="125">
        <f t="shared" si="1"/>
        <v>0</v>
      </c>
    </row>
    <row r="125" spans="1:6" x14ac:dyDescent="0.4">
      <c r="A125" s="96">
        <v>121</v>
      </c>
      <c r="B125" s="115"/>
      <c r="C125" s="115"/>
      <c r="D125" s="125"/>
      <c r="E125" s="125"/>
      <c r="F125" s="125">
        <f t="shared" si="1"/>
        <v>0</v>
      </c>
    </row>
    <row r="126" spans="1:6" x14ac:dyDescent="0.4">
      <c r="A126" s="96">
        <v>122</v>
      </c>
      <c r="B126" s="115"/>
      <c r="C126" s="115"/>
      <c r="D126" s="125"/>
      <c r="E126" s="125"/>
      <c r="F126" s="125">
        <f t="shared" si="1"/>
        <v>0</v>
      </c>
    </row>
    <row r="127" spans="1:6" x14ac:dyDescent="0.4">
      <c r="A127" s="96">
        <v>123</v>
      </c>
      <c r="B127" s="115"/>
      <c r="C127" s="115"/>
      <c r="D127" s="125"/>
      <c r="E127" s="125"/>
      <c r="F127" s="125">
        <f t="shared" si="1"/>
        <v>0</v>
      </c>
    </row>
    <row r="128" spans="1:6" x14ac:dyDescent="0.4">
      <c r="A128" s="96">
        <v>124</v>
      </c>
      <c r="B128" s="115"/>
      <c r="C128" s="115"/>
      <c r="D128" s="125"/>
      <c r="E128" s="125"/>
      <c r="F128" s="125">
        <f t="shared" si="1"/>
        <v>0</v>
      </c>
    </row>
    <row r="129" spans="1:6" x14ac:dyDescent="0.4">
      <c r="A129" s="96">
        <v>125</v>
      </c>
      <c r="B129" s="115"/>
      <c r="C129" s="115"/>
      <c r="D129" s="125"/>
      <c r="E129" s="125"/>
      <c r="F129" s="125">
        <f t="shared" si="1"/>
        <v>0</v>
      </c>
    </row>
    <row r="130" spans="1:6" x14ac:dyDescent="0.4">
      <c r="A130" s="96">
        <v>126</v>
      </c>
      <c r="B130" s="115"/>
      <c r="C130" s="115"/>
      <c r="D130" s="125"/>
      <c r="E130" s="125"/>
      <c r="F130" s="125">
        <f t="shared" si="1"/>
        <v>0</v>
      </c>
    </row>
    <row r="131" spans="1:6" x14ac:dyDescent="0.4">
      <c r="A131" s="96">
        <v>127</v>
      </c>
      <c r="B131" s="115"/>
      <c r="C131" s="115"/>
      <c r="D131" s="125"/>
      <c r="E131" s="125"/>
      <c r="F131" s="125">
        <f t="shared" si="1"/>
        <v>0</v>
      </c>
    </row>
    <row r="132" spans="1:6" x14ac:dyDescent="0.4">
      <c r="A132" s="96">
        <v>128</v>
      </c>
      <c r="B132" s="115"/>
      <c r="C132" s="115"/>
      <c r="D132" s="125"/>
      <c r="E132" s="125"/>
      <c r="F132" s="125">
        <f t="shared" si="1"/>
        <v>0</v>
      </c>
    </row>
    <row r="133" spans="1:6" x14ac:dyDescent="0.4">
      <c r="A133" s="96">
        <v>129</v>
      </c>
      <c r="B133" s="115"/>
      <c r="C133" s="115"/>
      <c r="D133" s="125"/>
      <c r="E133" s="125"/>
      <c r="F133" s="125">
        <f t="shared" si="1"/>
        <v>0</v>
      </c>
    </row>
    <row r="134" spans="1:6" x14ac:dyDescent="0.4">
      <c r="A134" s="96">
        <v>130</v>
      </c>
      <c r="B134" s="115"/>
      <c r="C134" s="115"/>
      <c r="D134" s="125"/>
      <c r="E134" s="125"/>
      <c r="F134" s="125">
        <f t="shared" ref="F134:F197" si="2">D134*E134</f>
        <v>0</v>
      </c>
    </row>
    <row r="135" spans="1:6" x14ac:dyDescent="0.4">
      <c r="A135" s="96">
        <v>131</v>
      </c>
      <c r="B135" s="115"/>
      <c r="C135" s="115"/>
      <c r="D135" s="125"/>
      <c r="E135" s="125"/>
      <c r="F135" s="125">
        <f t="shared" si="2"/>
        <v>0</v>
      </c>
    </row>
    <row r="136" spans="1:6" x14ac:dyDescent="0.4">
      <c r="A136" s="96">
        <v>132</v>
      </c>
      <c r="B136" s="115"/>
      <c r="C136" s="115"/>
      <c r="D136" s="125"/>
      <c r="E136" s="125"/>
      <c r="F136" s="125">
        <f t="shared" si="2"/>
        <v>0</v>
      </c>
    </row>
    <row r="137" spans="1:6" x14ac:dyDescent="0.4">
      <c r="A137" s="96">
        <v>133</v>
      </c>
      <c r="B137" s="115"/>
      <c r="C137" s="115"/>
      <c r="D137" s="125"/>
      <c r="E137" s="125"/>
      <c r="F137" s="125">
        <f t="shared" si="2"/>
        <v>0</v>
      </c>
    </row>
    <row r="138" spans="1:6" x14ac:dyDescent="0.4">
      <c r="A138" s="96">
        <v>134</v>
      </c>
      <c r="B138" s="115"/>
      <c r="C138" s="115"/>
      <c r="D138" s="125"/>
      <c r="E138" s="125"/>
      <c r="F138" s="125">
        <f t="shared" si="2"/>
        <v>0</v>
      </c>
    </row>
    <row r="139" spans="1:6" x14ac:dyDescent="0.4">
      <c r="A139" s="96">
        <v>135</v>
      </c>
      <c r="B139" s="115"/>
      <c r="C139" s="115"/>
      <c r="D139" s="125"/>
      <c r="E139" s="125"/>
      <c r="F139" s="125">
        <f t="shared" si="2"/>
        <v>0</v>
      </c>
    </row>
    <row r="140" spans="1:6" x14ac:dyDescent="0.4">
      <c r="A140" s="96">
        <v>136</v>
      </c>
      <c r="B140" s="115"/>
      <c r="C140" s="115"/>
      <c r="D140" s="125"/>
      <c r="E140" s="125"/>
      <c r="F140" s="125">
        <f t="shared" si="2"/>
        <v>0</v>
      </c>
    </row>
    <row r="141" spans="1:6" x14ac:dyDescent="0.4">
      <c r="A141" s="96">
        <v>137</v>
      </c>
      <c r="B141" s="115"/>
      <c r="C141" s="115"/>
      <c r="D141" s="125"/>
      <c r="E141" s="125"/>
      <c r="F141" s="125">
        <f t="shared" si="2"/>
        <v>0</v>
      </c>
    </row>
    <row r="142" spans="1:6" x14ac:dyDescent="0.4">
      <c r="A142" s="96">
        <v>138</v>
      </c>
      <c r="B142" s="115"/>
      <c r="C142" s="115"/>
      <c r="D142" s="125"/>
      <c r="E142" s="125"/>
      <c r="F142" s="125">
        <f t="shared" si="2"/>
        <v>0</v>
      </c>
    </row>
    <row r="143" spans="1:6" x14ac:dyDescent="0.4">
      <c r="A143" s="96">
        <v>139</v>
      </c>
      <c r="B143" s="115"/>
      <c r="C143" s="115"/>
      <c r="D143" s="125"/>
      <c r="E143" s="125"/>
      <c r="F143" s="125">
        <f t="shared" si="2"/>
        <v>0</v>
      </c>
    </row>
    <row r="144" spans="1:6" x14ac:dyDescent="0.4">
      <c r="A144" s="96">
        <v>140</v>
      </c>
      <c r="B144" s="115"/>
      <c r="C144" s="115"/>
      <c r="D144" s="125"/>
      <c r="E144" s="125"/>
      <c r="F144" s="125">
        <f t="shared" si="2"/>
        <v>0</v>
      </c>
    </row>
    <row r="145" spans="1:6" x14ac:dyDescent="0.4">
      <c r="A145" s="96">
        <v>141</v>
      </c>
      <c r="B145" s="115"/>
      <c r="C145" s="115"/>
      <c r="D145" s="125"/>
      <c r="E145" s="125"/>
      <c r="F145" s="125">
        <f t="shared" si="2"/>
        <v>0</v>
      </c>
    </row>
    <row r="146" spans="1:6" x14ac:dyDescent="0.4">
      <c r="A146" s="96">
        <v>142</v>
      </c>
      <c r="B146" s="115"/>
      <c r="C146" s="115"/>
      <c r="D146" s="125"/>
      <c r="E146" s="125"/>
      <c r="F146" s="125">
        <f t="shared" si="2"/>
        <v>0</v>
      </c>
    </row>
    <row r="147" spans="1:6" x14ac:dyDescent="0.4">
      <c r="A147" s="96">
        <v>143</v>
      </c>
      <c r="B147" s="115"/>
      <c r="C147" s="115"/>
      <c r="D147" s="125"/>
      <c r="E147" s="125"/>
      <c r="F147" s="125">
        <f t="shared" si="2"/>
        <v>0</v>
      </c>
    </row>
    <row r="148" spans="1:6" x14ac:dyDescent="0.4">
      <c r="A148" s="96">
        <v>144</v>
      </c>
      <c r="B148" s="115"/>
      <c r="C148" s="115"/>
      <c r="D148" s="125"/>
      <c r="E148" s="125"/>
      <c r="F148" s="125">
        <f t="shared" si="2"/>
        <v>0</v>
      </c>
    </row>
    <row r="149" spans="1:6" x14ac:dyDescent="0.4">
      <c r="A149" s="96">
        <v>145</v>
      </c>
      <c r="B149" s="115"/>
      <c r="C149" s="115"/>
      <c r="D149" s="125"/>
      <c r="E149" s="125"/>
      <c r="F149" s="125">
        <f t="shared" si="2"/>
        <v>0</v>
      </c>
    </row>
    <row r="150" spans="1:6" x14ac:dyDescent="0.4">
      <c r="A150" s="96">
        <v>146</v>
      </c>
      <c r="B150" s="115"/>
      <c r="C150" s="115"/>
      <c r="D150" s="125"/>
      <c r="E150" s="125"/>
      <c r="F150" s="125">
        <f t="shared" si="2"/>
        <v>0</v>
      </c>
    </row>
    <row r="151" spans="1:6" x14ac:dyDescent="0.4">
      <c r="A151" s="96">
        <v>147</v>
      </c>
      <c r="B151" s="115"/>
      <c r="C151" s="115"/>
      <c r="D151" s="125"/>
      <c r="E151" s="125"/>
      <c r="F151" s="125">
        <f t="shared" si="2"/>
        <v>0</v>
      </c>
    </row>
    <row r="152" spans="1:6" x14ac:dyDescent="0.4">
      <c r="A152" s="96">
        <v>148</v>
      </c>
      <c r="B152" s="115"/>
      <c r="C152" s="115"/>
      <c r="D152" s="125"/>
      <c r="E152" s="125"/>
      <c r="F152" s="125">
        <f t="shared" si="2"/>
        <v>0</v>
      </c>
    </row>
    <row r="153" spans="1:6" x14ac:dyDescent="0.4">
      <c r="A153" s="96">
        <v>149</v>
      </c>
      <c r="B153" s="115"/>
      <c r="C153" s="115"/>
      <c r="D153" s="125"/>
      <c r="E153" s="125"/>
      <c r="F153" s="125">
        <f t="shared" si="2"/>
        <v>0</v>
      </c>
    </row>
    <row r="154" spans="1:6" x14ac:dyDescent="0.4">
      <c r="A154" s="96">
        <v>150</v>
      </c>
      <c r="B154" s="115"/>
      <c r="C154" s="115"/>
      <c r="D154" s="125"/>
      <c r="E154" s="125"/>
      <c r="F154" s="125">
        <f t="shared" si="2"/>
        <v>0</v>
      </c>
    </row>
    <row r="155" spans="1:6" x14ac:dyDescent="0.4">
      <c r="A155" s="96">
        <v>151</v>
      </c>
      <c r="B155" s="115"/>
      <c r="C155" s="115"/>
      <c r="D155" s="125"/>
      <c r="E155" s="125"/>
      <c r="F155" s="125">
        <f t="shared" si="2"/>
        <v>0</v>
      </c>
    </row>
    <row r="156" spans="1:6" x14ac:dyDescent="0.4">
      <c r="A156" s="96">
        <v>152</v>
      </c>
      <c r="B156" s="115"/>
      <c r="C156" s="115"/>
      <c r="D156" s="125"/>
      <c r="E156" s="125"/>
      <c r="F156" s="125">
        <f t="shared" si="2"/>
        <v>0</v>
      </c>
    </row>
    <row r="157" spans="1:6" x14ac:dyDescent="0.4">
      <c r="A157" s="96">
        <v>153</v>
      </c>
      <c r="B157" s="115"/>
      <c r="C157" s="115"/>
      <c r="D157" s="125"/>
      <c r="E157" s="125"/>
      <c r="F157" s="125">
        <f t="shared" si="2"/>
        <v>0</v>
      </c>
    </row>
    <row r="158" spans="1:6" x14ac:dyDescent="0.4">
      <c r="A158" s="96">
        <v>154</v>
      </c>
      <c r="B158" s="115"/>
      <c r="C158" s="115"/>
      <c r="D158" s="125"/>
      <c r="E158" s="125"/>
      <c r="F158" s="125">
        <f t="shared" si="2"/>
        <v>0</v>
      </c>
    </row>
    <row r="159" spans="1:6" x14ac:dyDescent="0.4">
      <c r="A159" s="96">
        <v>155</v>
      </c>
      <c r="B159" s="115"/>
      <c r="C159" s="115"/>
      <c r="D159" s="125"/>
      <c r="E159" s="125"/>
      <c r="F159" s="125">
        <f t="shared" si="2"/>
        <v>0</v>
      </c>
    </row>
    <row r="160" spans="1:6" x14ac:dyDescent="0.4">
      <c r="A160" s="96">
        <v>156</v>
      </c>
      <c r="B160" s="115"/>
      <c r="C160" s="115"/>
      <c r="D160" s="125"/>
      <c r="E160" s="125"/>
      <c r="F160" s="125">
        <f t="shared" si="2"/>
        <v>0</v>
      </c>
    </row>
    <row r="161" spans="1:6" x14ac:dyDescent="0.4">
      <c r="A161" s="96">
        <v>157</v>
      </c>
      <c r="B161" s="115"/>
      <c r="C161" s="115"/>
      <c r="D161" s="125"/>
      <c r="E161" s="125"/>
      <c r="F161" s="125">
        <f t="shared" si="2"/>
        <v>0</v>
      </c>
    </row>
    <row r="162" spans="1:6" x14ac:dyDescent="0.4">
      <c r="A162" s="96">
        <v>158</v>
      </c>
      <c r="B162" s="115"/>
      <c r="C162" s="115"/>
      <c r="D162" s="125"/>
      <c r="E162" s="125"/>
      <c r="F162" s="125">
        <f t="shared" si="2"/>
        <v>0</v>
      </c>
    </row>
    <row r="163" spans="1:6" x14ac:dyDescent="0.4">
      <c r="A163" s="96">
        <v>159</v>
      </c>
      <c r="B163" s="115"/>
      <c r="C163" s="115"/>
      <c r="D163" s="125"/>
      <c r="E163" s="125"/>
      <c r="F163" s="125">
        <f t="shared" si="2"/>
        <v>0</v>
      </c>
    </row>
    <row r="164" spans="1:6" x14ac:dyDescent="0.4">
      <c r="A164" s="96">
        <v>160</v>
      </c>
      <c r="B164" s="115"/>
      <c r="C164" s="115"/>
      <c r="D164" s="125"/>
      <c r="E164" s="125"/>
      <c r="F164" s="125">
        <f t="shared" si="2"/>
        <v>0</v>
      </c>
    </row>
    <row r="165" spans="1:6" x14ac:dyDescent="0.4">
      <c r="A165" s="96">
        <v>161</v>
      </c>
      <c r="B165" s="115"/>
      <c r="C165" s="115"/>
      <c r="D165" s="125"/>
      <c r="E165" s="125"/>
      <c r="F165" s="125">
        <f t="shared" si="2"/>
        <v>0</v>
      </c>
    </row>
    <row r="166" spans="1:6" x14ac:dyDescent="0.4">
      <c r="A166" s="96">
        <v>162</v>
      </c>
      <c r="B166" s="115"/>
      <c r="C166" s="115"/>
      <c r="D166" s="125"/>
      <c r="E166" s="125"/>
      <c r="F166" s="125">
        <f t="shared" si="2"/>
        <v>0</v>
      </c>
    </row>
    <row r="167" spans="1:6" x14ac:dyDescent="0.4">
      <c r="A167" s="96">
        <v>163</v>
      </c>
      <c r="B167" s="115"/>
      <c r="C167" s="115"/>
      <c r="D167" s="125"/>
      <c r="E167" s="125"/>
      <c r="F167" s="125">
        <f t="shared" si="2"/>
        <v>0</v>
      </c>
    </row>
    <row r="168" spans="1:6" x14ac:dyDescent="0.4">
      <c r="A168" s="96">
        <v>164</v>
      </c>
      <c r="B168" s="115"/>
      <c r="C168" s="115"/>
      <c r="D168" s="125"/>
      <c r="E168" s="125"/>
      <c r="F168" s="125">
        <f t="shared" si="2"/>
        <v>0</v>
      </c>
    </row>
    <row r="169" spans="1:6" x14ac:dyDescent="0.4">
      <c r="A169" s="96">
        <v>165</v>
      </c>
      <c r="B169" s="115"/>
      <c r="C169" s="115"/>
      <c r="D169" s="125"/>
      <c r="E169" s="125"/>
      <c r="F169" s="125">
        <f t="shared" si="2"/>
        <v>0</v>
      </c>
    </row>
    <row r="170" spans="1:6" x14ac:dyDescent="0.4">
      <c r="A170" s="96">
        <v>166</v>
      </c>
      <c r="B170" s="115"/>
      <c r="C170" s="115"/>
      <c r="D170" s="125"/>
      <c r="E170" s="125"/>
      <c r="F170" s="125">
        <f t="shared" si="2"/>
        <v>0</v>
      </c>
    </row>
    <row r="171" spans="1:6" x14ac:dyDescent="0.4">
      <c r="A171" s="96">
        <v>167</v>
      </c>
      <c r="B171" s="115"/>
      <c r="C171" s="115"/>
      <c r="D171" s="125"/>
      <c r="E171" s="125"/>
      <c r="F171" s="125">
        <f t="shared" si="2"/>
        <v>0</v>
      </c>
    </row>
    <row r="172" spans="1:6" x14ac:dyDescent="0.4">
      <c r="A172" s="96">
        <v>168</v>
      </c>
      <c r="B172" s="115"/>
      <c r="C172" s="115"/>
      <c r="D172" s="125"/>
      <c r="E172" s="125"/>
      <c r="F172" s="125">
        <f t="shared" si="2"/>
        <v>0</v>
      </c>
    </row>
    <row r="173" spans="1:6" x14ac:dyDescent="0.4">
      <c r="A173" s="96">
        <v>169</v>
      </c>
      <c r="B173" s="115"/>
      <c r="C173" s="115"/>
      <c r="D173" s="125"/>
      <c r="E173" s="125"/>
      <c r="F173" s="125">
        <f t="shared" si="2"/>
        <v>0</v>
      </c>
    </row>
    <row r="174" spans="1:6" x14ac:dyDescent="0.4">
      <c r="A174" s="96">
        <v>170</v>
      </c>
      <c r="B174" s="115"/>
      <c r="C174" s="115"/>
      <c r="D174" s="125"/>
      <c r="E174" s="125"/>
      <c r="F174" s="125">
        <f t="shared" si="2"/>
        <v>0</v>
      </c>
    </row>
    <row r="175" spans="1:6" x14ac:dyDescent="0.4">
      <c r="A175" s="96">
        <v>171</v>
      </c>
      <c r="B175" s="115"/>
      <c r="C175" s="115"/>
      <c r="D175" s="125"/>
      <c r="E175" s="125"/>
      <c r="F175" s="125">
        <f t="shared" si="2"/>
        <v>0</v>
      </c>
    </row>
    <row r="176" spans="1:6" x14ac:dyDescent="0.4">
      <c r="A176" s="96">
        <v>172</v>
      </c>
      <c r="B176" s="115"/>
      <c r="C176" s="115"/>
      <c r="D176" s="125"/>
      <c r="E176" s="125"/>
      <c r="F176" s="125">
        <f t="shared" si="2"/>
        <v>0</v>
      </c>
    </row>
    <row r="177" spans="1:6" x14ac:dyDescent="0.4">
      <c r="A177" s="96">
        <v>173</v>
      </c>
      <c r="B177" s="115"/>
      <c r="C177" s="115"/>
      <c r="D177" s="125"/>
      <c r="E177" s="125"/>
      <c r="F177" s="125">
        <f t="shared" si="2"/>
        <v>0</v>
      </c>
    </row>
    <row r="178" spans="1:6" x14ac:dyDescent="0.4">
      <c r="A178" s="96">
        <v>174</v>
      </c>
      <c r="B178" s="115"/>
      <c r="C178" s="115"/>
      <c r="D178" s="125"/>
      <c r="E178" s="125"/>
      <c r="F178" s="125">
        <f t="shared" si="2"/>
        <v>0</v>
      </c>
    </row>
    <row r="179" spans="1:6" x14ac:dyDescent="0.4">
      <c r="A179" s="96">
        <v>175</v>
      </c>
      <c r="B179" s="115"/>
      <c r="C179" s="115"/>
      <c r="D179" s="125"/>
      <c r="E179" s="125"/>
      <c r="F179" s="125">
        <f t="shared" si="2"/>
        <v>0</v>
      </c>
    </row>
    <row r="180" spans="1:6" x14ac:dyDescent="0.4">
      <c r="A180" s="96">
        <v>176</v>
      </c>
      <c r="B180" s="115"/>
      <c r="C180" s="115"/>
      <c r="D180" s="125"/>
      <c r="E180" s="125"/>
      <c r="F180" s="125">
        <f t="shared" si="2"/>
        <v>0</v>
      </c>
    </row>
    <row r="181" spans="1:6" x14ac:dyDescent="0.4">
      <c r="A181" s="96">
        <v>177</v>
      </c>
      <c r="B181" s="115"/>
      <c r="C181" s="115"/>
      <c r="D181" s="125"/>
      <c r="E181" s="125"/>
      <c r="F181" s="125">
        <f t="shared" si="2"/>
        <v>0</v>
      </c>
    </row>
    <row r="182" spans="1:6" x14ac:dyDescent="0.4">
      <c r="A182" s="96">
        <v>178</v>
      </c>
      <c r="B182" s="115"/>
      <c r="C182" s="115"/>
      <c r="D182" s="125"/>
      <c r="E182" s="125"/>
      <c r="F182" s="125">
        <f t="shared" si="2"/>
        <v>0</v>
      </c>
    </row>
    <row r="183" spans="1:6" x14ac:dyDescent="0.4">
      <c r="A183" s="96">
        <v>179</v>
      </c>
      <c r="B183" s="115"/>
      <c r="C183" s="115"/>
      <c r="D183" s="125"/>
      <c r="E183" s="125"/>
      <c r="F183" s="125">
        <f t="shared" si="2"/>
        <v>0</v>
      </c>
    </row>
    <row r="184" spans="1:6" x14ac:dyDescent="0.4">
      <c r="A184" s="96">
        <v>180</v>
      </c>
      <c r="B184" s="115"/>
      <c r="C184" s="115"/>
      <c r="D184" s="125"/>
      <c r="E184" s="125"/>
      <c r="F184" s="125">
        <f t="shared" si="2"/>
        <v>0</v>
      </c>
    </row>
    <row r="185" spans="1:6" x14ac:dyDescent="0.4">
      <c r="A185" s="96">
        <v>181</v>
      </c>
      <c r="B185" s="115"/>
      <c r="C185" s="115"/>
      <c r="D185" s="125"/>
      <c r="E185" s="125"/>
      <c r="F185" s="125">
        <f t="shared" si="2"/>
        <v>0</v>
      </c>
    </row>
    <row r="186" spans="1:6" x14ac:dyDescent="0.4">
      <c r="A186" s="96">
        <v>182</v>
      </c>
      <c r="B186" s="115"/>
      <c r="C186" s="115"/>
      <c r="D186" s="125"/>
      <c r="E186" s="125"/>
      <c r="F186" s="125">
        <f t="shared" si="2"/>
        <v>0</v>
      </c>
    </row>
    <row r="187" spans="1:6" x14ac:dyDescent="0.4">
      <c r="A187" s="96">
        <v>183</v>
      </c>
      <c r="B187" s="115"/>
      <c r="C187" s="115"/>
      <c r="D187" s="125"/>
      <c r="E187" s="125"/>
      <c r="F187" s="125">
        <f t="shared" si="2"/>
        <v>0</v>
      </c>
    </row>
    <row r="188" spans="1:6" x14ac:dyDescent="0.4">
      <c r="A188" s="96">
        <v>184</v>
      </c>
      <c r="B188" s="115"/>
      <c r="C188" s="115"/>
      <c r="D188" s="125"/>
      <c r="E188" s="125"/>
      <c r="F188" s="125">
        <f t="shared" si="2"/>
        <v>0</v>
      </c>
    </row>
    <row r="189" spans="1:6" x14ac:dyDescent="0.4">
      <c r="A189" s="96">
        <v>185</v>
      </c>
      <c r="B189" s="115"/>
      <c r="C189" s="115"/>
      <c r="D189" s="125"/>
      <c r="E189" s="125"/>
      <c r="F189" s="125">
        <f t="shared" si="2"/>
        <v>0</v>
      </c>
    </row>
    <row r="190" spans="1:6" x14ac:dyDescent="0.4">
      <c r="A190" s="96">
        <v>186</v>
      </c>
      <c r="B190" s="115"/>
      <c r="C190" s="115"/>
      <c r="D190" s="125"/>
      <c r="E190" s="125"/>
      <c r="F190" s="125">
        <f t="shared" si="2"/>
        <v>0</v>
      </c>
    </row>
    <row r="191" spans="1:6" x14ac:dyDescent="0.4">
      <c r="A191" s="96">
        <v>187</v>
      </c>
      <c r="B191" s="115"/>
      <c r="C191" s="115"/>
      <c r="D191" s="125"/>
      <c r="E191" s="125"/>
      <c r="F191" s="125">
        <f t="shared" si="2"/>
        <v>0</v>
      </c>
    </row>
    <row r="192" spans="1:6" x14ac:dyDescent="0.4">
      <c r="A192" s="96">
        <v>188</v>
      </c>
      <c r="B192" s="115"/>
      <c r="C192" s="115"/>
      <c r="D192" s="125"/>
      <c r="E192" s="125"/>
      <c r="F192" s="125">
        <f t="shared" si="2"/>
        <v>0</v>
      </c>
    </row>
    <row r="193" spans="1:6" x14ac:dyDescent="0.4">
      <c r="A193" s="96">
        <v>189</v>
      </c>
      <c r="B193" s="115"/>
      <c r="C193" s="115"/>
      <c r="D193" s="125"/>
      <c r="E193" s="125"/>
      <c r="F193" s="125">
        <f t="shared" si="2"/>
        <v>0</v>
      </c>
    </row>
    <row r="194" spans="1:6" x14ac:dyDescent="0.4">
      <c r="A194" s="96">
        <v>190</v>
      </c>
      <c r="B194" s="115"/>
      <c r="C194" s="115"/>
      <c r="D194" s="125"/>
      <c r="E194" s="125"/>
      <c r="F194" s="125">
        <f t="shared" si="2"/>
        <v>0</v>
      </c>
    </row>
    <row r="195" spans="1:6" x14ac:dyDescent="0.4">
      <c r="A195" s="96">
        <v>191</v>
      </c>
      <c r="B195" s="115"/>
      <c r="C195" s="115"/>
      <c r="D195" s="125"/>
      <c r="E195" s="125"/>
      <c r="F195" s="125">
        <f t="shared" si="2"/>
        <v>0</v>
      </c>
    </row>
    <row r="196" spans="1:6" x14ac:dyDescent="0.4">
      <c r="A196" s="96">
        <v>192</v>
      </c>
      <c r="B196" s="115"/>
      <c r="C196" s="115"/>
      <c r="D196" s="125"/>
      <c r="E196" s="125"/>
      <c r="F196" s="125">
        <f t="shared" si="2"/>
        <v>0</v>
      </c>
    </row>
    <row r="197" spans="1:6" x14ac:dyDescent="0.4">
      <c r="A197" s="96">
        <v>193</v>
      </c>
      <c r="B197" s="115"/>
      <c r="C197" s="115"/>
      <c r="D197" s="125"/>
      <c r="E197" s="125"/>
      <c r="F197" s="125">
        <f t="shared" si="2"/>
        <v>0</v>
      </c>
    </row>
    <row r="198" spans="1:6" x14ac:dyDescent="0.4">
      <c r="A198" s="96">
        <v>194</v>
      </c>
      <c r="B198" s="115"/>
      <c r="C198" s="115"/>
      <c r="D198" s="125"/>
      <c r="E198" s="125"/>
      <c r="F198" s="125">
        <f t="shared" ref="F198:F261" si="3">D198*E198</f>
        <v>0</v>
      </c>
    </row>
    <row r="199" spans="1:6" x14ac:dyDescent="0.4">
      <c r="A199" s="96">
        <v>195</v>
      </c>
      <c r="B199" s="115"/>
      <c r="C199" s="115"/>
      <c r="D199" s="125"/>
      <c r="E199" s="125"/>
      <c r="F199" s="125">
        <f t="shared" si="3"/>
        <v>0</v>
      </c>
    </row>
    <row r="200" spans="1:6" x14ac:dyDescent="0.4">
      <c r="A200" s="96">
        <v>196</v>
      </c>
      <c r="B200" s="115"/>
      <c r="C200" s="115"/>
      <c r="D200" s="125"/>
      <c r="E200" s="125"/>
      <c r="F200" s="125">
        <f t="shared" si="3"/>
        <v>0</v>
      </c>
    </row>
    <row r="201" spans="1:6" x14ac:dyDescent="0.4">
      <c r="A201" s="96">
        <v>197</v>
      </c>
      <c r="B201" s="115"/>
      <c r="C201" s="115"/>
      <c r="D201" s="125"/>
      <c r="E201" s="125"/>
      <c r="F201" s="125">
        <f t="shared" si="3"/>
        <v>0</v>
      </c>
    </row>
    <row r="202" spans="1:6" x14ac:dyDescent="0.4">
      <c r="A202" s="96">
        <v>198</v>
      </c>
      <c r="B202" s="115"/>
      <c r="C202" s="115"/>
      <c r="D202" s="125"/>
      <c r="E202" s="125"/>
      <c r="F202" s="125">
        <f t="shared" si="3"/>
        <v>0</v>
      </c>
    </row>
    <row r="203" spans="1:6" x14ac:dyDescent="0.4">
      <c r="A203" s="96">
        <v>199</v>
      </c>
      <c r="B203" s="115"/>
      <c r="C203" s="115"/>
      <c r="D203" s="125"/>
      <c r="E203" s="125"/>
      <c r="F203" s="125">
        <f t="shared" si="3"/>
        <v>0</v>
      </c>
    </row>
    <row r="204" spans="1:6" x14ac:dyDescent="0.4">
      <c r="A204" s="96">
        <v>200</v>
      </c>
      <c r="B204" s="115"/>
      <c r="C204" s="115"/>
      <c r="D204" s="125"/>
      <c r="E204" s="125"/>
      <c r="F204" s="125">
        <f t="shared" si="3"/>
        <v>0</v>
      </c>
    </row>
    <row r="205" spans="1:6" x14ac:dyDescent="0.4">
      <c r="A205" s="96">
        <v>201</v>
      </c>
      <c r="B205" s="115"/>
      <c r="C205" s="115"/>
      <c r="D205" s="125"/>
      <c r="E205" s="125"/>
      <c r="F205" s="125">
        <f t="shared" si="3"/>
        <v>0</v>
      </c>
    </row>
    <row r="206" spans="1:6" x14ac:dyDescent="0.4">
      <c r="A206" s="96">
        <v>202</v>
      </c>
      <c r="B206" s="115"/>
      <c r="C206" s="115"/>
      <c r="D206" s="125"/>
      <c r="E206" s="125"/>
      <c r="F206" s="125">
        <f t="shared" si="3"/>
        <v>0</v>
      </c>
    </row>
    <row r="207" spans="1:6" x14ac:dyDescent="0.4">
      <c r="A207" s="96">
        <v>203</v>
      </c>
      <c r="B207" s="115"/>
      <c r="C207" s="115"/>
      <c r="D207" s="125"/>
      <c r="E207" s="125"/>
      <c r="F207" s="125">
        <f t="shared" si="3"/>
        <v>0</v>
      </c>
    </row>
    <row r="208" spans="1:6" x14ac:dyDescent="0.4">
      <c r="A208" s="96">
        <v>204</v>
      </c>
      <c r="B208" s="115"/>
      <c r="C208" s="115"/>
      <c r="D208" s="125"/>
      <c r="E208" s="125"/>
      <c r="F208" s="125">
        <f t="shared" si="3"/>
        <v>0</v>
      </c>
    </row>
    <row r="209" spans="1:6" x14ac:dyDescent="0.4">
      <c r="A209" s="96">
        <v>205</v>
      </c>
      <c r="B209" s="115"/>
      <c r="C209" s="115"/>
      <c r="D209" s="125"/>
      <c r="E209" s="125"/>
      <c r="F209" s="125">
        <f t="shared" si="3"/>
        <v>0</v>
      </c>
    </row>
    <row r="210" spans="1:6" x14ac:dyDescent="0.4">
      <c r="A210" s="96">
        <v>206</v>
      </c>
      <c r="B210" s="115"/>
      <c r="C210" s="115"/>
      <c r="D210" s="125"/>
      <c r="E210" s="125"/>
      <c r="F210" s="125">
        <f t="shared" si="3"/>
        <v>0</v>
      </c>
    </row>
    <row r="211" spans="1:6" x14ac:dyDescent="0.4">
      <c r="A211" s="96">
        <v>207</v>
      </c>
      <c r="B211" s="115"/>
      <c r="C211" s="115"/>
      <c r="D211" s="125"/>
      <c r="E211" s="125"/>
      <c r="F211" s="125">
        <f t="shared" si="3"/>
        <v>0</v>
      </c>
    </row>
    <row r="212" spans="1:6" x14ac:dyDescent="0.4">
      <c r="A212" s="96">
        <v>208</v>
      </c>
      <c r="B212" s="115"/>
      <c r="C212" s="115"/>
      <c r="D212" s="125"/>
      <c r="E212" s="125"/>
      <c r="F212" s="125">
        <f t="shared" si="3"/>
        <v>0</v>
      </c>
    </row>
    <row r="213" spans="1:6" x14ac:dyDescent="0.4">
      <c r="A213" s="96">
        <v>209</v>
      </c>
      <c r="B213" s="115"/>
      <c r="C213" s="115"/>
      <c r="D213" s="125"/>
      <c r="E213" s="125"/>
      <c r="F213" s="125">
        <f t="shared" si="3"/>
        <v>0</v>
      </c>
    </row>
    <row r="214" spans="1:6" x14ac:dyDescent="0.4">
      <c r="A214" s="96">
        <v>210</v>
      </c>
      <c r="B214" s="115"/>
      <c r="C214" s="115"/>
      <c r="D214" s="125"/>
      <c r="E214" s="125"/>
      <c r="F214" s="125">
        <f t="shared" si="3"/>
        <v>0</v>
      </c>
    </row>
    <row r="215" spans="1:6" x14ac:dyDescent="0.4">
      <c r="A215" s="96">
        <v>211</v>
      </c>
      <c r="B215" s="115"/>
      <c r="C215" s="115"/>
      <c r="D215" s="125"/>
      <c r="E215" s="125"/>
      <c r="F215" s="125">
        <f t="shared" si="3"/>
        <v>0</v>
      </c>
    </row>
    <row r="216" spans="1:6" x14ac:dyDescent="0.4">
      <c r="A216" s="96">
        <v>212</v>
      </c>
      <c r="B216" s="115"/>
      <c r="C216" s="115"/>
      <c r="D216" s="125"/>
      <c r="E216" s="125"/>
      <c r="F216" s="125">
        <f t="shared" si="3"/>
        <v>0</v>
      </c>
    </row>
    <row r="217" spans="1:6" x14ac:dyDescent="0.4">
      <c r="A217" s="96">
        <v>213</v>
      </c>
      <c r="B217" s="115"/>
      <c r="C217" s="115"/>
      <c r="D217" s="125"/>
      <c r="E217" s="125"/>
      <c r="F217" s="125">
        <f t="shared" si="3"/>
        <v>0</v>
      </c>
    </row>
    <row r="218" spans="1:6" x14ac:dyDescent="0.4">
      <c r="A218" s="96">
        <v>214</v>
      </c>
      <c r="B218" s="115"/>
      <c r="C218" s="115"/>
      <c r="D218" s="125"/>
      <c r="E218" s="125"/>
      <c r="F218" s="125">
        <f t="shared" si="3"/>
        <v>0</v>
      </c>
    </row>
    <row r="219" spans="1:6" x14ac:dyDescent="0.4">
      <c r="A219" s="96">
        <v>215</v>
      </c>
      <c r="B219" s="115"/>
      <c r="C219" s="115"/>
      <c r="D219" s="125"/>
      <c r="E219" s="125"/>
      <c r="F219" s="125">
        <f t="shared" si="3"/>
        <v>0</v>
      </c>
    </row>
    <row r="220" spans="1:6" x14ac:dyDescent="0.4">
      <c r="A220" s="96">
        <v>216</v>
      </c>
      <c r="B220" s="115"/>
      <c r="C220" s="115"/>
      <c r="D220" s="125"/>
      <c r="E220" s="125"/>
      <c r="F220" s="125">
        <f t="shared" si="3"/>
        <v>0</v>
      </c>
    </row>
    <row r="221" spans="1:6" x14ac:dyDescent="0.4">
      <c r="A221" s="96">
        <v>217</v>
      </c>
      <c r="B221" s="115"/>
      <c r="C221" s="115"/>
      <c r="D221" s="125"/>
      <c r="E221" s="125"/>
      <c r="F221" s="125">
        <f t="shared" si="3"/>
        <v>0</v>
      </c>
    </row>
    <row r="222" spans="1:6" x14ac:dyDescent="0.4">
      <c r="A222" s="96">
        <v>218</v>
      </c>
      <c r="B222" s="115"/>
      <c r="C222" s="115"/>
      <c r="D222" s="125"/>
      <c r="E222" s="125"/>
      <c r="F222" s="125">
        <f t="shared" si="3"/>
        <v>0</v>
      </c>
    </row>
    <row r="223" spans="1:6" x14ac:dyDescent="0.4">
      <c r="A223" s="96">
        <v>219</v>
      </c>
      <c r="B223" s="115"/>
      <c r="C223" s="115"/>
      <c r="D223" s="125"/>
      <c r="E223" s="125"/>
      <c r="F223" s="125">
        <f t="shared" si="3"/>
        <v>0</v>
      </c>
    </row>
    <row r="224" spans="1:6" x14ac:dyDescent="0.4">
      <c r="A224" s="96">
        <v>220</v>
      </c>
      <c r="B224" s="115"/>
      <c r="C224" s="115"/>
      <c r="D224" s="125"/>
      <c r="E224" s="125"/>
      <c r="F224" s="125">
        <f t="shared" si="3"/>
        <v>0</v>
      </c>
    </row>
    <row r="225" spans="1:6" x14ac:dyDescent="0.4">
      <c r="A225" s="96">
        <v>221</v>
      </c>
      <c r="B225" s="115"/>
      <c r="C225" s="115"/>
      <c r="D225" s="125"/>
      <c r="E225" s="125"/>
      <c r="F225" s="125">
        <f t="shared" si="3"/>
        <v>0</v>
      </c>
    </row>
    <row r="226" spans="1:6" x14ac:dyDescent="0.4">
      <c r="A226" s="96">
        <v>222</v>
      </c>
      <c r="B226" s="115"/>
      <c r="C226" s="115"/>
      <c r="D226" s="125"/>
      <c r="E226" s="125"/>
      <c r="F226" s="125">
        <f t="shared" si="3"/>
        <v>0</v>
      </c>
    </row>
    <row r="227" spans="1:6" x14ac:dyDescent="0.4">
      <c r="A227" s="96">
        <v>223</v>
      </c>
      <c r="B227" s="115"/>
      <c r="C227" s="115"/>
      <c r="D227" s="125"/>
      <c r="E227" s="125"/>
      <c r="F227" s="125">
        <f t="shared" si="3"/>
        <v>0</v>
      </c>
    </row>
    <row r="228" spans="1:6" x14ac:dyDescent="0.4">
      <c r="A228" s="96">
        <v>224</v>
      </c>
      <c r="B228" s="115"/>
      <c r="C228" s="115"/>
      <c r="D228" s="125"/>
      <c r="E228" s="125"/>
      <c r="F228" s="125">
        <f t="shared" si="3"/>
        <v>0</v>
      </c>
    </row>
    <row r="229" spans="1:6" x14ac:dyDescent="0.4">
      <c r="A229" s="96">
        <v>225</v>
      </c>
      <c r="B229" s="115"/>
      <c r="C229" s="115"/>
      <c r="D229" s="125"/>
      <c r="E229" s="125"/>
      <c r="F229" s="125">
        <f t="shared" si="3"/>
        <v>0</v>
      </c>
    </row>
    <row r="230" spans="1:6" x14ac:dyDescent="0.4">
      <c r="A230" s="96">
        <v>226</v>
      </c>
      <c r="B230" s="115"/>
      <c r="C230" s="115"/>
      <c r="D230" s="125"/>
      <c r="E230" s="125"/>
      <c r="F230" s="125">
        <f t="shared" si="3"/>
        <v>0</v>
      </c>
    </row>
    <row r="231" spans="1:6" x14ac:dyDescent="0.4">
      <c r="A231" s="96">
        <v>227</v>
      </c>
      <c r="B231" s="115"/>
      <c r="C231" s="115"/>
      <c r="D231" s="125"/>
      <c r="E231" s="125"/>
      <c r="F231" s="125">
        <f t="shared" si="3"/>
        <v>0</v>
      </c>
    </row>
    <row r="232" spans="1:6" x14ac:dyDescent="0.4">
      <c r="A232" s="96">
        <v>228</v>
      </c>
      <c r="B232" s="115"/>
      <c r="C232" s="115"/>
      <c r="D232" s="125"/>
      <c r="E232" s="125"/>
      <c r="F232" s="125">
        <f t="shared" si="3"/>
        <v>0</v>
      </c>
    </row>
    <row r="233" spans="1:6" x14ac:dyDescent="0.4">
      <c r="A233" s="96">
        <v>229</v>
      </c>
      <c r="B233" s="115"/>
      <c r="C233" s="115"/>
      <c r="D233" s="125"/>
      <c r="E233" s="125"/>
      <c r="F233" s="125">
        <f t="shared" si="3"/>
        <v>0</v>
      </c>
    </row>
    <row r="234" spans="1:6" x14ac:dyDescent="0.4">
      <c r="A234" s="96">
        <v>230</v>
      </c>
      <c r="B234" s="115"/>
      <c r="C234" s="115"/>
      <c r="D234" s="125"/>
      <c r="E234" s="125"/>
      <c r="F234" s="125">
        <f t="shared" si="3"/>
        <v>0</v>
      </c>
    </row>
    <row r="235" spans="1:6" x14ac:dyDescent="0.4">
      <c r="A235" s="96">
        <v>231</v>
      </c>
      <c r="B235" s="115"/>
      <c r="C235" s="115"/>
      <c r="D235" s="125"/>
      <c r="E235" s="125"/>
      <c r="F235" s="125">
        <f t="shared" si="3"/>
        <v>0</v>
      </c>
    </row>
    <row r="236" spans="1:6" x14ac:dyDescent="0.4">
      <c r="A236" s="96">
        <v>232</v>
      </c>
      <c r="B236" s="115"/>
      <c r="C236" s="115"/>
      <c r="D236" s="125"/>
      <c r="E236" s="125"/>
      <c r="F236" s="125">
        <f t="shared" si="3"/>
        <v>0</v>
      </c>
    </row>
    <row r="237" spans="1:6" x14ac:dyDescent="0.4">
      <c r="A237" s="96">
        <v>233</v>
      </c>
      <c r="B237" s="115"/>
      <c r="C237" s="115"/>
      <c r="D237" s="125"/>
      <c r="E237" s="125"/>
      <c r="F237" s="125">
        <f t="shared" si="3"/>
        <v>0</v>
      </c>
    </row>
    <row r="238" spans="1:6" x14ac:dyDescent="0.4">
      <c r="A238" s="96">
        <v>234</v>
      </c>
      <c r="B238" s="115"/>
      <c r="C238" s="115"/>
      <c r="D238" s="125"/>
      <c r="E238" s="125"/>
      <c r="F238" s="125">
        <f t="shared" si="3"/>
        <v>0</v>
      </c>
    </row>
    <row r="239" spans="1:6" x14ac:dyDescent="0.4">
      <c r="A239" s="96">
        <v>235</v>
      </c>
      <c r="B239" s="115"/>
      <c r="C239" s="115"/>
      <c r="D239" s="125"/>
      <c r="E239" s="125"/>
      <c r="F239" s="125">
        <f t="shared" si="3"/>
        <v>0</v>
      </c>
    </row>
    <row r="240" spans="1:6" x14ac:dyDescent="0.4">
      <c r="A240" s="96">
        <v>236</v>
      </c>
      <c r="B240" s="115"/>
      <c r="C240" s="115"/>
      <c r="D240" s="125"/>
      <c r="E240" s="125"/>
      <c r="F240" s="125">
        <f t="shared" si="3"/>
        <v>0</v>
      </c>
    </row>
    <row r="241" spans="1:6" x14ac:dyDescent="0.4">
      <c r="A241" s="96">
        <v>237</v>
      </c>
      <c r="B241" s="115"/>
      <c r="C241" s="115"/>
      <c r="D241" s="125"/>
      <c r="E241" s="125"/>
      <c r="F241" s="125">
        <f t="shared" si="3"/>
        <v>0</v>
      </c>
    </row>
    <row r="242" spans="1:6" x14ac:dyDescent="0.4">
      <c r="A242" s="96">
        <v>238</v>
      </c>
      <c r="B242" s="115"/>
      <c r="C242" s="115"/>
      <c r="D242" s="125"/>
      <c r="E242" s="125"/>
      <c r="F242" s="125">
        <f t="shared" si="3"/>
        <v>0</v>
      </c>
    </row>
    <row r="243" spans="1:6" x14ac:dyDescent="0.4">
      <c r="A243" s="96">
        <v>239</v>
      </c>
      <c r="B243" s="115"/>
      <c r="C243" s="115"/>
      <c r="D243" s="125"/>
      <c r="E243" s="125"/>
      <c r="F243" s="125">
        <f t="shared" si="3"/>
        <v>0</v>
      </c>
    </row>
    <row r="244" spans="1:6" x14ac:dyDescent="0.4">
      <c r="A244" s="96">
        <v>240</v>
      </c>
      <c r="B244" s="115"/>
      <c r="C244" s="115"/>
      <c r="D244" s="125"/>
      <c r="E244" s="125"/>
      <c r="F244" s="125">
        <f t="shared" si="3"/>
        <v>0</v>
      </c>
    </row>
    <row r="245" spans="1:6" x14ac:dyDescent="0.4">
      <c r="A245" s="96">
        <v>241</v>
      </c>
      <c r="B245" s="115"/>
      <c r="C245" s="115"/>
      <c r="D245" s="125"/>
      <c r="E245" s="125"/>
      <c r="F245" s="125">
        <f t="shared" si="3"/>
        <v>0</v>
      </c>
    </row>
    <row r="246" spans="1:6" x14ac:dyDescent="0.4">
      <c r="A246" s="96">
        <v>242</v>
      </c>
      <c r="B246" s="115"/>
      <c r="C246" s="115"/>
      <c r="D246" s="125"/>
      <c r="E246" s="125"/>
      <c r="F246" s="125">
        <f t="shared" si="3"/>
        <v>0</v>
      </c>
    </row>
    <row r="247" spans="1:6" x14ac:dyDescent="0.4">
      <c r="A247" s="96">
        <v>243</v>
      </c>
      <c r="B247" s="115"/>
      <c r="C247" s="115"/>
      <c r="D247" s="125"/>
      <c r="E247" s="125"/>
      <c r="F247" s="125">
        <f t="shared" si="3"/>
        <v>0</v>
      </c>
    </row>
    <row r="248" spans="1:6" x14ac:dyDescent="0.4">
      <c r="A248" s="96">
        <v>244</v>
      </c>
      <c r="B248" s="115"/>
      <c r="C248" s="115"/>
      <c r="D248" s="125"/>
      <c r="E248" s="125"/>
      <c r="F248" s="125">
        <f t="shared" si="3"/>
        <v>0</v>
      </c>
    </row>
    <row r="249" spans="1:6" x14ac:dyDescent="0.4">
      <c r="A249" s="96">
        <v>245</v>
      </c>
      <c r="B249" s="115"/>
      <c r="C249" s="115"/>
      <c r="D249" s="125"/>
      <c r="E249" s="125"/>
      <c r="F249" s="125">
        <f t="shared" si="3"/>
        <v>0</v>
      </c>
    </row>
    <row r="250" spans="1:6" x14ac:dyDescent="0.4">
      <c r="A250" s="96">
        <v>246</v>
      </c>
      <c r="B250" s="115"/>
      <c r="C250" s="115"/>
      <c r="D250" s="125"/>
      <c r="E250" s="125"/>
      <c r="F250" s="125">
        <f t="shared" si="3"/>
        <v>0</v>
      </c>
    </row>
    <row r="251" spans="1:6" x14ac:dyDescent="0.4">
      <c r="A251" s="96">
        <v>247</v>
      </c>
      <c r="B251" s="115"/>
      <c r="C251" s="115"/>
      <c r="D251" s="125"/>
      <c r="E251" s="125"/>
      <c r="F251" s="125">
        <f t="shared" si="3"/>
        <v>0</v>
      </c>
    </row>
    <row r="252" spans="1:6" x14ac:dyDescent="0.4">
      <c r="A252" s="96">
        <v>248</v>
      </c>
      <c r="B252" s="115"/>
      <c r="C252" s="115"/>
      <c r="D252" s="125"/>
      <c r="E252" s="125"/>
      <c r="F252" s="125">
        <f t="shared" si="3"/>
        <v>0</v>
      </c>
    </row>
    <row r="253" spans="1:6" x14ac:dyDescent="0.4">
      <c r="A253" s="96">
        <v>249</v>
      </c>
      <c r="B253" s="115"/>
      <c r="C253" s="115"/>
      <c r="D253" s="125"/>
      <c r="E253" s="125"/>
      <c r="F253" s="125">
        <f t="shared" si="3"/>
        <v>0</v>
      </c>
    </row>
    <row r="254" spans="1:6" x14ac:dyDescent="0.4">
      <c r="A254" s="96">
        <v>250</v>
      </c>
      <c r="B254" s="115"/>
      <c r="C254" s="115"/>
      <c r="D254" s="125"/>
      <c r="E254" s="125"/>
      <c r="F254" s="125">
        <f t="shared" si="3"/>
        <v>0</v>
      </c>
    </row>
    <row r="255" spans="1:6" x14ac:dyDescent="0.4">
      <c r="A255" s="96">
        <v>251</v>
      </c>
      <c r="B255" s="115"/>
      <c r="C255" s="115"/>
      <c r="D255" s="125"/>
      <c r="E255" s="125"/>
      <c r="F255" s="125">
        <f t="shared" si="3"/>
        <v>0</v>
      </c>
    </row>
    <row r="256" spans="1:6" x14ac:dyDescent="0.4">
      <c r="A256" s="96">
        <v>252</v>
      </c>
      <c r="B256" s="115"/>
      <c r="C256" s="115"/>
      <c r="D256" s="125"/>
      <c r="E256" s="125"/>
      <c r="F256" s="125">
        <f t="shared" si="3"/>
        <v>0</v>
      </c>
    </row>
    <row r="257" spans="1:6" x14ac:dyDescent="0.4">
      <c r="A257" s="96">
        <v>253</v>
      </c>
      <c r="B257" s="115"/>
      <c r="C257" s="115"/>
      <c r="D257" s="125"/>
      <c r="E257" s="125"/>
      <c r="F257" s="125">
        <f t="shared" si="3"/>
        <v>0</v>
      </c>
    </row>
    <row r="258" spans="1:6" x14ac:dyDescent="0.4">
      <c r="A258" s="96">
        <v>254</v>
      </c>
      <c r="B258" s="115"/>
      <c r="C258" s="115"/>
      <c r="D258" s="125"/>
      <c r="E258" s="125"/>
      <c r="F258" s="125">
        <f t="shared" si="3"/>
        <v>0</v>
      </c>
    </row>
    <row r="259" spans="1:6" x14ac:dyDescent="0.4">
      <c r="A259" s="96">
        <v>255</v>
      </c>
      <c r="B259" s="115"/>
      <c r="C259" s="115"/>
      <c r="D259" s="125"/>
      <c r="E259" s="125"/>
      <c r="F259" s="125">
        <f t="shared" si="3"/>
        <v>0</v>
      </c>
    </row>
    <row r="260" spans="1:6" x14ac:dyDescent="0.4">
      <c r="A260" s="96">
        <v>256</v>
      </c>
      <c r="B260" s="115"/>
      <c r="C260" s="115"/>
      <c r="D260" s="125"/>
      <c r="E260" s="125"/>
      <c r="F260" s="125">
        <f t="shared" si="3"/>
        <v>0</v>
      </c>
    </row>
    <row r="261" spans="1:6" x14ac:dyDescent="0.4">
      <c r="A261" s="96">
        <v>257</v>
      </c>
      <c r="B261" s="115"/>
      <c r="C261" s="115"/>
      <c r="D261" s="125"/>
      <c r="E261" s="125"/>
      <c r="F261" s="125">
        <f t="shared" si="3"/>
        <v>0</v>
      </c>
    </row>
    <row r="262" spans="1:6" x14ac:dyDescent="0.4">
      <c r="A262" s="96">
        <v>258</v>
      </c>
      <c r="B262" s="115"/>
      <c r="C262" s="115"/>
      <c r="D262" s="125"/>
      <c r="E262" s="125"/>
      <c r="F262" s="125">
        <f t="shared" ref="F262:F325" si="4">D262*E262</f>
        <v>0</v>
      </c>
    </row>
    <row r="263" spans="1:6" x14ac:dyDescent="0.4">
      <c r="A263" s="96">
        <v>259</v>
      </c>
      <c r="B263" s="115"/>
      <c r="C263" s="115"/>
      <c r="D263" s="125"/>
      <c r="E263" s="125"/>
      <c r="F263" s="125">
        <f t="shared" si="4"/>
        <v>0</v>
      </c>
    </row>
    <row r="264" spans="1:6" x14ac:dyDescent="0.4">
      <c r="A264" s="96">
        <v>260</v>
      </c>
      <c r="B264" s="115"/>
      <c r="C264" s="115"/>
      <c r="D264" s="125"/>
      <c r="E264" s="125"/>
      <c r="F264" s="125">
        <f t="shared" si="4"/>
        <v>0</v>
      </c>
    </row>
    <row r="265" spans="1:6" x14ac:dyDescent="0.4">
      <c r="A265" s="96">
        <v>261</v>
      </c>
      <c r="B265" s="115"/>
      <c r="C265" s="115"/>
      <c r="D265" s="125"/>
      <c r="E265" s="125"/>
      <c r="F265" s="125">
        <f t="shared" si="4"/>
        <v>0</v>
      </c>
    </row>
    <row r="266" spans="1:6" x14ac:dyDescent="0.4">
      <c r="A266" s="96">
        <v>262</v>
      </c>
      <c r="B266" s="115"/>
      <c r="C266" s="115"/>
      <c r="D266" s="125"/>
      <c r="E266" s="125"/>
      <c r="F266" s="125">
        <f t="shared" si="4"/>
        <v>0</v>
      </c>
    </row>
    <row r="267" spans="1:6" x14ac:dyDescent="0.4">
      <c r="A267" s="96">
        <v>263</v>
      </c>
      <c r="B267" s="115"/>
      <c r="C267" s="115"/>
      <c r="D267" s="125"/>
      <c r="E267" s="125"/>
      <c r="F267" s="125">
        <f t="shared" si="4"/>
        <v>0</v>
      </c>
    </row>
    <row r="268" spans="1:6" x14ac:dyDescent="0.4">
      <c r="A268" s="96">
        <v>264</v>
      </c>
      <c r="B268" s="115"/>
      <c r="C268" s="115"/>
      <c r="D268" s="125"/>
      <c r="E268" s="125"/>
      <c r="F268" s="125">
        <f t="shared" si="4"/>
        <v>0</v>
      </c>
    </row>
    <row r="269" spans="1:6" x14ac:dyDescent="0.4">
      <c r="A269" s="96">
        <v>265</v>
      </c>
      <c r="B269" s="115"/>
      <c r="C269" s="115"/>
      <c r="D269" s="125"/>
      <c r="E269" s="125"/>
      <c r="F269" s="125">
        <f t="shared" si="4"/>
        <v>0</v>
      </c>
    </row>
    <row r="270" spans="1:6" x14ac:dyDescent="0.4">
      <c r="A270" s="96">
        <v>266</v>
      </c>
      <c r="B270" s="115"/>
      <c r="C270" s="115"/>
      <c r="D270" s="125"/>
      <c r="E270" s="125"/>
      <c r="F270" s="125">
        <f t="shared" si="4"/>
        <v>0</v>
      </c>
    </row>
    <row r="271" spans="1:6" x14ac:dyDescent="0.4">
      <c r="A271" s="96">
        <v>267</v>
      </c>
      <c r="B271" s="115"/>
      <c r="C271" s="115"/>
      <c r="D271" s="125"/>
      <c r="E271" s="125"/>
      <c r="F271" s="125">
        <f t="shared" si="4"/>
        <v>0</v>
      </c>
    </row>
    <row r="272" spans="1:6" x14ac:dyDescent="0.4">
      <c r="A272" s="96">
        <v>268</v>
      </c>
      <c r="B272" s="115"/>
      <c r="C272" s="115"/>
      <c r="D272" s="125"/>
      <c r="E272" s="125"/>
      <c r="F272" s="125">
        <f t="shared" si="4"/>
        <v>0</v>
      </c>
    </row>
    <row r="273" spans="1:6" x14ac:dyDescent="0.4">
      <c r="A273" s="96">
        <v>269</v>
      </c>
      <c r="B273" s="115"/>
      <c r="C273" s="115"/>
      <c r="D273" s="125"/>
      <c r="E273" s="125"/>
      <c r="F273" s="125">
        <f t="shared" si="4"/>
        <v>0</v>
      </c>
    </row>
    <row r="274" spans="1:6" x14ac:dyDescent="0.4">
      <c r="A274" s="96">
        <v>270</v>
      </c>
      <c r="B274" s="115"/>
      <c r="C274" s="115"/>
      <c r="D274" s="125"/>
      <c r="E274" s="125"/>
      <c r="F274" s="125">
        <f t="shared" si="4"/>
        <v>0</v>
      </c>
    </row>
    <row r="275" spans="1:6" x14ac:dyDescent="0.4">
      <c r="A275" s="96">
        <v>271</v>
      </c>
      <c r="B275" s="115"/>
      <c r="C275" s="115"/>
      <c r="D275" s="125"/>
      <c r="E275" s="125"/>
      <c r="F275" s="125">
        <f t="shared" si="4"/>
        <v>0</v>
      </c>
    </row>
    <row r="276" spans="1:6" x14ac:dyDescent="0.4">
      <c r="A276" s="96">
        <v>272</v>
      </c>
      <c r="B276" s="115"/>
      <c r="C276" s="115"/>
      <c r="D276" s="125"/>
      <c r="E276" s="125"/>
      <c r="F276" s="125">
        <f t="shared" si="4"/>
        <v>0</v>
      </c>
    </row>
    <row r="277" spans="1:6" x14ac:dyDescent="0.4">
      <c r="A277" s="96">
        <v>273</v>
      </c>
      <c r="B277" s="115"/>
      <c r="C277" s="115"/>
      <c r="D277" s="125"/>
      <c r="E277" s="125"/>
      <c r="F277" s="125">
        <f t="shared" si="4"/>
        <v>0</v>
      </c>
    </row>
    <row r="278" spans="1:6" x14ac:dyDescent="0.4">
      <c r="A278" s="96">
        <v>274</v>
      </c>
      <c r="B278" s="115"/>
      <c r="C278" s="115"/>
      <c r="D278" s="125"/>
      <c r="E278" s="125"/>
      <c r="F278" s="125">
        <f t="shared" si="4"/>
        <v>0</v>
      </c>
    </row>
    <row r="279" spans="1:6" x14ac:dyDescent="0.4">
      <c r="A279" s="96">
        <v>275</v>
      </c>
      <c r="B279" s="115"/>
      <c r="C279" s="115"/>
      <c r="D279" s="125"/>
      <c r="E279" s="125"/>
      <c r="F279" s="125">
        <f t="shared" si="4"/>
        <v>0</v>
      </c>
    </row>
    <row r="280" spans="1:6" x14ac:dyDescent="0.4">
      <c r="A280" s="96">
        <v>276</v>
      </c>
      <c r="B280" s="115"/>
      <c r="C280" s="115"/>
      <c r="D280" s="125"/>
      <c r="E280" s="125"/>
      <c r="F280" s="125">
        <f t="shared" si="4"/>
        <v>0</v>
      </c>
    </row>
    <row r="281" spans="1:6" x14ac:dyDescent="0.4">
      <c r="A281" s="96">
        <v>277</v>
      </c>
      <c r="B281" s="115"/>
      <c r="C281" s="115"/>
      <c r="D281" s="125"/>
      <c r="E281" s="125"/>
      <c r="F281" s="125">
        <f t="shared" si="4"/>
        <v>0</v>
      </c>
    </row>
    <row r="282" spans="1:6" x14ac:dyDescent="0.4">
      <c r="A282" s="96">
        <v>278</v>
      </c>
      <c r="B282" s="115"/>
      <c r="C282" s="115"/>
      <c r="D282" s="125"/>
      <c r="E282" s="125"/>
      <c r="F282" s="125">
        <f t="shared" si="4"/>
        <v>0</v>
      </c>
    </row>
    <row r="283" spans="1:6" x14ac:dyDescent="0.4">
      <c r="A283" s="96">
        <v>279</v>
      </c>
      <c r="B283" s="115"/>
      <c r="C283" s="115"/>
      <c r="D283" s="125"/>
      <c r="E283" s="125"/>
      <c r="F283" s="125">
        <f t="shared" si="4"/>
        <v>0</v>
      </c>
    </row>
    <row r="284" spans="1:6" x14ac:dyDescent="0.4">
      <c r="A284" s="96">
        <v>280</v>
      </c>
      <c r="B284" s="115"/>
      <c r="C284" s="115"/>
      <c r="D284" s="125"/>
      <c r="E284" s="125"/>
      <c r="F284" s="125">
        <f t="shared" si="4"/>
        <v>0</v>
      </c>
    </row>
    <row r="285" spans="1:6" x14ac:dyDescent="0.4">
      <c r="A285" s="96">
        <v>281</v>
      </c>
      <c r="B285" s="115"/>
      <c r="C285" s="115"/>
      <c r="D285" s="125"/>
      <c r="E285" s="125"/>
      <c r="F285" s="125">
        <f t="shared" si="4"/>
        <v>0</v>
      </c>
    </row>
    <row r="286" spans="1:6" x14ac:dyDescent="0.4">
      <c r="A286" s="96">
        <v>282</v>
      </c>
      <c r="B286" s="115"/>
      <c r="C286" s="115"/>
      <c r="D286" s="125"/>
      <c r="E286" s="125"/>
      <c r="F286" s="125">
        <f t="shared" si="4"/>
        <v>0</v>
      </c>
    </row>
    <row r="287" spans="1:6" x14ac:dyDescent="0.4">
      <c r="A287" s="96">
        <v>283</v>
      </c>
      <c r="B287" s="115"/>
      <c r="C287" s="115"/>
      <c r="D287" s="125"/>
      <c r="E287" s="125"/>
      <c r="F287" s="125">
        <f t="shared" si="4"/>
        <v>0</v>
      </c>
    </row>
    <row r="288" spans="1:6" x14ac:dyDescent="0.4">
      <c r="A288" s="96">
        <v>284</v>
      </c>
      <c r="B288" s="115"/>
      <c r="C288" s="115"/>
      <c r="D288" s="125"/>
      <c r="E288" s="125"/>
      <c r="F288" s="125">
        <f t="shared" si="4"/>
        <v>0</v>
      </c>
    </row>
    <row r="289" spans="1:6" x14ac:dyDescent="0.4">
      <c r="A289" s="96">
        <v>285</v>
      </c>
      <c r="B289" s="115"/>
      <c r="C289" s="115"/>
      <c r="D289" s="125"/>
      <c r="E289" s="125"/>
      <c r="F289" s="125">
        <f t="shared" si="4"/>
        <v>0</v>
      </c>
    </row>
    <row r="290" spans="1:6" x14ac:dyDescent="0.4">
      <c r="A290" s="96">
        <v>286</v>
      </c>
      <c r="B290" s="115"/>
      <c r="C290" s="115"/>
      <c r="D290" s="125"/>
      <c r="E290" s="125"/>
      <c r="F290" s="125">
        <f t="shared" si="4"/>
        <v>0</v>
      </c>
    </row>
    <row r="291" spans="1:6" x14ac:dyDescent="0.4">
      <c r="A291" s="96">
        <v>287</v>
      </c>
      <c r="B291" s="115"/>
      <c r="C291" s="115"/>
      <c r="D291" s="125"/>
      <c r="E291" s="125"/>
      <c r="F291" s="125">
        <f t="shared" si="4"/>
        <v>0</v>
      </c>
    </row>
    <row r="292" spans="1:6" x14ac:dyDescent="0.4">
      <c r="A292" s="96">
        <v>288</v>
      </c>
      <c r="B292" s="115"/>
      <c r="C292" s="115"/>
      <c r="D292" s="125"/>
      <c r="E292" s="125"/>
      <c r="F292" s="125">
        <f t="shared" si="4"/>
        <v>0</v>
      </c>
    </row>
    <row r="293" spans="1:6" x14ac:dyDescent="0.4">
      <c r="A293" s="96">
        <v>289</v>
      </c>
      <c r="B293" s="115"/>
      <c r="C293" s="115"/>
      <c r="D293" s="125"/>
      <c r="E293" s="125"/>
      <c r="F293" s="125">
        <f t="shared" si="4"/>
        <v>0</v>
      </c>
    </row>
    <row r="294" spans="1:6" x14ac:dyDescent="0.4">
      <c r="A294" s="96">
        <v>290</v>
      </c>
      <c r="B294" s="115"/>
      <c r="C294" s="115"/>
      <c r="D294" s="125"/>
      <c r="E294" s="125"/>
      <c r="F294" s="125">
        <f t="shared" si="4"/>
        <v>0</v>
      </c>
    </row>
    <row r="295" spans="1:6" x14ac:dyDescent="0.4">
      <c r="A295" s="96">
        <v>291</v>
      </c>
      <c r="B295" s="115"/>
      <c r="C295" s="115"/>
      <c r="D295" s="125"/>
      <c r="E295" s="125"/>
      <c r="F295" s="125">
        <f t="shared" si="4"/>
        <v>0</v>
      </c>
    </row>
    <row r="296" spans="1:6" x14ac:dyDescent="0.4">
      <c r="A296" s="96">
        <v>292</v>
      </c>
      <c r="B296" s="115"/>
      <c r="C296" s="115"/>
      <c r="D296" s="125"/>
      <c r="E296" s="125"/>
      <c r="F296" s="125">
        <f t="shared" si="4"/>
        <v>0</v>
      </c>
    </row>
    <row r="297" spans="1:6" x14ac:dyDescent="0.4">
      <c r="A297" s="96">
        <v>293</v>
      </c>
      <c r="B297" s="115"/>
      <c r="C297" s="115"/>
      <c r="D297" s="125"/>
      <c r="E297" s="125"/>
      <c r="F297" s="125">
        <f t="shared" si="4"/>
        <v>0</v>
      </c>
    </row>
    <row r="298" spans="1:6" x14ac:dyDescent="0.4">
      <c r="A298" s="96">
        <v>294</v>
      </c>
      <c r="B298" s="115"/>
      <c r="C298" s="115"/>
      <c r="D298" s="125"/>
      <c r="E298" s="125"/>
      <c r="F298" s="125">
        <f t="shared" si="4"/>
        <v>0</v>
      </c>
    </row>
    <row r="299" spans="1:6" x14ac:dyDescent="0.4">
      <c r="A299" s="96">
        <v>295</v>
      </c>
      <c r="B299" s="115"/>
      <c r="C299" s="115"/>
      <c r="D299" s="125"/>
      <c r="E299" s="125"/>
      <c r="F299" s="125">
        <f t="shared" si="4"/>
        <v>0</v>
      </c>
    </row>
    <row r="300" spans="1:6" x14ac:dyDescent="0.4">
      <c r="A300" s="96">
        <v>296</v>
      </c>
      <c r="B300" s="115"/>
      <c r="C300" s="115"/>
      <c r="D300" s="125"/>
      <c r="E300" s="125"/>
      <c r="F300" s="125">
        <f t="shared" si="4"/>
        <v>0</v>
      </c>
    </row>
    <row r="301" spans="1:6" x14ac:dyDescent="0.4">
      <c r="A301" s="96">
        <v>297</v>
      </c>
      <c r="B301" s="115"/>
      <c r="C301" s="115"/>
      <c r="D301" s="125"/>
      <c r="E301" s="125"/>
      <c r="F301" s="125">
        <f t="shared" si="4"/>
        <v>0</v>
      </c>
    </row>
    <row r="302" spans="1:6" x14ac:dyDescent="0.4">
      <c r="A302" s="96">
        <v>298</v>
      </c>
      <c r="B302" s="115"/>
      <c r="C302" s="115"/>
      <c r="D302" s="125"/>
      <c r="E302" s="125"/>
      <c r="F302" s="125">
        <f t="shared" si="4"/>
        <v>0</v>
      </c>
    </row>
    <row r="303" spans="1:6" x14ac:dyDescent="0.4">
      <c r="A303" s="96">
        <v>299</v>
      </c>
      <c r="B303" s="115"/>
      <c r="C303" s="115"/>
      <c r="D303" s="125"/>
      <c r="E303" s="125"/>
      <c r="F303" s="125">
        <f t="shared" si="4"/>
        <v>0</v>
      </c>
    </row>
    <row r="304" spans="1:6" x14ac:dyDescent="0.4">
      <c r="A304" s="96">
        <v>300</v>
      </c>
      <c r="B304" s="115"/>
      <c r="C304" s="115"/>
      <c r="D304" s="125"/>
      <c r="E304" s="125"/>
      <c r="F304" s="125">
        <f t="shared" si="4"/>
        <v>0</v>
      </c>
    </row>
    <row r="305" spans="1:6" x14ac:dyDescent="0.4">
      <c r="A305" s="96">
        <v>301</v>
      </c>
      <c r="B305" s="115"/>
      <c r="C305" s="115"/>
      <c r="D305" s="125"/>
      <c r="E305" s="125"/>
      <c r="F305" s="125">
        <f t="shared" si="4"/>
        <v>0</v>
      </c>
    </row>
    <row r="306" spans="1:6" x14ac:dyDescent="0.4">
      <c r="A306" s="96">
        <v>302</v>
      </c>
      <c r="B306" s="115"/>
      <c r="C306" s="115"/>
      <c r="D306" s="125"/>
      <c r="E306" s="125"/>
      <c r="F306" s="125">
        <f t="shared" si="4"/>
        <v>0</v>
      </c>
    </row>
    <row r="307" spans="1:6" x14ac:dyDescent="0.4">
      <c r="A307" s="96">
        <v>303</v>
      </c>
      <c r="B307" s="115"/>
      <c r="C307" s="115"/>
      <c r="D307" s="125"/>
      <c r="E307" s="125"/>
      <c r="F307" s="125">
        <f t="shared" si="4"/>
        <v>0</v>
      </c>
    </row>
    <row r="308" spans="1:6" x14ac:dyDescent="0.4">
      <c r="A308" s="96">
        <v>304</v>
      </c>
      <c r="B308" s="115"/>
      <c r="C308" s="115"/>
      <c r="D308" s="125"/>
      <c r="E308" s="125"/>
      <c r="F308" s="125">
        <f t="shared" si="4"/>
        <v>0</v>
      </c>
    </row>
    <row r="309" spans="1:6" x14ac:dyDescent="0.4">
      <c r="A309" s="96">
        <v>305</v>
      </c>
      <c r="B309" s="115"/>
      <c r="C309" s="115"/>
      <c r="D309" s="125"/>
      <c r="E309" s="125"/>
      <c r="F309" s="125">
        <f t="shared" si="4"/>
        <v>0</v>
      </c>
    </row>
    <row r="310" spans="1:6" x14ac:dyDescent="0.4">
      <c r="A310" s="96">
        <v>306</v>
      </c>
      <c r="B310" s="115"/>
      <c r="C310" s="115"/>
      <c r="D310" s="125"/>
      <c r="E310" s="125"/>
      <c r="F310" s="125">
        <f t="shared" si="4"/>
        <v>0</v>
      </c>
    </row>
    <row r="311" spans="1:6" x14ac:dyDescent="0.4">
      <c r="A311" s="96">
        <v>307</v>
      </c>
      <c r="B311" s="115"/>
      <c r="C311" s="115"/>
      <c r="D311" s="125"/>
      <c r="E311" s="125"/>
      <c r="F311" s="125">
        <f t="shared" si="4"/>
        <v>0</v>
      </c>
    </row>
    <row r="312" spans="1:6" x14ac:dyDescent="0.4">
      <c r="A312" s="96">
        <v>308</v>
      </c>
      <c r="B312" s="115"/>
      <c r="C312" s="115"/>
      <c r="D312" s="125"/>
      <c r="E312" s="125"/>
      <c r="F312" s="125">
        <f t="shared" si="4"/>
        <v>0</v>
      </c>
    </row>
    <row r="313" spans="1:6" x14ac:dyDescent="0.4">
      <c r="A313" s="96">
        <v>309</v>
      </c>
      <c r="B313" s="115"/>
      <c r="C313" s="115"/>
      <c r="D313" s="125"/>
      <c r="E313" s="125"/>
      <c r="F313" s="125">
        <f t="shared" si="4"/>
        <v>0</v>
      </c>
    </row>
    <row r="314" spans="1:6" x14ac:dyDescent="0.4">
      <c r="A314" s="96">
        <v>310</v>
      </c>
      <c r="B314" s="115"/>
      <c r="C314" s="115"/>
      <c r="D314" s="125"/>
      <c r="E314" s="125"/>
      <c r="F314" s="125">
        <f t="shared" si="4"/>
        <v>0</v>
      </c>
    </row>
    <row r="315" spans="1:6" x14ac:dyDescent="0.4">
      <c r="A315" s="96">
        <v>311</v>
      </c>
      <c r="B315" s="115"/>
      <c r="C315" s="115"/>
      <c r="D315" s="125"/>
      <c r="E315" s="125"/>
      <c r="F315" s="125">
        <f t="shared" si="4"/>
        <v>0</v>
      </c>
    </row>
    <row r="316" spans="1:6" x14ac:dyDescent="0.4">
      <c r="A316" s="96">
        <v>312</v>
      </c>
      <c r="B316" s="115"/>
      <c r="C316" s="115"/>
      <c r="D316" s="125"/>
      <c r="E316" s="125"/>
      <c r="F316" s="125">
        <f t="shared" si="4"/>
        <v>0</v>
      </c>
    </row>
    <row r="317" spans="1:6" x14ac:dyDescent="0.4">
      <c r="A317" s="96">
        <v>313</v>
      </c>
      <c r="B317" s="115"/>
      <c r="C317" s="115"/>
      <c r="D317" s="125"/>
      <c r="E317" s="125"/>
      <c r="F317" s="125">
        <f t="shared" si="4"/>
        <v>0</v>
      </c>
    </row>
    <row r="318" spans="1:6" x14ac:dyDescent="0.4">
      <c r="A318" s="96">
        <v>314</v>
      </c>
      <c r="B318" s="115"/>
      <c r="C318" s="115"/>
      <c r="D318" s="125"/>
      <c r="E318" s="125"/>
      <c r="F318" s="125">
        <f t="shared" si="4"/>
        <v>0</v>
      </c>
    </row>
    <row r="319" spans="1:6" x14ac:dyDescent="0.4">
      <c r="A319" s="96">
        <v>315</v>
      </c>
      <c r="B319" s="115"/>
      <c r="C319" s="115"/>
      <c r="D319" s="125"/>
      <c r="E319" s="125"/>
      <c r="F319" s="125">
        <f t="shared" si="4"/>
        <v>0</v>
      </c>
    </row>
    <row r="320" spans="1:6" x14ac:dyDescent="0.4">
      <c r="A320" s="96">
        <v>316</v>
      </c>
      <c r="B320" s="115"/>
      <c r="C320" s="115"/>
      <c r="D320" s="125"/>
      <c r="E320" s="125"/>
      <c r="F320" s="125">
        <f t="shared" si="4"/>
        <v>0</v>
      </c>
    </row>
    <row r="321" spans="1:6" x14ac:dyDescent="0.4">
      <c r="A321" s="96">
        <v>317</v>
      </c>
      <c r="B321" s="115"/>
      <c r="C321" s="115"/>
      <c r="D321" s="125"/>
      <c r="E321" s="125"/>
      <c r="F321" s="125">
        <f t="shared" si="4"/>
        <v>0</v>
      </c>
    </row>
    <row r="322" spans="1:6" x14ac:dyDescent="0.4">
      <c r="A322" s="96">
        <v>318</v>
      </c>
      <c r="B322" s="115"/>
      <c r="C322" s="115"/>
      <c r="D322" s="125"/>
      <c r="E322" s="125"/>
      <c r="F322" s="125">
        <f t="shared" si="4"/>
        <v>0</v>
      </c>
    </row>
    <row r="323" spans="1:6" x14ac:dyDescent="0.4">
      <c r="A323" s="96">
        <v>319</v>
      </c>
      <c r="B323" s="115"/>
      <c r="C323" s="115"/>
      <c r="D323" s="125"/>
      <c r="E323" s="125"/>
      <c r="F323" s="125">
        <f t="shared" si="4"/>
        <v>0</v>
      </c>
    </row>
    <row r="324" spans="1:6" x14ac:dyDescent="0.4">
      <c r="A324" s="96">
        <v>320</v>
      </c>
      <c r="B324" s="115"/>
      <c r="C324" s="115"/>
      <c r="D324" s="125"/>
      <c r="E324" s="125"/>
      <c r="F324" s="125">
        <f t="shared" si="4"/>
        <v>0</v>
      </c>
    </row>
    <row r="325" spans="1:6" x14ac:dyDescent="0.4">
      <c r="A325" s="96">
        <v>321</v>
      </c>
      <c r="B325" s="115"/>
      <c r="C325" s="115"/>
      <c r="D325" s="125"/>
      <c r="E325" s="125"/>
      <c r="F325" s="125">
        <f t="shared" si="4"/>
        <v>0</v>
      </c>
    </row>
    <row r="326" spans="1:6" x14ac:dyDescent="0.4">
      <c r="A326" s="96">
        <v>322</v>
      </c>
      <c r="B326" s="115"/>
      <c r="C326" s="115"/>
      <c r="D326" s="125"/>
      <c r="E326" s="125"/>
      <c r="F326" s="125">
        <f t="shared" ref="F326:F389" si="5">D326*E326</f>
        <v>0</v>
      </c>
    </row>
    <row r="327" spans="1:6" x14ac:dyDescent="0.4">
      <c r="A327" s="96">
        <v>323</v>
      </c>
      <c r="B327" s="115"/>
      <c r="C327" s="115"/>
      <c r="D327" s="125"/>
      <c r="E327" s="125"/>
      <c r="F327" s="125">
        <f t="shared" si="5"/>
        <v>0</v>
      </c>
    </row>
    <row r="328" spans="1:6" x14ac:dyDescent="0.4">
      <c r="A328" s="96">
        <v>324</v>
      </c>
      <c r="B328" s="115"/>
      <c r="C328" s="115"/>
      <c r="D328" s="125"/>
      <c r="E328" s="125"/>
      <c r="F328" s="125">
        <f t="shared" si="5"/>
        <v>0</v>
      </c>
    </row>
    <row r="329" spans="1:6" x14ac:dyDescent="0.4">
      <c r="A329" s="96">
        <v>325</v>
      </c>
      <c r="B329" s="115"/>
      <c r="C329" s="115"/>
      <c r="D329" s="125"/>
      <c r="E329" s="125"/>
      <c r="F329" s="125">
        <f t="shared" si="5"/>
        <v>0</v>
      </c>
    </row>
    <row r="330" spans="1:6" x14ac:dyDescent="0.4">
      <c r="A330" s="96">
        <v>326</v>
      </c>
      <c r="B330" s="115"/>
      <c r="C330" s="115"/>
      <c r="D330" s="125"/>
      <c r="E330" s="125"/>
      <c r="F330" s="125">
        <f t="shared" si="5"/>
        <v>0</v>
      </c>
    </row>
    <row r="331" spans="1:6" x14ac:dyDescent="0.4">
      <c r="A331" s="96">
        <v>327</v>
      </c>
      <c r="B331" s="115"/>
      <c r="C331" s="115"/>
      <c r="D331" s="125"/>
      <c r="E331" s="125"/>
      <c r="F331" s="125">
        <f t="shared" si="5"/>
        <v>0</v>
      </c>
    </row>
    <row r="332" spans="1:6" x14ac:dyDescent="0.4">
      <c r="A332" s="96">
        <v>328</v>
      </c>
      <c r="B332" s="115"/>
      <c r="C332" s="115"/>
      <c r="D332" s="125"/>
      <c r="E332" s="125"/>
      <c r="F332" s="125">
        <f t="shared" si="5"/>
        <v>0</v>
      </c>
    </row>
    <row r="333" spans="1:6" x14ac:dyDescent="0.4">
      <c r="A333" s="96">
        <v>329</v>
      </c>
      <c r="B333" s="115"/>
      <c r="C333" s="115"/>
      <c r="D333" s="125"/>
      <c r="E333" s="125"/>
      <c r="F333" s="125">
        <f t="shared" si="5"/>
        <v>0</v>
      </c>
    </row>
    <row r="334" spans="1:6" x14ac:dyDescent="0.4">
      <c r="A334" s="96">
        <v>330</v>
      </c>
      <c r="B334" s="115"/>
      <c r="C334" s="115"/>
      <c r="D334" s="125"/>
      <c r="E334" s="125"/>
      <c r="F334" s="125">
        <f t="shared" si="5"/>
        <v>0</v>
      </c>
    </row>
    <row r="335" spans="1:6" x14ac:dyDescent="0.4">
      <c r="A335" s="96">
        <v>331</v>
      </c>
      <c r="B335" s="115"/>
      <c r="C335" s="115"/>
      <c r="D335" s="125"/>
      <c r="E335" s="125"/>
      <c r="F335" s="125">
        <f t="shared" si="5"/>
        <v>0</v>
      </c>
    </row>
    <row r="336" spans="1:6" x14ac:dyDescent="0.4">
      <c r="A336" s="96">
        <v>332</v>
      </c>
      <c r="B336" s="115"/>
      <c r="C336" s="115"/>
      <c r="D336" s="125"/>
      <c r="E336" s="125"/>
      <c r="F336" s="125">
        <f t="shared" si="5"/>
        <v>0</v>
      </c>
    </row>
    <row r="337" spans="1:6" x14ac:dyDescent="0.4">
      <c r="A337" s="96">
        <v>333</v>
      </c>
      <c r="B337" s="115"/>
      <c r="C337" s="115"/>
      <c r="D337" s="125"/>
      <c r="E337" s="125"/>
      <c r="F337" s="125">
        <f t="shared" si="5"/>
        <v>0</v>
      </c>
    </row>
    <row r="338" spans="1:6" x14ac:dyDescent="0.4">
      <c r="A338" s="96">
        <v>334</v>
      </c>
      <c r="B338" s="115"/>
      <c r="C338" s="115"/>
      <c r="D338" s="125"/>
      <c r="E338" s="125"/>
      <c r="F338" s="125">
        <f t="shared" si="5"/>
        <v>0</v>
      </c>
    </row>
    <row r="339" spans="1:6" x14ac:dyDescent="0.4">
      <c r="A339" s="96">
        <v>335</v>
      </c>
      <c r="B339" s="115"/>
      <c r="C339" s="115"/>
      <c r="D339" s="125"/>
      <c r="E339" s="125"/>
      <c r="F339" s="125">
        <f t="shared" si="5"/>
        <v>0</v>
      </c>
    </row>
    <row r="340" spans="1:6" x14ac:dyDescent="0.4">
      <c r="A340" s="96">
        <v>336</v>
      </c>
      <c r="B340" s="115"/>
      <c r="C340" s="115"/>
      <c r="D340" s="125"/>
      <c r="E340" s="125"/>
      <c r="F340" s="125">
        <f t="shared" si="5"/>
        <v>0</v>
      </c>
    </row>
    <row r="341" spans="1:6" x14ac:dyDescent="0.4">
      <c r="A341" s="96">
        <v>337</v>
      </c>
      <c r="B341" s="115"/>
      <c r="C341" s="115"/>
      <c r="D341" s="125"/>
      <c r="E341" s="125"/>
      <c r="F341" s="125">
        <f t="shared" si="5"/>
        <v>0</v>
      </c>
    </row>
    <row r="342" spans="1:6" x14ac:dyDescent="0.4">
      <c r="A342" s="96">
        <v>338</v>
      </c>
      <c r="B342" s="115"/>
      <c r="C342" s="115"/>
      <c r="D342" s="125"/>
      <c r="E342" s="125"/>
      <c r="F342" s="125">
        <f t="shared" si="5"/>
        <v>0</v>
      </c>
    </row>
    <row r="343" spans="1:6" x14ac:dyDescent="0.4">
      <c r="A343" s="96">
        <v>339</v>
      </c>
      <c r="B343" s="115"/>
      <c r="C343" s="115"/>
      <c r="D343" s="125"/>
      <c r="E343" s="125"/>
      <c r="F343" s="125">
        <f t="shared" si="5"/>
        <v>0</v>
      </c>
    </row>
    <row r="344" spans="1:6" x14ac:dyDescent="0.4">
      <c r="A344" s="96">
        <v>340</v>
      </c>
      <c r="B344" s="115"/>
      <c r="C344" s="115"/>
      <c r="D344" s="125"/>
      <c r="E344" s="125"/>
      <c r="F344" s="125">
        <f t="shared" si="5"/>
        <v>0</v>
      </c>
    </row>
    <row r="345" spans="1:6" x14ac:dyDescent="0.4">
      <c r="A345" s="96">
        <v>341</v>
      </c>
      <c r="B345" s="115"/>
      <c r="C345" s="115"/>
      <c r="D345" s="125"/>
      <c r="E345" s="125"/>
      <c r="F345" s="125">
        <f t="shared" si="5"/>
        <v>0</v>
      </c>
    </row>
    <row r="346" spans="1:6" x14ac:dyDescent="0.4">
      <c r="A346" s="96">
        <v>342</v>
      </c>
      <c r="B346" s="115"/>
      <c r="C346" s="115"/>
      <c r="D346" s="125"/>
      <c r="E346" s="125"/>
      <c r="F346" s="125">
        <f t="shared" si="5"/>
        <v>0</v>
      </c>
    </row>
    <row r="347" spans="1:6" x14ac:dyDescent="0.4">
      <c r="A347" s="96">
        <v>343</v>
      </c>
      <c r="B347" s="115"/>
      <c r="C347" s="115"/>
      <c r="D347" s="125"/>
      <c r="E347" s="125"/>
      <c r="F347" s="125">
        <f t="shared" si="5"/>
        <v>0</v>
      </c>
    </row>
    <row r="348" spans="1:6" x14ac:dyDescent="0.4">
      <c r="A348" s="96">
        <v>344</v>
      </c>
      <c r="B348" s="115"/>
      <c r="C348" s="115"/>
      <c r="D348" s="125"/>
      <c r="E348" s="125"/>
      <c r="F348" s="125">
        <f t="shared" si="5"/>
        <v>0</v>
      </c>
    </row>
    <row r="349" spans="1:6" x14ac:dyDescent="0.4">
      <c r="A349" s="96">
        <v>345</v>
      </c>
      <c r="B349" s="115"/>
      <c r="C349" s="115"/>
      <c r="D349" s="125"/>
      <c r="E349" s="125"/>
      <c r="F349" s="125">
        <f t="shared" si="5"/>
        <v>0</v>
      </c>
    </row>
    <row r="350" spans="1:6" x14ac:dyDescent="0.4">
      <c r="A350" s="96">
        <v>346</v>
      </c>
      <c r="B350" s="115"/>
      <c r="C350" s="115"/>
      <c r="D350" s="125"/>
      <c r="E350" s="125"/>
      <c r="F350" s="125">
        <f t="shared" si="5"/>
        <v>0</v>
      </c>
    </row>
    <row r="351" spans="1:6" x14ac:dyDescent="0.4">
      <c r="A351" s="96">
        <v>347</v>
      </c>
      <c r="B351" s="115"/>
      <c r="C351" s="115"/>
      <c r="D351" s="125"/>
      <c r="E351" s="125"/>
      <c r="F351" s="125">
        <f t="shared" si="5"/>
        <v>0</v>
      </c>
    </row>
    <row r="352" spans="1:6" x14ac:dyDescent="0.4">
      <c r="A352" s="96">
        <v>348</v>
      </c>
      <c r="B352" s="115"/>
      <c r="C352" s="115"/>
      <c r="D352" s="125"/>
      <c r="E352" s="125"/>
      <c r="F352" s="125">
        <f t="shared" si="5"/>
        <v>0</v>
      </c>
    </row>
    <row r="353" spans="1:6" x14ac:dyDescent="0.4">
      <c r="A353" s="96">
        <v>349</v>
      </c>
      <c r="B353" s="115"/>
      <c r="C353" s="115"/>
      <c r="D353" s="125"/>
      <c r="E353" s="125"/>
      <c r="F353" s="125">
        <f t="shared" si="5"/>
        <v>0</v>
      </c>
    </row>
    <row r="354" spans="1:6" x14ac:dyDescent="0.4">
      <c r="A354" s="96">
        <v>350</v>
      </c>
      <c r="B354" s="115"/>
      <c r="C354" s="115"/>
      <c r="D354" s="125"/>
      <c r="E354" s="125"/>
      <c r="F354" s="125">
        <f t="shared" si="5"/>
        <v>0</v>
      </c>
    </row>
    <row r="355" spans="1:6" x14ac:dyDescent="0.4">
      <c r="A355" s="96">
        <v>351</v>
      </c>
      <c r="B355" s="115"/>
      <c r="C355" s="115"/>
      <c r="D355" s="125"/>
      <c r="E355" s="125"/>
      <c r="F355" s="125">
        <f t="shared" si="5"/>
        <v>0</v>
      </c>
    </row>
    <row r="356" spans="1:6" x14ac:dyDescent="0.4">
      <c r="A356" s="96">
        <v>352</v>
      </c>
      <c r="B356" s="115"/>
      <c r="C356" s="115"/>
      <c r="D356" s="125"/>
      <c r="E356" s="125"/>
      <c r="F356" s="125">
        <f t="shared" si="5"/>
        <v>0</v>
      </c>
    </row>
    <row r="357" spans="1:6" x14ac:dyDescent="0.4">
      <c r="A357" s="96">
        <v>353</v>
      </c>
      <c r="B357" s="115"/>
      <c r="C357" s="115"/>
      <c r="D357" s="125"/>
      <c r="E357" s="125"/>
      <c r="F357" s="125">
        <f t="shared" si="5"/>
        <v>0</v>
      </c>
    </row>
    <row r="358" spans="1:6" x14ac:dyDescent="0.4">
      <c r="A358" s="96">
        <v>354</v>
      </c>
      <c r="B358" s="115"/>
      <c r="C358" s="115"/>
      <c r="D358" s="125"/>
      <c r="E358" s="125"/>
      <c r="F358" s="125">
        <f t="shared" si="5"/>
        <v>0</v>
      </c>
    </row>
    <row r="359" spans="1:6" x14ac:dyDescent="0.4">
      <c r="A359" s="96">
        <v>355</v>
      </c>
      <c r="B359" s="115"/>
      <c r="C359" s="115"/>
      <c r="D359" s="125"/>
      <c r="E359" s="125"/>
      <c r="F359" s="125">
        <f t="shared" si="5"/>
        <v>0</v>
      </c>
    </row>
    <row r="360" spans="1:6" x14ac:dyDescent="0.4">
      <c r="A360" s="96">
        <v>356</v>
      </c>
      <c r="B360" s="115"/>
      <c r="C360" s="115"/>
      <c r="D360" s="125"/>
      <c r="E360" s="125"/>
      <c r="F360" s="125">
        <f t="shared" si="5"/>
        <v>0</v>
      </c>
    </row>
    <row r="361" spans="1:6" x14ac:dyDescent="0.4">
      <c r="A361" s="96">
        <v>357</v>
      </c>
      <c r="B361" s="115"/>
      <c r="C361" s="115"/>
      <c r="D361" s="125"/>
      <c r="E361" s="125"/>
      <c r="F361" s="125">
        <f t="shared" si="5"/>
        <v>0</v>
      </c>
    </row>
    <row r="362" spans="1:6" x14ac:dyDescent="0.4">
      <c r="A362" s="96">
        <v>358</v>
      </c>
      <c r="B362" s="115"/>
      <c r="C362" s="115"/>
      <c r="D362" s="125"/>
      <c r="E362" s="125"/>
      <c r="F362" s="125">
        <f t="shared" si="5"/>
        <v>0</v>
      </c>
    </row>
    <row r="363" spans="1:6" x14ac:dyDescent="0.4">
      <c r="A363" s="96">
        <v>359</v>
      </c>
      <c r="B363" s="115"/>
      <c r="C363" s="115"/>
      <c r="D363" s="125"/>
      <c r="E363" s="125"/>
      <c r="F363" s="125">
        <f t="shared" si="5"/>
        <v>0</v>
      </c>
    </row>
    <row r="364" spans="1:6" x14ac:dyDescent="0.4">
      <c r="A364" s="96">
        <v>360</v>
      </c>
      <c r="B364" s="115"/>
      <c r="C364" s="115"/>
      <c r="D364" s="125"/>
      <c r="E364" s="125"/>
      <c r="F364" s="125">
        <f t="shared" si="5"/>
        <v>0</v>
      </c>
    </row>
    <row r="365" spans="1:6" x14ac:dyDescent="0.4">
      <c r="A365" s="96">
        <v>361</v>
      </c>
      <c r="B365" s="115"/>
      <c r="C365" s="115"/>
      <c r="D365" s="125"/>
      <c r="E365" s="125"/>
      <c r="F365" s="125">
        <f t="shared" si="5"/>
        <v>0</v>
      </c>
    </row>
    <row r="366" spans="1:6" x14ac:dyDescent="0.4">
      <c r="A366" s="96">
        <v>362</v>
      </c>
      <c r="B366" s="115"/>
      <c r="C366" s="115"/>
      <c r="D366" s="125"/>
      <c r="E366" s="125"/>
      <c r="F366" s="125">
        <f t="shared" si="5"/>
        <v>0</v>
      </c>
    </row>
    <row r="367" spans="1:6" x14ac:dyDescent="0.4">
      <c r="A367" s="96">
        <v>363</v>
      </c>
      <c r="B367" s="115"/>
      <c r="C367" s="115"/>
      <c r="D367" s="125"/>
      <c r="E367" s="125"/>
      <c r="F367" s="125">
        <f t="shared" si="5"/>
        <v>0</v>
      </c>
    </row>
    <row r="368" spans="1:6" x14ac:dyDescent="0.4">
      <c r="A368" s="96">
        <v>364</v>
      </c>
      <c r="B368" s="115"/>
      <c r="C368" s="115"/>
      <c r="D368" s="125"/>
      <c r="E368" s="125"/>
      <c r="F368" s="125">
        <f t="shared" si="5"/>
        <v>0</v>
      </c>
    </row>
    <row r="369" spans="1:6" x14ac:dyDescent="0.4">
      <c r="A369" s="96">
        <v>365</v>
      </c>
      <c r="B369" s="115"/>
      <c r="C369" s="115"/>
      <c r="D369" s="125"/>
      <c r="E369" s="125"/>
      <c r="F369" s="125">
        <f t="shared" si="5"/>
        <v>0</v>
      </c>
    </row>
    <row r="370" spans="1:6" x14ac:dyDescent="0.4">
      <c r="A370" s="96">
        <v>366</v>
      </c>
      <c r="B370" s="115"/>
      <c r="C370" s="115"/>
      <c r="D370" s="125"/>
      <c r="E370" s="125"/>
      <c r="F370" s="125">
        <f t="shared" si="5"/>
        <v>0</v>
      </c>
    </row>
    <row r="371" spans="1:6" x14ac:dyDescent="0.4">
      <c r="A371" s="96">
        <v>367</v>
      </c>
      <c r="B371" s="115"/>
      <c r="C371" s="115"/>
      <c r="D371" s="125"/>
      <c r="E371" s="125"/>
      <c r="F371" s="125">
        <f t="shared" si="5"/>
        <v>0</v>
      </c>
    </row>
    <row r="372" spans="1:6" x14ac:dyDescent="0.4">
      <c r="A372" s="96">
        <v>368</v>
      </c>
      <c r="B372" s="115"/>
      <c r="C372" s="115"/>
      <c r="D372" s="125"/>
      <c r="E372" s="125"/>
      <c r="F372" s="125">
        <f t="shared" si="5"/>
        <v>0</v>
      </c>
    </row>
    <row r="373" spans="1:6" x14ac:dyDescent="0.4">
      <c r="A373" s="96">
        <v>369</v>
      </c>
      <c r="B373" s="115"/>
      <c r="C373" s="115"/>
      <c r="D373" s="125"/>
      <c r="E373" s="125"/>
      <c r="F373" s="125">
        <f t="shared" si="5"/>
        <v>0</v>
      </c>
    </row>
    <row r="374" spans="1:6" x14ac:dyDescent="0.4">
      <c r="A374" s="96">
        <v>370</v>
      </c>
      <c r="B374" s="115"/>
      <c r="C374" s="115"/>
      <c r="D374" s="125"/>
      <c r="E374" s="125"/>
      <c r="F374" s="125">
        <f t="shared" si="5"/>
        <v>0</v>
      </c>
    </row>
    <row r="375" spans="1:6" x14ac:dyDescent="0.4">
      <c r="A375" s="96">
        <v>371</v>
      </c>
      <c r="B375" s="115"/>
      <c r="C375" s="115"/>
      <c r="D375" s="125"/>
      <c r="E375" s="125"/>
      <c r="F375" s="125">
        <f t="shared" si="5"/>
        <v>0</v>
      </c>
    </row>
    <row r="376" spans="1:6" x14ac:dyDescent="0.4">
      <c r="A376" s="96">
        <v>372</v>
      </c>
      <c r="B376" s="115"/>
      <c r="C376" s="115"/>
      <c r="D376" s="125"/>
      <c r="E376" s="125"/>
      <c r="F376" s="125">
        <f t="shared" si="5"/>
        <v>0</v>
      </c>
    </row>
    <row r="377" spans="1:6" x14ac:dyDescent="0.4">
      <c r="A377" s="96">
        <v>373</v>
      </c>
      <c r="B377" s="115"/>
      <c r="C377" s="115"/>
      <c r="D377" s="125"/>
      <c r="E377" s="125"/>
      <c r="F377" s="125">
        <f t="shared" si="5"/>
        <v>0</v>
      </c>
    </row>
    <row r="378" spans="1:6" x14ac:dyDescent="0.4">
      <c r="A378" s="96">
        <v>374</v>
      </c>
      <c r="B378" s="115"/>
      <c r="C378" s="115"/>
      <c r="D378" s="125"/>
      <c r="E378" s="125"/>
      <c r="F378" s="125">
        <f t="shared" si="5"/>
        <v>0</v>
      </c>
    </row>
    <row r="379" spans="1:6" x14ac:dyDescent="0.4">
      <c r="A379" s="96">
        <v>375</v>
      </c>
      <c r="B379" s="115"/>
      <c r="C379" s="115"/>
      <c r="D379" s="125"/>
      <c r="E379" s="125"/>
      <c r="F379" s="125">
        <f t="shared" si="5"/>
        <v>0</v>
      </c>
    </row>
    <row r="380" spans="1:6" x14ac:dyDescent="0.4">
      <c r="A380" s="96">
        <v>376</v>
      </c>
      <c r="B380" s="115"/>
      <c r="C380" s="115"/>
      <c r="D380" s="125"/>
      <c r="E380" s="125"/>
      <c r="F380" s="125">
        <f t="shared" si="5"/>
        <v>0</v>
      </c>
    </row>
    <row r="381" spans="1:6" x14ac:dyDescent="0.4">
      <c r="A381" s="96">
        <v>377</v>
      </c>
      <c r="B381" s="115"/>
      <c r="C381" s="115"/>
      <c r="D381" s="125"/>
      <c r="E381" s="125"/>
      <c r="F381" s="125">
        <f t="shared" si="5"/>
        <v>0</v>
      </c>
    </row>
    <row r="382" spans="1:6" x14ac:dyDescent="0.4">
      <c r="A382" s="96">
        <v>378</v>
      </c>
      <c r="B382" s="115"/>
      <c r="C382" s="115"/>
      <c r="D382" s="125"/>
      <c r="E382" s="125"/>
      <c r="F382" s="125">
        <f t="shared" si="5"/>
        <v>0</v>
      </c>
    </row>
    <row r="383" spans="1:6" x14ac:dyDescent="0.4">
      <c r="A383" s="96">
        <v>379</v>
      </c>
      <c r="B383" s="115"/>
      <c r="C383" s="115"/>
      <c r="D383" s="125"/>
      <c r="E383" s="125"/>
      <c r="F383" s="125">
        <f t="shared" si="5"/>
        <v>0</v>
      </c>
    </row>
    <row r="384" spans="1:6" x14ac:dyDescent="0.4">
      <c r="A384" s="96">
        <v>380</v>
      </c>
      <c r="B384" s="115"/>
      <c r="C384" s="115"/>
      <c r="D384" s="125"/>
      <c r="E384" s="125"/>
      <c r="F384" s="125">
        <f t="shared" si="5"/>
        <v>0</v>
      </c>
    </row>
    <row r="385" spans="1:6" x14ac:dyDescent="0.4">
      <c r="A385" s="96">
        <v>381</v>
      </c>
      <c r="B385" s="115"/>
      <c r="C385" s="115"/>
      <c r="D385" s="125"/>
      <c r="E385" s="125"/>
      <c r="F385" s="125">
        <f t="shared" si="5"/>
        <v>0</v>
      </c>
    </row>
    <row r="386" spans="1:6" x14ac:dyDescent="0.4">
      <c r="A386" s="96">
        <v>382</v>
      </c>
      <c r="B386" s="115"/>
      <c r="C386" s="115"/>
      <c r="D386" s="125"/>
      <c r="E386" s="125"/>
      <c r="F386" s="125">
        <f t="shared" si="5"/>
        <v>0</v>
      </c>
    </row>
    <row r="387" spans="1:6" x14ac:dyDescent="0.4">
      <c r="A387" s="96">
        <v>383</v>
      </c>
      <c r="B387" s="115"/>
      <c r="C387" s="115"/>
      <c r="D387" s="125"/>
      <c r="E387" s="125"/>
      <c r="F387" s="125">
        <f t="shared" si="5"/>
        <v>0</v>
      </c>
    </row>
    <row r="388" spans="1:6" x14ac:dyDescent="0.4">
      <c r="A388" s="96">
        <v>384</v>
      </c>
      <c r="B388" s="115"/>
      <c r="C388" s="115"/>
      <c r="D388" s="125"/>
      <c r="E388" s="125"/>
      <c r="F388" s="125">
        <f t="shared" si="5"/>
        <v>0</v>
      </c>
    </row>
    <row r="389" spans="1:6" x14ac:dyDescent="0.4">
      <c r="A389" s="96">
        <v>385</v>
      </c>
      <c r="B389" s="115"/>
      <c r="C389" s="115"/>
      <c r="D389" s="125"/>
      <c r="E389" s="125"/>
      <c r="F389" s="125">
        <f t="shared" si="5"/>
        <v>0</v>
      </c>
    </row>
    <row r="390" spans="1:6" x14ac:dyDescent="0.4">
      <c r="A390" s="96">
        <v>386</v>
      </c>
      <c r="B390" s="115"/>
      <c r="C390" s="115"/>
      <c r="D390" s="125"/>
      <c r="E390" s="125"/>
      <c r="F390" s="125">
        <f t="shared" ref="F390:F453" si="6">D390*E390</f>
        <v>0</v>
      </c>
    </row>
    <row r="391" spans="1:6" x14ac:dyDescent="0.4">
      <c r="A391" s="96">
        <v>387</v>
      </c>
      <c r="B391" s="115"/>
      <c r="C391" s="115"/>
      <c r="D391" s="125"/>
      <c r="E391" s="125"/>
      <c r="F391" s="125">
        <f t="shared" si="6"/>
        <v>0</v>
      </c>
    </row>
    <row r="392" spans="1:6" x14ac:dyDescent="0.4">
      <c r="A392" s="96">
        <v>388</v>
      </c>
      <c r="B392" s="115"/>
      <c r="C392" s="115"/>
      <c r="D392" s="125"/>
      <c r="E392" s="125"/>
      <c r="F392" s="125">
        <f t="shared" si="6"/>
        <v>0</v>
      </c>
    </row>
    <row r="393" spans="1:6" x14ac:dyDescent="0.4">
      <c r="A393" s="96">
        <v>389</v>
      </c>
      <c r="B393" s="115"/>
      <c r="C393" s="115"/>
      <c r="D393" s="125"/>
      <c r="E393" s="125"/>
      <c r="F393" s="125">
        <f t="shared" si="6"/>
        <v>0</v>
      </c>
    </row>
    <row r="394" spans="1:6" x14ac:dyDescent="0.4">
      <c r="A394" s="96">
        <v>390</v>
      </c>
      <c r="B394" s="115"/>
      <c r="C394" s="115"/>
      <c r="D394" s="125"/>
      <c r="E394" s="125"/>
      <c r="F394" s="125">
        <f t="shared" si="6"/>
        <v>0</v>
      </c>
    </row>
    <row r="395" spans="1:6" x14ac:dyDescent="0.4">
      <c r="A395" s="96">
        <v>391</v>
      </c>
      <c r="B395" s="115"/>
      <c r="C395" s="115"/>
      <c r="D395" s="125"/>
      <c r="E395" s="125"/>
      <c r="F395" s="125">
        <f t="shared" si="6"/>
        <v>0</v>
      </c>
    </row>
    <row r="396" spans="1:6" x14ac:dyDescent="0.4">
      <c r="A396" s="96">
        <v>392</v>
      </c>
      <c r="B396" s="115"/>
      <c r="C396" s="115"/>
      <c r="D396" s="125"/>
      <c r="E396" s="125"/>
      <c r="F396" s="125">
        <f t="shared" si="6"/>
        <v>0</v>
      </c>
    </row>
    <row r="397" spans="1:6" x14ac:dyDescent="0.4">
      <c r="A397" s="96">
        <v>393</v>
      </c>
      <c r="B397" s="115"/>
      <c r="C397" s="115"/>
      <c r="D397" s="125"/>
      <c r="E397" s="125"/>
      <c r="F397" s="125">
        <f t="shared" si="6"/>
        <v>0</v>
      </c>
    </row>
    <row r="398" spans="1:6" x14ac:dyDescent="0.4">
      <c r="A398" s="96">
        <v>394</v>
      </c>
      <c r="B398" s="115"/>
      <c r="C398" s="115"/>
      <c r="D398" s="125"/>
      <c r="E398" s="125"/>
      <c r="F398" s="125">
        <f t="shared" si="6"/>
        <v>0</v>
      </c>
    </row>
    <row r="399" spans="1:6" x14ac:dyDescent="0.4">
      <c r="A399" s="96">
        <v>395</v>
      </c>
      <c r="B399" s="115"/>
      <c r="C399" s="115"/>
      <c r="D399" s="125"/>
      <c r="E399" s="125"/>
      <c r="F399" s="125">
        <f t="shared" si="6"/>
        <v>0</v>
      </c>
    </row>
    <row r="400" spans="1:6" x14ac:dyDescent="0.4">
      <c r="A400" s="96">
        <v>396</v>
      </c>
      <c r="B400" s="115"/>
      <c r="C400" s="115"/>
      <c r="D400" s="125"/>
      <c r="E400" s="125"/>
      <c r="F400" s="125">
        <f t="shared" si="6"/>
        <v>0</v>
      </c>
    </row>
    <row r="401" spans="1:6" x14ac:dyDescent="0.4">
      <c r="A401" s="96">
        <v>397</v>
      </c>
      <c r="B401" s="115"/>
      <c r="C401" s="115"/>
      <c r="D401" s="125"/>
      <c r="E401" s="125"/>
      <c r="F401" s="125">
        <f t="shared" si="6"/>
        <v>0</v>
      </c>
    </row>
    <row r="402" spans="1:6" x14ac:dyDescent="0.4">
      <c r="A402" s="96">
        <v>398</v>
      </c>
      <c r="B402" s="115"/>
      <c r="C402" s="115"/>
      <c r="D402" s="125"/>
      <c r="E402" s="125"/>
      <c r="F402" s="125">
        <f t="shared" si="6"/>
        <v>0</v>
      </c>
    </row>
    <row r="403" spans="1:6" x14ac:dyDescent="0.4">
      <c r="A403" s="96">
        <v>399</v>
      </c>
      <c r="B403" s="115"/>
      <c r="C403" s="115"/>
      <c r="D403" s="125"/>
      <c r="E403" s="125"/>
      <c r="F403" s="125">
        <f t="shared" si="6"/>
        <v>0</v>
      </c>
    </row>
    <row r="404" spans="1:6" x14ac:dyDescent="0.4">
      <c r="A404" s="96">
        <v>400</v>
      </c>
      <c r="B404" s="115"/>
      <c r="C404" s="115"/>
      <c r="D404" s="125"/>
      <c r="E404" s="125"/>
      <c r="F404" s="125">
        <f t="shared" si="6"/>
        <v>0</v>
      </c>
    </row>
    <row r="405" spans="1:6" x14ac:dyDescent="0.4">
      <c r="A405" s="96">
        <v>401</v>
      </c>
      <c r="B405" s="115"/>
      <c r="C405" s="115"/>
      <c r="D405" s="125"/>
      <c r="E405" s="125"/>
      <c r="F405" s="125">
        <f t="shared" si="6"/>
        <v>0</v>
      </c>
    </row>
    <row r="406" spans="1:6" x14ac:dyDescent="0.4">
      <c r="A406" s="96">
        <v>402</v>
      </c>
      <c r="B406" s="115"/>
      <c r="C406" s="115"/>
      <c r="D406" s="125"/>
      <c r="E406" s="125"/>
      <c r="F406" s="125">
        <f t="shared" si="6"/>
        <v>0</v>
      </c>
    </row>
    <row r="407" spans="1:6" x14ac:dyDescent="0.4">
      <c r="A407" s="96">
        <v>403</v>
      </c>
      <c r="B407" s="115"/>
      <c r="C407" s="115"/>
      <c r="D407" s="125"/>
      <c r="E407" s="125"/>
      <c r="F407" s="125">
        <f t="shared" si="6"/>
        <v>0</v>
      </c>
    </row>
    <row r="408" spans="1:6" x14ac:dyDescent="0.4">
      <c r="A408" s="96">
        <v>404</v>
      </c>
      <c r="B408" s="115"/>
      <c r="C408" s="115"/>
      <c r="D408" s="125"/>
      <c r="E408" s="125"/>
      <c r="F408" s="125">
        <f t="shared" si="6"/>
        <v>0</v>
      </c>
    </row>
    <row r="409" spans="1:6" x14ac:dyDescent="0.4">
      <c r="A409" s="96">
        <v>405</v>
      </c>
      <c r="B409" s="115"/>
      <c r="C409" s="115"/>
      <c r="D409" s="125"/>
      <c r="E409" s="125"/>
      <c r="F409" s="125">
        <f t="shared" si="6"/>
        <v>0</v>
      </c>
    </row>
    <row r="410" spans="1:6" x14ac:dyDescent="0.4">
      <c r="A410" s="96">
        <v>406</v>
      </c>
      <c r="B410" s="115"/>
      <c r="C410" s="115"/>
      <c r="D410" s="125"/>
      <c r="E410" s="125"/>
      <c r="F410" s="125">
        <f t="shared" si="6"/>
        <v>0</v>
      </c>
    </row>
    <row r="411" spans="1:6" x14ac:dyDescent="0.4">
      <c r="A411" s="96">
        <v>407</v>
      </c>
      <c r="B411" s="115"/>
      <c r="C411" s="115"/>
      <c r="D411" s="125"/>
      <c r="E411" s="125"/>
      <c r="F411" s="125">
        <f t="shared" si="6"/>
        <v>0</v>
      </c>
    </row>
    <row r="412" spans="1:6" x14ac:dyDescent="0.4">
      <c r="A412" s="96">
        <v>408</v>
      </c>
      <c r="B412" s="115"/>
      <c r="C412" s="115"/>
      <c r="D412" s="125"/>
      <c r="E412" s="125"/>
      <c r="F412" s="125">
        <f t="shared" si="6"/>
        <v>0</v>
      </c>
    </row>
    <row r="413" spans="1:6" x14ac:dyDescent="0.4">
      <c r="A413" s="96">
        <v>409</v>
      </c>
      <c r="B413" s="115"/>
      <c r="C413" s="115"/>
      <c r="D413" s="125"/>
      <c r="E413" s="125"/>
      <c r="F413" s="125">
        <f t="shared" si="6"/>
        <v>0</v>
      </c>
    </row>
    <row r="414" spans="1:6" x14ac:dyDescent="0.4">
      <c r="A414" s="96">
        <v>410</v>
      </c>
      <c r="B414" s="115"/>
      <c r="C414" s="115"/>
      <c r="D414" s="125"/>
      <c r="E414" s="125"/>
      <c r="F414" s="125">
        <f t="shared" si="6"/>
        <v>0</v>
      </c>
    </row>
    <row r="415" spans="1:6" x14ac:dyDescent="0.4">
      <c r="A415" s="96">
        <v>411</v>
      </c>
      <c r="B415" s="115"/>
      <c r="C415" s="115"/>
      <c r="D415" s="125"/>
      <c r="E415" s="125"/>
      <c r="F415" s="125">
        <f t="shared" si="6"/>
        <v>0</v>
      </c>
    </row>
    <row r="416" spans="1:6" x14ac:dyDescent="0.4">
      <c r="A416" s="96">
        <v>412</v>
      </c>
      <c r="B416" s="115"/>
      <c r="C416" s="115"/>
      <c r="D416" s="125"/>
      <c r="E416" s="125"/>
      <c r="F416" s="125">
        <f t="shared" si="6"/>
        <v>0</v>
      </c>
    </row>
    <row r="417" spans="1:6" x14ac:dyDescent="0.4">
      <c r="A417" s="96">
        <v>413</v>
      </c>
      <c r="B417" s="115"/>
      <c r="C417" s="115"/>
      <c r="D417" s="125"/>
      <c r="E417" s="125"/>
      <c r="F417" s="125">
        <f t="shared" si="6"/>
        <v>0</v>
      </c>
    </row>
    <row r="418" spans="1:6" x14ac:dyDescent="0.4">
      <c r="A418" s="96">
        <v>414</v>
      </c>
      <c r="B418" s="115"/>
      <c r="C418" s="115"/>
      <c r="D418" s="125"/>
      <c r="E418" s="125"/>
      <c r="F418" s="125">
        <f t="shared" si="6"/>
        <v>0</v>
      </c>
    </row>
    <row r="419" spans="1:6" x14ac:dyDescent="0.4">
      <c r="A419" s="96">
        <v>415</v>
      </c>
      <c r="B419" s="115"/>
      <c r="C419" s="115"/>
      <c r="D419" s="125"/>
      <c r="E419" s="125"/>
      <c r="F419" s="125">
        <f t="shared" si="6"/>
        <v>0</v>
      </c>
    </row>
    <row r="420" spans="1:6" x14ac:dyDescent="0.4">
      <c r="A420" s="96">
        <v>416</v>
      </c>
      <c r="B420" s="115"/>
      <c r="C420" s="115"/>
      <c r="D420" s="125"/>
      <c r="E420" s="125"/>
      <c r="F420" s="125">
        <f t="shared" si="6"/>
        <v>0</v>
      </c>
    </row>
    <row r="421" spans="1:6" x14ac:dyDescent="0.4">
      <c r="A421" s="96">
        <v>417</v>
      </c>
      <c r="B421" s="115"/>
      <c r="C421" s="115"/>
      <c r="D421" s="125"/>
      <c r="E421" s="125"/>
      <c r="F421" s="125">
        <f t="shared" si="6"/>
        <v>0</v>
      </c>
    </row>
    <row r="422" spans="1:6" x14ac:dyDescent="0.4">
      <c r="A422" s="96">
        <v>418</v>
      </c>
      <c r="B422" s="115"/>
      <c r="C422" s="115"/>
      <c r="D422" s="125"/>
      <c r="E422" s="125"/>
      <c r="F422" s="125">
        <f t="shared" si="6"/>
        <v>0</v>
      </c>
    </row>
    <row r="423" spans="1:6" x14ac:dyDescent="0.4">
      <c r="A423" s="96">
        <v>419</v>
      </c>
      <c r="B423" s="115"/>
      <c r="C423" s="115"/>
      <c r="D423" s="125"/>
      <c r="E423" s="125"/>
      <c r="F423" s="125">
        <f t="shared" si="6"/>
        <v>0</v>
      </c>
    </row>
    <row r="424" spans="1:6" x14ac:dyDescent="0.4">
      <c r="A424" s="96">
        <v>420</v>
      </c>
      <c r="B424" s="115"/>
      <c r="C424" s="115"/>
      <c r="D424" s="125"/>
      <c r="E424" s="125"/>
      <c r="F424" s="125">
        <f t="shared" si="6"/>
        <v>0</v>
      </c>
    </row>
    <row r="425" spans="1:6" x14ac:dyDescent="0.4">
      <c r="A425" s="96">
        <v>421</v>
      </c>
      <c r="B425" s="115"/>
      <c r="C425" s="115"/>
      <c r="D425" s="125"/>
      <c r="E425" s="125"/>
      <c r="F425" s="125">
        <f t="shared" si="6"/>
        <v>0</v>
      </c>
    </row>
    <row r="426" spans="1:6" x14ac:dyDescent="0.4">
      <c r="A426" s="96">
        <v>422</v>
      </c>
      <c r="B426" s="115"/>
      <c r="C426" s="115"/>
      <c r="D426" s="125"/>
      <c r="E426" s="125"/>
      <c r="F426" s="125">
        <f t="shared" si="6"/>
        <v>0</v>
      </c>
    </row>
    <row r="427" spans="1:6" x14ac:dyDescent="0.4">
      <c r="A427" s="96">
        <v>423</v>
      </c>
      <c r="B427" s="115"/>
      <c r="C427" s="115"/>
      <c r="D427" s="125"/>
      <c r="E427" s="125"/>
      <c r="F427" s="125">
        <f t="shared" si="6"/>
        <v>0</v>
      </c>
    </row>
    <row r="428" spans="1:6" x14ac:dyDescent="0.4">
      <c r="A428" s="96">
        <v>424</v>
      </c>
      <c r="B428" s="115"/>
      <c r="C428" s="115"/>
      <c r="D428" s="125"/>
      <c r="E428" s="125"/>
      <c r="F428" s="125">
        <f t="shared" si="6"/>
        <v>0</v>
      </c>
    </row>
    <row r="429" spans="1:6" x14ac:dyDescent="0.4">
      <c r="A429" s="96">
        <v>425</v>
      </c>
      <c r="B429" s="115"/>
      <c r="C429" s="115"/>
      <c r="D429" s="125"/>
      <c r="E429" s="125"/>
      <c r="F429" s="125">
        <f t="shared" si="6"/>
        <v>0</v>
      </c>
    </row>
    <row r="430" spans="1:6" x14ac:dyDescent="0.4">
      <c r="A430" s="96">
        <v>426</v>
      </c>
      <c r="B430" s="115"/>
      <c r="C430" s="115"/>
      <c r="D430" s="125"/>
      <c r="E430" s="125"/>
      <c r="F430" s="125">
        <f t="shared" si="6"/>
        <v>0</v>
      </c>
    </row>
    <row r="431" spans="1:6" x14ac:dyDescent="0.4">
      <c r="A431" s="96">
        <v>427</v>
      </c>
      <c r="B431" s="115"/>
      <c r="C431" s="115"/>
      <c r="D431" s="125"/>
      <c r="E431" s="125"/>
      <c r="F431" s="125">
        <f t="shared" si="6"/>
        <v>0</v>
      </c>
    </row>
    <row r="432" spans="1:6" x14ac:dyDescent="0.4">
      <c r="A432" s="96">
        <v>428</v>
      </c>
      <c r="B432" s="115"/>
      <c r="C432" s="115"/>
      <c r="D432" s="125"/>
      <c r="E432" s="125"/>
      <c r="F432" s="125">
        <f t="shared" si="6"/>
        <v>0</v>
      </c>
    </row>
    <row r="433" spans="1:6" x14ac:dyDescent="0.4">
      <c r="A433" s="96">
        <v>429</v>
      </c>
      <c r="B433" s="115"/>
      <c r="C433" s="115"/>
      <c r="D433" s="125"/>
      <c r="E433" s="125"/>
      <c r="F433" s="125">
        <f t="shared" si="6"/>
        <v>0</v>
      </c>
    </row>
    <row r="434" spans="1:6" x14ac:dyDescent="0.4">
      <c r="A434" s="96">
        <v>430</v>
      </c>
      <c r="B434" s="115"/>
      <c r="C434" s="115"/>
      <c r="D434" s="125"/>
      <c r="E434" s="125"/>
      <c r="F434" s="125">
        <f t="shared" si="6"/>
        <v>0</v>
      </c>
    </row>
    <row r="435" spans="1:6" x14ac:dyDescent="0.4">
      <c r="A435" s="96">
        <v>431</v>
      </c>
      <c r="B435" s="115"/>
      <c r="C435" s="115"/>
      <c r="D435" s="125"/>
      <c r="E435" s="125"/>
      <c r="F435" s="125">
        <f t="shared" si="6"/>
        <v>0</v>
      </c>
    </row>
    <row r="436" spans="1:6" x14ac:dyDescent="0.4">
      <c r="A436" s="96">
        <v>432</v>
      </c>
      <c r="B436" s="115"/>
      <c r="C436" s="115"/>
      <c r="D436" s="125"/>
      <c r="E436" s="125"/>
      <c r="F436" s="125">
        <f t="shared" si="6"/>
        <v>0</v>
      </c>
    </row>
    <row r="437" spans="1:6" x14ac:dyDescent="0.4">
      <c r="A437" s="96">
        <v>433</v>
      </c>
      <c r="B437" s="115"/>
      <c r="C437" s="115"/>
      <c r="D437" s="125"/>
      <c r="E437" s="125"/>
      <c r="F437" s="125">
        <f t="shared" si="6"/>
        <v>0</v>
      </c>
    </row>
    <row r="438" spans="1:6" x14ac:dyDescent="0.4">
      <c r="A438" s="96">
        <v>434</v>
      </c>
      <c r="B438" s="115"/>
      <c r="C438" s="115"/>
      <c r="D438" s="125"/>
      <c r="E438" s="125"/>
      <c r="F438" s="125">
        <f t="shared" si="6"/>
        <v>0</v>
      </c>
    </row>
    <row r="439" spans="1:6" x14ac:dyDescent="0.4">
      <c r="A439" s="96">
        <v>435</v>
      </c>
      <c r="B439" s="115"/>
      <c r="C439" s="115"/>
      <c r="D439" s="125"/>
      <c r="E439" s="125"/>
      <c r="F439" s="125">
        <f t="shared" si="6"/>
        <v>0</v>
      </c>
    </row>
    <row r="440" spans="1:6" x14ac:dyDescent="0.4">
      <c r="A440" s="96">
        <v>436</v>
      </c>
      <c r="B440" s="115"/>
      <c r="C440" s="115"/>
      <c r="D440" s="125"/>
      <c r="E440" s="125"/>
      <c r="F440" s="125">
        <f t="shared" si="6"/>
        <v>0</v>
      </c>
    </row>
    <row r="441" spans="1:6" x14ac:dyDescent="0.4">
      <c r="A441" s="96">
        <v>437</v>
      </c>
      <c r="B441" s="115"/>
      <c r="C441" s="115"/>
      <c r="D441" s="125"/>
      <c r="E441" s="125"/>
      <c r="F441" s="125">
        <f t="shared" si="6"/>
        <v>0</v>
      </c>
    </row>
    <row r="442" spans="1:6" x14ac:dyDescent="0.4">
      <c r="A442" s="96">
        <v>438</v>
      </c>
      <c r="B442" s="115"/>
      <c r="C442" s="115"/>
      <c r="D442" s="125"/>
      <c r="E442" s="125"/>
      <c r="F442" s="125">
        <f t="shared" si="6"/>
        <v>0</v>
      </c>
    </row>
    <row r="443" spans="1:6" x14ac:dyDescent="0.4">
      <c r="A443" s="96">
        <v>439</v>
      </c>
      <c r="B443" s="115"/>
      <c r="C443" s="115"/>
      <c r="D443" s="125"/>
      <c r="E443" s="125"/>
      <c r="F443" s="125">
        <f t="shared" si="6"/>
        <v>0</v>
      </c>
    </row>
    <row r="444" spans="1:6" x14ac:dyDescent="0.4">
      <c r="A444" s="96">
        <v>440</v>
      </c>
      <c r="B444" s="115"/>
      <c r="C444" s="115"/>
      <c r="D444" s="125"/>
      <c r="E444" s="125"/>
      <c r="F444" s="125">
        <f t="shared" si="6"/>
        <v>0</v>
      </c>
    </row>
    <row r="445" spans="1:6" x14ac:dyDescent="0.4">
      <c r="A445" s="96">
        <v>441</v>
      </c>
      <c r="B445" s="115"/>
      <c r="C445" s="115"/>
      <c r="D445" s="125"/>
      <c r="E445" s="125"/>
      <c r="F445" s="125">
        <f t="shared" si="6"/>
        <v>0</v>
      </c>
    </row>
    <row r="446" spans="1:6" x14ac:dyDescent="0.4">
      <c r="A446" s="96">
        <v>442</v>
      </c>
      <c r="B446" s="115"/>
      <c r="C446" s="115"/>
      <c r="D446" s="125"/>
      <c r="E446" s="125"/>
      <c r="F446" s="125">
        <f t="shared" si="6"/>
        <v>0</v>
      </c>
    </row>
    <row r="447" spans="1:6" x14ac:dyDescent="0.4">
      <c r="A447" s="96">
        <v>443</v>
      </c>
      <c r="B447" s="115"/>
      <c r="C447" s="115"/>
      <c r="D447" s="125"/>
      <c r="E447" s="125"/>
      <c r="F447" s="125">
        <f t="shared" si="6"/>
        <v>0</v>
      </c>
    </row>
    <row r="448" spans="1:6" x14ac:dyDescent="0.4">
      <c r="A448" s="96">
        <v>444</v>
      </c>
      <c r="B448" s="115"/>
      <c r="C448" s="115"/>
      <c r="D448" s="125"/>
      <c r="E448" s="125"/>
      <c r="F448" s="125">
        <f t="shared" si="6"/>
        <v>0</v>
      </c>
    </row>
    <row r="449" spans="1:6" x14ac:dyDescent="0.4">
      <c r="A449" s="96">
        <v>445</v>
      </c>
      <c r="B449" s="115"/>
      <c r="C449" s="115"/>
      <c r="D449" s="125"/>
      <c r="E449" s="125"/>
      <c r="F449" s="125">
        <f t="shared" si="6"/>
        <v>0</v>
      </c>
    </row>
    <row r="450" spans="1:6" x14ac:dyDescent="0.4">
      <c r="A450" s="96">
        <v>446</v>
      </c>
      <c r="B450" s="115"/>
      <c r="C450" s="115"/>
      <c r="D450" s="125"/>
      <c r="E450" s="125"/>
      <c r="F450" s="125">
        <f t="shared" si="6"/>
        <v>0</v>
      </c>
    </row>
    <row r="451" spans="1:6" x14ac:dyDescent="0.4">
      <c r="A451" s="96">
        <v>447</v>
      </c>
      <c r="B451" s="115"/>
      <c r="C451" s="115"/>
      <c r="D451" s="125"/>
      <c r="E451" s="125"/>
      <c r="F451" s="125">
        <f t="shared" si="6"/>
        <v>0</v>
      </c>
    </row>
    <row r="452" spans="1:6" x14ac:dyDescent="0.4">
      <c r="A452" s="96">
        <v>448</v>
      </c>
      <c r="B452" s="115"/>
      <c r="C452" s="115"/>
      <c r="D452" s="125"/>
      <c r="E452" s="125"/>
      <c r="F452" s="125">
        <f t="shared" si="6"/>
        <v>0</v>
      </c>
    </row>
    <row r="453" spans="1:6" x14ac:dyDescent="0.4">
      <c r="A453" s="96">
        <v>449</v>
      </c>
      <c r="B453" s="115"/>
      <c r="C453" s="115"/>
      <c r="D453" s="125"/>
      <c r="E453" s="125"/>
      <c r="F453" s="125">
        <f t="shared" si="6"/>
        <v>0</v>
      </c>
    </row>
    <row r="454" spans="1:6" x14ac:dyDescent="0.4">
      <c r="A454" s="96">
        <v>450</v>
      </c>
      <c r="B454" s="115"/>
      <c r="C454" s="115"/>
      <c r="D454" s="125"/>
      <c r="E454" s="125"/>
      <c r="F454" s="125">
        <f t="shared" ref="F454:F517" si="7">D454*E454</f>
        <v>0</v>
      </c>
    </row>
    <row r="455" spans="1:6" x14ac:dyDescent="0.4">
      <c r="A455" s="96">
        <v>451</v>
      </c>
      <c r="B455" s="115"/>
      <c r="C455" s="115"/>
      <c r="D455" s="125"/>
      <c r="E455" s="125"/>
      <c r="F455" s="125">
        <f t="shared" si="7"/>
        <v>0</v>
      </c>
    </row>
    <row r="456" spans="1:6" x14ac:dyDescent="0.4">
      <c r="A456" s="96">
        <v>452</v>
      </c>
      <c r="B456" s="115"/>
      <c r="C456" s="115"/>
      <c r="D456" s="125"/>
      <c r="E456" s="125"/>
      <c r="F456" s="125">
        <f t="shared" si="7"/>
        <v>0</v>
      </c>
    </row>
    <row r="457" spans="1:6" x14ac:dyDescent="0.4">
      <c r="A457" s="96">
        <v>453</v>
      </c>
      <c r="B457" s="115"/>
      <c r="C457" s="115"/>
      <c r="D457" s="125"/>
      <c r="E457" s="125"/>
      <c r="F457" s="125">
        <f t="shared" si="7"/>
        <v>0</v>
      </c>
    </row>
    <row r="458" spans="1:6" x14ac:dyDescent="0.4">
      <c r="A458" s="96">
        <v>454</v>
      </c>
      <c r="B458" s="115"/>
      <c r="C458" s="115"/>
      <c r="D458" s="125"/>
      <c r="E458" s="125"/>
      <c r="F458" s="125">
        <f t="shared" si="7"/>
        <v>0</v>
      </c>
    </row>
    <row r="459" spans="1:6" x14ac:dyDescent="0.4">
      <c r="A459" s="96">
        <v>455</v>
      </c>
      <c r="B459" s="115"/>
      <c r="C459" s="115"/>
      <c r="D459" s="125"/>
      <c r="E459" s="125"/>
      <c r="F459" s="125">
        <f t="shared" si="7"/>
        <v>0</v>
      </c>
    </row>
    <row r="460" spans="1:6" x14ac:dyDescent="0.4">
      <c r="A460" s="96">
        <v>456</v>
      </c>
      <c r="B460" s="115"/>
      <c r="C460" s="115"/>
      <c r="D460" s="125"/>
      <c r="E460" s="125"/>
      <c r="F460" s="125">
        <f t="shared" si="7"/>
        <v>0</v>
      </c>
    </row>
    <row r="461" spans="1:6" x14ac:dyDescent="0.4">
      <c r="A461" s="96">
        <v>457</v>
      </c>
      <c r="B461" s="115"/>
      <c r="C461" s="115"/>
      <c r="D461" s="125"/>
      <c r="E461" s="125"/>
      <c r="F461" s="125">
        <f t="shared" si="7"/>
        <v>0</v>
      </c>
    </row>
    <row r="462" spans="1:6" x14ac:dyDescent="0.4">
      <c r="A462" s="96">
        <v>458</v>
      </c>
      <c r="B462" s="115"/>
      <c r="C462" s="115"/>
      <c r="D462" s="125"/>
      <c r="E462" s="125"/>
      <c r="F462" s="125">
        <f t="shared" si="7"/>
        <v>0</v>
      </c>
    </row>
    <row r="463" spans="1:6" x14ac:dyDescent="0.4">
      <c r="A463" s="96">
        <v>459</v>
      </c>
      <c r="B463" s="115"/>
      <c r="C463" s="115"/>
      <c r="D463" s="125"/>
      <c r="E463" s="125"/>
      <c r="F463" s="125">
        <f t="shared" si="7"/>
        <v>0</v>
      </c>
    </row>
    <row r="464" spans="1:6" x14ac:dyDescent="0.4">
      <c r="A464" s="96">
        <v>460</v>
      </c>
      <c r="B464" s="115"/>
      <c r="C464" s="115"/>
      <c r="D464" s="125"/>
      <c r="E464" s="125"/>
      <c r="F464" s="125">
        <f t="shared" si="7"/>
        <v>0</v>
      </c>
    </row>
    <row r="465" spans="1:6" x14ac:dyDescent="0.4">
      <c r="A465" s="96">
        <v>461</v>
      </c>
      <c r="B465" s="115"/>
      <c r="C465" s="115"/>
      <c r="D465" s="125"/>
      <c r="E465" s="125"/>
      <c r="F465" s="125">
        <f t="shared" si="7"/>
        <v>0</v>
      </c>
    </row>
    <row r="466" spans="1:6" x14ac:dyDescent="0.4">
      <c r="A466" s="96">
        <v>462</v>
      </c>
      <c r="B466" s="115"/>
      <c r="C466" s="115"/>
      <c r="D466" s="125"/>
      <c r="E466" s="125"/>
      <c r="F466" s="125">
        <f t="shared" si="7"/>
        <v>0</v>
      </c>
    </row>
    <row r="467" spans="1:6" x14ac:dyDescent="0.4">
      <c r="A467" s="96">
        <v>463</v>
      </c>
      <c r="B467" s="115"/>
      <c r="C467" s="115"/>
      <c r="D467" s="125"/>
      <c r="E467" s="125"/>
      <c r="F467" s="125">
        <f t="shared" si="7"/>
        <v>0</v>
      </c>
    </row>
    <row r="468" spans="1:6" x14ac:dyDescent="0.4">
      <c r="A468" s="96">
        <v>464</v>
      </c>
      <c r="B468" s="115"/>
      <c r="C468" s="115"/>
      <c r="D468" s="125"/>
      <c r="E468" s="125"/>
      <c r="F468" s="125">
        <f t="shared" si="7"/>
        <v>0</v>
      </c>
    </row>
    <row r="469" spans="1:6" x14ac:dyDescent="0.4">
      <c r="A469" s="96">
        <v>465</v>
      </c>
      <c r="B469" s="115"/>
      <c r="C469" s="115"/>
      <c r="D469" s="125"/>
      <c r="E469" s="125"/>
      <c r="F469" s="125">
        <f t="shared" si="7"/>
        <v>0</v>
      </c>
    </row>
    <row r="470" spans="1:6" x14ac:dyDescent="0.4">
      <c r="A470" s="96">
        <v>466</v>
      </c>
      <c r="B470" s="115"/>
      <c r="C470" s="115"/>
      <c r="D470" s="125"/>
      <c r="E470" s="125"/>
      <c r="F470" s="125">
        <f t="shared" si="7"/>
        <v>0</v>
      </c>
    </row>
    <row r="471" spans="1:6" x14ac:dyDescent="0.4">
      <c r="A471" s="96">
        <v>467</v>
      </c>
      <c r="B471" s="115"/>
      <c r="C471" s="115"/>
      <c r="D471" s="125"/>
      <c r="E471" s="125"/>
      <c r="F471" s="125">
        <f t="shared" si="7"/>
        <v>0</v>
      </c>
    </row>
    <row r="472" spans="1:6" x14ac:dyDescent="0.4">
      <c r="A472" s="96">
        <v>468</v>
      </c>
      <c r="B472" s="115"/>
      <c r="C472" s="115"/>
      <c r="D472" s="125"/>
      <c r="E472" s="125"/>
      <c r="F472" s="125">
        <f t="shared" si="7"/>
        <v>0</v>
      </c>
    </row>
    <row r="473" spans="1:6" x14ac:dyDescent="0.4">
      <c r="A473" s="96">
        <v>469</v>
      </c>
      <c r="B473" s="115"/>
      <c r="C473" s="115"/>
      <c r="D473" s="125"/>
      <c r="E473" s="125"/>
      <c r="F473" s="125">
        <f t="shared" si="7"/>
        <v>0</v>
      </c>
    </row>
    <row r="474" spans="1:6" x14ac:dyDescent="0.4">
      <c r="A474" s="96">
        <v>470</v>
      </c>
      <c r="B474" s="115"/>
      <c r="C474" s="115"/>
      <c r="D474" s="125"/>
      <c r="E474" s="125"/>
      <c r="F474" s="125">
        <f t="shared" si="7"/>
        <v>0</v>
      </c>
    </row>
    <row r="475" spans="1:6" x14ac:dyDescent="0.4">
      <c r="A475" s="96">
        <v>471</v>
      </c>
      <c r="B475" s="115"/>
      <c r="C475" s="115"/>
      <c r="D475" s="125"/>
      <c r="E475" s="125"/>
      <c r="F475" s="125">
        <f t="shared" si="7"/>
        <v>0</v>
      </c>
    </row>
    <row r="476" spans="1:6" x14ac:dyDescent="0.4">
      <c r="A476" s="96">
        <v>472</v>
      </c>
      <c r="B476" s="115"/>
      <c r="C476" s="115"/>
      <c r="D476" s="125"/>
      <c r="E476" s="125"/>
      <c r="F476" s="125">
        <f t="shared" si="7"/>
        <v>0</v>
      </c>
    </row>
    <row r="477" spans="1:6" x14ac:dyDescent="0.4">
      <c r="A477" s="96">
        <v>473</v>
      </c>
      <c r="B477" s="115"/>
      <c r="C477" s="115"/>
      <c r="D477" s="125"/>
      <c r="E477" s="125"/>
      <c r="F477" s="125">
        <f t="shared" si="7"/>
        <v>0</v>
      </c>
    </row>
    <row r="478" spans="1:6" x14ac:dyDescent="0.4">
      <c r="A478" s="96">
        <v>474</v>
      </c>
      <c r="B478" s="115"/>
      <c r="C478" s="115"/>
      <c r="D478" s="125"/>
      <c r="E478" s="125"/>
      <c r="F478" s="125">
        <f t="shared" si="7"/>
        <v>0</v>
      </c>
    </row>
    <row r="479" spans="1:6" x14ac:dyDescent="0.4">
      <c r="A479" s="96">
        <v>475</v>
      </c>
      <c r="B479" s="115"/>
      <c r="C479" s="115"/>
      <c r="D479" s="125"/>
      <c r="E479" s="125"/>
      <c r="F479" s="125">
        <f t="shared" si="7"/>
        <v>0</v>
      </c>
    </row>
    <row r="480" spans="1:6" x14ac:dyDescent="0.4">
      <c r="A480" s="96">
        <v>476</v>
      </c>
      <c r="B480" s="115"/>
      <c r="C480" s="115"/>
      <c r="D480" s="125"/>
      <c r="E480" s="125"/>
      <c r="F480" s="125">
        <f t="shared" si="7"/>
        <v>0</v>
      </c>
    </row>
    <row r="481" spans="1:6" x14ac:dyDescent="0.4">
      <c r="A481" s="96">
        <v>477</v>
      </c>
      <c r="B481" s="115"/>
      <c r="C481" s="115"/>
      <c r="D481" s="125"/>
      <c r="E481" s="125"/>
      <c r="F481" s="125">
        <f t="shared" si="7"/>
        <v>0</v>
      </c>
    </row>
    <row r="482" spans="1:6" x14ac:dyDescent="0.4">
      <c r="A482" s="96">
        <v>478</v>
      </c>
      <c r="B482" s="115"/>
      <c r="C482" s="115"/>
      <c r="D482" s="125"/>
      <c r="E482" s="125"/>
      <c r="F482" s="125">
        <f t="shared" si="7"/>
        <v>0</v>
      </c>
    </row>
    <row r="483" spans="1:6" x14ac:dyDescent="0.4">
      <c r="A483" s="96">
        <v>479</v>
      </c>
      <c r="B483" s="115"/>
      <c r="C483" s="115"/>
      <c r="D483" s="125"/>
      <c r="E483" s="125"/>
      <c r="F483" s="125">
        <f t="shared" si="7"/>
        <v>0</v>
      </c>
    </row>
    <row r="484" spans="1:6" x14ac:dyDescent="0.4">
      <c r="A484" s="96">
        <v>480</v>
      </c>
      <c r="B484" s="115"/>
      <c r="C484" s="115"/>
      <c r="D484" s="125"/>
      <c r="E484" s="125"/>
      <c r="F484" s="125">
        <f t="shared" si="7"/>
        <v>0</v>
      </c>
    </row>
    <row r="485" spans="1:6" x14ac:dyDescent="0.4">
      <c r="A485" s="96">
        <v>481</v>
      </c>
      <c r="B485" s="115"/>
      <c r="C485" s="115"/>
      <c r="D485" s="125"/>
      <c r="E485" s="125"/>
      <c r="F485" s="125">
        <f t="shared" si="7"/>
        <v>0</v>
      </c>
    </row>
    <row r="486" spans="1:6" x14ac:dyDescent="0.4">
      <c r="A486" s="96">
        <v>482</v>
      </c>
      <c r="B486" s="115"/>
      <c r="C486" s="115"/>
      <c r="D486" s="125"/>
      <c r="E486" s="125"/>
      <c r="F486" s="125">
        <f t="shared" si="7"/>
        <v>0</v>
      </c>
    </row>
    <row r="487" spans="1:6" x14ac:dyDescent="0.4">
      <c r="A487" s="96">
        <v>483</v>
      </c>
      <c r="B487" s="115"/>
      <c r="C487" s="115"/>
      <c r="D487" s="125"/>
      <c r="E487" s="125"/>
      <c r="F487" s="125">
        <f t="shared" si="7"/>
        <v>0</v>
      </c>
    </row>
    <row r="488" spans="1:6" x14ac:dyDescent="0.4">
      <c r="A488" s="96">
        <v>484</v>
      </c>
      <c r="B488" s="115"/>
      <c r="C488" s="115"/>
      <c r="D488" s="125"/>
      <c r="E488" s="125"/>
      <c r="F488" s="125">
        <f t="shared" si="7"/>
        <v>0</v>
      </c>
    </row>
    <row r="489" spans="1:6" x14ac:dyDescent="0.4">
      <c r="A489" s="96">
        <v>485</v>
      </c>
      <c r="B489" s="115"/>
      <c r="C489" s="115"/>
      <c r="D489" s="125"/>
      <c r="E489" s="125"/>
      <c r="F489" s="125">
        <f t="shared" si="7"/>
        <v>0</v>
      </c>
    </row>
    <row r="490" spans="1:6" x14ac:dyDescent="0.4">
      <c r="A490" s="96">
        <v>486</v>
      </c>
      <c r="B490" s="115"/>
      <c r="C490" s="115"/>
      <c r="D490" s="125"/>
      <c r="E490" s="125"/>
      <c r="F490" s="125">
        <f t="shared" si="7"/>
        <v>0</v>
      </c>
    </row>
    <row r="491" spans="1:6" x14ac:dyDescent="0.4">
      <c r="A491" s="96">
        <v>487</v>
      </c>
      <c r="B491" s="115"/>
      <c r="C491" s="115"/>
      <c r="D491" s="125"/>
      <c r="E491" s="125"/>
      <c r="F491" s="125">
        <f t="shared" si="7"/>
        <v>0</v>
      </c>
    </row>
    <row r="492" spans="1:6" x14ac:dyDescent="0.4">
      <c r="A492" s="96">
        <v>488</v>
      </c>
      <c r="B492" s="115"/>
      <c r="C492" s="115"/>
      <c r="D492" s="125"/>
      <c r="E492" s="125"/>
      <c r="F492" s="125">
        <f t="shared" si="7"/>
        <v>0</v>
      </c>
    </row>
    <row r="493" spans="1:6" x14ac:dyDescent="0.4">
      <c r="A493" s="96">
        <v>489</v>
      </c>
      <c r="B493" s="115"/>
      <c r="C493" s="115"/>
      <c r="D493" s="125"/>
      <c r="E493" s="125"/>
      <c r="F493" s="125">
        <f t="shared" si="7"/>
        <v>0</v>
      </c>
    </row>
    <row r="494" spans="1:6" x14ac:dyDescent="0.4">
      <c r="A494" s="96">
        <v>490</v>
      </c>
      <c r="B494" s="115"/>
      <c r="C494" s="115"/>
      <c r="D494" s="125"/>
      <c r="E494" s="125"/>
      <c r="F494" s="125">
        <f t="shared" si="7"/>
        <v>0</v>
      </c>
    </row>
    <row r="495" spans="1:6" x14ac:dyDescent="0.4">
      <c r="A495" s="96">
        <v>491</v>
      </c>
      <c r="B495" s="115"/>
      <c r="C495" s="115"/>
      <c r="D495" s="125"/>
      <c r="E495" s="125"/>
      <c r="F495" s="125">
        <f t="shared" si="7"/>
        <v>0</v>
      </c>
    </row>
    <row r="496" spans="1:6" x14ac:dyDescent="0.4">
      <c r="A496" s="96">
        <v>492</v>
      </c>
      <c r="B496" s="115"/>
      <c r="C496" s="115"/>
      <c r="D496" s="125"/>
      <c r="E496" s="125"/>
      <c r="F496" s="125">
        <f t="shared" si="7"/>
        <v>0</v>
      </c>
    </row>
    <row r="497" spans="1:6" x14ac:dyDescent="0.4">
      <c r="A497" s="96">
        <v>493</v>
      </c>
      <c r="B497" s="115"/>
      <c r="C497" s="115"/>
      <c r="D497" s="125"/>
      <c r="E497" s="125"/>
      <c r="F497" s="125">
        <f t="shared" si="7"/>
        <v>0</v>
      </c>
    </row>
    <row r="498" spans="1:6" x14ac:dyDescent="0.4">
      <c r="A498" s="96">
        <v>494</v>
      </c>
      <c r="B498" s="115"/>
      <c r="C498" s="115"/>
      <c r="D498" s="125"/>
      <c r="E498" s="125"/>
      <c r="F498" s="125">
        <f t="shared" si="7"/>
        <v>0</v>
      </c>
    </row>
    <row r="499" spans="1:6" x14ac:dyDescent="0.4">
      <c r="A499" s="96">
        <v>495</v>
      </c>
      <c r="B499" s="115"/>
      <c r="C499" s="115"/>
      <c r="D499" s="125"/>
      <c r="E499" s="125"/>
      <c r="F499" s="125">
        <f t="shared" si="7"/>
        <v>0</v>
      </c>
    </row>
    <row r="500" spans="1:6" x14ac:dyDescent="0.4">
      <c r="A500" s="96">
        <v>496</v>
      </c>
      <c r="B500" s="115"/>
      <c r="C500" s="115"/>
      <c r="D500" s="125"/>
      <c r="E500" s="125"/>
      <c r="F500" s="125">
        <f t="shared" si="7"/>
        <v>0</v>
      </c>
    </row>
    <row r="501" spans="1:6" x14ac:dyDescent="0.4">
      <c r="A501" s="96">
        <v>497</v>
      </c>
      <c r="B501" s="115"/>
      <c r="C501" s="115"/>
      <c r="D501" s="125"/>
      <c r="E501" s="125"/>
      <c r="F501" s="125">
        <f t="shared" si="7"/>
        <v>0</v>
      </c>
    </row>
    <row r="502" spans="1:6" x14ac:dyDescent="0.4">
      <c r="A502" s="96">
        <v>498</v>
      </c>
      <c r="B502" s="115"/>
      <c r="C502" s="115"/>
      <c r="D502" s="125"/>
      <c r="E502" s="125"/>
      <c r="F502" s="125">
        <f t="shared" si="7"/>
        <v>0</v>
      </c>
    </row>
    <row r="503" spans="1:6" x14ac:dyDescent="0.4">
      <c r="A503" s="96">
        <v>499</v>
      </c>
      <c r="B503" s="115"/>
      <c r="C503" s="115"/>
      <c r="D503" s="125"/>
      <c r="E503" s="125"/>
      <c r="F503" s="125">
        <f t="shared" si="7"/>
        <v>0</v>
      </c>
    </row>
    <row r="504" spans="1:6" x14ac:dyDescent="0.4">
      <c r="A504" s="96">
        <v>500</v>
      </c>
      <c r="B504" s="115"/>
      <c r="C504" s="115"/>
      <c r="D504" s="125"/>
      <c r="E504" s="125"/>
      <c r="F504" s="125">
        <f t="shared" si="7"/>
        <v>0</v>
      </c>
    </row>
    <row r="505" spans="1:6" x14ac:dyDescent="0.4">
      <c r="A505" s="96">
        <v>501</v>
      </c>
      <c r="B505" s="115"/>
      <c r="C505" s="115"/>
      <c r="D505" s="125"/>
      <c r="E505" s="125"/>
      <c r="F505" s="125">
        <f t="shared" si="7"/>
        <v>0</v>
      </c>
    </row>
    <row r="506" spans="1:6" x14ac:dyDescent="0.4">
      <c r="A506" s="96">
        <v>502</v>
      </c>
      <c r="B506" s="115"/>
      <c r="C506" s="115"/>
      <c r="D506" s="125"/>
      <c r="E506" s="125"/>
      <c r="F506" s="125">
        <f t="shared" si="7"/>
        <v>0</v>
      </c>
    </row>
    <row r="507" spans="1:6" x14ac:dyDescent="0.4">
      <c r="A507" s="96">
        <v>503</v>
      </c>
      <c r="B507" s="115"/>
      <c r="C507" s="115"/>
      <c r="D507" s="125"/>
      <c r="E507" s="125"/>
      <c r="F507" s="125">
        <f t="shared" si="7"/>
        <v>0</v>
      </c>
    </row>
    <row r="508" spans="1:6" x14ac:dyDescent="0.4">
      <c r="A508" s="96">
        <v>504</v>
      </c>
      <c r="B508" s="115"/>
      <c r="C508" s="115"/>
      <c r="D508" s="125"/>
      <c r="E508" s="125"/>
      <c r="F508" s="125">
        <f t="shared" si="7"/>
        <v>0</v>
      </c>
    </row>
    <row r="509" spans="1:6" x14ac:dyDescent="0.4">
      <c r="A509" s="96">
        <v>505</v>
      </c>
      <c r="B509" s="115"/>
      <c r="C509" s="115"/>
      <c r="D509" s="125"/>
      <c r="E509" s="125"/>
      <c r="F509" s="125">
        <f t="shared" si="7"/>
        <v>0</v>
      </c>
    </row>
    <row r="510" spans="1:6" x14ac:dyDescent="0.4">
      <c r="A510" s="96">
        <v>506</v>
      </c>
      <c r="B510" s="115"/>
      <c r="C510" s="115"/>
      <c r="D510" s="125"/>
      <c r="E510" s="125"/>
      <c r="F510" s="125">
        <f t="shared" si="7"/>
        <v>0</v>
      </c>
    </row>
    <row r="511" spans="1:6" x14ac:dyDescent="0.4">
      <c r="A511" s="96">
        <v>507</v>
      </c>
      <c r="B511" s="115"/>
      <c r="C511" s="115"/>
      <c r="D511" s="125"/>
      <c r="E511" s="125"/>
      <c r="F511" s="125">
        <f t="shared" si="7"/>
        <v>0</v>
      </c>
    </row>
    <row r="512" spans="1:6" x14ac:dyDescent="0.4">
      <c r="A512" s="96">
        <v>508</v>
      </c>
      <c r="B512" s="115"/>
      <c r="C512" s="115"/>
      <c r="D512" s="125"/>
      <c r="E512" s="125"/>
      <c r="F512" s="125">
        <f t="shared" si="7"/>
        <v>0</v>
      </c>
    </row>
    <row r="513" spans="1:6" x14ac:dyDescent="0.4">
      <c r="A513" s="96">
        <v>509</v>
      </c>
      <c r="B513" s="115"/>
      <c r="C513" s="115"/>
      <c r="D513" s="125"/>
      <c r="E513" s="125"/>
      <c r="F513" s="125">
        <f t="shared" si="7"/>
        <v>0</v>
      </c>
    </row>
    <row r="514" spans="1:6" x14ac:dyDescent="0.4">
      <c r="A514" s="96">
        <v>510</v>
      </c>
      <c r="B514" s="115"/>
      <c r="C514" s="115"/>
      <c r="D514" s="125"/>
      <c r="E514" s="125"/>
      <c r="F514" s="125">
        <f t="shared" si="7"/>
        <v>0</v>
      </c>
    </row>
    <row r="515" spans="1:6" x14ac:dyDescent="0.4">
      <c r="A515" s="96">
        <v>511</v>
      </c>
      <c r="B515" s="115"/>
      <c r="C515" s="115"/>
      <c r="D515" s="125"/>
      <c r="E515" s="125"/>
      <c r="F515" s="125">
        <f t="shared" si="7"/>
        <v>0</v>
      </c>
    </row>
    <row r="516" spans="1:6" x14ac:dyDescent="0.4">
      <c r="A516" s="96">
        <v>512</v>
      </c>
      <c r="B516" s="115"/>
      <c r="C516" s="115"/>
      <c r="D516" s="125"/>
      <c r="E516" s="125"/>
      <c r="F516" s="125">
        <f t="shared" si="7"/>
        <v>0</v>
      </c>
    </row>
    <row r="517" spans="1:6" x14ac:dyDescent="0.4">
      <c r="A517" s="96">
        <v>513</v>
      </c>
      <c r="B517" s="115"/>
      <c r="C517" s="115"/>
      <c r="D517" s="125"/>
      <c r="E517" s="125"/>
      <c r="F517" s="125">
        <f t="shared" si="7"/>
        <v>0</v>
      </c>
    </row>
    <row r="518" spans="1:6" x14ac:dyDescent="0.4">
      <c r="A518" s="96">
        <v>514</v>
      </c>
      <c r="B518" s="115"/>
      <c r="C518" s="115"/>
      <c r="D518" s="125"/>
      <c r="E518" s="125"/>
      <c r="F518" s="125">
        <f t="shared" ref="F518:F581" si="8">D518*E518</f>
        <v>0</v>
      </c>
    </row>
    <row r="519" spans="1:6" x14ac:dyDescent="0.4">
      <c r="A519" s="96">
        <v>515</v>
      </c>
      <c r="B519" s="115"/>
      <c r="C519" s="115"/>
      <c r="D519" s="125"/>
      <c r="E519" s="125"/>
      <c r="F519" s="125">
        <f t="shared" si="8"/>
        <v>0</v>
      </c>
    </row>
    <row r="520" spans="1:6" x14ac:dyDescent="0.4">
      <c r="A520" s="96">
        <v>516</v>
      </c>
      <c r="B520" s="115"/>
      <c r="C520" s="115"/>
      <c r="D520" s="125"/>
      <c r="E520" s="125"/>
      <c r="F520" s="125">
        <f t="shared" si="8"/>
        <v>0</v>
      </c>
    </row>
    <row r="521" spans="1:6" x14ac:dyDescent="0.4">
      <c r="A521" s="96">
        <v>517</v>
      </c>
      <c r="B521" s="115"/>
      <c r="C521" s="115"/>
      <c r="D521" s="125"/>
      <c r="E521" s="125"/>
      <c r="F521" s="125">
        <f t="shared" si="8"/>
        <v>0</v>
      </c>
    </row>
    <row r="522" spans="1:6" x14ac:dyDescent="0.4">
      <c r="A522" s="96">
        <v>518</v>
      </c>
      <c r="B522" s="115"/>
      <c r="C522" s="115"/>
      <c r="D522" s="125"/>
      <c r="E522" s="125"/>
      <c r="F522" s="125">
        <f t="shared" si="8"/>
        <v>0</v>
      </c>
    </row>
    <row r="523" spans="1:6" x14ac:dyDescent="0.4">
      <c r="A523" s="96">
        <v>519</v>
      </c>
      <c r="B523" s="115"/>
      <c r="C523" s="115"/>
      <c r="D523" s="125"/>
      <c r="E523" s="125"/>
      <c r="F523" s="125">
        <f t="shared" si="8"/>
        <v>0</v>
      </c>
    </row>
    <row r="524" spans="1:6" x14ac:dyDescent="0.4">
      <c r="A524" s="96">
        <v>520</v>
      </c>
      <c r="B524" s="115"/>
      <c r="C524" s="115"/>
      <c r="D524" s="125"/>
      <c r="E524" s="125"/>
      <c r="F524" s="125">
        <f t="shared" si="8"/>
        <v>0</v>
      </c>
    </row>
    <row r="525" spans="1:6" x14ac:dyDescent="0.4">
      <c r="A525" s="96">
        <v>521</v>
      </c>
      <c r="B525" s="115"/>
      <c r="C525" s="115"/>
      <c r="D525" s="125"/>
      <c r="E525" s="125"/>
      <c r="F525" s="125">
        <f t="shared" si="8"/>
        <v>0</v>
      </c>
    </row>
    <row r="526" spans="1:6" x14ac:dyDescent="0.4">
      <c r="A526" s="96">
        <v>522</v>
      </c>
      <c r="B526" s="115"/>
      <c r="C526" s="115"/>
      <c r="D526" s="125"/>
      <c r="E526" s="125"/>
      <c r="F526" s="125">
        <f t="shared" si="8"/>
        <v>0</v>
      </c>
    </row>
    <row r="527" spans="1:6" x14ac:dyDescent="0.4">
      <c r="A527" s="96">
        <v>523</v>
      </c>
      <c r="B527" s="115"/>
      <c r="C527" s="115"/>
      <c r="D527" s="125"/>
      <c r="E527" s="125"/>
      <c r="F527" s="125">
        <f t="shared" si="8"/>
        <v>0</v>
      </c>
    </row>
    <row r="528" spans="1:6" x14ac:dyDescent="0.4">
      <c r="A528" s="96">
        <v>524</v>
      </c>
      <c r="B528" s="115"/>
      <c r="C528" s="115"/>
      <c r="D528" s="125"/>
      <c r="E528" s="125"/>
      <c r="F528" s="125">
        <f t="shared" si="8"/>
        <v>0</v>
      </c>
    </row>
    <row r="529" spans="1:6" x14ac:dyDescent="0.4">
      <c r="A529" s="96">
        <v>525</v>
      </c>
      <c r="B529" s="115"/>
      <c r="C529" s="115"/>
      <c r="D529" s="125"/>
      <c r="E529" s="125"/>
      <c r="F529" s="125">
        <f t="shared" si="8"/>
        <v>0</v>
      </c>
    </row>
    <row r="530" spans="1:6" x14ac:dyDescent="0.4">
      <c r="A530" s="96">
        <v>526</v>
      </c>
      <c r="B530" s="115"/>
      <c r="C530" s="115"/>
      <c r="D530" s="125"/>
      <c r="E530" s="125"/>
      <c r="F530" s="125">
        <f t="shared" si="8"/>
        <v>0</v>
      </c>
    </row>
    <row r="531" spans="1:6" x14ac:dyDescent="0.4">
      <c r="A531" s="96">
        <v>527</v>
      </c>
      <c r="B531" s="115"/>
      <c r="C531" s="115"/>
      <c r="D531" s="125"/>
      <c r="E531" s="125"/>
      <c r="F531" s="125">
        <f t="shared" si="8"/>
        <v>0</v>
      </c>
    </row>
    <row r="532" spans="1:6" x14ac:dyDescent="0.4">
      <c r="A532" s="96">
        <v>528</v>
      </c>
      <c r="B532" s="115"/>
      <c r="C532" s="115"/>
      <c r="D532" s="125"/>
      <c r="E532" s="125"/>
      <c r="F532" s="125">
        <f t="shared" si="8"/>
        <v>0</v>
      </c>
    </row>
    <row r="533" spans="1:6" x14ac:dyDescent="0.4">
      <c r="A533" s="96">
        <v>529</v>
      </c>
      <c r="B533" s="115"/>
      <c r="C533" s="115"/>
      <c r="D533" s="125"/>
      <c r="E533" s="125"/>
      <c r="F533" s="125">
        <f t="shared" si="8"/>
        <v>0</v>
      </c>
    </row>
    <row r="534" spans="1:6" x14ac:dyDescent="0.4">
      <c r="A534" s="96">
        <v>530</v>
      </c>
      <c r="B534" s="115"/>
      <c r="C534" s="115"/>
      <c r="D534" s="125"/>
      <c r="E534" s="125"/>
      <c r="F534" s="125">
        <f t="shared" si="8"/>
        <v>0</v>
      </c>
    </row>
    <row r="535" spans="1:6" x14ac:dyDescent="0.4">
      <c r="A535" s="96">
        <v>531</v>
      </c>
      <c r="B535" s="115"/>
      <c r="C535" s="115"/>
      <c r="D535" s="125"/>
      <c r="E535" s="125"/>
      <c r="F535" s="125">
        <f t="shared" si="8"/>
        <v>0</v>
      </c>
    </row>
    <row r="536" spans="1:6" x14ac:dyDescent="0.4">
      <c r="A536" s="96">
        <v>532</v>
      </c>
      <c r="B536" s="115"/>
      <c r="C536" s="115"/>
      <c r="D536" s="125"/>
      <c r="E536" s="125"/>
      <c r="F536" s="125">
        <f t="shared" si="8"/>
        <v>0</v>
      </c>
    </row>
    <row r="537" spans="1:6" x14ac:dyDescent="0.4">
      <c r="A537" s="96">
        <v>533</v>
      </c>
      <c r="B537" s="115"/>
      <c r="C537" s="115"/>
      <c r="D537" s="125"/>
      <c r="E537" s="125"/>
      <c r="F537" s="125">
        <f t="shared" si="8"/>
        <v>0</v>
      </c>
    </row>
    <row r="538" spans="1:6" x14ac:dyDescent="0.4">
      <c r="A538" s="96">
        <v>534</v>
      </c>
      <c r="B538" s="115"/>
      <c r="C538" s="115"/>
      <c r="D538" s="125"/>
      <c r="E538" s="125"/>
      <c r="F538" s="125">
        <f t="shared" si="8"/>
        <v>0</v>
      </c>
    </row>
    <row r="539" spans="1:6" x14ac:dyDescent="0.4">
      <c r="A539" s="96">
        <v>535</v>
      </c>
      <c r="B539" s="115"/>
      <c r="C539" s="115"/>
      <c r="D539" s="125"/>
      <c r="E539" s="125"/>
      <c r="F539" s="125">
        <f t="shared" si="8"/>
        <v>0</v>
      </c>
    </row>
    <row r="540" spans="1:6" x14ac:dyDescent="0.4">
      <c r="A540" s="96">
        <v>536</v>
      </c>
      <c r="B540" s="115"/>
      <c r="C540" s="115"/>
      <c r="D540" s="125"/>
      <c r="E540" s="125"/>
      <c r="F540" s="125">
        <f t="shared" si="8"/>
        <v>0</v>
      </c>
    </row>
    <row r="541" spans="1:6" x14ac:dyDescent="0.4">
      <c r="A541" s="96">
        <v>537</v>
      </c>
      <c r="B541" s="115"/>
      <c r="C541" s="115"/>
      <c r="D541" s="125"/>
      <c r="E541" s="125"/>
      <c r="F541" s="125">
        <f t="shared" si="8"/>
        <v>0</v>
      </c>
    </row>
    <row r="542" spans="1:6" x14ac:dyDescent="0.4">
      <c r="A542" s="96">
        <v>538</v>
      </c>
      <c r="B542" s="115"/>
      <c r="C542" s="115"/>
      <c r="D542" s="125"/>
      <c r="E542" s="125"/>
      <c r="F542" s="125">
        <f t="shared" si="8"/>
        <v>0</v>
      </c>
    </row>
    <row r="543" spans="1:6" x14ac:dyDescent="0.4">
      <c r="A543" s="96">
        <v>539</v>
      </c>
      <c r="B543" s="115"/>
      <c r="C543" s="115"/>
      <c r="D543" s="125"/>
      <c r="E543" s="125"/>
      <c r="F543" s="125">
        <f t="shared" si="8"/>
        <v>0</v>
      </c>
    </row>
    <row r="544" spans="1:6" x14ac:dyDescent="0.4">
      <c r="A544" s="96">
        <v>540</v>
      </c>
      <c r="B544" s="115"/>
      <c r="C544" s="115"/>
      <c r="D544" s="125"/>
      <c r="E544" s="125"/>
      <c r="F544" s="125">
        <f t="shared" si="8"/>
        <v>0</v>
      </c>
    </row>
    <row r="545" spans="1:6" x14ac:dyDescent="0.4">
      <c r="A545" s="96">
        <v>541</v>
      </c>
      <c r="B545" s="115"/>
      <c r="C545" s="115"/>
      <c r="D545" s="125"/>
      <c r="E545" s="125"/>
      <c r="F545" s="125">
        <f t="shared" si="8"/>
        <v>0</v>
      </c>
    </row>
    <row r="546" spans="1:6" x14ac:dyDescent="0.4">
      <c r="A546" s="96">
        <v>542</v>
      </c>
      <c r="B546" s="115"/>
      <c r="C546" s="115"/>
      <c r="D546" s="125"/>
      <c r="E546" s="125"/>
      <c r="F546" s="125">
        <f t="shared" si="8"/>
        <v>0</v>
      </c>
    </row>
    <row r="547" spans="1:6" x14ac:dyDescent="0.4">
      <c r="A547" s="96">
        <v>543</v>
      </c>
      <c r="B547" s="115"/>
      <c r="C547" s="115"/>
      <c r="D547" s="125"/>
      <c r="E547" s="125"/>
      <c r="F547" s="125">
        <f t="shared" si="8"/>
        <v>0</v>
      </c>
    </row>
    <row r="548" spans="1:6" x14ac:dyDescent="0.4">
      <c r="A548" s="96">
        <v>544</v>
      </c>
      <c r="B548" s="115"/>
      <c r="C548" s="115"/>
      <c r="D548" s="125"/>
      <c r="E548" s="125"/>
      <c r="F548" s="125">
        <f t="shared" si="8"/>
        <v>0</v>
      </c>
    </row>
    <row r="549" spans="1:6" x14ac:dyDescent="0.4">
      <c r="A549" s="96">
        <v>545</v>
      </c>
      <c r="B549" s="115"/>
      <c r="C549" s="115"/>
      <c r="D549" s="125"/>
      <c r="E549" s="125"/>
      <c r="F549" s="125">
        <f t="shared" si="8"/>
        <v>0</v>
      </c>
    </row>
    <row r="550" spans="1:6" x14ac:dyDescent="0.4">
      <c r="A550" s="96">
        <v>546</v>
      </c>
      <c r="B550" s="115"/>
      <c r="C550" s="115"/>
      <c r="D550" s="125"/>
      <c r="E550" s="125"/>
      <c r="F550" s="125">
        <f t="shared" si="8"/>
        <v>0</v>
      </c>
    </row>
    <row r="551" spans="1:6" x14ac:dyDescent="0.4">
      <c r="A551" s="96">
        <v>547</v>
      </c>
      <c r="B551" s="115"/>
      <c r="C551" s="115"/>
      <c r="D551" s="125"/>
      <c r="E551" s="125"/>
      <c r="F551" s="125">
        <f t="shared" si="8"/>
        <v>0</v>
      </c>
    </row>
    <row r="552" spans="1:6" x14ac:dyDescent="0.4">
      <c r="A552" s="96">
        <v>548</v>
      </c>
      <c r="B552" s="115"/>
      <c r="C552" s="115"/>
      <c r="D552" s="125"/>
      <c r="E552" s="125"/>
      <c r="F552" s="125">
        <f t="shared" si="8"/>
        <v>0</v>
      </c>
    </row>
    <row r="553" spans="1:6" x14ac:dyDescent="0.4">
      <c r="A553" s="96">
        <v>549</v>
      </c>
      <c r="B553" s="115"/>
      <c r="C553" s="115"/>
      <c r="D553" s="125"/>
      <c r="E553" s="125"/>
      <c r="F553" s="125">
        <f t="shared" si="8"/>
        <v>0</v>
      </c>
    </row>
    <row r="554" spans="1:6" x14ac:dyDescent="0.4">
      <c r="A554" s="96">
        <v>550</v>
      </c>
      <c r="B554" s="115"/>
      <c r="C554" s="115"/>
      <c r="D554" s="125"/>
      <c r="E554" s="125"/>
      <c r="F554" s="125">
        <f t="shared" si="8"/>
        <v>0</v>
      </c>
    </row>
    <row r="555" spans="1:6" x14ac:dyDescent="0.4">
      <c r="A555" s="96">
        <v>551</v>
      </c>
      <c r="B555" s="115"/>
      <c r="C555" s="115"/>
      <c r="D555" s="125"/>
      <c r="E555" s="125"/>
      <c r="F555" s="125">
        <f t="shared" si="8"/>
        <v>0</v>
      </c>
    </row>
    <row r="556" spans="1:6" x14ac:dyDescent="0.4">
      <c r="A556" s="96">
        <v>552</v>
      </c>
      <c r="B556" s="115"/>
      <c r="C556" s="115"/>
      <c r="D556" s="125"/>
      <c r="E556" s="125"/>
      <c r="F556" s="125">
        <f t="shared" si="8"/>
        <v>0</v>
      </c>
    </row>
    <row r="557" spans="1:6" x14ac:dyDescent="0.4">
      <c r="A557" s="96">
        <v>553</v>
      </c>
      <c r="B557" s="115"/>
      <c r="C557" s="115"/>
      <c r="D557" s="125"/>
      <c r="E557" s="125"/>
      <c r="F557" s="125">
        <f t="shared" si="8"/>
        <v>0</v>
      </c>
    </row>
    <row r="558" spans="1:6" x14ac:dyDescent="0.4">
      <c r="A558" s="96">
        <v>554</v>
      </c>
      <c r="B558" s="115"/>
      <c r="C558" s="115"/>
      <c r="D558" s="125"/>
      <c r="E558" s="125"/>
      <c r="F558" s="125">
        <f t="shared" si="8"/>
        <v>0</v>
      </c>
    </row>
    <row r="559" spans="1:6" x14ac:dyDescent="0.4">
      <c r="A559" s="96">
        <v>555</v>
      </c>
      <c r="B559" s="115"/>
      <c r="C559" s="115"/>
      <c r="D559" s="125"/>
      <c r="E559" s="125"/>
      <c r="F559" s="125">
        <f t="shared" si="8"/>
        <v>0</v>
      </c>
    </row>
    <row r="560" spans="1:6" x14ac:dyDescent="0.4">
      <c r="A560" s="96">
        <v>556</v>
      </c>
      <c r="B560" s="115"/>
      <c r="C560" s="115"/>
      <c r="D560" s="125"/>
      <c r="E560" s="125"/>
      <c r="F560" s="125">
        <f t="shared" si="8"/>
        <v>0</v>
      </c>
    </row>
    <row r="561" spans="1:6" x14ac:dyDescent="0.4">
      <c r="A561" s="96">
        <v>557</v>
      </c>
      <c r="B561" s="115"/>
      <c r="C561" s="115"/>
      <c r="D561" s="125"/>
      <c r="E561" s="125"/>
      <c r="F561" s="125">
        <f t="shared" si="8"/>
        <v>0</v>
      </c>
    </row>
    <row r="562" spans="1:6" x14ac:dyDescent="0.4">
      <c r="A562" s="96">
        <v>558</v>
      </c>
      <c r="B562" s="115"/>
      <c r="C562" s="115"/>
      <c r="D562" s="125"/>
      <c r="E562" s="125"/>
      <c r="F562" s="125">
        <f t="shared" si="8"/>
        <v>0</v>
      </c>
    </row>
    <row r="563" spans="1:6" x14ac:dyDescent="0.4">
      <c r="A563" s="96">
        <v>559</v>
      </c>
      <c r="B563" s="115"/>
      <c r="C563" s="115"/>
      <c r="D563" s="125"/>
      <c r="E563" s="125"/>
      <c r="F563" s="125">
        <f t="shared" si="8"/>
        <v>0</v>
      </c>
    </row>
    <row r="564" spans="1:6" x14ac:dyDescent="0.4">
      <c r="A564" s="96">
        <v>560</v>
      </c>
      <c r="B564" s="115"/>
      <c r="C564" s="115"/>
      <c r="D564" s="125"/>
      <c r="E564" s="125"/>
      <c r="F564" s="125">
        <f t="shared" si="8"/>
        <v>0</v>
      </c>
    </row>
    <row r="565" spans="1:6" x14ac:dyDescent="0.4">
      <c r="A565" s="96">
        <v>561</v>
      </c>
      <c r="B565" s="115"/>
      <c r="C565" s="115"/>
      <c r="D565" s="125"/>
      <c r="E565" s="125"/>
      <c r="F565" s="125">
        <f t="shared" si="8"/>
        <v>0</v>
      </c>
    </row>
    <row r="566" spans="1:6" x14ac:dyDescent="0.4">
      <c r="A566" s="96">
        <v>562</v>
      </c>
      <c r="B566" s="115"/>
      <c r="C566" s="115"/>
      <c r="D566" s="125"/>
      <c r="E566" s="125"/>
      <c r="F566" s="125">
        <f t="shared" si="8"/>
        <v>0</v>
      </c>
    </row>
    <row r="567" spans="1:6" x14ac:dyDescent="0.4">
      <c r="A567" s="96">
        <v>563</v>
      </c>
      <c r="B567" s="115"/>
      <c r="C567" s="115"/>
      <c r="D567" s="125"/>
      <c r="E567" s="125"/>
      <c r="F567" s="125">
        <f t="shared" si="8"/>
        <v>0</v>
      </c>
    </row>
    <row r="568" spans="1:6" x14ac:dyDescent="0.4">
      <c r="A568" s="96">
        <v>564</v>
      </c>
      <c r="B568" s="115"/>
      <c r="C568" s="115"/>
      <c r="D568" s="125"/>
      <c r="E568" s="125"/>
      <c r="F568" s="125">
        <f t="shared" si="8"/>
        <v>0</v>
      </c>
    </row>
    <row r="569" spans="1:6" x14ac:dyDescent="0.4">
      <c r="A569" s="96">
        <v>565</v>
      </c>
      <c r="B569" s="115"/>
      <c r="C569" s="115"/>
      <c r="D569" s="125"/>
      <c r="E569" s="125"/>
      <c r="F569" s="125">
        <f t="shared" si="8"/>
        <v>0</v>
      </c>
    </row>
    <row r="570" spans="1:6" x14ac:dyDescent="0.4">
      <c r="A570" s="96">
        <v>566</v>
      </c>
      <c r="B570" s="115"/>
      <c r="C570" s="115"/>
      <c r="D570" s="125"/>
      <c r="E570" s="125"/>
      <c r="F570" s="125">
        <f t="shared" si="8"/>
        <v>0</v>
      </c>
    </row>
    <row r="571" spans="1:6" x14ac:dyDescent="0.4">
      <c r="A571" s="96">
        <v>567</v>
      </c>
      <c r="B571" s="115"/>
      <c r="C571" s="115"/>
      <c r="D571" s="125"/>
      <c r="E571" s="125"/>
      <c r="F571" s="125">
        <f t="shared" si="8"/>
        <v>0</v>
      </c>
    </row>
    <row r="572" spans="1:6" x14ac:dyDescent="0.4">
      <c r="A572" s="96">
        <v>568</v>
      </c>
      <c r="B572" s="115"/>
      <c r="C572" s="115"/>
      <c r="D572" s="125"/>
      <c r="E572" s="125"/>
      <c r="F572" s="125">
        <f t="shared" si="8"/>
        <v>0</v>
      </c>
    </row>
    <row r="573" spans="1:6" x14ac:dyDescent="0.4">
      <c r="A573" s="96">
        <v>569</v>
      </c>
      <c r="B573" s="115"/>
      <c r="C573" s="115"/>
      <c r="D573" s="125"/>
      <c r="E573" s="125"/>
      <c r="F573" s="125">
        <f t="shared" si="8"/>
        <v>0</v>
      </c>
    </row>
    <row r="574" spans="1:6" x14ac:dyDescent="0.4">
      <c r="A574" s="96">
        <v>570</v>
      </c>
      <c r="B574" s="115"/>
      <c r="C574" s="115"/>
      <c r="D574" s="125"/>
      <c r="E574" s="125"/>
      <c r="F574" s="125">
        <f t="shared" si="8"/>
        <v>0</v>
      </c>
    </row>
    <row r="575" spans="1:6" x14ac:dyDescent="0.4">
      <c r="A575" s="96">
        <v>571</v>
      </c>
      <c r="B575" s="115"/>
      <c r="C575" s="115"/>
      <c r="D575" s="125"/>
      <c r="E575" s="125"/>
      <c r="F575" s="125">
        <f t="shared" si="8"/>
        <v>0</v>
      </c>
    </row>
    <row r="576" spans="1:6" x14ac:dyDescent="0.4">
      <c r="A576" s="96">
        <v>572</v>
      </c>
      <c r="B576" s="115"/>
      <c r="C576" s="115"/>
      <c r="D576" s="125"/>
      <c r="E576" s="125"/>
      <c r="F576" s="125">
        <f t="shared" si="8"/>
        <v>0</v>
      </c>
    </row>
    <row r="577" spans="1:6" x14ac:dyDescent="0.4">
      <c r="A577" s="96">
        <v>573</v>
      </c>
      <c r="B577" s="115"/>
      <c r="C577" s="115"/>
      <c r="D577" s="125"/>
      <c r="E577" s="125"/>
      <c r="F577" s="125">
        <f t="shared" si="8"/>
        <v>0</v>
      </c>
    </row>
    <row r="578" spans="1:6" x14ac:dyDescent="0.4">
      <c r="A578" s="96">
        <v>574</v>
      </c>
      <c r="B578" s="115"/>
      <c r="C578" s="115"/>
      <c r="D578" s="125"/>
      <c r="E578" s="125"/>
      <c r="F578" s="125">
        <f t="shared" si="8"/>
        <v>0</v>
      </c>
    </row>
    <row r="579" spans="1:6" x14ac:dyDescent="0.4">
      <c r="A579" s="96">
        <v>575</v>
      </c>
      <c r="B579" s="115"/>
      <c r="C579" s="115"/>
      <c r="D579" s="125"/>
      <c r="E579" s="125"/>
      <c r="F579" s="125">
        <f t="shared" si="8"/>
        <v>0</v>
      </c>
    </row>
    <row r="580" spans="1:6" x14ac:dyDescent="0.4">
      <c r="A580" s="96">
        <v>576</v>
      </c>
      <c r="B580" s="115"/>
      <c r="C580" s="115"/>
      <c r="D580" s="125"/>
      <c r="E580" s="125"/>
      <c r="F580" s="125">
        <f t="shared" si="8"/>
        <v>0</v>
      </c>
    </row>
    <row r="581" spans="1:6" x14ac:dyDescent="0.4">
      <c r="A581" s="96">
        <v>577</v>
      </c>
      <c r="B581" s="115"/>
      <c r="C581" s="115"/>
      <c r="D581" s="125"/>
      <c r="E581" s="125"/>
      <c r="F581" s="125">
        <f t="shared" si="8"/>
        <v>0</v>
      </c>
    </row>
    <row r="582" spans="1:6" x14ac:dyDescent="0.4">
      <c r="A582" s="96">
        <v>578</v>
      </c>
      <c r="B582" s="115"/>
      <c r="C582" s="115"/>
      <c r="D582" s="125"/>
      <c r="E582" s="125"/>
      <c r="F582" s="125">
        <f t="shared" ref="F582:F645" si="9">D582*E582</f>
        <v>0</v>
      </c>
    </row>
    <row r="583" spans="1:6" x14ac:dyDescent="0.4">
      <c r="A583" s="96">
        <v>579</v>
      </c>
      <c r="B583" s="115"/>
      <c r="C583" s="115"/>
      <c r="D583" s="125"/>
      <c r="E583" s="125"/>
      <c r="F583" s="125">
        <f t="shared" si="9"/>
        <v>0</v>
      </c>
    </row>
    <row r="584" spans="1:6" x14ac:dyDescent="0.4">
      <c r="A584" s="96">
        <v>580</v>
      </c>
      <c r="B584" s="115"/>
      <c r="C584" s="115"/>
      <c r="D584" s="125"/>
      <c r="E584" s="125"/>
      <c r="F584" s="125">
        <f t="shared" si="9"/>
        <v>0</v>
      </c>
    </row>
    <row r="585" spans="1:6" x14ac:dyDescent="0.4">
      <c r="A585" s="96">
        <v>581</v>
      </c>
      <c r="B585" s="115"/>
      <c r="C585" s="115"/>
      <c r="D585" s="125"/>
      <c r="E585" s="125"/>
      <c r="F585" s="125">
        <f t="shared" si="9"/>
        <v>0</v>
      </c>
    </row>
    <row r="586" spans="1:6" x14ac:dyDescent="0.4">
      <c r="A586" s="96">
        <v>582</v>
      </c>
      <c r="B586" s="115"/>
      <c r="C586" s="115"/>
      <c r="D586" s="125"/>
      <c r="E586" s="125"/>
      <c r="F586" s="125">
        <f t="shared" si="9"/>
        <v>0</v>
      </c>
    </row>
    <row r="587" spans="1:6" x14ac:dyDescent="0.4">
      <c r="A587" s="96">
        <v>583</v>
      </c>
      <c r="B587" s="115"/>
      <c r="C587" s="115"/>
      <c r="D587" s="125"/>
      <c r="E587" s="125"/>
      <c r="F587" s="125">
        <f t="shared" si="9"/>
        <v>0</v>
      </c>
    </row>
    <row r="588" spans="1:6" x14ac:dyDescent="0.4">
      <c r="A588" s="96">
        <v>584</v>
      </c>
      <c r="B588" s="115"/>
      <c r="C588" s="115"/>
      <c r="D588" s="125"/>
      <c r="E588" s="125"/>
      <c r="F588" s="125">
        <f t="shared" si="9"/>
        <v>0</v>
      </c>
    </row>
    <row r="589" spans="1:6" x14ac:dyDescent="0.4">
      <c r="A589" s="96">
        <v>585</v>
      </c>
      <c r="B589" s="115"/>
      <c r="C589" s="115"/>
      <c r="D589" s="125"/>
      <c r="E589" s="125"/>
      <c r="F589" s="125">
        <f t="shared" si="9"/>
        <v>0</v>
      </c>
    </row>
    <row r="590" spans="1:6" x14ac:dyDescent="0.4">
      <c r="A590" s="96">
        <v>586</v>
      </c>
      <c r="B590" s="115"/>
      <c r="C590" s="115"/>
      <c r="D590" s="125"/>
      <c r="E590" s="125"/>
      <c r="F590" s="125">
        <f t="shared" si="9"/>
        <v>0</v>
      </c>
    </row>
    <row r="591" spans="1:6" x14ac:dyDescent="0.4">
      <c r="A591" s="96">
        <v>587</v>
      </c>
      <c r="B591" s="115"/>
      <c r="C591" s="115"/>
      <c r="D591" s="125"/>
      <c r="E591" s="125"/>
      <c r="F591" s="125">
        <f t="shared" si="9"/>
        <v>0</v>
      </c>
    </row>
    <row r="592" spans="1:6" x14ac:dyDescent="0.4">
      <c r="A592" s="96">
        <v>588</v>
      </c>
      <c r="B592" s="115"/>
      <c r="C592" s="115"/>
      <c r="D592" s="125"/>
      <c r="E592" s="125"/>
      <c r="F592" s="125">
        <f t="shared" si="9"/>
        <v>0</v>
      </c>
    </row>
    <row r="593" spans="1:6" x14ac:dyDescent="0.4">
      <c r="A593" s="96">
        <v>589</v>
      </c>
      <c r="B593" s="115"/>
      <c r="C593" s="115"/>
      <c r="D593" s="125"/>
      <c r="E593" s="125"/>
      <c r="F593" s="125">
        <f t="shared" si="9"/>
        <v>0</v>
      </c>
    </row>
    <row r="594" spans="1:6" x14ac:dyDescent="0.4">
      <c r="A594" s="96">
        <v>590</v>
      </c>
      <c r="B594" s="115"/>
      <c r="C594" s="115"/>
      <c r="D594" s="125"/>
      <c r="E594" s="125"/>
      <c r="F594" s="125">
        <f t="shared" si="9"/>
        <v>0</v>
      </c>
    </row>
    <row r="595" spans="1:6" x14ac:dyDescent="0.4">
      <c r="A595" s="96">
        <v>591</v>
      </c>
      <c r="B595" s="115"/>
      <c r="C595" s="115"/>
      <c r="D595" s="125"/>
      <c r="E595" s="125"/>
      <c r="F595" s="125">
        <f t="shared" si="9"/>
        <v>0</v>
      </c>
    </row>
    <row r="596" spans="1:6" x14ac:dyDescent="0.4">
      <c r="A596" s="96">
        <v>592</v>
      </c>
      <c r="B596" s="115"/>
      <c r="C596" s="115"/>
      <c r="D596" s="125"/>
      <c r="E596" s="125"/>
      <c r="F596" s="125">
        <f t="shared" si="9"/>
        <v>0</v>
      </c>
    </row>
    <row r="597" spans="1:6" x14ac:dyDescent="0.4">
      <c r="A597" s="96">
        <v>593</v>
      </c>
      <c r="B597" s="115"/>
      <c r="C597" s="115"/>
      <c r="D597" s="125"/>
      <c r="E597" s="125"/>
      <c r="F597" s="125">
        <f t="shared" si="9"/>
        <v>0</v>
      </c>
    </row>
    <row r="598" spans="1:6" x14ac:dyDescent="0.4">
      <c r="A598" s="96">
        <v>594</v>
      </c>
      <c r="B598" s="115"/>
      <c r="C598" s="115"/>
      <c r="D598" s="125"/>
      <c r="E598" s="125"/>
      <c r="F598" s="125">
        <f t="shared" si="9"/>
        <v>0</v>
      </c>
    </row>
    <row r="599" spans="1:6" x14ac:dyDescent="0.4">
      <c r="A599" s="96">
        <v>595</v>
      </c>
      <c r="B599" s="115"/>
      <c r="C599" s="115"/>
      <c r="D599" s="125"/>
      <c r="E599" s="125"/>
      <c r="F599" s="125">
        <f t="shared" si="9"/>
        <v>0</v>
      </c>
    </row>
    <row r="600" spans="1:6" x14ac:dyDescent="0.4">
      <c r="A600" s="96">
        <v>596</v>
      </c>
      <c r="B600" s="115"/>
      <c r="C600" s="115"/>
      <c r="D600" s="125"/>
      <c r="E600" s="125"/>
      <c r="F600" s="125">
        <f t="shared" si="9"/>
        <v>0</v>
      </c>
    </row>
    <row r="601" spans="1:6" x14ac:dyDescent="0.4">
      <c r="A601" s="96">
        <v>597</v>
      </c>
      <c r="B601" s="115"/>
      <c r="C601" s="115"/>
      <c r="D601" s="125"/>
      <c r="E601" s="125"/>
      <c r="F601" s="125">
        <f t="shared" si="9"/>
        <v>0</v>
      </c>
    </row>
    <row r="602" spans="1:6" x14ac:dyDescent="0.4">
      <c r="A602" s="96">
        <v>598</v>
      </c>
      <c r="B602" s="115"/>
      <c r="C602" s="115"/>
      <c r="D602" s="125"/>
      <c r="E602" s="125"/>
      <c r="F602" s="125">
        <f t="shared" si="9"/>
        <v>0</v>
      </c>
    </row>
    <row r="603" spans="1:6" x14ac:dyDescent="0.4">
      <c r="A603" s="96">
        <v>599</v>
      </c>
      <c r="B603" s="115"/>
      <c r="C603" s="115"/>
      <c r="D603" s="125"/>
      <c r="E603" s="125"/>
      <c r="F603" s="125">
        <f t="shared" si="9"/>
        <v>0</v>
      </c>
    </row>
    <row r="604" spans="1:6" x14ac:dyDescent="0.4">
      <c r="A604" s="96">
        <v>600</v>
      </c>
      <c r="B604" s="115"/>
      <c r="C604" s="115"/>
      <c r="D604" s="125"/>
      <c r="E604" s="125"/>
      <c r="F604" s="125">
        <f t="shared" si="9"/>
        <v>0</v>
      </c>
    </row>
    <row r="605" spans="1:6" x14ac:dyDescent="0.4">
      <c r="A605" s="96">
        <v>601</v>
      </c>
      <c r="B605" s="115"/>
      <c r="C605" s="115"/>
      <c r="D605" s="125"/>
      <c r="E605" s="125"/>
      <c r="F605" s="125">
        <f t="shared" si="9"/>
        <v>0</v>
      </c>
    </row>
    <row r="606" spans="1:6" x14ac:dyDescent="0.4">
      <c r="A606" s="96">
        <v>602</v>
      </c>
      <c r="B606" s="115"/>
      <c r="C606" s="115"/>
      <c r="D606" s="125"/>
      <c r="E606" s="125"/>
      <c r="F606" s="125">
        <f t="shared" si="9"/>
        <v>0</v>
      </c>
    </row>
    <row r="607" spans="1:6" x14ac:dyDescent="0.4">
      <c r="A607" s="96">
        <v>603</v>
      </c>
      <c r="B607" s="115"/>
      <c r="C607" s="115"/>
      <c r="D607" s="125"/>
      <c r="E607" s="125"/>
      <c r="F607" s="125">
        <f t="shared" si="9"/>
        <v>0</v>
      </c>
    </row>
    <row r="608" spans="1:6" x14ac:dyDescent="0.4">
      <c r="A608" s="96">
        <v>604</v>
      </c>
      <c r="B608" s="115"/>
      <c r="C608" s="115"/>
      <c r="D608" s="125"/>
      <c r="E608" s="125"/>
      <c r="F608" s="125">
        <f t="shared" si="9"/>
        <v>0</v>
      </c>
    </row>
    <row r="609" spans="1:6" x14ac:dyDescent="0.4">
      <c r="A609" s="96">
        <v>605</v>
      </c>
      <c r="B609" s="115"/>
      <c r="C609" s="115"/>
      <c r="D609" s="125"/>
      <c r="E609" s="125"/>
      <c r="F609" s="125">
        <f t="shared" si="9"/>
        <v>0</v>
      </c>
    </row>
    <row r="610" spans="1:6" x14ac:dyDescent="0.4">
      <c r="A610" s="96">
        <v>606</v>
      </c>
      <c r="B610" s="115"/>
      <c r="C610" s="115"/>
      <c r="D610" s="125"/>
      <c r="E610" s="125"/>
      <c r="F610" s="125">
        <f t="shared" si="9"/>
        <v>0</v>
      </c>
    </row>
    <row r="611" spans="1:6" x14ac:dyDescent="0.4">
      <c r="A611" s="96">
        <v>607</v>
      </c>
      <c r="B611" s="115"/>
      <c r="C611" s="115"/>
      <c r="D611" s="125"/>
      <c r="E611" s="125"/>
      <c r="F611" s="125">
        <f t="shared" si="9"/>
        <v>0</v>
      </c>
    </row>
    <row r="612" spans="1:6" x14ac:dyDescent="0.4">
      <c r="A612" s="96">
        <v>608</v>
      </c>
      <c r="B612" s="115"/>
      <c r="C612" s="115"/>
      <c r="D612" s="125"/>
      <c r="E612" s="125"/>
      <c r="F612" s="125">
        <f t="shared" si="9"/>
        <v>0</v>
      </c>
    </row>
    <row r="613" spans="1:6" x14ac:dyDescent="0.4">
      <c r="A613" s="96">
        <v>609</v>
      </c>
      <c r="B613" s="115"/>
      <c r="C613" s="115"/>
      <c r="D613" s="125"/>
      <c r="E613" s="125"/>
      <c r="F613" s="125">
        <f t="shared" si="9"/>
        <v>0</v>
      </c>
    </row>
    <row r="614" spans="1:6" x14ac:dyDescent="0.4">
      <c r="A614" s="96">
        <v>610</v>
      </c>
      <c r="B614" s="115"/>
      <c r="C614" s="115"/>
      <c r="D614" s="125"/>
      <c r="E614" s="125"/>
      <c r="F614" s="125">
        <f t="shared" si="9"/>
        <v>0</v>
      </c>
    </row>
    <row r="615" spans="1:6" x14ac:dyDescent="0.4">
      <c r="A615" s="96">
        <v>611</v>
      </c>
      <c r="B615" s="115"/>
      <c r="C615" s="115"/>
      <c r="D615" s="125"/>
      <c r="E615" s="125"/>
      <c r="F615" s="125">
        <f t="shared" si="9"/>
        <v>0</v>
      </c>
    </row>
    <row r="616" spans="1:6" x14ac:dyDescent="0.4">
      <c r="A616" s="96">
        <v>612</v>
      </c>
      <c r="B616" s="115"/>
      <c r="C616" s="115"/>
      <c r="D616" s="125"/>
      <c r="E616" s="125"/>
      <c r="F616" s="125">
        <f t="shared" si="9"/>
        <v>0</v>
      </c>
    </row>
    <row r="617" spans="1:6" x14ac:dyDescent="0.4">
      <c r="A617" s="96">
        <v>613</v>
      </c>
      <c r="B617" s="115"/>
      <c r="C617" s="115"/>
      <c r="D617" s="125"/>
      <c r="E617" s="125"/>
      <c r="F617" s="125">
        <f t="shared" si="9"/>
        <v>0</v>
      </c>
    </row>
    <row r="618" spans="1:6" x14ac:dyDescent="0.4">
      <c r="A618" s="96">
        <v>614</v>
      </c>
      <c r="B618" s="115"/>
      <c r="C618" s="115"/>
      <c r="D618" s="125"/>
      <c r="E618" s="125"/>
      <c r="F618" s="125">
        <f t="shared" si="9"/>
        <v>0</v>
      </c>
    </row>
    <row r="619" spans="1:6" x14ac:dyDescent="0.4">
      <c r="A619" s="96">
        <v>615</v>
      </c>
      <c r="B619" s="115"/>
      <c r="C619" s="115"/>
      <c r="D619" s="125"/>
      <c r="E619" s="125"/>
      <c r="F619" s="125">
        <f t="shared" si="9"/>
        <v>0</v>
      </c>
    </row>
    <row r="620" spans="1:6" x14ac:dyDescent="0.4">
      <c r="A620" s="96">
        <v>616</v>
      </c>
      <c r="B620" s="115"/>
      <c r="C620" s="115"/>
      <c r="D620" s="125"/>
      <c r="E620" s="125"/>
      <c r="F620" s="125">
        <f t="shared" si="9"/>
        <v>0</v>
      </c>
    </row>
    <row r="621" spans="1:6" x14ac:dyDescent="0.4">
      <c r="A621" s="96">
        <v>617</v>
      </c>
      <c r="B621" s="115"/>
      <c r="C621" s="115"/>
      <c r="D621" s="125"/>
      <c r="E621" s="125"/>
      <c r="F621" s="125">
        <f t="shared" si="9"/>
        <v>0</v>
      </c>
    </row>
    <row r="622" spans="1:6" x14ac:dyDescent="0.4">
      <c r="A622" s="96">
        <v>618</v>
      </c>
      <c r="B622" s="115"/>
      <c r="C622" s="115"/>
      <c r="D622" s="125"/>
      <c r="E622" s="125"/>
      <c r="F622" s="125">
        <f t="shared" si="9"/>
        <v>0</v>
      </c>
    </row>
    <row r="623" spans="1:6" x14ac:dyDescent="0.4">
      <c r="A623" s="96">
        <v>619</v>
      </c>
      <c r="B623" s="115"/>
      <c r="C623" s="115"/>
      <c r="D623" s="125"/>
      <c r="E623" s="125"/>
      <c r="F623" s="125">
        <f t="shared" si="9"/>
        <v>0</v>
      </c>
    </row>
    <row r="624" spans="1:6" x14ac:dyDescent="0.4">
      <c r="A624" s="96">
        <v>620</v>
      </c>
      <c r="B624" s="115"/>
      <c r="C624" s="115"/>
      <c r="D624" s="125"/>
      <c r="E624" s="125"/>
      <c r="F624" s="125">
        <f t="shared" si="9"/>
        <v>0</v>
      </c>
    </row>
    <row r="625" spans="1:6" x14ac:dyDescent="0.4">
      <c r="A625" s="96">
        <v>621</v>
      </c>
      <c r="B625" s="115"/>
      <c r="C625" s="115"/>
      <c r="D625" s="125"/>
      <c r="E625" s="125"/>
      <c r="F625" s="125">
        <f t="shared" si="9"/>
        <v>0</v>
      </c>
    </row>
    <row r="626" spans="1:6" x14ac:dyDescent="0.4">
      <c r="A626" s="96">
        <v>622</v>
      </c>
      <c r="B626" s="115"/>
      <c r="C626" s="115"/>
      <c r="D626" s="125"/>
      <c r="E626" s="125"/>
      <c r="F626" s="125">
        <f t="shared" si="9"/>
        <v>0</v>
      </c>
    </row>
    <row r="627" spans="1:6" x14ac:dyDescent="0.4">
      <c r="A627" s="96">
        <v>623</v>
      </c>
      <c r="B627" s="115"/>
      <c r="C627" s="115"/>
      <c r="D627" s="125"/>
      <c r="E627" s="125"/>
      <c r="F627" s="125">
        <f t="shared" si="9"/>
        <v>0</v>
      </c>
    </row>
    <row r="628" spans="1:6" x14ac:dyDescent="0.4">
      <c r="A628" s="96">
        <v>624</v>
      </c>
      <c r="B628" s="115"/>
      <c r="C628" s="115"/>
      <c r="D628" s="125"/>
      <c r="E628" s="125"/>
      <c r="F628" s="125">
        <f t="shared" si="9"/>
        <v>0</v>
      </c>
    </row>
    <row r="629" spans="1:6" x14ac:dyDescent="0.4">
      <c r="A629" s="96">
        <v>625</v>
      </c>
      <c r="B629" s="115"/>
      <c r="C629" s="115"/>
      <c r="D629" s="125"/>
      <c r="E629" s="125"/>
      <c r="F629" s="125">
        <f t="shared" si="9"/>
        <v>0</v>
      </c>
    </row>
    <row r="630" spans="1:6" x14ac:dyDescent="0.4">
      <c r="A630" s="96">
        <v>626</v>
      </c>
      <c r="B630" s="115"/>
      <c r="C630" s="115"/>
      <c r="D630" s="125"/>
      <c r="E630" s="125"/>
      <c r="F630" s="125">
        <f t="shared" si="9"/>
        <v>0</v>
      </c>
    </row>
    <row r="631" spans="1:6" x14ac:dyDescent="0.4">
      <c r="A631" s="96">
        <v>627</v>
      </c>
      <c r="B631" s="115"/>
      <c r="C631" s="115"/>
      <c r="D631" s="125"/>
      <c r="E631" s="125"/>
      <c r="F631" s="125">
        <f t="shared" si="9"/>
        <v>0</v>
      </c>
    </row>
    <row r="632" spans="1:6" x14ac:dyDescent="0.4">
      <c r="A632" s="96">
        <v>628</v>
      </c>
      <c r="B632" s="115"/>
      <c r="C632" s="115"/>
      <c r="D632" s="125"/>
      <c r="E632" s="125"/>
      <c r="F632" s="125">
        <f t="shared" si="9"/>
        <v>0</v>
      </c>
    </row>
    <row r="633" spans="1:6" x14ac:dyDescent="0.4">
      <c r="A633" s="96">
        <v>629</v>
      </c>
      <c r="B633" s="115"/>
      <c r="C633" s="115"/>
      <c r="D633" s="125"/>
      <c r="E633" s="125"/>
      <c r="F633" s="125">
        <f t="shared" si="9"/>
        <v>0</v>
      </c>
    </row>
    <row r="634" spans="1:6" x14ac:dyDescent="0.4">
      <c r="A634" s="96">
        <v>630</v>
      </c>
      <c r="B634" s="115"/>
      <c r="C634" s="115"/>
      <c r="D634" s="125"/>
      <c r="E634" s="125"/>
      <c r="F634" s="125">
        <f t="shared" si="9"/>
        <v>0</v>
      </c>
    </row>
    <row r="635" spans="1:6" x14ac:dyDescent="0.4">
      <c r="A635" s="96">
        <v>631</v>
      </c>
      <c r="B635" s="115"/>
      <c r="C635" s="115"/>
      <c r="D635" s="125"/>
      <c r="E635" s="125"/>
      <c r="F635" s="125">
        <f t="shared" si="9"/>
        <v>0</v>
      </c>
    </row>
    <row r="636" spans="1:6" x14ac:dyDescent="0.4">
      <c r="A636" s="96">
        <v>632</v>
      </c>
      <c r="B636" s="115"/>
      <c r="C636" s="115"/>
      <c r="D636" s="125"/>
      <c r="E636" s="125"/>
      <c r="F636" s="125">
        <f t="shared" si="9"/>
        <v>0</v>
      </c>
    </row>
    <row r="637" spans="1:6" x14ac:dyDescent="0.4">
      <c r="A637" s="96">
        <v>633</v>
      </c>
      <c r="B637" s="115"/>
      <c r="C637" s="115"/>
      <c r="D637" s="125"/>
      <c r="E637" s="125"/>
      <c r="F637" s="125">
        <f t="shared" si="9"/>
        <v>0</v>
      </c>
    </row>
    <row r="638" spans="1:6" x14ac:dyDescent="0.4">
      <c r="A638" s="96">
        <v>634</v>
      </c>
      <c r="B638" s="115"/>
      <c r="C638" s="115"/>
      <c r="D638" s="125"/>
      <c r="E638" s="125"/>
      <c r="F638" s="125">
        <f t="shared" si="9"/>
        <v>0</v>
      </c>
    </row>
    <row r="639" spans="1:6" x14ac:dyDescent="0.4">
      <c r="A639" s="96">
        <v>635</v>
      </c>
      <c r="B639" s="115"/>
      <c r="C639" s="115"/>
      <c r="D639" s="125"/>
      <c r="E639" s="125"/>
      <c r="F639" s="125">
        <f t="shared" si="9"/>
        <v>0</v>
      </c>
    </row>
    <row r="640" spans="1:6" x14ac:dyDescent="0.4">
      <c r="A640" s="96">
        <v>636</v>
      </c>
      <c r="B640" s="115"/>
      <c r="C640" s="115"/>
      <c r="D640" s="125"/>
      <c r="E640" s="125"/>
      <c r="F640" s="125">
        <f t="shared" si="9"/>
        <v>0</v>
      </c>
    </row>
    <row r="641" spans="1:6" x14ac:dyDescent="0.4">
      <c r="A641" s="96">
        <v>637</v>
      </c>
      <c r="B641" s="115"/>
      <c r="C641" s="115"/>
      <c r="D641" s="125"/>
      <c r="E641" s="125"/>
      <c r="F641" s="125">
        <f t="shared" si="9"/>
        <v>0</v>
      </c>
    </row>
    <row r="642" spans="1:6" x14ac:dyDescent="0.4">
      <c r="A642" s="96">
        <v>638</v>
      </c>
      <c r="B642" s="115"/>
      <c r="C642" s="115"/>
      <c r="D642" s="125"/>
      <c r="E642" s="125"/>
      <c r="F642" s="125">
        <f t="shared" si="9"/>
        <v>0</v>
      </c>
    </row>
    <row r="643" spans="1:6" x14ac:dyDescent="0.4">
      <c r="A643" s="96">
        <v>639</v>
      </c>
      <c r="B643" s="115"/>
      <c r="C643" s="115"/>
      <c r="D643" s="125"/>
      <c r="E643" s="125"/>
      <c r="F643" s="125">
        <f t="shared" si="9"/>
        <v>0</v>
      </c>
    </row>
    <row r="644" spans="1:6" x14ac:dyDescent="0.4">
      <c r="A644" s="96">
        <v>640</v>
      </c>
      <c r="B644" s="115"/>
      <c r="C644" s="115"/>
      <c r="D644" s="125"/>
      <c r="E644" s="125"/>
      <c r="F644" s="125">
        <f t="shared" si="9"/>
        <v>0</v>
      </c>
    </row>
    <row r="645" spans="1:6" x14ac:dyDescent="0.4">
      <c r="A645" s="96">
        <v>641</v>
      </c>
      <c r="B645" s="115"/>
      <c r="C645" s="115"/>
      <c r="D645" s="125"/>
      <c r="E645" s="125"/>
      <c r="F645" s="125">
        <f t="shared" si="9"/>
        <v>0</v>
      </c>
    </row>
    <row r="646" spans="1:6" x14ac:dyDescent="0.4">
      <c r="A646" s="96">
        <v>642</v>
      </c>
      <c r="B646" s="115"/>
      <c r="C646" s="115"/>
      <c r="D646" s="125"/>
      <c r="E646" s="125"/>
      <c r="F646" s="125">
        <f t="shared" ref="F646:F709" si="10">D646*E646</f>
        <v>0</v>
      </c>
    </row>
    <row r="647" spans="1:6" x14ac:dyDescent="0.4">
      <c r="A647" s="96">
        <v>643</v>
      </c>
      <c r="B647" s="115"/>
      <c r="C647" s="115"/>
      <c r="D647" s="125"/>
      <c r="E647" s="125"/>
      <c r="F647" s="125">
        <f t="shared" si="10"/>
        <v>0</v>
      </c>
    </row>
    <row r="648" spans="1:6" x14ac:dyDescent="0.4">
      <c r="A648" s="96">
        <v>644</v>
      </c>
      <c r="B648" s="115"/>
      <c r="C648" s="115"/>
      <c r="D648" s="125"/>
      <c r="E648" s="125"/>
      <c r="F648" s="125">
        <f t="shared" si="10"/>
        <v>0</v>
      </c>
    </row>
    <row r="649" spans="1:6" x14ac:dyDescent="0.4">
      <c r="A649" s="96">
        <v>645</v>
      </c>
      <c r="B649" s="115"/>
      <c r="C649" s="115"/>
      <c r="D649" s="125"/>
      <c r="E649" s="125"/>
      <c r="F649" s="125">
        <f t="shared" si="10"/>
        <v>0</v>
      </c>
    </row>
    <row r="650" spans="1:6" x14ac:dyDescent="0.4">
      <c r="A650" s="96">
        <v>646</v>
      </c>
      <c r="B650" s="115"/>
      <c r="C650" s="115"/>
      <c r="D650" s="125"/>
      <c r="E650" s="125"/>
      <c r="F650" s="125">
        <f t="shared" si="10"/>
        <v>0</v>
      </c>
    </row>
    <row r="651" spans="1:6" x14ac:dyDescent="0.4">
      <c r="A651" s="96">
        <v>647</v>
      </c>
      <c r="B651" s="115"/>
      <c r="C651" s="115"/>
      <c r="D651" s="125"/>
      <c r="E651" s="125"/>
      <c r="F651" s="125">
        <f t="shared" si="10"/>
        <v>0</v>
      </c>
    </row>
    <row r="652" spans="1:6" x14ac:dyDescent="0.4">
      <c r="A652" s="96">
        <v>648</v>
      </c>
      <c r="B652" s="115"/>
      <c r="C652" s="115"/>
      <c r="D652" s="125"/>
      <c r="E652" s="125"/>
      <c r="F652" s="125">
        <f t="shared" si="10"/>
        <v>0</v>
      </c>
    </row>
    <row r="653" spans="1:6" x14ac:dyDescent="0.4">
      <c r="A653" s="96">
        <v>649</v>
      </c>
      <c r="B653" s="115"/>
      <c r="C653" s="115"/>
      <c r="D653" s="125"/>
      <c r="E653" s="125"/>
      <c r="F653" s="125">
        <f t="shared" si="10"/>
        <v>0</v>
      </c>
    </row>
    <row r="654" spans="1:6" x14ac:dyDescent="0.4">
      <c r="A654" s="96">
        <v>650</v>
      </c>
      <c r="B654" s="115"/>
      <c r="C654" s="115"/>
      <c r="D654" s="125"/>
      <c r="E654" s="125"/>
      <c r="F654" s="125">
        <f t="shared" si="10"/>
        <v>0</v>
      </c>
    </row>
    <row r="655" spans="1:6" x14ac:dyDescent="0.4">
      <c r="A655" s="96">
        <v>651</v>
      </c>
      <c r="B655" s="115"/>
      <c r="C655" s="115"/>
      <c r="D655" s="125"/>
      <c r="E655" s="125"/>
      <c r="F655" s="125">
        <f t="shared" si="10"/>
        <v>0</v>
      </c>
    </row>
    <row r="656" spans="1:6" x14ac:dyDescent="0.4">
      <c r="A656" s="96">
        <v>652</v>
      </c>
      <c r="B656" s="115"/>
      <c r="C656" s="115"/>
      <c r="D656" s="125"/>
      <c r="E656" s="125"/>
      <c r="F656" s="125">
        <f t="shared" si="10"/>
        <v>0</v>
      </c>
    </row>
    <row r="657" spans="1:6" x14ac:dyDescent="0.4">
      <c r="A657" s="96">
        <v>653</v>
      </c>
      <c r="B657" s="115"/>
      <c r="C657" s="115"/>
      <c r="D657" s="125"/>
      <c r="E657" s="125"/>
      <c r="F657" s="125">
        <f t="shared" si="10"/>
        <v>0</v>
      </c>
    </row>
    <row r="658" spans="1:6" x14ac:dyDescent="0.4">
      <c r="A658" s="96">
        <v>654</v>
      </c>
      <c r="B658" s="115"/>
      <c r="C658" s="115"/>
      <c r="D658" s="125"/>
      <c r="E658" s="125"/>
      <c r="F658" s="125">
        <f t="shared" si="10"/>
        <v>0</v>
      </c>
    </row>
    <row r="659" spans="1:6" x14ac:dyDescent="0.4">
      <c r="A659" s="96">
        <v>655</v>
      </c>
      <c r="B659" s="115"/>
      <c r="C659" s="115"/>
      <c r="D659" s="125"/>
      <c r="E659" s="125"/>
      <c r="F659" s="125">
        <f t="shared" si="10"/>
        <v>0</v>
      </c>
    </row>
    <row r="660" spans="1:6" x14ac:dyDescent="0.4">
      <c r="A660" s="96">
        <v>656</v>
      </c>
      <c r="B660" s="115"/>
      <c r="C660" s="115"/>
      <c r="D660" s="125"/>
      <c r="E660" s="125"/>
      <c r="F660" s="125">
        <f t="shared" si="10"/>
        <v>0</v>
      </c>
    </row>
    <row r="661" spans="1:6" x14ac:dyDescent="0.4">
      <c r="A661" s="96">
        <v>657</v>
      </c>
      <c r="B661" s="115"/>
      <c r="C661" s="115"/>
      <c r="D661" s="125"/>
      <c r="E661" s="125"/>
      <c r="F661" s="125">
        <f t="shared" si="10"/>
        <v>0</v>
      </c>
    </row>
    <row r="662" spans="1:6" x14ac:dyDescent="0.4">
      <c r="A662" s="96">
        <v>658</v>
      </c>
      <c r="B662" s="115"/>
      <c r="C662" s="115"/>
      <c r="D662" s="125"/>
      <c r="E662" s="125"/>
      <c r="F662" s="125">
        <f t="shared" si="10"/>
        <v>0</v>
      </c>
    </row>
    <row r="663" spans="1:6" x14ac:dyDescent="0.4">
      <c r="A663" s="96">
        <v>659</v>
      </c>
      <c r="B663" s="115"/>
      <c r="C663" s="115"/>
      <c r="D663" s="125"/>
      <c r="E663" s="125"/>
      <c r="F663" s="125">
        <f t="shared" si="10"/>
        <v>0</v>
      </c>
    </row>
    <row r="664" spans="1:6" x14ac:dyDescent="0.4">
      <c r="A664" s="96">
        <v>660</v>
      </c>
      <c r="B664" s="115"/>
      <c r="C664" s="115"/>
      <c r="D664" s="125"/>
      <c r="E664" s="125"/>
      <c r="F664" s="125">
        <f t="shared" si="10"/>
        <v>0</v>
      </c>
    </row>
    <row r="665" spans="1:6" x14ac:dyDescent="0.4">
      <c r="A665" s="96">
        <v>661</v>
      </c>
      <c r="B665" s="115"/>
      <c r="C665" s="115"/>
      <c r="D665" s="125"/>
      <c r="E665" s="125"/>
      <c r="F665" s="125">
        <f t="shared" si="10"/>
        <v>0</v>
      </c>
    </row>
    <row r="666" spans="1:6" x14ac:dyDescent="0.4">
      <c r="A666" s="96">
        <v>662</v>
      </c>
      <c r="B666" s="115"/>
      <c r="C666" s="115"/>
      <c r="D666" s="125"/>
      <c r="E666" s="125"/>
      <c r="F666" s="125">
        <f t="shared" si="10"/>
        <v>0</v>
      </c>
    </row>
    <row r="667" spans="1:6" x14ac:dyDescent="0.4">
      <c r="A667" s="96">
        <v>663</v>
      </c>
      <c r="B667" s="115"/>
      <c r="C667" s="115"/>
      <c r="D667" s="125"/>
      <c r="E667" s="125"/>
      <c r="F667" s="125">
        <f t="shared" si="10"/>
        <v>0</v>
      </c>
    </row>
    <row r="668" spans="1:6" x14ac:dyDescent="0.4">
      <c r="A668" s="96">
        <v>664</v>
      </c>
      <c r="B668" s="115"/>
      <c r="C668" s="115"/>
      <c r="D668" s="125"/>
      <c r="E668" s="125"/>
      <c r="F668" s="125">
        <f t="shared" si="10"/>
        <v>0</v>
      </c>
    </row>
    <row r="669" spans="1:6" x14ac:dyDescent="0.4">
      <c r="A669" s="96">
        <v>665</v>
      </c>
      <c r="B669" s="115"/>
      <c r="C669" s="115"/>
      <c r="D669" s="125"/>
      <c r="E669" s="125"/>
      <c r="F669" s="125">
        <f t="shared" si="10"/>
        <v>0</v>
      </c>
    </row>
    <row r="670" spans="1:6" x14ac:dyDescent="0.4">
      <c r="A670" s="96">
        <v>666</v>
      </c>
      <c r="B670" s="115"/>
      <c r="C670" s="115"/>
      <c r="D670" s="125"/>
      <c r="E670" s="125"/>
      <c r="F670" s="125">
        <f t="shared" si="10"/>
        <v>0</v>
      </c>
    </row>
    <row r="671" spans="1:6" x14ac:dyDescent="0.4">
      <c r="A671" s="96">
        <v>667</v>
      </c>
      <c r="B671" s="115"/>
      <c r="C671" s="115"/>
      <c r="D671" s="125"/>
      <c r="E671" s="125"/>
      <c r="F671" s="125">
        <f t="shared" si="10"/>
        <v>0</v>
      </c>
    </row>
    <row r="672" spans="1:6" x14ac:dyDescent="0.4">
      <c r="A672" s="96">
        <v>668</v>
      </c>
      <c r="B672" s="115"/>
      <c r="C672" s="115"/>
      <c r="D672" s="125"/>
      <c r="E672" s="125"/>
      <c r="F672" s="125">
        <f t="shared" si="10"/>
        <v>0</v>
      </c>
    </row>
    <row r="673" spans="1:6" x14ac:dyDescent="0.4">
      <c r="A673" s="96">
        <v>669</v>
      </c>
      <c r="B673" s="115"/>
      <c r="C673" s="115"/>
      <c r="D673" s="125"/>
      <c r="E673" s="125"/>
      <c r="F673" s="125">
        <f t="shared" si="10"/>
        <v>0</v>
      </c>
    </row>
    <row r="674" spans="1:6" x14ac:dyDescent="0.4">
      <c r="A674" s="96">
        <v>670</v>
      </c>
      <c r="B674" s="115"/>
      <c r="C674" s="115"/>
      <c r="D674" s="125"/>
      <c r="E674" s="125"/>
      <c r="F674" s="125">
        <f t="shared" si="10"/>
        <v>0</v>
      </c>
    </row>
    <row r="675" spans="1:6" x14ac:dyDescent="0.4">
      <c r="A675" s="96">
        <v>671</v>
      </c>
      <c r="B675" s="115"/>
      <c r="C675" s="115"/>
      <c r="D675" s="125"/>
      <c r="E675" s="125"/>
      <c r="F675" s="125">
        <f t="shared" si="10"/>
        <v>0</v>
      </c>
    </row>
    <row r="676" spans="1:6" x14ac:dyDescent="0.4">
      <c r="A676" s="96">
        <v>672</v>
      </c>
      <c r="B676" s="115"/>
      <c r="C676" s="115"/>
      <c r="D676" s="125"/>
      <c r="E676" s="125"/>
      <c r="F676" s="125">
        <f t="shared" si="10"/>
        <v>0</v>
      </c>
    </row>
    <row r="677" spans="1:6" x14ac:dyDescent="0.4">
      <c r="A677" s="96">
        <v>673</v>
      </c>
      <c r="B677" s="115"/>
      <c r="C677" s="115"/>
      <c r="D677" s="125"/>
      <c r="E677" s="125"/>
      <c r="F677" s="125">
        <f t="shared" si="10"/>
        <v>0</v>
      </c>
    </row>
    <row r="678" spans="1:6" x14ac:dyDescent="0.4">
      <c r="A678" s="96">
        <v>674</v>
      </c>
      <c r="B678" s="115"/>
      <c r="C678" s="115"/>
      <c r="D678" s="125"/>
      <c r="E678" s="125"/>
      <c r="F678" s="125">
        <f t="shared" si="10"/>
        <v>0</v>
      </c>
    </row>
    <row r="679" spans="1:6" x14ac:dyDescent="0.4">
      <c r="A679" s="96">
        <v>675</v>
      </c>
      <c r="B679" s="115"/>
      <c r="C679" s="115"/>
      <c r="D679" s="125"/>
      <c r="E679" s="125"/>
      <c r="F679" s="125">
        <f t="shared" si="10"/>
        <v>0</v>
      </c>
    </row>
    <row r="680" spans="1:6" x14ac:dyDescent="0.4">
      <c r="A680" s="96">
        <v>676</v>
      </c>
      <c r="B680" s="115"/>
      <c r="C680" s="115"/>
      <c r="D680" s="125"/>
      <c r="E680" s="125"/>
      <c r="F680" s="125">
        <f t="shared" si="10"/>
        <v>0</v>
      </c>
    </row>
    <row r="681" spans="1:6" x14ac:dyDescent="0.4">
      <c r="A681" s="96">
        <v>677</v>
      </c>
      <c r="B681" s="115"/>
      <c r="C681" s="115"/>
      <c r="D681" s="125"/>
      <c r="E681" s="125"/>
      <c r="F681" s="125">
        <f t="shared" si="10"/>
        <v>0</v>
      </c>
    </row>
    <row r="682" spans="1:6" x14ac:dyDescent="0.4">
      <c r="A682" s="96">
        <v>678</v>
      </c>
      <c r="B682" s="115"/>
      <c r="C682" s="115"/>
      <c r="D682" s="125"/>
      <c r="E682" s="125"/>
      <c r="F682" s="125">
        <f t="shared" si="10"/>
        <v>0</v>
      </c>
    </row>
    <row r="683" spans="1:6" x14ac:dyDescent="0.4">
      <c r="A683" s="96">
        <v>679</v>
      </c>
      <c r="B683" s="115"/>
      <c r="C683" s="115"/>
      <c r="D683" s="125"/>
      <c r="E683" s="125"/>
      <c r="F683" s="125">
        <f t="shared" si="10"/>
        <v>0</v>
      </c>
    </row>
    <row r="684" spans="1:6" x14ac:dyDescent="0.4">
      <c r="A684" s="96">
        <v>680</v>
      </c>
      <c r="B684" s="115"/>
      <c r="C684" s="115"/>
      <c r="D684" s="125"/>
      <c r="E684" s="125"/>
      <c r="F684" s="125">
        <f t="shared" si="10"/>
        <v>0</v>
      </c>
    </row>
    <row r="685" spans="1:6" x14ac:dyDescent="0.4">
      <c r="A685" s="96">
        <v>681</v>
      </c>
      <c r="B685" s="115"/>
      <c r="C685" s="115"/>
      <c r="D685" s="125"/>
      <c r="E685" s="125"/>
      <c r="F685" s="125">
        <f t="shared" si="10"/>
        <v>0</v>
      </c>
    </row>
    <row r="686" spans="1:6" x14ac:dyDescent="0.4">
      <c r="A686" s="96">
        <v>682</v>
      </c>
      <c r="B686" s="115"/>
      <c r="C686" s="115"/>
      <c r="D686" s="125"/>
      <c r="E686" s="125"/>
      <c r="F686" s="125">
        <f t="shared" si="10"/>
        <v>0</v>
      </c>
    </row>
    <row r="687" spans="1:6" x14ac:dyDescent="0.4">
      <c r="A687" s="96">
        <v>683</v>
      </c>
      <c r="B687" s="115"/>
      <c r="C687" s="115"/>
      <c r="D687" s="125"/>
      <c r="E687" s="125"/>
      <c r="F687" s="125">
        <f t="shared" si="10"/>
        <v>0</v>
      </c>
    </row>
    <row r="688" spans="1:6" x14ac:dyDescent="0.4">
      <c r="A688" s="96">
        <v>684</v>
      </c>
      <c r="B688" s="115"/>
      <c r="C688" s="115"/>
      <c r="D688" s="125"/>
      <c r="E688" s="125"/>
      <c r="F688" s="125">
        <f t="shared" si="10"/>
        <v>0</v>
      </c>
    </row>
    <row r="689" spans="1:6" x14ac:dyDescent="0.4">
      <c r="A689" s="96">
        <v>685</v>
      </c>
      <c r="B689" s="115"/>
      <c r="C689" s="115"/>
      <c r="D689" s="125"/>
      <c r="E689" s="125"/>
      <c r="F689" s="125">
        <f t="shared" si="10"/>
        <v>0</v>
      </c>
    </row>
    <row r="690" spans="1:6" x14ac:dyDescent="0.4">
      <c r="A690" s="96">
        <v>686</v>
      </c>
      <c r="B690" s="115"/>
      <c r="C690" s="115"/>
      <c r="D690" s="125"/>
      <c r="E690" s="125"/>
      <c r="F690" s="125">
        <f t="shared" si="10"/>
        <v>0</v>
      </c>
    </row>
    <row r="691" spans="1:6" x14ac:dyDescent="0.4">
      <c r="A691" s="96">
        <v>687</v>
      </c>
      <c r="B691" s="115"/>
      <c r="C691" s="115"/>
      <c r="D691" s="125"/>
      <c r="E691" s="125"/>
      <c r="F691" s="125">
        <f t="shared" si="10"/>
        <v>0</v>
      </c>
    </row>
    <row r="692" spans="1:6" x14ac:dyDescent="0.4">
      <c r="A692" s="96">
        <v>688</v>
      </c>
      <c r="B692" s="115"/>
      <c r="C692" s="115"/>
      <c r="D692" s="125"/>
      <c r="E692" s="125"/>
      <c r="F692" s="125">
        <f t="shared" si="10"/>
        <v>0</v>
      </c>
    </row>
    <row r="693" spans="1:6" x14ac:dyDescent="0.4">
      <c r="A693" s="96">
        <v>689</v>
      </c>
      <c r="B693" s="115"/>
      <c r="C693" s="115"/>
      <c r="D693" s="125"/>
      <c r="E693" s="125"/>
      <c r="F693" s="125">
        <f t="shared" si="10"/>
        <v>0</v>
      </c>
    </row>
    <row r="694" spans="1:6" x14ac:dyDescent="0.4">
      <c r="A694" s="96">
        <v>690</v>
      </c>
      <c r="B694" s="115"/>
      <c r="C694" s="115"/>
      <c r="D694" s="125"/>
      <c r="E694" s="125"/>
      <c r="F694" s="125">
        <f t="shared" si="10"/>
        <v>0</v>
      </c>
    </row>
    <row r="695" spans="1:6" x14ac:dyDescent="0.4">
      <c r="A695" s="96">
        <v>691</v>
      </c>
      <c r="B695" s="115"/>
      <c r="C695" s="115"/>
      <c r="D695" s="125"/>
      <c r="E695" s="125"/>
      <c r="F695" s="125">
        <f t="shared" si="10"/>
        <v>0</v>
      </c>
    </row>
    <row r="696" spans="1:6" x14ac:dyDescent="0.4">
      <c r="A696" s="96">
        <v>692</v>
      </c>
      <c r="B696" s="115"/>
      <c r="C696" s="115"/>
      <c r="D696" s="125"/>
      <c r="E696" s="125"/>
      <c r="F696" s="125">
        <f t="shared" si="10"/>
        <v>0</v>
      </c>
    </row>
    <row r="697" spans="1:6" x14ac:dyDescent="0.4">
      <c r="A697" s="96">
        <v>693</v>
      </c>
      <c r="B697" s="115"/>
      <c r="C697" s="115"/>
      <c r="D697" s="125"/>
      <c r="E697" s="125"/>
      <c r="F697" s="125">
        <f t="shared" si="10"/>
        <v>0</v>
      </c>
    </row>
    <row r="698" spans="1:6" x14ac:dyDescent="0.4">
      <c r="A698" s="96">
        <v>694</v>
      </c>
      <c r="B698" s="115"/>
      <c r="C698" s="115"/>
      <c r="D698" s="125"/>
      <c r="E698" s="125"/>
      <c r="F698" s="125">
        <f t="shared" si="10"/>
        <v>0</v>
      </c>
    </row>
    <row r="699" spans="1:6" x14ac:dyDescent="0.4">
      <c r="A699" s="96">
        <v>695</v>
      </c>
      <c r="B699" s="115"/>
      <c r="C699" s="115"/>
      <c r="D699" s="125"/>
      <c r="E699" s="125"/>
      <c r="F699" s="125">
        <f t="shared" si="10"/>
        <v>0</v>
      </c>
    </row>
    <row r="700" spans="1:6" x14ac:dyDescent="0.4">
      <c r="A700" s="96">
        <v>696</v>
      </c>
      <c r="B700" s="115"/>
      <c r="C700" s="115"/>
      <c r="D700" s="125"/>
      <c r="E700" s="125"/>
      <c r="F700" s="125">
        <f t="shared" si="10"/>
        <v>0</v>
      </c>
    </row>
    <row r="701" spans="1:6" x14ac:dyDescent="0.4">
      <c r="A701" s="96">
        <v>697</v>
      </c>
      <c r="B701" s="115"/>
      <c r="C701" s="115"/>
      <c r="D701" s="125"/>
      <c r="E701" s="125"/>
      <c r="F701" s="125">
        <f t="shared" si="10"/>
        <v>0</v>
      </c>
    </row>
    <row r="702" spans="1:6" x14ac:dyDescent="0.4">
      <c r="A702" s="96">
        <v>698</v>
      </c>
      <c r="B702" s="115"/>
      <c r="C702" s="115"/>
      <c r="D702" s="125"/>
      <c r="E702" s="125"/>
      <c r="F702" s="125">
        <f t="shared" si="10"/>
        <v>0</v>
      </c>
    </row>
    <row r="703" spans="1:6" x14ac:dyDescent="0.4">
      <c r="A703" s="96">
        <v>699</v>
      </c>
      <c r="B703" s="115"/>
      <c r="C703" s="115"/>
      <c r="D703" s="125"/>
      <c r="E703" s="125"/>
      <c r="F703" s="125">
        <f t="shared" si="10"/>
        <v>0</v>
      </c>
    </row>
    <row r="704" spans="1:6" x14ac:dyDescent="0.4">
      <c r="A704" s="96">
        <v>700</v>
      </c>
      <c r="B704" s="115"/>
      <c r="C704" s="115"/>
      <c r="D704" s="125"/>
      <c r="E704" s="125"/>
      <c r="F704" s="125">
        <f t="shared" si="10"/>
        <v>0</v>
      </c>
    </row>
    <row r="705" spans="1:6" x14ac:dyDescent="0.4">
      <c r="A705" s="96">
        <v>701</v>
      </c>
      <c r="B705" s="115"/>
      <c r="C705" s="115"/>
      <c r="D705" s="125"/>
      <c r="E705" s="125"/>
      <c r="F705" s="125">
        <f t="shared" si="10"/>
        <v>0</v>
      </c>
    </row>
    <row r="706" spans="1:6" x14ac:dyDescent="0.4">
      <c r="A706" s="96">
        <v>702</v>
      </c>
      <c r="B706" s="115"/>
      <c r="C706" s="115"/>
      <c r="D706" s="125"/>
      <c r="E706" s="125"/>
      <c r="F706" s="125">
        <f t="shared" si="10"/>
        <v>0</v>
      </c>
    </row>
    <row r="707" spans="1:6" x14ac:dyDescent="0.4">
      <c r="A707" s="96">
        <v>703</v>
      </c>
      <c r="B707" s="115"/>
      <c r="C707" s="115"/>
      <c r="D707" s="125"/>
      <c r="E707" s="125"/>
      <c r="F707" s="125">
        <f t="shared" si="10"/>
        <v>0</v>
      </c>
    </row>
    <row r="708" spans="1:6" x14ac:dyDescent="0.4">
      <c r="A708" s="96">
        <v>704</v>
      </c>
      <c r="B708" s="115"/>
      <c r="C708" s="115"/>
      <c r="D708" s="125"/>
      <c r="E708" s="125"/>
      <c r="F708" s="125">
        <f t="shared" si="10"/>
        <v>0</v>
      </c>
    </row>
    <row r="709" spans="1:6" x14ac:dyDescent="0.4">
      <c r="A709" s="96">
        <v>705</v>
      </c>
      <c r="B709" s="115"/>
      <c r="C709" s="115"/>
      <c r="D709" s="125"/>
      <c r="E709" s="125"/>
      <c r="F709" s="125">
        <f t="shared" si="10"/>
        <v>0</v>
      </c>
    </row>
    <row r="710" spans="1:6" x14ac:dyDescent="0.4">
      <c r="A710" s="96">
        <v>706</v>
      </c>
      <c r="B710" s="115"/>
      <c r="C710" s="115"/>
      <c r="D710" s="125"/>
      <c r="E710" s="125"/>
      <c r="F710" s="125">
        <f t="shared" ref="F710:F773" si="11">D710*E710</f>
        <v>0</v>
      </c>
    </row>
    <row r="711" spans="1:6" x14ac:dyDescent="0.4">
      <c r="A711" s="96">
        <v>707</v>
      </c>
      <c r="B711" s="115"/>
      <c r="C711" s="115"/>
      <c r="D711" s="125"/>
      <c r="E711" s="125"/>
      <c r="F711" s="125">
        <f t="shared" si="11"/>
        <v>0</v>
      </c>
    </row>
    <row r="712" spans="1:6" x14ac:dyDescent="0.4">
      <c r="A712" s="96">
        <v>708</v>
      </c>
      <c r="B712" s="115"/>
      <c r="C712" s="115"/>
      <c r="D712" s="125"/>
      <c r="E712" s="125"/>
      <c r="F712" s="125">
        <f t="shared" si="11"/>
        <v>0</v>
      </c>
    </row>
    <row r="713" spans="1:6" x14ac:dyDescent="0.4">
      <c r="A713" s="96">
        <v>709</v>
      </c>
      <c r="B713" s="115"/>
      <c r="C713" s="115"/>
      <c r="D713" s="125"/>
      <c r="E713" s="125"/>
      <c r="F713" s="125">
        <f t="shared" si="11"/>
        <v>0</v>
      </c>
    </row>
    <row r="714" spans="1:6" x14ac:dyDescent="0.4">
      <c r="A714" s="96">
        <v>710</v>
      </c>
      <c r="B714" s="115"/>
      <c r="C714" s="115"/>
      <c r="D714" s="125"/>
      <c r="E714" s="125"/>
      <c r="F714" s="125">
        <f t="shared" si="11"/>
        <v>0</v>
      </c>
    </row>
    <row r="715" spans="1:6" x14ac:dyDescent="0.4">
      <c r="A715" s="96">
        <v>711</v>
      </c>
      <c r="B715" s="115"/>
      <c r="C715" s="115"/>
      <c r="D715" s="125"/>
      <c r="E715" s="125"/>
      <c r="F715" s="125">
        <f t="shared" si="11"/>
        <v>0</v>
      </c>
    </row>
    <row r="716" spans="1:6" x14ac:dyDescent="0.4">
      <c r="A716" s="96">
        <v>712</v>
      </c>
      <c r="B716" s="115"/>
      <c r="C716" s="115"/>
      <c r="D716" s="125"/>
      <c r="E716" s="125"/>
      <c r="F716" s="125">
        <f t="shared" si="11"/>
        <v>0</v>
      </c>
    </row>
    <row r="717" spans="1:6" x14ac:dyDescent="0.4">
      <c r="A717" s="96">
        <v>713</v>
      </c>
      <c r="B717" s="115"/>
      <c r="C717" s="115"/>
      <c r="D717" s="125"/>
      <c r="E717" s="125"/>
      <c r="F717" s="125">
        <f t="shared" si="11"/>
        <v>0</v>
      </c>
    </row>
    <row r="718" spans="1:6" x14ac:dyDescent="0.4">
      <c r="A718" s="96">
        <v>714</v>
      </c>
      <c r="B718" s="115"/>
      <c r="C718" s="115"/>
      <c r="D718" s="125"/>
      <c r="E718" s="125"/>
      <c r="F718" s="125">
        <f t="shared" si="11"/>
        <v>0</v>
      </c>
    </row>
    <row r="719" spans="1:6" x14ac:dyDescent="0.4">
      <c r="A719" s="96">
        <v>715</v>
      </c>
      <c r="B719" s="115"/>
      <c r="C719" s="115"/>
      <c r="D719" s="125"/>
      <c r="E719" s="125"/>
      <c r="F719" s="125">
        <f t="shared" si="11"/>
        <v>0</v>
      </c>
    </row>
    <row r="720" spans="1:6" x14ac:dyDescent="0.4">
      <c r="A720" s="96">
        <v>716</v>
      </c>
      <c r="B720" s="115"/>
      <c r="C720" s="115"/>
      <c r="D720" s="125"/>
      <c r="E720" s="125"/>
      <c r="F720" s="125">
        <f t="shared" si="11"/>
        <v>0</v>
      </c>
    </row>
    <row r="721" spans="1:6" x14ac:dyDescent="0.4">
      <c r="A721" s="96">
        <v>717</v>
      </c>
      <c r="B721" s="115"/>
      <c r="C721" s="115"/>
      <c r="D721" s="125"/>
      <c r="E721" s="125"/>
      <c r="F721" s="125">
        <f t="shared" si="11"/>
        <v>0</v>
      </c>
    </row>
    <row r="722" spans="1:6" x14ac:dyDescent="0.4">
      <c r="A722" s="96">
        <v>718</v>
      </c>
      <c r="B722" s="115"/>
      <c r="C722" s="115"/>
      <c r="D722" s="125"/>
      <c r="E722" s="125"/>
      <c r="F722" s="125">
        <f t="shared" si="11"/>
        <v>0</v>
      </c>
    </row>
    <row r="723" spans="1:6" x14ac:dyDescent="0.4">
      <c r="A723" s="96">
        <v>719</v>
      </c>
      <c r="B723" s="115"/>
      <c r="C723" s="115"/>
      <c r="D723" s="125"/>
      <c r="E723" s="125"/>
      <c r="F723" s="125">
        <f t="shared" si="11"/>
        <v>0</v>
      </c>
    </row>
    <row r="724" spans="1:6" x14ac:dyDescent="0.4">
      <c r="A724" s="96">
        <v>720</v>
      </c>
      <c r="B724" s="115"/>
      <c r="C724" s="115"/>
      <c r="D724" s="125"/>
      <c r="E724" s="125"/>
      <c r="F724" s="125">
        <f t="shared" si="11"/>
        <v>0</v>
      </c>
    </row>
    <row r="725" spans="1:6" x14ac:dyDescent="0.4">
      <c r="A725" s="96">
        <v>721</v>
      </c>
      <c r="B725" s="115"/>
      <c r="C725" s="115"/>
      <c r="D725" s="125"/>
      <c r="E725" s="125"/>
      <c r="F725" s="125">
        <f t="shared" si="11"/>
        <v>0</v>
      </c>
    </row>
    <row r="726" spans="1:6" x14ac:dyDescent="0.4">
      <c r="A726" s="96">
        <v>722</v>
      </c>
      <c r="B726" s="115"/>
      <c r="C726" s="115"/>
      <c r="D726" s="125"/>
      <c r="E726" s="125"/>
      <c r="F726" s="125">
        <f t="shared" si="11"/>
        <v>0</v>
      </c>
    </row>
    <row r="727" spans="1:6" x14ac:dyDescent="0.4">
      <c r="A727" s="96">
        <v>723</v>
      </c>
      <c r="B727" s="115"/>
      <c r="C727" s="115"/>
      <c r="D727" s="125"/>
      <c r="E727" s="125"/>
      <c r="F727" s="125">
        <f t="shared" si="11"/>
        <v>0</v>
      </c>
    </row>
    <row r="728" spans="1:6" x14ac:dyDescent="0.4">
      <c r="A728" s="96">
        <v>724</v>
      </c>
      <c r="B728" s="115"/>
      <c r="C728" s="115"/>
      <c r="D728" s="125"/>
      <c r="E728" s="125"/>
      <c r="F728" s="125">
        <f t="shared" si="11"/>
        <v>0</v>
      </c>
    </row>
    <row r="729" spans="1:6" x14ac:dyDescent="0.4">
      <c r="A729" s="96">
        <v>725</v>
      </c>
      <c r="B729" s="115"/>
      <c r="C729" s="115"/>
      <c r="D729" s="125"/>
      <c r="E729" s="125"/>
      <c r="F729" s="125">
        <f t="shared" si="11"/>
        <v>0</v>
      </c>
    </row>
    <row r="730" spans="1:6" x14ac:dyDescent="0.4">
      <c r="A730" s="96">
        <v>726</v>
      </c>
      <c r="B730" s="115"/>
      <c r="C730" s="115"/>
      <c r="D730" s="125"/>
      <c r="E730" s="125"/>
      <c r="F730" s="125">
        <f t="shared" si="11"/>
        <v>0</v>
      </c>
    </row>
    <row r="731" spans="1:6" x14ac:dyDescent="0.4">
      <c r="A731" s="96">
        <v>727</v>
      </c>
      <c r="B731" s="115"/>
      <c r="C731" s="115"/>
      <c r="D731" s="125"/>
      <c r="E731" s="125"/>
      <c r="F731" s="125">
        <f t="shared" si="11"/>
        <v>0</v>
      </c>
    </row>
    <row r="732" spans="1:6" x14ac:dyDescent="0.4">
      <c r="A732" s="96">
        <v>728</v>
      </c>
      <c r="B732" s="115"/>
      <c r="C732" s="115"/>
      <c r="D732" s="125"/>
      <c r="E732" s="125"/>
      <c r="F732" s="125">
        <f t="shared" si="11"/>
        <v>0</v>
      </c>
    </row>
    <row r="733" spans="1:6" x14ac:dyDescent="0.4">
      <c r="A733" s="96">
        <v>729</v>
      </c>
      <c r="B733" s="115"/>
      <c r="C733" s="115"/>
      <c r="D733" s="125"/>
      <c r="E733" s="125"/>
      <c r="F733" s="125">
        <f t="shared" si="11"/>
        <v>0</v>
      </c>
    </row>
    <row r="734" spans="1:6" x14ac:dyDescent="0.4">
      <c r="A734" s="96">
        <v>730</v>
      </c>
      <c r="B734" s="115"/>
      <c r="C734" s="115"/>
      <c r="D734" s="125"/>
      <c r="E734" s="125"/>
      <c r="F734" s="125">
        <f t="shared" si="11"/>
        <v>0</v>
      </c>
    </row>
    <row r="735" spans="1:6" x14ac:dyDescent="0.4">
      <c r="A735" s="96">
        <v>731</v>
      </c>
      <c r="B735" s="115"/>
      <c r="C735" s="115"/>
      <c r="D735" s="125"/>
      <c r="E735" s="125"/>
      <c r="F735" s="125">
        <f t="shared" si="11"/>
        <v>0</v>
      </c>
    </row>
    <row r="736" spans="1:6" x14ac:dyDescent="0.4">
      <c r="A736" s="96">
        <v>732</v>
      </c>
      <c r="B736" s="115"/>
      <c r="C736" s="115"/>
      <c r="D736" s="125"/>
      <c r="E736" s="125"/>
      <c r="F736" s="125">
        <f t="shared" si="11"/>
        <v>0</v>
      </c>
    </row>
    <row r="737" spans="1:6" x14ac:dyDescent="0.4">
      <c r="A737" s="96">
        <v>733</v>
      </c>
      <c r="B737" s="115"/>
      <c r="C737" s="115"/>
      <c r="D737" s="125"/>
      <c r="E737" s="125"/>
      <c r="F737" s="125">
        <f t="shared" si="11"/>
        <v>0</v>
      </c>
    </row>
    <row r="738" spans="1:6" x14ac:dyDescent="0.4">
      <c r="A738" s="96">
        <v>734</v>
      </c>
      <c r="B738" s="115"/>
      <c r="C738" s="115"/>
      <c r="D738" s="125"/>
      <c r="E738" s="125"/>
      <c r="F738" s="125">
        <f t="shared" si="11"/>
        <v>0</v>
      </c>
    </row>
    <row r="739" spans="1:6" x14ac:dyDescent="0.4">
      <c r="A739" s="96">
        <v>735</v>
      </c>
      <c r="B739" s="115"/>
      <c r="C739" s="115"/>
      <c r="D739" s="125"/>
      <c r="E739" s="125"/>
      <c r="F739" s="125">
        <f t="shared" si="11"/>
        <v>0</v>
      </c>
    </row>
    <row r="740" spans="1:6" x14ac:dyDescent="0.4">
      <c r="A740" s="96">
        <v>736</v>
      </c>
      <c r="B740" s="115"/>
      <c r="C740" s="115"/>
      <c r="D740" s="125"/>
      <c r="E740" s="125"/>
      <c r="F740" s="125">
        <f t="shared" si="11"/>
        <v>0</v>
      </c>
    </row>
    <row r="741" spans="1:6" x14ac:dyDescent="0.4">
      <c r="A741" s="96">
        <v>737</v>
      </c>
      <c r="B741" s="115"/>
      <c r="C741" s="115"/>
      <c r="D741" s="125"/>
      <c r="E741" s="125"/>
      <c r="F741" s="125">
        <f t="shared" si="11"/>
        <v>0</v>
      </c>
    </row>
    <row r="742" spans="1:6" x14ac:dyDescent="0.4">
      <c r="A742" s="96">
        <v>738</v>
      </c>
      <c r="B742" s="115"/>
      <c r="C742" s="115"/>
      <c r="D742" s="125"/>
      <c r="E742" s="125"/>
      <c r="F742" s="125">
        <f t="shared" si="11"/>
        <v>0</v>
      </c>
    </row>
    <row r="743" spans="1:6" x14ac:dyDescent="0.4">
      <c r="A743" s="96">
        <v>739</v>
      </c>
      <c r="B743" s="115"/>
      <c r="C743" s="115"/>
      <c r="D743" s="125"/>
      <c r="E743" s="125"/>
      <c r="F743" s="125">
        <f t="shared" si="11"/>
        <v>0</v>
      </c>
    </row>
    <row r="744" spans="1:6" x14ac:dyDescent="0.4">
      <c r="A744" s="96">
        <v>740</v>
      </c>
      <c r="B744" s="115"/>
      <c r="C744" s="115"/>
      <c r="D744" s="125"/>
      <c r="E744" s="125"/>
      <c r="F744" s="125">
        <f t="shared" si="11"/>
        <v>0</v>
      </c>
    </row>
    <row r="745" spans="1:6" x14ac:dyDescent="0.4">
      <c r="A745" s="96">
        <v>741</v>
      </c>
      <c r="B745" s="115"/>
      <c r="C745" s="115"/>
      <c r="D745" s="125"/>
      <c r="E745" s="125"/>
      <c r="F745" s="125">
        <f t="shared" si="11"/>
        <v>0</v>
      </c>
    </row>
    <row r="746" spans="1:6" x14ac:dyDescent="0.4">
      <c r="A746" s="96">
        <v>742</v>
      </c>
      <c r="B746" s="115"/>
      <c r="C746" s="115"/>
      <c r="D746" s="125"/>
      <c r="E746" s="125"/>
      <c r="F746" s="125">
        <f t="shared" si="11"/>
        <v>0</v>
      </c>
    </row>
    <row r="747" spans="1:6" x14ac:dyDescent="0.4">
      <c r="A747" s="96">
        <v>743</v>
      </c>
      <c r="B747" s="115"/>
      <c r="C747" s="115"/>
      <c r="D747" s="125"/>
      <c r="E747" s="125"/>
      <c r="F747" s="125">
        <f t="shared" si="11"/>
        <v>0</v>
      </c>
    </row>
    <row r="748" spans="1:6" x14ac:dyDescent="0.4">
      <c r="A748" s="96">
        <v>744</v>
      </c>
      <c r="B748" s="115"/>
      <c r="C748" s="115"/>
      <c r="D748" s="125"/>
      <c r="E748" s="125"/>
      <c r="F748" s="125">
        <f t="shared" si="11"/>
        <v>0</v>
      </c>
    </row>
    <row r="749" spans="1:6" x14ac:dyDescent="0.4">
      <c r="A749" s="96">
        <v>745</v>
      </c>
      <c r="B749" s="115"/>
      <c r="C749" s="115"/>
      <c r="D749" s="125"/>
      <c r="E749" s="125"/>
      <c r="F749" s="125">
        <f t="shared" si="11"/>
        <v>0</v>
      </c>
    </row>
    <row r="750" spans="1:6" x14ac:dyDescent="0.4">
      <c r="A750" s="96">
        <v>746</v>
      </c>
      <c r="B750" s="115"/>
      <c r="C750" s="115"/>
      <c r="D750" s="125"/>
      <c r="E750" s="125"/>
      <c r="F750" s="125">
        <f t="shared" si="11"/>
        <v>0</v>
      </c>
    </row>
    <row r="751" spans="1:6" x14ac:dyDescent="0.4">
      <c r="A751" s="96">
        <v>747</v>
      </c>
      <c r="B751" s="115"/>
      <c r="C751" s="115"/>
      <c r="D751" s="125"/>
      <c r="E751" s="125"/>
      <c r="F751" s="125">
        <f t="shared" si="11"/>
        <v>0</v>
      </c>
    </row>
    <row r="752" spans="1:6" x14ac:dyDescent="0.4">
      <c r="A752" s="96">
        <v>748</v>
      </c>
      <c r="B752" s="115"/>
      <c r="C752" s="115"/>
      <c r="D752" s="125"/>
      <c r="E752" s="125"/>
      <c r="F752" s="125">
        <f t="shared" si="11"/>
        <v>0</v>
      </c>
    </row>
    <row r="753" spans="1:6" x14ac:dyDescent="0.4">
      <c r="A753" s="96">
        <v>749</v>
      </c>
      <c r="B753" s="115"/>
      <c r="C753" s="115"/>
      <c r="D753" s="125"/>
      <c r="E753" s="125"/>
      <c r="F753" s="125">
        <f t="shared" si="11"/>
        <v>0</v>
      </c>
    </row>
    <row r="754" spans="1:6" x14ac:dyDescent="0.4">
      <c r="A754" s="96">
        <v>750</v>
      </c>
      <c r="B754" s="115"/>
      <c r="C754" s="115"/>
      <c r="D754" s="125"/>
      <c r="E754" s="125"/>
      <c r="F754" s="125">
        <f t="shared" si="11"/>
        <v>0</v>
      </c>
    </row>
    <row r="755" spans="1:6" x14ac:dyDescent="0.4">
      <c r="A755" s="96">
        <v>751</v>
      </c>
      <c r="B755" s="115"/>
      <c r="C755" s="115"/>
      <c r="D755" s="125"/>
      <c r="E755" s="125"/>
      <c r="F755" s="125">
        <f t="shared" si="11"/>
        <v>0</v>
      </c>
    </row>
    <row r="756" spans="1:6" x14ac:dyDescent="0.4">
      <c r="A756" s="96">
        <v>752</v>
      </c>
      <c r="B756" s="115"/>
      <c r="C756" s="115"/>
      <c r="D756" s="125"/>
      <c r="E756" s="125"/>
      <c r="F756" s="125">
        <f t="shared" si="11"/>
        <v>0</v>
      </c>
    </row>
    <row r="757" spans="1:6" x14ac:dyDescent="0.4">
      <c r="A757" s="96">
        <v>753</v>
      </c>
      <c r="B757" s="115"/>
      <c r="C757" s="115"/>
      <c r="D757" s="125"/>
      <c r="E757" s="125"/>
      <c r="F757" s="125">
        <f t="shared" si="11"/>
        <v>0</v>
      </c>
    </row>
    <row r="758" spans="1:6" x14ac:dyDescent="0.4">
      <c r="A758" s="96">
        <v>754</v>
      </c>
      <c r="B758" s="115"/>
      <c r="C758" s="115"/>
      <c r="D758" s="125"/>
      <c r="E758" s="125"/>
      <c r="F758" s="125">
        <f t="shared" si="11"/>
        <v>0</v>
      </c>
    </row>
    <row r="759" spans="1:6" x14ac:dyDescent="0.4">
      <c r="A759" s="96">
        <v>755</v>
      </c>
      <c r="B759" s="115"/>
      <c r="C759" s="115"/>
      <c r="D759" s="125"/>
      <c r="E759" s="125"/>
      <c r="F759" s="125">
        <f t="shared" si="11"/>
        <v>0</v>
      </c>
    </row>
    <row r="760" spans="1:6" x14ac:dyDescent="0.4">
      <c r="A760" s="96">
        <v>756</v>
      </c>
      <c r="B760" s="115"/>
      <c r="C760" s="115"/>
      <c r="D760" s="125"/>
      <c r="E760" s="125"/>
      <c r="F760" s="125">
        <f t="shared" si="11"/>
        <v>0</v>
      </c>
    </row>
    <row r="761" spans="1:6" x14ac:dyDescent="0.4">
      <c r="A761" s="96">
        <v>757</v>
      </c>
      <c r="B761" s="115"/>
      <c r="C761" s="115"/>
      <c r="D761" s="125"/>
      <c r="E761" s="125"/>
      <c r="F761" s="125">
        <f t="shared" si="11"/>
        <v>0</v>
      </c>
    </row>
    <row r="762" spans="1:6" x14ac:dyDescent="0.4">
      <c r="A762" s="96">
        <v>758</v>
      </c>
      <c r="B762" s="115"/>
      <c r="C762" s="115"/>
      <c r="D762" s="125"/>
      <c r="E762" s="125"/>
      <c r="F762" s="125">
        <f t="shared" si="11"/>
        <v>0</v>
      </c>
    </row>
    <row r="763" spans="1:6" x14ac:dyDescent="0.4">
      <c r="A763" s="96">
        <v>759</v>
      </c>
      <c r="B763" s="115"/>
      <c r="C763" s="115"/>
      <c r="D763" s="125"/>
      <c r="E763" s="125"/>
      <c r="F763" s="125">
        <f t="shared" si="11"/>
        <v>0</v>
      </c>
    </row>
    <row r="764" spans="1:6" x14ac:dyDescent="0.4">
      <c r="A764" s="96">
        <v>760</v>
      </c>
      <c r="B764" s="115"/>
      <c r="C764" s="115"/>
      <c r="D764" s="125"/>
      <c r="E764" s="125"/>
      <c r="F764" s="125">
        <f t="shared" si="11"/>
        <v>0</v>
      </c>
    </row>
    <row r="765" spans="1:6" x14ac:dyDescent="0.4">
      <c r="A765" s="96">
        <v>761</v>
      </c>
      <c r="B765" s="115"/>
      <c r="C765" s="115"/>
      <c r="D765" s="125"/>
      <c r="E765" s="125"/>
      <c r="F765" s="125">
        <f t="shared" si="11"/>
        <v>0</v>
      </c>
    </row>
    <row r="766" spans="1:6" x14ac:dyDescent="0.4">
      <c r="A766" s="96">
        <v>762</v>
      </c>
      <c r="B766" s="115"/>
      <c r="C766" s="115"/>
      <c r="D766" s="125"/>
      <c r="E766" s="125"/>
      <c r="F766" s="125">
        <f t="shared" si="11"/>
        <v>0</v>
      </c>
    </row>
    <row r="767" spans="1:6" x14ac:dyDescent="0.4">
      <c r="A767" s="96">
        <v>763</v>
      </c>
      <c r="B767" s="115"/>
      <c r="C767" s="115"/>
      <c r="D767" s="125"/>
      <c r="E767" s="125"/>
      <c r="F767" s="125">
        <f t="shared" si="11"/>
        <v>0</v>
      </c>
    </row>
    <row r="768" spans="1:6" x14ac:dyDescent="0.4">
      <c r="A768" s="96">
        <v>764</v>
      </c>
      <c r="B768" s="115"/>
      <c r="C768" s="115"/>
      <c r="D768" s="125"/>
      <c r="E768" s="125"/>
      <c r="F768" s="125">
        <f t="shared" si="11"/>
        <v>0</v>
      </c>
    </row>
    <row r="769" spans="1:6" x14ac:dyDescent="0.4">
      <c r="A769" s="96">
        <v>765</v>
      </c>
      <c r="B769" s="115"/>
      <c r="C769" s="115"/>
      <c r="D769" s="125"/>
      <c r="E769" s="125"/>
      <c r="F769" s="125">
        <f t="shared" si="11"/>
        <v>0</v>
      </c>
    </row>
    <row r="770" spans="1:6" x14ac:dyDescent="0.4">
      <c r="A770" s="96">
        <v>766</v>
      </c>
      <c r="B770" s="115"/>
      <c r="C770" s="115"/>
      <c r="D770" s="125"/>
      <c r="E770" s="125"/>
      <c r="F770" s="125">
        <f t="shared" si="11"/>
        <v>0</v>
      </c>
    </row>
    <row r="771" spans="1:6" x14ac:dyDescent="0.4">
      <c r="A771" s="96">
        <v>767</v>
      </c>
      <c r="B771" s="115"/>
      <c r="C771" s="115"/>
      <c r="D771" s="125"/>
      <c r="E771" s="125"/>
      <c r="F771" s="125">
        <f t="shared" si="11"/>
        <v>0</v>
      </c>
    </row>
    <row r="772" spans="1:6" x14ac:dyDescent="0.4">
      <c r="A772" s="96">
        <v>768</v>
      </c>
      <c r="B772" s="115"/>
      <c r="C772" s="115"/>
      <c r="D772" s="125"/>
      <c r="E772" s="125"/>
      <c r="F772" s="125">
        <f t="shared" si="11"/>
        <v>0</v>
      </c>
    </row>
    <row r="773" spans="1:6" x14ac:dyDescent="0.4">
      <c r="A773" s="96">
        <v>769</v>
      </c>
      <c r="B773" s="115"/>
      <c r="C773" s="115"/>
      <c r="D773" s="125"/>
      <c r="E773" s="125"/>
      <c r="F773" s="125">
        <f t="shared" si="11"/>
        <v>0</v>
      </c>
    </row>
    <row r="774" spans="1:6" x14ac:dyDescent="0.4">
      <c r="A774" s="96">
        <v>770</v>
      </c>
      <c r="B774" s="115"/>
      <c r="C774" s="115"/>
      <c r="D774" s="125"/>
      <c r="E774" s="125"/>
      <c r="F774" s="125">
        <f t="shared" ref="F774:F837" si="12">D774*E774</f>
        <v>0</v>
      </c>
    </row>
    <row r="775" spans="1:6" x14ac:dyDescent="0.4">
      <c r="A775" s="96">
        <v>771</v>
      </c>
      <c r="B775" s="115"/>
      <c r="C775" s="115"/>
      <c r="D775" s="125"/>
      <c r="E775" s="125"/>
      <c r="F775" s="125">
        <f t="shared" si="12"/>
        <v>0</v>
      </c>
    </row>
    <row r="776" spans="1:6" x14ac:dyDescent="0.4">
      <c r="A776" s="96">
        <v>772</v>
      </c>
      <c r="B776" s="115"/>
      <c r="C776" s="115"/>
      <c r="D776" s="125"/>
      <c r="E776" s="125"/>
      <c r="F776" s="125">
        <f t="shared" si="12"/>
        <v>0</v>
      </c>
    </row>
    <row r="777" spans="1:6" x14ac:dyDescent="0.4">
      <c r="A777" s="96">
        <v>773</v>
      </c>
      <c r="B777" s="115"/>
      <c r="C777" s="115"/>
      <c r="D777" s="125"/>
      <c r="E777" s="125"/>
      <c r="F777" s="125">
        <f t="shared" si="12"/>
        <v>0</v>
      </c>
    </row>
    <row r="778" spans="1:6" x14ac:dyDescent="0.4">
      <c r="A778" s="96">
        <v>774</v>
      </c>
      <c r="B778" s="115"/>
      <c r="C778" s="115"/>
      <c r="D778" s="125"/>
      <c r="E778" s="125"/>
      <c r="F778" s="125">
        <f t="shared" si="12"/>
        <v>0</v>
      </c>
    </row>
    <row r="779" spans="1:6" x14ac:dyDescent="0.4">
      <c r="A779" s="96">
        <v>775</v>
      </c>
      <c r="B779" s="115"/>
      <c r="C779" s="115"/>
      <c r="D779" s="125"/>
      <c r="E779" s="125"/>
      <c r="F779" s="125">
        <f t="shared" si="12"/>
        <v>0</v>
      </c>
    </row>
    <row r="780" spans="1:6" x14ac:dyDescent="0.4">
      <c r="A780" s="96">
        <v>776</v>
      </c>
      <c r="B780" s="115"/>
      <c r="C780" s="115"/>
      <c r="D780" s="125"/>
      <c r="E780" s="125"/>
      <c r="F780" s="125">
        <f t="shared" si="12"/>
        <v>0</v>
      </c>
    </row>
    <row r="781" spans="1:6" x14ac:dyDescent="0.4">
      <c r="A781" s="96">
        <v>777</v>
      </c>
      <c r="B781" s="115"/>
      <c r="C781" s="115"/>
      <c r="D781" s="125"/>
      <c r="E781" s="125"/>
      <c r="F781" s="125">
        <f t="shared" si="12"/>
        <v>0</v>
      </c>
    </row>
    <row r="782" spans="1:6" x14ac:dyDescent="0.4">
      <c r="A782" s="96">
        <v>778</v>
      </c>
      <c r="B782" s="115"/>
      <c r="C782" s="115"/>
      <c r="D782" s="125"/>
      <c r="E782" s="125"/>
      <c r="F782" s="125">
        <f t="shared" si="12"/>
        <v>0</v>
      </c>
    </row>
    <row r="783" spans="1:6" x14ac:dyDescent="0.4">
      <c r="A783" s="96">
        <v>779</v>
      </c>
      <c r="B783" s="115"/>
      <c r="C783" s="115"/>
      <c r="D783" s="125"/>
      <c r="E783" s="125"/>
      <c r="F783" s="125">
        <f t="shared" si="12"/>
        <v>0</v>
      </c>
    </row>
    <row r="784" spans="1:6" x14ac:dyDescent="0.4">
      <c r="A784" s="96">
        <v>780</v>
      </c>
      <c r="B784" s="115"/>
      <c r="C784" s="115"/>
      <c r="D784" s="125"/>
      <c r="E784" s="125"/>
      <c r="F784" s="125">
        <f t="shared" si="12"/>
        <v>0</v>
      </c>
    </row>
    <row r="785" spans="1:6" x14ac:dyDescent="0.4">
      <c r="A785" s="96">
        <v>781</v>
      </c>
      <c r="B785" s="115"/>
      <c r="C785" s="115"/>
      <c r="D785" s="125"/>
      <c r="E785" s="125"/>
      <c r="F785" s="125">
        <f t="shared" si="12"/>
        <v>0</v>
      </c>
    </row>
    <row r="786" spans="1:6" x14ac:dyDescent="0.4">
      <c r="A786" s="96">
        <v>782</v>
      </c>
      <c r="B786" s="115"/>
      <c r="C786" s="115"/>
      <c r="D786" s="125"/>
      <c r="E786" s="125"/>
      <c r="F786" s="125">
        <f t="shared" si="12"/>
        <v>0</v>
      </c>
    </row>
    <row r="787" spans="1:6" x14ac:dyDescent="0.4">
      <c r="A787" s="96">
        <v>783</v>
      </c>
      <c r="B787" s="115"/>
      <c r="C787" s="115"/>
      <c r="D787" s="125"/>
      <c r="E787" s="125"/>
      <c r="F787" s="125">
        <f t="shared" si="12"/>
        <v>0</v>
      </c>
    </row>
    <row r="788" spans="1:6" x14ac:dyDescent="0.4">
      <c r="A788" s="96">
        <v>784</v>
      </c>
      <c r="B788" s="115"/>
      <c r="C788" s="115"/>
      <c r="D788" s="125"/>
      <c r="E788" s="125"/>
      <c r="F788" s="125">
        <f t="shared" si="12"/>
        <v>0</v>
      </c>
    </row>
    <row r="789" spans="1:6" x14ac:dyDescent="0.4">
      <c r="A789" s="96">
        <v>785</v>
      </c>
      <c r="B789" s="115"/>
      <c r="C789" s="115"/>
      <c r="D789" s="125"/>
      <c r="E789" s="125"/>
      <c r="F789" s="125">
        <f t="shared" si="12"/>
        <v>0</v>
      </c>
    </row>
    <row r="790" spans="1:6" x14ac:dyDescent="0.4">
      <c r="A790" s="96">
        <v>786</v>
      </c>
      <c r="B790" s="115"/>
      <c r="C790" s="115"/>
      <c r="D790" s="125"/>
      <c r="E790" s="125"/>
      <c r="F790" s="125">
        <f t="shared" si="12"/>
        <v>0</v>
      </c>
    </row>
    <row r="791" spans="1:6" x14ac:dyDescent="0.4">
      <c r="A791" s="96">
        <v>787</v>
      </c>
      <c r="B791" s="115"/>
      <c r="C791" s="115"/>
      <c r="D791" s="125"/>
      <c r="E791" s="125"/>
      <c r="F791" s="125">
        <f t="shared" si="12"/>
        <v>0</v>
      </c>
    </row>
    <row r="792" spans="1:6" x14ac:dyDescent="0.4">
      <c r="A792" s="96">
        <v>788</v>
      </c>
      <c r="B792" s="115"/>
      <c r="C792" s="115"/>
      <c r="D792" s="125"/>
      <c r="E792" s="125"/>
      <c r="F792" s="125">
        <f t="shared" si="12"/>
        <v>0</v>
      </c>
    </row>
    <row r="793" spans="1:6" x14ac:dyDescent="0.4">
      <c r="A793" s="96">
        <v>789</v>
      </c>
      <c r="B793" s="115"/>
      <c r="C793" s="115"/>
      <c r="D793" s="125"/>
      <c r="E793" s="125"/>
      <c r="F793" s="125">
        <f t="shared" si="12"/>
        <v>0</v>
      </c>
    </row>
    <row r="794" spans="1:6" x14ac:dyDescent="0.4">
      <c r="A794" s="96">
        <v>790</v>
      </c>
      <c r="B794" s="115"/>
      <c r="C794" s="115"/>
      <c r="D794" s="125"/>
      <c r="E794" s="125"/>
      <c r="F794" s="125">
        <f t="shared" si="12"/>
        <v>0</v>
      </c>
    </row>
    <row r="795" spans="1:6" x14ac:dyDescent="0.4">
      <c r="A795" s="96">
        <v>791</v>
      </c>
      <c r="B795" s="115"/>
      <c r="C795" s="115"/>
      <c r="D795" s="125"/>
      <c r="E795" s="125"/>
      <c r="F795" s="125">
        <f t="shared" si="12"/>
        <v>0</v>
      </c>
    </row>
    <row r="796" spans="1:6" x14ac:dyDescent="0.4">
      <c r="A796" s="96">
        <v>792</v>
      </c>
      <c r="B796" s="115"/>
      <c r="C796" s="115"/>
      <c r="D796" s="125"/>
      <c r="E796" s="125"/>
      <c r="F796" s="125">
        <f t="shared" si="12"/>
        <v>0</v>
      </c>
    </row>
    <row r="797" spans="1:6" x14ac:dyDescent="0.4">
      <c r="A797" s="96">
        <v>793</v>
      </c>
      <c r="B797" s="115"/>
      <c r="C797" s="115"/>
      <c r="D797" s="125"/>
      <c r="E797" s="125"/>
      <c r="F797" s="125">
        <f t="shared" si="12"/>
        <v>0</v>
      </c>
    </row>
    <row r="798" spans="1:6" x14ac:dyDescent="0.4">
      <c r="A798" s="96">
        <v>794</v>
      </c>
      <c r="B798" s="115"/>
      <c r="C798" s="115"/>
      <c r="D798" s="125"/>
      <c r="E798" s="125"/>
      <c r="F798" s="125">
        <f t="shared" si="12"/>
        <v>0</v>
      </c>
    </row>
    <row r="799" spans="1:6" x14ac:dyDescent="0.4">
      <c r="A799" s="96">
        <v>795</v>
      </c>
      <c r="B799" s="115"/>
      <c r="C799" s="115"/>
      <c r="D799" s="125"/>
      <c r="E799" s="125"/>
      <c r="F799" s="125">
        <f t="shared" si="12"/>
        <v>0</v>
      </c>
    </row>
    <row r="800" spans="1:6" x14ac:dyDescent="0.4">
      <c r="A800" s="96">
        <v>796</v>
      </c>
      <c r="B800" s="115"/>
      <c r="C800" s="115"/>
      <c r="D800" s="125"/>
      <c r="E800" s="125"/>
      <c r="F800" s="125">
        <f t="shared" si="12"/>
        <v>0</v>
      </c>
    </row>
    <row r="801" spans="1:6" x14ac:dyDescent="0.4">
      <c r="A801" s="96">
        <v>797</v>
      </c>
      <c r="B801" s="115"/>
      <c r="C801" s="115"/>
      <c r="D801" s="125"/>
      <c r="E801" s="125"/>
      <c r="F801" s="125">
        <f t="shared" si="12"/>
        <v>0</v>
      </c>
    </row>
    <row r="802" spans="1:6" x14ac:dyDescent="0.4">
      <c r="A802" s="96">
        <v>798</v>
      </c>
      <c r="B802" s="115"/>
      <c r="C802" s="115"/>
      <c r="D802" s="125"/>
      <c r="E802" s="125"/>
      <c r="F802" s="125">
        <f t="shared" si="12"/>
        <v>0</v>
      </c>
    </row>
    <row r="803" spans="1:6" x14ac:dyDescent="0.4">
      <c r="A803" s="96">
        <v>799</v>
      </c>
      <c r="B803" s="115"/>
      <c r="C803" s="115"/>
      <c r="D803" s="125"/>
      <c r="E803" s="125"/>
      <c r="F803" s="125">
        <f t="shared" si="12"/>
        <v>0</v>
      </c>
    </row>
    <row r="804" spans="1:6" x14ac:dyDescent="0.4">
      <c r="A804" s="96">
        <v>800</v>
      </c>
      <c r="B804" s="115"/>
      <c r="C804" s="115"/>
      <c r="D804" s="125"/>
      <c r="E804" s="125"/>
      <c r="F804" s="125">
        <f t="shared" si="12"/>
        <v>0</v>
      </c>
    </row>
    <row r="805" spans="1:6" x14ac:dyDescent="0.4">
      <c r="A805" s="96">
        <v>801</v>
      </c>
      <c r="B805" s="115"/>
      <c r="C805" s="115"/>
      <c r="D805" s="125"/>
      <c r="E805" s="125"/>
      <c r="F805" s="125">
        <f t="shared" si="12"/>
        <v>0</v>
      </c>
    </row>
    <row r="806" spans="1:6" x14ac:dyDescent="0.4">
      <c r="A806" s="96">
        <v>802</v>
      </c>
      <c r="B806" s="115"/>
      <c r="C806" s="115"/>
      <c r="D806" s="125"/>
      <c r="E806" s="125"/>
      <c r="F806" s="125">
        <f t="shared" si="12"/>
        <v>0</v>
      </c>
    </row>
    <row r="807" spans="1:6" x14ac:dyDescent="0.4">
      <c r="A807" s="96">
        <v>803</v>
      </c>
      <c r="B807" s="115"/>
      <c r="C807" s="115"/>
      <c r="D807" s="125"/>
      <c r="E807" s="125"/>
      <c r="F807" s="125">
        <f t="shared" si="12"/>
        <v>0</v>
      </c>
    </row>
    <row r="808" spans="1:6" x14ac:dyDescent="0.4">
      <c r="A808" s="96">
        <v>804</v>
      </c>
      <c r="B808" s="115"/>
      <c r="C808" s="115"/>
      <c r="D808" s="125"/>
      <c r="E808" s="125"/>
      <c r="F808" s="125">
        <f t="shared" si="12"/>
        <v>0</v>
      </c>
    </row>
    <row r="809" spans="1:6" x14ac:dyDescent="0.4">
      <c r="A809" s="96">
        <v>805</v>
      </c>
      <c r="B809" s="115"/>
      <c r="C809" s="115"/>
      <c r="D809" s="125"/>
      <c r="E809" s="125"/>
      <c r="F809" s="125">
        <f t="shared" si="12"/>
        <v>0</v>
      </c>
    </row>
    <row r="810" spans="1:6" x14ac:dyDescent="0.4">
      <c r="A810" s="96">
        <v>806</v>
      </c>
      <c r="B810" s="115"/>
      <c r="C810" s="115"/>
      <c r="D810" s="125"/>
      <c r="E810" s="125"/>
      <c r="F810" s="125">
        <f t="shared" si="12"/>
        <v>0</v>
      </c>
    </row>
    <row r="811" spans="1:6" x14ac:dyDescent="0.4">
      <c r="A811" s="96">
        <v>807</v>
      </c>
      <c r="B811" s="115"/>
      <c r="C811" s="115"/>
      <c r="D811" s="125"/>
      <c r="E811" s="125"/>
      <c r="F811" s="125">
        <f t="shared" si="12"/>
        <v>0</v>
      </c>
    </row>
    <row r="812" spans="1:6" x14ac:dyDescent="0.4">
      <c r="A812" s="96">
        <v>808</v>
      </c>
      <c r="B812" s="115"/>
      <c r="C812" s="115"/>
      <c r="D812" s="125"/>
      <c r="E812" s="125"/>
      <c r="F812" s="125">
        <f t="shared" si="12"/>
        <v>0</v>
      </c>
    </row>
    <row r="813" spans="1:6" x14ac:dyDescent="0.4">
      <c r="A813" s="96">
        <v>809</v>
      </c>
      <c r="B813" s="115"/>
      <c r="C813" s="115"/>
      <c r="D813" s="125"/>
      <c r="E813" s="125"/>
      <c r="F813" s="125">
        <f t="shared" si="12"/>
        <v>0</v>
      </c>
    </row>
    <row r="814" spans="1:6" x14ac:dyDescent="0.4">
      <c r="A814" s="96">
        <v>810</v>
      </c>
      <c r="B814" s="115"/>
      <c r="C814" s="115"/>
      <c r="D814" s="125"/>
      <c r="E814" s="125"/>
      <c r="F814" s="125">
        <f t="shared" si="12"/>
        <v>0</v>
      </c>
    </row>
    <row r="815" spans="1:6" x14ac:dyDescent="0.4">
      <c r="A815" s="96">
        <v>811</v>
      </c>
      <c r="B815" s="115"/>
      <c r="C815" s="115"/>
      <c r="D815" s="125"/>
      <c r="E815" s="125"/>
      <c r="F815" s="125">
        <f t="shared" si="12"/>
        <v>0</v>
      </c>
    </row>
    <row r="816" spans="1:6" x14ac:dyDescent="0.4">
      <c r="A816" s="96">
        <v>812</v>
      </c>
      <c r="B816" s="115"/>
      <c r="C816" s="115"/>
      <c r="D816" s="125"/>
      <c r="E816" s="125"/>
      <c r="F816" s="125">
        <f t="shared" si="12"/>
        <v>0</v>
      </c>
    </row>
    <row r="817" spans="1:6" x14ac:dyDescent="0.4">
      <c r="A817" s="96">
        <v>813</v>
      </c>
      <c r="B817" s="115"/>
      <c r="C817" s="115"/>
      <c r="D817" s="125"/>
      <c r="E817" s="125"/>
      <c r="F817" s="125">
        <f t="shared" si="12"/>
        <v>0</v>
      </c>
    </row>
    <row r="818" spans="1:6" x14ac:dyDescent="0.4">
      <c r="A818" s="96">
        <v>814</v>
      </c>
      <c r="B818" s="115"/>
      <c r="C818" s="115"/>
      <c r="D818" s="125"/>
      <c r="E818" s="125"/>
      <c r="F818" s="125">
        <f t="shared" si="12"/>
        <v>0</v>
      </c>
    </row>
    <row r="819" spans="1:6" x14ac:dyDescent="0.4">
      <c r="A819" s="96">
        <v>815</v>
      </c>
      <c r="B819" s="115"/>
      <c r="C819" s="115"/>
      <c r="D819" s="125"/>
      <c r="E819" s="125"/>
      <c r="F819" s="125">
        <f t="shared" si="12"/>
        <v>0</v>
      </c>
    </row>
    <row r="820" spans="1:6" x14ac:dyDescent="0.4">
      <c r="A820" s="96">
        <v>816</v>
      </c>
      <c r="B820" s="115"/>
      <c r="C820" s="115"/>
      <c r="D820" s="125"/>
      <c r="E820" s="125"/>
      <c r="F820" s="125">
        <f t="shared" si="12"/>
        <v>0</v>
      </c>
    </row>
    <row r="821" spans="1:6" x14ac:dyDescent="0.4">
      <c r="A821" s="96">
        <v>817</v>
      </c>
      <c r="B821" s="115"/>
      <c r="C821" s="115"/>
      <c r="D821" s="125"/>
      <c r="E821" s="125"/>
      <c r="F821" s="125">
        <f t="shared" si="12"/>
        <v>0</v>
      </c>
    </row>
    <row r="822" spans="1:6" x14ac:dyDescent="0.4">
      <c r="A822" s="96">
        <v>818</v>
      </c>
      <c r="B822" s="115"/>
      <c r="C822" s="115"/>
      <c r="D822" s="125"/>
      <c r="E822" s="125"/>
      <c r="F822" s="125">
        <f t="shared" si="12"/>
        <v>0</v>
      </c>
    </row>
    <row r="823" spans="1:6" x14ac:dyDescent="0.4">
      <c r="A823" s="96">
        <v>819</v>
      </c>
      <c r="B823" s="115"/>
      <c r="C823" s="115"/>
      <c r="D823" s="125"/>
      <c r="E823" s="125"/>
      <c r="F823" s="125">
        <f t="shared" si="12"/>
        <v>0</v>
      </c>
    </row>
    <row r="824" spans="1:6" x14ac:dyDescent="0.4">
      <c r="A824" s="96">
        <v>820</v>
      </c>
      <c r="B824" s="115"/>
      <c r="C824" s="115"/>
      <c r="D824" s="125"/>
      <c r="E824" s="125"/>
      <c r="F824" s="125">
        <f t="shared" si="12"/>
        <v>0</v>
      </c>
    </row>
    <row r="825" spans="1:6" x14ac:dyDescent="0.4">
      <c r="A825" s="96">
        <v>821</v>
      </c>
      <c r="B825" s="115"/>
      <c r="C825" s="115"/>
      <c r="D825" s="125"/>
      <c r="E825" s="125"/>
      <c r="F825" s="125">
        <f t="shared" si="12"/>
        <v>0</v>
      </c>
    </row>
    <row r="826" spans="1:6" x14ac:dyDescent="0.4">
      <c r="A826" s="96">
        <v>822</v>
      </c>
      <c r="B826" s="115"/>
      <c r="C826" s="115"/>
      <c r="D826" s="125"/>
      <c r="E826" s="125"/>
      <c r="F826" s="125">
        <f t="shared" si="12"/>
        <v>0</v>
      </c>
    </row>
    <row r="827" spans="1:6" x14ac:dyDescent="0.4">
      <c r="A827" s="96">
        <v>823</v>
      </c>
      <c r="B827" s="115"/>
      <c r="C827" s="115"/>
      <c r="D827" s="125"/>
      <c r="E827" s="125"/>
      <c r="F827" s="125">
        <f t="shared" si="12"/>
        <v>0</v>
      </c>
    </row>
    <row r="828" spans="1:6" x14ac:dyDescent="0.4">
      <c r="A828" s="96">
        <v>824</v>
      </c>
      <c r="B828" s="115"/>
      <c r="C828" s="115"/>
      <c r="D828" s="125"/>
      <c r="E828" s="125"/>
      <c r="F828" s="125">
        <f t="shared" si="12"/>
        <v>0</v>
      </c>
    </row>
    <row r="829" spans="1:6" x14ac:dyDescent="0.4">
      <c r="A829" s="96">
        <v>825</v>
      </c>
      <c r="B829" s="115"/>
      <c r="C829" s="115"/>
      <c r="D829" s="125"/>
      <c r="E829" s="125"/>
      <c r="F829" s="125">
        <f t="shared" si="12"/>
        <v>0</v>
      </c>
    </row>
    <row r="830" spans="1:6" x14ac:dyDescent="0.4">
      <c r="A830" s="96">
        <v>826</v>
      </c>
      <c r="B830" s="115"/>
      <c r="C830" s="115"/>
      <c r="D830" s="125"/>
      <c r="E830" s="125"/>
      <c r="F830" s="125">
        <f t="shared" si="12"/>
        <v>0</v>
      </c>
    </row>
    <row r="831" spans="1:6" x14ac:dyDescent="0.4">
      <c r="A831" s="96">
        <v>827</v>
      </c>
      <c r="B831" s="115"/>
      <c r="C831" s="115"/>
      <c r="D831" s="125"/>
      <c r="E831" s="125"/>
      <c r="F831" s="125">
        <f t="shared" si="12"/>
        <v>0</v>
      </c>
    </row>
    <row r="832" spans="1:6" x14ac:dyDescent="0.4">
      <c r="A832" s="96">
        <v>828</v>
      </c>
      <c r="B832" s="115"/>
      <c r="C832" s="115"/>
      <c r="D832" s="125"/>
      <c r="E832" s="125"/>
      <c r="F832" s="125">
        <f t="shared" si="12"/>
        <v>0</v>
      </c>
    </row>
    <row r="833" spans="1:6" x14ac:dyDescent="0.4">
      <c r="A833" s="96">
        <v>829</v>
      </c>
      <c r="B833" s="115"/>
      <c r="C833" s="115"/>
      <c r="D833" s="125"/>
      <c r="E833" s="125"/>
      <c r="F833" s="125">
        <f t="shared" si="12"/>
        <v>0</v>
      </c>
    </row>
    <row r="834" spans="1:6" x14ac:dyDescent="0.4">
      <c r="A834" s="96">
        <v>830</v>
      </c>
      <c r="B834" s="115"/>
      <c r="C834" s="115"/>
      <c r="D834" s="125"/>
      <c r="E834" s="125"/>
      <c r="F834" s="125">
        <f t="shared" si="12"/>
        <v>0</v>
      </c>
    </row>
    <row r="835" spans="1:6" x14ac:dyDescent="0.4">
      <c r="A835" s="96">
        <v>831</v>
      </c>
      <c r="B835" s="115"/>
      <c r="C835" s="115"/>
      <c r="D835" s="125"/>
      <c r="E835" s="125"/>
      <c r="F835" s="125">
        <f t="shared" si="12"/>
        <v>0</v>
      </c>
    </row>
    <row r="836" spans="1:6" x14ac:dyDescent="0.4">
      <c r="A836" s="96">
        <v>832</v>
      </c>
      <c r="B836" s="115"/>
      <c r="C836" s="115"/>
      <c r="D836" s="125"/>
      <c r="E836" s="125"/>
      <c r="F836" s="125">
        <f t="shared" si="12"/>
        <v>0</v>
      </c>
    </row>
    <row r="837" spans="1:6" x14ac:dyDescent="0.4">
      <c r="A837" s="96">
        <v>833</v>
      </c>
      <c r="B837" s="115"/>
      <c r="C837" s="115"/>
      <c r="D837" s="125"/>
      <c r="E837" s="125"/>
      <c r="F837" s="125">
        <f t="shared" si="12"/>
        <v>0</v>
      </c>
    </row>
    <row r="838" spans="1:6" x14ac:dyDescent="0.4">
      <c r="A838" s="96">
        <v>834</v>
      </c>
      <c r="B838" s="115"/>
      <c r="C838" s="115"/>
      <c r="D838" s="125"/>
      <c r="E838" s="125"/>
      <c r="F838" s="125">
        <f t="shared" ref="F838:F901" si="13">D838*E838</f>
        <v>0</v>
      </c>
    </row>
    <row r="839" spans="1:6" x14ac:dyDescent="0.4">
      <c r="A839" s="96">
        <v>835</v>
      </c>
      <c r="B839" s="115"/>
      <c r="C839" s="115"/>
      <c r="D839" s="125"/>
      <c r="E839" s="125"/>
      <c r="F839" s="125">
        <f t="shared" si="13"/>
        <v>0</v>
      </c>
    </row>
    <row r="840" spans="1:6" x14ac:dyDescent="0.4">
      <c r="A840" s="96">
        <v>836</v>
      </c>
      <c r="B840" s="115"/>
      <c r="C840" s="115"/>
      <c r="D840" s="125"/>
      <c r="E840" s="125"/>
      <c r="F840" s="125">
        <f t="shared" si="13"/>
        <v>0</v>
      </c>
    </row>
    <row r="841" spans="1:6" x14ac:dyDescent="0.4">
      <c r="A841" s="96">
        <v>837</v>
      </c>
      <c r="B841" s="115"/>
      <c r="C841" s="115"/>
      <c r="D841" s="125"/>
      <c r="E841" s="125"/>
      <c r="F841" s="125">
        <f t="shared" si="13"/>
        <v>0</v>
      </c>
    </row>
    <row r="842" spans="1:6" x14ac:dyDescent="0.4">
      <c r="A842" s="96">
        <v>838</v>
      </c>
      <c r="B842" s="115"/>
      <c r="C842" s="115"/>
      <c r="D842" s="125"/>
      <c r="E842" s="125"/>
      <c r="F842" s="125">
        <f t="shared" si="13"/>
        <v>0</v>
      </c>
    </row>
    <row r="843" spans="1:6" x14ac:dyDescent="0.4">
      <c r="A843" s="96">
        <v>839</v>
      </c>
      <c r="B843" s="115"/>
      <c r="C843" s="115"/>
      <c r="D843" s="125"/>
      <c r="E843" s="125"/>
      <c r="F843" s="125">
        <f t="shared" si="13"/>
        <v>0</v>
      </c>
    </row>
    <row r="844" spans="1:6" x14ac:dyDescent="0.4">
      <c r="A844" s="96">
        <v>840</v>
      </c>
      <c r="B844" s="115"/>
      <c r="C844" s="115"/>
      <c r="D844" s="125"/>
      <c r="E844" s="125"/>
      <c r="F844" s="125">
        <f t="shared" si="13"/>
        <v>0</v>
      </c>
    </row>
    <row r="845" spans="1:6" x14ac:dyDescent="0.4">
      <c r="A845" s="96">
        <v>841</v>
      </c>
      <c r="B845" s="115"/>
      <c r="C845" s="115"/>
      <c r="D845" s="125"/>
      <c r="E845" s="125"/>
      <c r="F845" s="125">
        <f t="shared" si="13"/>
        <v>0</v>
      </c>
    </row>
    <row r="846" spans="1:6" x14ac:dyDescent="0.4">
      <c r="A846" s="96">
        <v>842</v>
      </c>
      <c r="B846" s="115"/>
      <c r="C846" s="115"/>
      <c r="D846" s="125"/>
      <c r="E846" s="125"/>
      <c r="F846" s="125">
        <f t="shared" si="13"/>
        <v>0</v>
      </c>
    </row>
    <row r="847" spans="1:6" x14ac:dyDescent="0.4">
      <c r="A847" s="96">
        <v>843</v>
      </c>
      <c r="B847" s="115"/>
      <c r="C847" s="115"/>
      <c r="D847" s="125"/>
      <c r="E847" s="125"/>
      <c r="F847" s="125">
        <f t="shared" si="13"/>
        <v>0</v>
      </c>
    </row>
    <row r="848" spans="1:6" x14ac:dyDescent="0.4">
      <c r="A848" s="96">
        <v>844</v>
      </c>
      <c r="B848" s="115"/>
      <c r="C848" s="115"/>
      <c r="D848" s="125"/>
      <c r="E848" s="125"/>
      <c r="F848" s="125">
        <f t="shared" si="13"/>
        <v>0</v>
      </c>
    </row>
    <row r="849" spans="1:6" x14ac:dyDescent="0.4">
      <c r="A849" s="96">
        <v>845</v>
      </c>
      <c r="B849" s="115"/>
      <c r="C849" s="115"/>
      <c r="D849" s="125"/>
      <c r="E849" s="125"/>
      <c r="F849" s="125">
        <f t="shared" si="13"/>
        <v>0</v>
      </c>
    </row>
    <row r="850" spans="1:6" x14ac:dyDescent="0.4">
      <c r="A850" s="96">
        <v>846</v>
      </c>
      <c r="B850" s="115"/>
      <c r="C850" s="115"/>
      <c r="D850" s="125"/>
      <c r="E850" s="125"/>
      <c r="F850" s="125">
        <f t="shared" si="13"/>
        <v>0</v>
      </c>
    </row>
    <row r="851" spans="1:6" x14ac:dyDescent="0.4">
      <c r="A851" s="96">
        <v>847</v>
      </c>
      <c r="B851" s="115"/>
      <c r="C851" s="115"/>
      <c r="D851" s="125"/>
      <c r="E851" s="125"/>
      <c r="F851" s="125">
        <f t="shared" si="13"/>
        <v>0</v>
      </c>
    </row>
    <row r="852" spans="1:6" x14ac:dyDescent="0.4">
      <c r="A852" s="96">
        <v>848</v>
      </c>
      <c r="B852" s="115"/>
      <c r="C852" s="115"/>
      <c r="D852" s="125"/>
      <c r="E852" s="125"/>
      <c r="F852" s="125">
        <f t="shared" si="13"/>
        <v>0</v>
      </c>
    </row>
    <row r="853" spans="1:6" x14ac:dyDescent="0.4">
      <c r="A853" s="96">
        <v>849</v>
      </c>
      <c r="B853" s="115"/>
      <c r="C853" s="115"/>
      <c r="D853" s="125"/>
      <c r="E853" s="125"/>
      <c r="F853" s="125">
        <f t="shared" si="13"/>
        <v>0</v>
      </c>
    </row>
    <row r="854" spans="1:6" x14ac:dyDescent="0.4">
      <c r="A854" s="96">
        <v>850</v>
      </c>
      <c r="B854" s="115"/>
      <c r="C854" s="115"/>
      <c r="D854" s="125"/>
      <c r="E854" s="125"/>
      <c r="F854" s="125">
        <f t="shared" si="13"/>
        <v>0</v>
      </c>
    </row>
    <row r="855" spans="1:6" x14ac:dyDescent="0.4">
      <c r="A855" s="96">
        <v>851</v>
      </c>
      <c r="B855" s="115"/>
      <c r="C855" s="115"/>
      <c r="D855" s="125"/>
      <c r="E855" s="125"/>
      <c r="F855" s="125">
        <f t="shared" si="13"/>
        <v>0</v>
      </c>
    </row>
    <row r="856" spans="1:6" x14ac:dyDescent="0.4">
      <c r="A856" s="96">
        <v>852</v>
      </c>
      <c r="B856" s="115"/>
      <c r="C856" s="115"/>
      <c r="D856" s="125"/>
      <c r="E856" s="125"/>
      <c r="F856" s="125">
        <f t="shared" si="13"/>
        <v>0</v>
      </c>
    </row>
    <row r="857" spans="1:6" x14ac:dyDescent="0.4">
      <c r="A857" s="96">
        <v>853</v>
      </c>
      <c r="B857" s="115"/>
      <c r="C857" s="115"/>
      <c r="D857" s="125"/>
      <c r="E857" s="125"/>
      <c r="F857" s="125">
        <f t="shared" si="13"/>
        <v>0</v>
      </c>
    </row>
    <row r="858" spans="1:6" x14ac:dyDescent="0.4">
      <c r="A858" s="96">
        <v>854</v>
      </c>
      <c r="B858" s="115"/>
      <c r="C858" s="115"/>
      <c r="D858" s="125"/>
      <c r="E858" s="125"/>
      <c r="F858" s="125">
        <f t="shared" si="13"/>
        <v>0</v>
      </c>
    </row>
    <row r="859" spans="1:6" x14ac:dyDescent="0.4">
      <c r="A859" s="96">
        <v>855</v>
      </c>
      <c r="B859" s="115"/>
      <c r="C859" s="115"/>
      <c r="D859" s="125"/>
      <c r="E859" s="125"/>
      <c r="F859" s="125">
        <f t="shared" si="13"/>
        <v>0</v>
      </c>
    </row>
    <row r="860" spans="1:6" x14ac:dyDescent="0.4">
      <c r="A860" s="96">
        <v>856</v>
      </c>
      <c r="B860" s="115"/>
      <c r="C860" s="115"/>
      <c r="D860" s="125"/>
      <c r="E860" s="125"/>
      <c r="F860" s="125">
        <f t="shared" si="13"/>
        <v>0</v>
      </c>
    </row>
    <row r="861" spans="1:6" x14ac:dyDescent="0.4">
      <c r="A861" s="96">
        <v>857</v>
      </c>
      <c r="B861" s="115"/>
      <c r="C861" s="115"/>
      <c r="D861" s="125"/>
      <c r="E861" s="125"/>
      <c r="F861" s="125">
        <f t="shared" si="13"/>
        <v>0</v>
      </c>
    </row>
    <row r="862" spans="1:6" x14ac:dyDescent="0.4">
      <c r="A862" s="96">
        <v>858</v>
      </c>
      <c r="B862" s="115"/>
      <c r="C862" s="115"/>
      <c r="D862" s="125"/>
      <c r="E862" s="125"/>
      <c r="F862" s="125">
        <f t="shared" si="13"/>
        <v>0</v>
      </c>
    </row>
    <row r="863" spans="1:6" x14ac:dyDescent="0.4">
      <c r="A863" s="96">
        <v>859</v>
      </c>
      <c r="B863" s="115"/>
      <c r="C863" s="115"/>
      <c r="D863" s="125"/>
      <c r="E863" s="125"/>
      <c r="F863" s="125">
        <f t="shared" si="13"/>
        <v>0</v>
      </c>
    </row>
    <row r="864" spans="1:6" x14ac:dyDescent="0.4">
      <c r="A864" s="96">
        <v>860</v>
      </c>
      <c r="B864" s="115"/>
      <c r="C864" s="115"/>
      <c r="D864" s="125"/>
      <c r="E864" s="125"/>
      <c r="F864" s="125">
        <f t="shared" si="13"/>
        <v>0</v>
      </c>
    </row>
    <row r="865" spans="1:6" x14ac:dyDescent="0.4">
      <c r="A865" s="96">
        <v>861</v>
      </c>
      <c r="B865" s="115"/>
      <c r="C865" s="115"/>
      <c r="D865" s="125"/>
      <c r="E865" s="125"/>
      <c r="F865" s="125">
        <f t="shared" si="13"/>
        <v>0</v>
      </c>
    </row>
    <row r="866" spans="1:6" x14ac:dyDescent="0.4">
      <c r="A866" s="96">
        <v>862</v>
      </c>
      <c r="B866" s="115"/>
      <c r="C866" s="115"/>
      <c r="D866" s="125"/>
      <c r="E866" s="125"/>
      <c r="F866" s="125">
        <f t="shared" si="13"/>
        <v>0</v>
      </c>
    </row>
    <row r="867" spans="1:6" x14ac:dyDescent="0.4">
      <c r="A867" s="96">
        <v>863</v>
      </c>
      <c r="B867" s="115"/>
      <c r="C867" s="115"/>
      <c r="D867" s="125"/>
      <c r="E867" s="125"/>
      <c r="F867" s="125">
        <f t="shared" si="13"/>
        <v>0</v>
      </c>
    </row>
    <row r="868" spans="1:6" x14ac:dyDescent="0.4">
      <c r="A868" s="96">
        <v>864</v>
      </c>
      <c r="B868" s="115"/>
      <c r="C868" s="115"/>
      <c r="D868" s="125"/>
      <c r="E868" s="125"/>
      <c r="F868" s="125">
        <f t="shared" si="13"/>
        <v>0</v>
      </c>
    </row>
    <row r="869" spans="1:6" x14ac:dyDescent="0.4">
      <c r="A869" s="96">
        <v>865</v>
      </c>
      <c r="B869" s="115"/>
      <c r="C869" s="115"/>
      <c r="D869" s="125"/>
      <c r="E869" s="125"/>
      <c r="F869" s="125">
        <f t="shared" si="13"/>
        <v>0</v>
      </c>
    </row>
    <row r="870" spans="1:6" x14ac:dyDescent="0.4">
      <c r="A870" s="96">
        <v>866</v>
      </c>
      <c r="B870" s="115"/>
      <c r="C870" s="115"/>
      <c r="D870" s="125"/>
      <c r="E870" s="125"/>
      <c r="F870" s="125">
        <f t="shared" si="13"/>
        <v>0</v>
      </c>
    </row>
    <row r="871" spans="1:6" x14ac:dyDescent="0.4">
      <c r="A871" s="96">
        <v>867</v>
      </c>
      <c r="B871" s="115"/>
      <c r="C871" s="115"/>
      <c r="D871" s="125"/>
      <c r="E871" s="125"/>
      <c r="F871" s="125">
        <f t="shared" si="13"/>
        <v>0</v>
      </c>
    </row>
    <row r="872" spans="1:6" x14ac:dyDescent="0.4">
      <c r="A872" s="96">
        <v>868</v>
      </c>
      <c r="B872" s="115"/>
      <c r="C872" s="115"/>
      <c r="D872" s="125"/>
      <c r="E872" s="125"/>
      <c r="F872" s="125">
        <f t="shared" si="13"/>
        <v>0</v>
      </c>
    </row>
    <row r="873" spans="1:6" x14ac:dyDescent="0.4">
      <c r="A873" s="96">
        <v>869</v>
      </c>
      <c r="B873" s="115"/>
      <c r="C873" s="115"/>
      <c r="D873" s="125"/>
      <c r="E873" s="125"/>
      <c r="F873" s="125">
        <f t="shared" si="13"/>
        <v>0</v>
      </c>
    </row>
    <row r="874" spans="1:6" x14ac:dyDescent="0.4">
      <c r="A874" s="96">
        <v>870</v>
      </c>
      <c r="B874" s="115"/>
      <c r="C874" s="115"/>
      <c r="D874" s="125"/>
      <c r="E874" s="125"/>
      <c r="F874" s="125">
        <f t="shared" si="13"/>
        <v>0</v>
      </c>
    </row>
    <row r="875" spans="1:6" x14ac:dyDescent="0.4">
      <c r="A875" s="96">
        <v>871</v>
      </c>
      <c r="B875" s="115"/>
      <c r="C875" s="115"/>
      <c r="D875" s="125"/>
      <c r="E875" s="125"/>
      <c r="F875" s="125">
        <f t="shared" si="13"/>
        <v>0</v>
      </c>
    </row>
    <row r="876" spans="1:6" x14ac:dyDescent="0.4">
      <c r="A876" s="96">
        <v>872</v>
      </c>
      <c r="B876" s="115"/>
      <c r="C876" s="115"/>
      <c r="D876" s="125"/>
      <c r="E876" s="125"/>
      <c r="F876" s="125">
        <f t="shared" si="13"/>
        <v>0</v>
      </c>
    </row>
    <row r="877" spans="1:6" x14ac:dyDescent="0.4">
      <c r="A877" s="96">
        <v>873</v>
      </c>
      <c r="B877" s="115"/>
      <c r="C877" s="115"/>
      <c r="D877" s="125"/>
      <c r="E877" s="125"/>
      <c r="F877" s="125">
        <f t="shared" si="13"/>
        <v>0</v>
      </c>
    </row>
    <row r="878" spans="1:6" x14ac:dyDescent="0.4">
      <c r="A878" s="96">
        <v>874</v>
      </c>
      <c r="B878" s="115"/>
      <c r="C878" s="115"/>
      <c r="D878" s="125"/>
      <c r="E878" s="125"/>
      <c r="F878" s="125">
        <f t="shared" si="13"/>
        <v>0</v>
      </c>
    </row>
    <row r="879" spans="1:6" x14ac:dyDescent="0.4">
      <c r="A879" s="96">
        <v>875</v>
      </c>
      <c r="B879" s="115"/>
      <c r="C879" s="115"/>
      <c r="D879" s="125"/>
      <c r="E879" s="125"/>
      <c r="F879" s="125">
        <f t="shared" si="13"/>
        <v>0</v>
      </c>
    </row>
    <row r="880" spans="1:6" x14ac:dyDescent="0.4">
      <c r="A880" s="96">
        <v>876</v>
      </c>
      <c r="B880" s="115"/>
      <c r="C880" s="115"/>
      <c r="D880" s="125"/>
      <c r="E880" s="125"/>
      <c r="F880" s="125">
        <f t="shared" si="13"/>
        <v>0</v>
      </c>
    </row>
    <row r="881" spans="1:6" x14ac:dyDescent="0.4">
      <c r="A881" s="96">
        <v>877</v>
      </c>
      <c r="B881" s="115"/>
      <c r="C881" s="115"/>
      <c r="D881" s="125"/>
      <c r="E881" s="125"/>
      <c r="F881" s="125">
        <f t="shared" si="13"/>
        <v>0</v>
      </c>
    </row>
    <row r="882" spans="1:6" x14ac:dyDescent="0.4">
      <c r="A882" s="96">
        <v>878</v>
      </c>
      <c r="B882" s="115"/>
      <c r="C882" s="115"/>
      <c r="D882" s="125"/>
      <c r="E882" s="125"/>
      <c r="F882" s="125">
        <f t="shared" si="13"/>
        <v>0</v>
      </c>
    </row>
    <row r="883" spans="1:6" x14ac:dyDescent="0.4">
      <c r="A883" s="96">
        <v>879</v>
      </c>
      <c r="B883" s="115"/>
      <c r="C883" s="115"/>
      <c r="D883" s="125"/>
      <c r="E883" s="125"/>
      <c r="F883" s="125">
        <f t="shared" si="13"/>
        <v>0</v>
      </c>
    </row>
    <row r="884" spans="1:6" x14ac:dyDescent="0.4">
      <c r="A884" s="96">
        <v>880</v>
      </c>
      <c r="B884" s="115"/>
      <c r="C884" s="115"/>
      <c r="D884" s="125"/>
      <c r="E884" s="125"/>
      <c r="F884" s="125">
        <f t="shared" si="13"/>
        <v>0</v>
      </c>
    </row>
    <row r="885" spans="1:6" x14ac:dyDescent="0.4">
      <c r="A885" s="96">
        <v>881</v>
      </c>
      <c r="B885" s="115"/>
      <c r="C885" s="115"/>
      <c r="D885" s="125"/>
      <c r="E885" s="125"/>
      <c r="F885" s="125">
        <f t="shared" si="13"/>
        <v>0</v>
      </c>
    </row>
    <row r="886" spans="1:6" x14ac:dyDescent="0.4">
      <c r="A886" s="96">
        <v>882</v>
      </c>
      <c r="B886" s="115"/>
      <c r="C886" s="115"/>
      <c r="D886" s="125"/>
      <c r="E886" s="125"/>
      <c r="F886" s="125">
        <f t="shared" si="13"/>
        <v>0</v>
      </c>
    </row>
    <row r="887" spans="1:6" x14ac:dyDescent="0.4">
      <c r="A887" s="96">
        <v>883</v>
      </c>
      <c r="B887" s="115"/>
      <c r="C887" s="115"/>
      <c r="D887" s="125"/>
      <c r="E887" s="125"/>
      <c r="F887" s="125">
        <f t="shared" si="13"/>
        <v>0</v>
      </c>
    </row>
    <row r="888" spans="1:6" x14ac:dyDescent="0.4">
      <c r="A888" s="96">
        <v>884</v>
      </c>
      <c r="B888" s="115"/>
      <c r="C888" s="115"/>
      <c r="D888" s="125"/>
      <c r="E888" s="125"/>
      <c r="F888" s="125">
        <f t="shared" si="13"/>
        <v>0</v>
      </c>
    </row>
    <row r="889" spans="1:6" x14ac:dyDescent="0.4">
      <c r="A889" s="96">
        <v>885</v>
      </c>
      <c r="B889" s="115"/>
      <c r="C889" s="115"/>
      <c r="D889" s="125"/>
      <c r="E889" s="125"/>
      <c r="F889" s="125">
        <f t="shared" si="13"/>
        <v>0</v>
      </c>
    </row>
    <row r="890" spans="1:6" x14ac:dyDescent="0.4">
      <c r="A890" s="96">
        <v>886</v>
      </c>
      <c r="B890" s="115"/>
      <c r="C890" s="115"/>
      <c r="D890" s="125"/>
      <c r="E890" s="125"/>
      <c r="F890" s="125">
        <f t="shared" si="13"/>
        <v>0</v>
      </c>
    </row>
    <row r="891" spans="1:6" x14ac:dyDescent="0.4">
      <c r="A891" s="96">
        <v>887</v>
      </c>
      <c r="B891" s="115"/>
      <c r="C891" s="115"/>
      <c r="D891" s="125"/>
      <c r="E891" s="125"/>
      <c r="F891" s="125">
        <f t="shared" si="13"/>
        <v>0</v>
      </c>
    </row>
    <row r="892" spans="1:6" x14ac:dyDescent="0.4">
      <c r="A892" s="96">
        <v>888</v>
      </c>
      <c r="B892" s="115"/>
      <c r="C892" s="115"/>
      <c r="D892" s="125"/>
      <c r="E892" s="125"/>
      <c r="F892" s="125">
        <f t="shared" si="13"/>
        <v>0</v>
      </c>
    </row>
    <row r="893" spans="1:6" x14ac:dyDescent="0.4">
      <c r="A893" s="96">
        <v>889</v>
      </c>
      <c r="B893" s="115"/>
      <c r="C893" s="115"/>
      <c r="D893" s="125"/>
      <c r="E893" s="125"/>
      <c r="F893" s="125">
        <f t="shared" si="13"/>
        <v>0</v>
      </c>
    </row>
    <row r="894" spans="1:6" x14ac:dyDescent="0.4">
      <c r="A894" s="96">
        <v>890</v>
      </c>
      <c r="B894" s="115"/>
      <c r="C894" s="115"/>
      <c r="D894" s="125"/>
      <c r="E894" s="125"/>
      <c r="F894" s="125">
        <f t="shared" si="13"/>
        <v>0</v>
      </c>
    </row>
    <row r="895" spans="1:6" x14ac:dyDescent="0.4">
      <c r="A895" s="96">
        <v>891</v>
      </c>
      <c r="B895" s="115"/>
      <c r="C895" s="115"/>
      <c r="D895" s="125"/>
      <c r="E895" s="125"/>
      <c r="F895" s="125">
        <f t="shared" si="13"/>
        <v>0</v>
      </c>
    </row>
    <row r="896" spans="1:6" x14ac:dyDescent="0.4">
      <c r="A896" s="96">
        <v>892</v>
      </c>
      <c r="B896" s="115"/>
      <c r="C896" s="115"/>
      <c r="D896" s="125"/>
      <c r="E896" s="125"/>
      <c r="F896" s="125">
        <f t="shared" si="13"/>
        <v>0</v>
      </c>
    </row>
    <row r="897" spans="1:6" x14ac:dyDescent="0.4">
      <c r="A897" s="96">
        <v>893</v>
      </c>
      <c r="B897" s="115"/>
      <c r="C897" s="115"/>
      <c r="D897" s="125"/>
      <c r="E897" s="125"/>
      <c r="F897" s="125">
        <f t="shared" si="13"/>
        <v>0</v>
      </c>
    </row>
    <row r="898" spans="1:6" x14ac:dyDescent="0.4">
      <c r="A898" s="96">
        <v>894</v>
      </c>
      <c r="B898" s="115"/>
      <c r="C898" s="115"/>
      <c r="D898" s="125"/>
      <c r="E898" s="125"/>
      <c r="F898" s="125">
        <f t="shared" si="13"/>
        <v>0</v>
      </c>
    </row>
    <row r="899" spans="1:6" x14ac:dyDescent="0.4">
      <c r="A899" s="96">
        <v>895</v>
      </c>
      <c r="B899" s="115"/>
      <c r="C899" s="115"/>
      <c r="D899" s="125"/>
      <c r="E899" s="125"/>
      <c r="F899" s="125">
        <f t="shared" si="13"/>
        <v>0</v>
      </c>
    </row>
    <row r="900" spans="1:6" x14ac:dyDescent="0.4">
      <c r="A900" s="96">
        <v>896</v>
      </c>
      <c r="B900" s="115"/>
      <c r="C900" s="115"/>
      <c r="D900" s="125"/>
      <c r="E900" s="125"/>
      <c r="F900" s="125">
        <f t="shared" si="13"/>
        <v>0</v>
      </c>
    </row>
    <row r="901" spans="1:6" x14ac:dyDescent="0.4">
      <c r="A901" s="96">
        <v>897</v>
      </c>
      <c r="B901" s="115"/>
      <c r="C901" s="115"/>
      <c r="D901" s="125"/>
      <c r="E901" s="125"/>
      <c r="F901" s="125">
        <f t="shared" si="13"/>
        <v>0</v>
      </c>
    </row>
    <row r="902" spans="1:6" x14ac:dyDescent="0.4">
      <c r="A902" s="96">
        <v>898</v>
      </c>
      <c r="B902" s="115"/>
      <c r="C902" s="115"/>
      <c r="D902" s="125"/>
      <c r="E902" s="125"/>
      <c r="F902" s="125">
        <f t="shared" ref="F902:F965" si="14">D902*E902</f>
        <v>0</v>
      </c>
    </row>
    <row r="903" spans="1:6" x14ac:dyDescent="0.4">
      <c r="A903" s="96">
        <v>899</v>
      </c>
      <c r="B903" s="115"/>
      <c r="C903" s="115"/>
      <c r="D903" s="125"/>
      <c r="E903" s="125"/>
      <c r="F903" s="125">
        <f t="shared" si="14"/>
        <v>0</v>
      </c>
    </row>
    <row r="904" spans="1:6" x14ac:dyDescent="0.4">
      <c r="A904" s="96">
        <v>900</v>
      </c>
      <c r="B904" s="115"/>
      <c r="C904" s="115"/>
      <c r="D904" s="125"/>
      <c r="E904" s="125"/>
      <c r="F904" s="125">
        <f t="shared" si="14"/>
        <v>0</v>
      </c>
    </row>
    <row r="905" spans="1:6" x14ac:dyDescent="0.4">
      <c r="A905" s="96">
        <v>901</v>
      </c>
      <c r="B905" s="115"/>
      <c r="C905" s="115"/>
      <c r="D905" s="125"/>
      <c r="E905" s="125"/>
      <c r="F905" s="125">
        <f t="shared" si="14"/>
        <v>0</v>
      </c>
    </row>
    <row r="906" spans="1:6" x14ac:dyDescent="0.4">
      <c r="A906" s="96">
        <v>902</v>
      </c>
      <c r="B906" s="115"/>
      <c r="C906" s="115"/>
      <c r="D906" s="125"/>
      <c r="E906" s="125"/>
      <c r="F906" s="125">
        <f t="shared" si="14"/>
        <v>0</v>
      </c>
    </row>
    <row r="907" spans="1:6" x14ac:dyDescent="0.4">
      <c r="A907" s="96">
        <v>903</v>
      </c>
      <c r="B907" s="115"/>
      <c r="C907" s="115"/>
      <c r="D907" s="125"/>
      <c r="E907" s="125"/>
      <c r="F907" s="125">
        <f t="shared" si="14"/>
        <v>0</v>
      </c>
    </row>
    <row r="908" spans="1:6" x14ac:dyDescent="0.4">
      <c r="A908" s="96">
        <v>904</v>
      </c>
      <c r="B908" s="115"/>
      <c r="C908" s="115"/>
      <c r="D908" s="125"/>
      <c r="E908" s="125"/>
      <c r="F908" s="125">
        <f t="shared" si="14"/>
        <v>0</v>
      </c>
    </row>
    <row r="909" spans="1:6" x14ac:dyDescent="0.4">
      <c r="A909" s="96">
        <v>905</v>
      </c>
      <c r="B909" s="115"/>
      <c r="C909" s="115"/>
      <c r="D909" s="125"/>
      <c r="E909" s="125"/>
      <c r="F909" s="125">
        <f t="shared" si="14"/>
        <v>0</v>
      </c>
    </row>
    <row r="910" spans="1:6" x14ac:dyDescent="0.4">
      <c r="A910" s="96">
        <v>906</v>
      </c>
      <c r="B910" s="115"/>
      <c r="C910" s="115"/>
      <c r="D910" s="125"/>
      <c r="E910" s="125"/>
      <c r="F910" s="125">
        <f t="shared" si="14"/>
        <v>0</v>
      </c>
    </row>
    <row r="911" spans="1:6" x14ac:dyDescent="0.4">
      <c r="A911" s="96">
        <v>907</v>
      </c>
      <c r="B911" s="115"/>
      <c r="C911" s="115"/>
      <c r="D911" s="125"/>
      <c r="E911" s="125"/>
      <c r="F911" s="125">
        <f t="shared" si="14"/>
        <v>0</v>
      </c>
    </row>
    <row r="912" spans="1:6" x14ac:dyDescent="0.4">
      <c r="A912" s="96">
        <v>908</v>
      </c>
      <c r="B912" s="115"/>
      <c r="C912" s="115"/>
      <c r="D912" s="125"/>
      <c r="E912" s="125"/>
      <c r="F912" s="125">
        <f t="shared" si="14"/>
        <v>0</v>
      </c>
    </row>
    <row r="913" spans="1:6" x14ac:dyDescent="0.4">
      <c r="A913" s="96">
        <v>909</v>
      </c>
      <c r="B913" s="115"/>
      <c r="C913" s="115"/>
      <c r="D913" s="125"/>
      <c r="E913" s="125"/>
      <c r="F913" s="125">
        <f t="shared" si="14"/>
        <v>0</v>
      </c>
    </row>
    <row r="914" spans="1:6" x14ac:dyDescent="0.4">
      <c r="A914" s="96">
        <v>910</v>
      </c>
      <c r="B914" s="115"/>
      <c r="C914" s="115"/>
      <c r="D914" s="125"/>
      <c r="E914" s="125"/>
      <c r="F914" s="125">
        <f t="shared" si="14"/>
        <v>0</v>
      </c>
    </row>
    <row r="915" spans="1:6" x14ac:dyDescent="0.4">
      <c r="A915" s="96">
        <v>911</v>
      </c>
      <c r="B915" s="115"/>
      <c r="C915" s="115"/>
      <c r="D915" s="125"/>
      <c r="E915" s="125"/>
      <c r="F915" s="125">
        <f t="shared" si="14"/>
        <v>0</v>
      </c>
    </row>
    <row r="916" spans="1:6" x14ac:dyDescent="0.4">
      <c r="A916" s="96">
        <v>912</v>
      </c>
      <c r="B916" s="115"/>
      <c r="C916" s="115"/>
      <c r="D916" s="125"/>
      <c r="E916" s="125"/>
      <c r="F916" s="125">
        <f t="shared" si="14"/>
        <v>0</v>
      </c>
    </row>
    <row r="917" spans="1:6" x14ac:dyDescent="0.4">
      <c r="A917" s="96">
        <v>913</v>
      </c>
      <c r="B917" s="115"/>
      <c r="C917" s="115"/>
      <c r="D917" s="125"/>
      <c r="E917" s="125"/>
      <c r="F917" s="125">
        <f t="shared" si="14"/>
        <v>0</v>
      </c>
    </row>
    <row r="918" spans="1:6" x14ac:dyDescent="0.4">
      <c r="A918" s="96">
        <v>914</v>
      </c>
      <c r="B918" s="115"/>
      <c r="C918" s="115"/>
      <c r="D918" s="125"/>
      <c r="E918" s="125"/>
      <c r="F918" s="125">
        <f t="shared" si="14"/>
        <v>0</v>
      </c>
    </row>
    <row r="919" spans="1:6" x14ac:dyDescent="0.4">
      <c r="A919" s="96">
        <v>915</v>
      </c>
      <c r="B919" s="115"/>
      <c r="C919" s="115"/>
      <c r="D919" s="125"/>
      <c r="E919" s="125"/>
      <c r="F919" s="125">
        <f t="shared" si="14"/>
        <v>0</v>
      </c>
    </row>
    <row r="920" spans="1:6" x14ac:dyDescent="0.4">
      <c r="A920" s="96">
        <v>916</v>
      </c>
      <c r="B920" s="115"/>
      <c r="C920" s="115"/>
      <c r="D920" s="125"/>
      <c r="E920" s="125"/>
      <c r="F920" s="125">
        <f t="shared" si="14"/>
        <v>0</v>
      </c>
    </row>
    <row r="921" spans="1:6" x14ac:dyDescent="0.4">
      <c r="A921" s="96">
        <v>917</v>
      </c>
      <c r="B921" s="115"/>
      <c r="C921" s="115"/>
      <c r="D921" s="125"/>
      <c r="E921" s="125"/>
      <c r="F921" s="125">
        <f t="shared" si="14"/>
        <v>0</v>
      </c>
    </row>
    <row r="922" spans="1:6" x14ac:dyDescent="0.4">
      <c r="A922" s="96">
        <v>918</v>
      </c>
      <c r="B922" s="115"/>
      <c r="C922" s="115"/>
      <c r="D922" s="125"/>
      <c r="E922" s="125"/>
      <c r="F922" s="125">
        <f t="shared" si="14"/>
        <v>0</v>
      </c>
    </row>
    <row r="923" spans="1:6" x14ac:dyDescent="0.4">
      <c r="A923" s="96">
        <v>919</v>
      </c>
      <c r="B923" s="115"/>
      <c r="C923" s="115"/>
      <c r="D923" s="125"/>
      <c r="E923" s="125"/>
      <c r="F923" s="125">
        <f t="shared" si="14"/>
        <v>0</v>
      </c>
    </row>
    <row r="924" spans="1:6" x14ac:dyDescent="0.4">
      <c r="A924" s="96">
        <v>920</v>
      </c>
      <c r="B924" s="115"/>
      <c r="C924" s="115"/>
      <c r="D924" s="125"/>
      <c r="E924" s="125"/>
      <c r="F924" s="125">
        <f t="shared" si="14"/>
        <v>0</v>
      </c>
    </row>
    <row r="925" spans="1:6" x14ac:dyDescent="0.4">
      <c r="A925" s="96">
        <v>921</v>
      </c>
      <c r="B925" s="115"/>
      <c r="C925" s="115"/>
      <c r="D925" s="125"/>
      <c r="E925" s="125"/>
      <c r="F925" s="125">
        <f t="shared" si="14"/>
        <v>0</v>
      </c>
    </row>
    <row r="926" spans="1:6" x14ac:dyDescent="0.4">
      <c r="A926" s="96">
        <v>922</v>
      </c>
      <c r="B926" s="115"/>
      <c r="C926" s="115"/>
      <c r="D926" s="125"/>
      <c r="E926" s="125"/>
      <c r="F926" s="125">
        <f t="shared" si="14"/>
        <v>0</v>
      </c>
    </row>
    <row r="927" spans="1:6" x14ac:dyDescent="0.4">
      <c r="A927" s="96">
        <v>923</v>
      </c>
      <c r="B927" s="115"/>
      <c r="C927" s="115"/>
      <c r="D927" s="125"/>
      <c r="E927" s="125"/>
      <c r="F927" s="125">
        <f t="shared" si="14"/>
        <v>0</v>
      </c>
    </row>
    <row r="928" spans="1:6" x14ac:dyDescent="0.4">
      <c r="A928" s="96">
        <v>924</v>
      </c>
      <c r="B928" s="115"/>
      <c r="C928" s="115"/>
      <c r="D928" s="125"/>
      <c r="E928" s="125"/>
      <c r="F928" s="125">
        <f t="shared" si="14"/>
        <v>0</v>
      </c>
    </row>
    <row r="929" spans="1:6" x14ac:dyDescent="0.4">
      <c r="A929" s="96">
        <v>925</v>
      </c>
      <c r="B929" s="115"/>
      <c r="C929" s="115"/>
      <c r="D929" s="125"/>
      <c r="E929" s="125"/>
      <c r="F929" s="125">
        <f t="shared" si="14"/>
        <v>0</v>
      </c>
    </row>
    <row r="930" spans="1:6" x14ac:dyDescent="0.4">
      <c r="A930" s="96">
        <v>926</v>
      </c>
      <c r="B930" s="115"/>
      <c r="C930" s="115"/>
      <c r="D930" s="125"/>
      <c r="E930" s="125"/>
      <c r="F930" s="125">
        <f t="shared" si="14"/>
        <v>0</v>
      </c>
    </row>
    <row r="931" spans="1:6" x14ac:dyDescent="0.4">
      <c r="A931" s="96">
        <v>927</v>
      </c>
      <c r="B931" s="115"/>
      <c r="C931" s="115"/>
      <c r="D931" s="125"/>
      <c r="E931" s="125"/>
      <c r="F931" s="125">
        <f t="shared" si="14"/>
        <v>0</v>
      </c>
    </row>
    <row r="932" spans="1:6" x14ac:dyDescent="0.4">
      <c r="A932" s="96">
        <v>928</v>
      </c>
      <c r="B932" s="115"/>
      <c r="C932" s="115"/>
      <c r="D932" s="125"/>
      <c r="E932" s="125"/>
      <c r="F932" s="125">
        <f t="shared" si="14"/>
        <v>0</v>
      </c>
    </row>
    <row r="933" spans="1:6" x14ac:dyDescent="0.4">
      <c r="A933" s="96">
        <v>929</v>
      </c>
      <c r="B933" s="115"/>
      <c r="C933" s="115"/>
      <c r="D933" s="125"/>
      <c r="E933" s="125"/>
      <c r="F933" s="125">
        <f t="shared" si="14"/>
        <v>0</v>
      </c>
    </row>
    <row r="934" spans="1:6" x14ac:dyDescent="0.4">
      <c r="A934" s="96">
        <v>930</v>
      </c>
      <c r="B934" s="115"/>
      <c r="C934" s="115"/>
      <c r="D934" s="125"/>
      <c r="E934" s="125"/>
      <c r="F934" s="125">
        <f t="shared" si="14"/>
        <v>0</v>
      </c>
    </row>
    <row r="935" spans="1:6" x14ac:dyDescent="0.4">
      <c r="A935" s="96">
        <v>931</v>
      </c>
      <c r="B935" s="115"/>
      <c r="C935" s="115"/>
      <c r="D935" s="125"/>
      <c r="E935" s="125"/>
      <c r="F935" s="125">
        <f t="shared" si="14"/>
        <v>0</v>
      </c>
    </row>
    <row r="936" spans="1:6" x14ac:dyDescent="0.4">
      <c r="A936" s="96">
        <v>932</v>
      </c>
      <c r="B936" s="115"/>
      <c r="C936" s="115"/>
      <c r="D936" s="125"/>
      <c r="E936" s="125"/>
      <c r="F936" s="125">
        <f t="shared" si="14"/>
        <v>0</v>
      </c>
    </row>
    <row r="937" spans="1:6" x14ac:dyDescent="0.4">
      <c r="A937" s="96">
        <v>933</v>
      </c>
      <c r="B937" s="115"/>
      <c r="C937" s="115"/>
      <c r="D937" s="125"/>
      <c r="E937" s="125"/>
      <c r="F937" s="125">
        <f t="shared" si="14"/>
        <v>0</v>
      </c>
    </row>
    <row r="938" spans="1:6" x14ac:dyDescent="0.4">
      <c r="A938" s="96">
        <v>934</v>
      </c>
      <c r="B938" s="115"/>
      <c r="C938" s="115"/>
      <c r="D938" s="125"/>
      <c r="E938" s="125"/>
      <c r="F938" s="125">
        <f t="shared" si="14"/>
        <v>0</v>
      </c>
    </row>
    <row r="939" spans="1:6" x14ac:dyDescent="0.4">
      <c r="A939" s="96">
        <v>935</v>
      </c>
      <c r="B939" s="115"/>
      <c r="C939" s="115"/>
      <c r="D939" s="125"/>
      <c r="E939" s="125"/>
      <c r="F939" s="125">
        <f t="shared" si="14"/>
        <v>0</v>
      </c>
    </row>
    <row r="940" spans="1:6" x14ac:dyDescent="0.4">
      <c r="A940" s="96">
        <v>936</v>
      </c>
      <c r="B940" s="115"/>
      <c r="C940" s="115"/>
      <c r="D940" s="125"/>
      <c r="E940" s="125"/>
      <c r="F940" s="125">
        <f t="shared" si="14"/>
        <v>0</v>
      </c>
    </row>
    <row r="941" spans="1:6" x14ac:dyDescent="0.4">
      <c r="A941" s="96">
        <v>937</v>
      </c>
      <c r="B941" s="115"/>
      <c r="C941" s="115"/>
      <c r="D941" s="125"/>
      <c r="E941" s="125"/>
      <c r="F941" s="125">
        <f t="shared" si="14"/>
        <v>0</v>
      </c>
    </row>
    <row r="942" spans="1:6" x14ac:dyDescent="0.4">
      <c r="A942" s="96">
        <v>938</v>
      </c>
      <c r="B942" s="115"/>
      <c r="C942" s="115"/>
      <c r="D942" s="125"/>
      <c r="E942" s="125"/>
      <c r="F942" s="125">
        <f t="shared" si="14"/>
        <v>0</v>
      </c>
    </row>
    <row r="943" spans="1:6" x14ac:dyDescent="0.4">
      <c r="A943" s="96">
        <v>939</v>
      </c>
      <c r="B943" s="115"/>
      <c r="C943" s="115"/>
      <c r="D943" s="125"/>
      <c r="E943" s="125"/>
      <c r="F943" s="125">
        <f t="shared" si="14"/>
        <v>0</v>
      </c>
    </row>
    <row r="944" spans="1:6" x14ac:dyDescent="0.4">
      <c r="A944" s="96">
        <v>940</v>
      </c>
      <c r="B944" s="115"/>
      <c r="C944" s="115"/>
      <c r="D944" s="125"/>
      <c r="E944" s="125"/>
      <c r="F944" s="125">
        <f t="shared" si="14"/>
        <v>0</v>
      </c>
    </row>
    <row r="945" spans="1:6" x14ac:dyDescent="0.4">
      <c r="A945" s="96">
        <v>941</v>
      </c>
      <c r="B945" s="115"/>
      <c r="C945" s="115"/>
      <c r="D945" s="125"/>
      <c r="E945" s="125"/>
      <c r="F945" s="125">
        <f t="shared" si="14"/>
        <v>0</v>
      </c>
    </row>
    <row r="946" spans="1:6" x14ac:dyDescent="0.4">
      <c r="A946" s="96">
        <v>942</v>
      </c>
      <c r="B946" s="115"/>
      <c r="C946" s="115"/>
      <c r="D946" s="125"/>
      <c r="E946" s="125"/>
      <c r="F946" s="125">
        <f t="shared" si="14"/>
        <v>0</v>
      </c>
    </row>
    <row r="947" spans="1:6" x14ac:dyDescent="0.4">
      <c r="A947" s="96">
        <v>943</v>
      </c>
      <c r="B947" s="115"/>
      <c r="C947" s="115"/>
      <c r="D947" s="125"/>
      <c r="E947" s="125"/>
      <c r="F947" s="125">
        <f t="shared" si="14"/>
        <v>0</v>
      </c>
    </row>
    <row r="948" spans="1:6" x14ac:dyDescent="0.4">
      <c r="A948" s="96">
        <v>944</v>
      </c>
      <c r="B948" s="115"/>
      <c r="C948" s="115"/>
      <c r="D948" s="125"/>
      <c r="E948" s="125"/>
      <c r="F948" s="125">
        <f t="shared" si="14"/>
        <v>0</v>
      </c>
    </row>
    <row r="949" spans="1:6" x14ac:dyDescent="0.4">
      <c r="A949" s="96">
        <v>945</v>
      </c>
      <c r="B949" s="115"/>
      <c r="C949" s="115"/>
      <c r="D949" s="125"/>
      <c r="E949" s="125"/>
      <c r="F949" s="125">
        <f t="shared" si="14"/>
        <v>0</v>
      </c>
    </row>
    <row r="950" spans="1:6" x14ac:dyDescent="0.4">
      <c r="A950" s="96">
        <v>946</v>
      </c>
      <c r="B950" s="115"/>
      <c r="C950" s="115"/>
      <c r="D950" s="125"/>
      <c r="E950" s="125"/>
      <c r="F950" s="125">
        <f t="shared" si="14"/>
        <v>0</v>
      </c>
    </row>
    <row r="951" spans="1:6" x14ac:dyDescent="0.4">
      <c r="A951" s="96">
        <v>947</v>
      </c>
      <c r="B951" s="115"/>
      <c r="C951" s="115"/>
      <c r="D951" s="125"/>
      <c r="E951" s="125"/>
      <c r="F951" s="125">
        <f t="shared" si="14"/>
        <v>0</v>
      </c>
    </row>
    <row r="952" spans="1:6" x14ac:dyDescent="0.4">
      <c r="A952" s="96">
        <v>948</v>
      </c>
      <c r="B952" s="115"/>
      <c r="C952" s="115"/>
      <c r="D952" s="125"/>
      <c r="E952" s="125"/>
      <c r="F952" s="125">
        <f t="shared" si="14"/>
        <v>0</v>
      </c>
    </row>
    <row r="953" spans="1:6" x14ac:dyDescent="0.4">
      <c r="A953" s="96">
        <v>949</v>
      </c>
      <c r="B953" s="115"/>
      <c r="C953" s="115"/>
      <c r="D953" s="125"/>
      <c r="E953" s="125"/>
      <c r="F953" s="125">
        <f t="shared" si="14"/>
        <v>0</v>
      </c>
    </row>
    <row r="954" spans="1:6" x14ac:dyDescent="0.4">
      <c r="A954" s="96">
        <v>950</v>
      </c>
      <c r="B954" s="115"/>
      <c r="C954" s="115"/>
      <c r="D954" s="125"/>
      <c r="E954" s="125"/>
      <c r="F954" s="125">
        <f t="shared" si="14"/>
        <v>0</v>
      </c>
    </row>
    <row r="955" spans="1:6" x14ac:dyDescent="0.4">
      <c r="A955" s="96">
        <v>951</v>
      </c>
      <c r="B955" s="115"/>
      <c r="C955" s="115"/>
      <c r="D955" s="125"/>
      <c r="E955" s="125"/>
      <c r="F955" s="125">
        <f t="shared" si="14"/>
        <v>0</v>
      </c>
    </row>
    <row r="956" spans="1:6" x14ac:dyDescent="0.4">
      <c r="A956" s="96">
        <v>952</v>
      </c>
      <c r="B956" s="115"/>
      <c r="C956" s="115"/>
      <c r="D956" s="125"/>
      <c r="E956" s="125"/>
      <c r="F956" s="125">
        <f t="shared" si="14"/>
        <v>0</v>
      </c>
    </row>
    <row r="957" spans="1:6" x14ac:dyDescent="0.4">
      <c r="A957" s="96">
        <v>953</v>
      </c>
      <c r="B957" s="115"/>
      <c r="C957" s="115"/>
      <c r="D957" s="125"/>
      <c r="E957" s="125"/>
      <c r="F957" s="125">
        <f t="shared" si="14"/>
        <v>0</v>
      </c>
    </row>
    <row r="958" spans="1:6" x14ac:dyDescent="0.4">
      <c r="A958" s="96">
        <v>954</v>
      </c>
      <c r="B958" s="115"/>
      <c r="C958" s="115"/>
      <c r="D958" s="125"/>
      <c r="E958" s="125"/>
      <c r="F958" s="125">
        <f t="shared" si="14"/>
        <v>0</v>
      </c>
    </row>
    <row r="959" spans="1:6" x14ac:dyDescent="0.4">
      <c r="A959" s="96">
        <v>955</v>
      </c>
      <c r="B959" s="115"/>
      <c r="C959" s="115"/>
      <c r="D959" s="125"/>
      <c r="E959" s="125"/>
      <c r="F959" s="125">
        <f t="shared" si="14"/>
        <v>0</v>
      </c>
    </row>
    <row r="960" spans="1:6" x14ac:dyDescent="0.4">
      <c r="A960" s="96">
        <v>956</v>
      </c>
      <c r="B960" s="115"/>
      <c r="C960" s="115"/>
      <c r="D960" s="125"/>
      <c r="E960" s="125"/>
      <c r="F960" s="125">
        <f t="shared" si="14"/>
        <v>0</v>
      </c>
    </row>
    <row r="961" spans="1:6" x14ac:dyDescent="0.4">
      <c r="A961" s="96">
        <v>957</v>
      </c>
      <c r="B961" s="115"/>
      <c r="C961" s="115"/>
      <c r="D961" s="125"/>
      <c r="E961" s="125"/>
      <c r="F961" s="125">
        <f t="shared" si="14"/>
        <v>0</v>
      </c>
    </row>
    <row r="962" spans="1:6" x14ac:dyDescent="0.4">
      <c r="A962" s="96">
        <v>958</v>
      </c>
      <c r="B962" s="115"/>
      <c r="C962" s="115"/>
      <c r="D962" s="125"/>
      <c r="E962" s="125"/>
      <c r="F962" s="125">
        <f t="shared" si="14"/>
        <v>0</v>
      </c>
    </row>
    <row r="963" spans="1:6" x14ac:dyDescent="0.4">
      <c r="A963" s="96">
        <v>959</v>
      </c>
      <c r="B963" s="115"/>
      <c r="C963" s="115"/>
      <c r="D963" s="125"/>
      <c r="E963" s="125"/>
      <c r="F963" s="125">
        <f t="shared" si="14"/>
        <v>0</v>
      </c>
    </row>
    <row r="964" spans="1:6" x14ac:dyDescent="0.4">
      <c r="A964" s="96">
        <v>960</v>
      </c>
      <c r="B964" s="115"/>
      <c r="C964" s="115"/>
      <c r="D964" s="125"/>
      <c r="E964" s="125"/>
      <c r="F964" s="125">
        <f t="shared" si="14"/>
        <v>0</v>
      </c>
    </row>
    <row r="965" spans="1:6" x14ac:dyDescent="0.4">
      <c r="A965" s="96">
        <v>961</v>
      </c>
      <c r="B965" s="115"/>
      <c r="C965" s="115"/>
      <c r="D965" s="125"/>
      <c r="E965" s="125"/>
      <c r="F965" s="125">
        <f t="shared" si="14"/>
        <v>0</v>
      </c>
    </row>
    <row r="966" spans="1:6" x14ac:dyDescent="0.4">
      <c r="A966" s="96">
        <v>962</v>
      </c>
      <c r="B966" s="115"/>
      <c r="C966" s="115"/>
      <c r="D966" s="125"/>
      <c r="E966" s="125"/>
      <c r="F966" s="125">
        <f t="shared" ref="F966:F1006" si="15">D966*E966</f>
        <v>0</v>
      </c>
    </row>
    <row r="967" spans="1:6" x14ac:dyDescent="0.4">
      <c r="A967" s="96">
        <v>963</v>
      </c>
      <c r="B967" s="115"/>
      <c r="C967" s="115"/>
      <c r="D967" s="125"/>
      <c r="E967" s="125"/>
      <c r="F967" s="125">
        <f t="shared" si="15"/>
        <v>0</v>
      </c>
    </row>
    <row r="968" spans="1:6" x14ac:dyDescent="0.4">
      <c r="A968" s="96">
        <v>964</v>
      </c>
      <c r="B968" s="115"/>
      <c r="C968" s="115"/>
      <c r="D968" s="125"/>
      <c r="E968" s="125"/>
      <c r="F968" s="125">
        <f t="shared" si="15"/>
        <v>0</v>
      </c>
    </row>
    <row r="969" spans="1:6" x14ac:dyDescent="0.4">
      <c r="A969" s="96">
        <v>965</v>
      </c>
      <c r="B969" s="115"/>
      <c r="C969" s="115"/>
      <c r="D969" s="125"/>
      <c r="E969" s="125"/>
      <c r="F969" s="125">
        <f t="shared" si="15"/>
        <v>0</v>
      </c>
    </row>
    <row r="970" spans="1:6" x14ac:dyDescent="0.4">
      <c r="A970" s="96">
        <v>966</v>
      </c>
      <c r="B970" s="115"/>
      <c r="C970" s="115"/>
      <c r="D970" s="125"/>
      <c r="E970" s="125"/>
      <c r="F970" s="125">
        <f t="shared" si="15"/>
        <v>0</v>
      </c>
    </row>
    <row r="971" spans="1:6" x14ac:dyDescent="0.4">
      <c r="A971" s="96">
        <v>967</v>
      </c>
      <c r="B971" s="115"/>
      <c r="C971" s="115"/>
      <c r="D971" s="125"/>
      <c r="E971" s="125"/>
      <c r="F971" s="125">
        <f t="shared" si="15"/>
        <v>0</v>
      </c>
    </row>
    <row r="972" spans="1:6" x14ac:dyDescent="0.4">
      <c r="A972" s="96">
        <v>968</v>
      </c>
      <c r="B972" s="115"/>
      <c r="C972" s="115"/>
      <c r="D972" s="125"/>
      <c r="E972" s="125"/>
      <c r="F972" s="125">
        <f t="shared" si="15"/>
        <v>0</v>
      </c>
    </row>
    <row r="973" spans="1:6" x14ac:dyDescent="0.4">
      <c r="A973" s="96">
        <v>969</v>
      </c>
      <c r="B973" s="115"/>
      <c r="C973" s="115"/>
      <c r="D973" s="125"/>
      <c r="E973" s="125"/>
      <c r="F973" s="125">
        <f t="shared" si="15"/>
        <v>0</v>
      </c>
    </row>
    <row r="974" spans="1:6" x14ac:dyDescent="0.4">
      <c r="A974" s="96">
        <v>970</v>
      </c>
      <c r="B974" s="115"/>
      <c r="C974" s="115"/>
      <c r="D974" s="125"/>
      <c r="E974" s="125"/>
      <c r="F974" s="125">
        <f t="shared" si="15"/>
        <v>0</v>
      </c>
    </row>
    <row r="975" spans="1:6" x14ac:dyDescent="0.4">
      <c r="A975" s="96">
        <v>971</v>
      </c>
      <c r="B975" s="115"/>
      <c r="C975" s="115"/>
      <c r="D975" s="125"/>
      <c r="E975" s="125"/>
      <c r="F975" s="125">
        <f t="shared" si="15"/>
        <v>0</v>
      </c>
    </row>
    <row r="976" spans="1:6" x14ac:dyDescent="0.4">
      <c r="A976" s="96">
        <v>972</v>
      </c>
      <c r="B976" s="115"/>
      <c r="C976" s="115"/>
      <c r="D976" s="125"/>
      <c r="E976" s="125"/>
      <c r="F976" s="125">
        <f t="shared" si="15"/>
        <v>0</v>
      </c>
    </row>
    <row r="977" spans="1:6" x14ac:dyDescent="0.4">
      <c r="A977" s="96">
        <v>973</v>
      </c>
      <c r="B977" s="115"/>
      <c r="C977" s="115"/>
      <c r="D977" s="125"/>
      <c r="E977" s="125"/>
      <c r="F977" s="125">
        <f t="shared" si="15"/>
        <v>0</v>
      </c>
    </row>
    <row r="978" spans="1:6" x14ac:dyDescent="0.4">
      <c r="A978" s="96">
        <v>974</v>
      </c>
      <c r="B978" s="115"/>
      <c r="C978" s="115"/>
      <c r="D978" s="125"/>
      <c r="E978" s="125"/>
      <c r="F978" s="125">
        <f t="shared" si="15"/>
        <v>0</v>
      </c>
    </row>
    <row r="979" spans="1:6" x14ac:dyDescent="0.4">
      <c r="A979" s="96">
        <v>975</v>
      </c>
      <c r="B979" s="115"/>
      <c r="C979" s="115"/>
      <c r="D979" s="125"/>
      <c r="E979" s="125"/>
      <c r="F979" s="125">
        <f t="shared" si="15"/>
        <v>0</v>
      </c>
    </row>
    <row r="980" spans="1:6" x14ac:dyDescent="0.4">
      <c r="A980" s="96">
        <v>976</v>
      </c>
      <c r="B980" s="115"/>
      <c r="C980" s="115"/>
      <c r="D980" s="125"/>
      <c r="E980" s="125"/>
      <c r="F980" s="125">
        <f t="shared" si="15"/>
        <v>0</v>
      </c>
    </row>
    <row r="981" spans="1:6" x14ac:dyDescent="0.4">
      <c r="A981" s="96">
        <v>977</v>
      </c>
      <c r="B981" s="115"/>
      <c r="C981" s="115"/>
      <c r="D981" s="125"/>
      <c r="E981" s="125"/>
      <c r="F981" s="125">
        <f t="shared" si="15"/>
        <v>0</v>
      </c>
    </row>
    <row r="982" spans="1:6" x14ac:dyDescent="0.4">
      <c r="A982" s="96">
        <v>978</v>
      </c>
      <c r="B982" s="115"/>
      <c r="C982" s="115"/>
      <c r="D982" s="125"/>
      <c r="E982" s="125"/>
      <c r="F982" s="125">
        <f t="shared" si="15"/>
        <v>0</v>
      </c>
    </row>
    <row r="983" spans="1:6" x14ac:dyDescent="0.4">
      <c r="A983" s="96">
        <v>979</v>
      </c>
      <c r="B983" s="115"/>
      <c r="C983" s="115"/>
      <c r="D983" s="125"/>
      <c r="E983" s="125"/>
      <c r="F983" s="125">
        <f t="shared" si="15"/>
        <v>0</v>
      </c>
    </row>
    <row r="984" spans="1:6" x14ac:dyDescent="0.4">
      <c r="A984" s="96">
        <v>980</v>
      </c>
      <c r="B984" s="115"/>
      <c r="C984" s="115"/>
      <c r="D984" s="125"/>
      <c r="E984" s="125"/>
      <c r="F984" s="125">
        <f t="shared" si="15"/>
        <v>0</v>
      </c>
    </row>
    <row r="985" spans="1:6" x14ac:dyDescent="0.4">
      <c r="A985" s="96">
        <v>981</v>
      </c>
      <c r="B985" s="115"/>
      <c r="C985" s="115"/>
      <c r="D985" s="125"/>
      <c r="E985" s="125"/>
      <c r="F985" s="125">
        <f t="shared" si="15"/>
        <v>0</v>
      </c>
    </row>
    <row r="986" spans="1:6" x14ac:dyDescent="0.4">
      <c r="A986" s="96">
        <v>982</v>
      </c>
      <c r="B986" s="115"/>
      <c r="C986" s="115"/>
      <c r="D986" s="125"/>
      <c r="E986" s="125"/>
      <c r="F986" s="125">
        <f t="shared" si="15"/>
        <v>0</v>
      </c>
    </row>
    <row r="987" spans="1:6" x14ac:dyDescent="0.4">
      <c r="A987" s="96">
        <v>983</v>
      </c>
      <c r="B987" s="115"/>
      <c r="C987" s="115"/>
      <c r="D987" s="125"/>
      <c r="E987" s="125"/>
      <c r="F987" s="125">
        <f t="shared" si="15"/>
        <v>0</v>
      </c>
    </row>
    <row r="988" spans="1:6" x14ac:dyDescent="0.4">
      <c r="A988" s="96">
        <v>984</v>
      </c>
      <c r="B988" s="115"/>
      <c r="C988" s="115"/>
      <c r="D988" s="125"/>
      <c r="E988" s="125"/>
      <c r="F988" s="125">
        <f t="shared" si="15"/>
        <v>0</v>
      </c>
    </row>
    <row r="989" spans="1:6" x14ac:dyDescent="0.4">
      <c r="A989" s="96">
        <v>985</v>
      </c>
      <c r="B989" s="115"/>
      <c r="C989" s="115"/>
      <c r="D989" s="125"/>
      <c r="E989" s="125"/>
      <c r="F989" s="125">
        <f t="shared" si="15"/>
        <v>0</v>
      </c>
    </row>
    <row r="990" spans="1:6" x14ac:dyDescent="0.4">
      <c r="A990" s="96">
        <v>986</v>
      </c>
      <c r="B990" s="115"/>
      <c r="C990" s="115"/>
      <c r="D990" s="125"/>
      <c r="E990" s="125"/>
      <c r="F990" s="125">
        <f t="shared" si="15"/>
        <v>0</v>
      </c>
    </row>
    <row r="991" spans="1:6" x14ac:dyDescent="0.4">
      <c r="A991" s="96">
        <v>987</v>
      </c>
      <c r="B991" s="115"/>
      <c r="C991" s="115"/>
      <c r="D991" s="125"/>
      <c r="E991" s="125"/>
      <c r="F991" s="125">
        <f t="shared" si="15"/>
        <v>0</v>
      </c>
    </row>
    <row r="992" spans="1:6" x14ac:dyDescent="0.4">
      <c r="A992" s="96">
        <v>988</v>
      </c>
      <c r="B992" s="115"/>
      <c r="C992" s="115"/>
      <c r="D992" s="125"/>
      <c r="E992" s="125"/>
      <c r="F992" s="125">
        <f t="shared" si="15"/>
        <v>0</v>
      </c>
    </row>
    <row r="993" spans="1:6" x14ac:dyDescent="0.4">
      <c r="A993" s="96">
        <v>989</v>
      </c>
      <c r="B993" s="115"/>
      <c r="C993" s="115"/>
      <c r="D993" s="125"/>
      <c r="E993" s="125"/>
      <c r="F993" s="125">
        <f t="shared" si="15"/>
        <v>0</v>
      </c>
    </row>
    <row r="994" spans="1:6" x14ac:dyDescent="0.4">
      <c r="A994" s="96">
        <v>990</v>
      </c>
      <c r="B994" s="115"/>
      <c r="C994" s="115"/>
      <c r="D994" s="125"/>
      <c r="E994" s="125"/>
      <c r="F994" s="125">
        <f t="shared" si="15"/>
        <v>0</v>
      </c>
    </row>
    <row r="995" spans="1:6" x14ac:dyDescent="0.4">
      <c r="A995" s="96">
        <v>991</v>
      </c>
      <c r="B995" s="115"/>
      <c r="C995" s="115"/>
      <c r="D995" s="125"/>
      <c r="E995" s="125"/>
      <c r="F995" s="125">
        <f t="shared" si="15"/>
        <v>0</v>
      </c>
    </row>
    <row r="996" spans="1:6" x14ac:dyDescent="0.4">
      <c r="A996" s="96">
        <v>992</v>
      </c>
      <c r="B996" s="115"/>
      <c r="C996" s="115"/>
      <c r="D996" s="125"/>
      <c r="E996" s="125"/>
      <c r="F996" s="125">
        <f t="shared" si="15"/>
        <v>0</v>
      </c>
    </row>
    <row r="997" spans="1:6" x14ac:dyDescent="0.4">
      <c r="A997" s="96">
        <v>993</v>
      </c>
      <c r="B997" s="115"/>
      <c r="C997" s="115"/>
      <c r="D997" s="125"/>
      <c r="E997" s="125"/>
      <c r="F997" s="125">
        <f t="shared" si="15"/>
        <v>0</v>
      </c>
    </row>
    <row r="998" spans="1:6" x14ac:dyDescent="0.4">
      <c r="A998" s="96">
        <v>994</v>
      </c>
      <c r="B998" s="115"/>
      <c r="C998" s="115"/>
      <c r="D998" s="125"/>
      <c r="E998" s="125"/>
      <c r="F998" s="125">
        <f t="shared" si="15"/>
        <v>0</v>
      </c>
    </row>
    <row r="999" spans="1:6" x14ac:dyDescent="0.4">
      <c r="A999" s="96">
        <v>995</v>
      </c>
      <c r="B999" s="115"/>
      <c r="C999" s="115"/>
      <c r="D999" s="125"/>
      <c r="E999" s="125"/>
      <c r="F999" s="125">
        <f t="shared" si="15"/>
        <v>0</v>
      </c>
    </row>
    <row r="1000" spans="1:6" x14ac:dyDescent="0.4">
      <c r="A1000" s="96">
        <v>996</v>
      </c>
      <c r="B1000" s="115"/>
      <c r="C1000" s="115"/>
      <c r="D1000" s="125"/>
      <c r="E1000" s="125"/>
      <c r="F1000" s="125">
        <f t="shared" si="15"/>
        <v>0</v>
      </c>
    </row>
    <row r="1001" spans="1:6" x14ac:dyDescent="0.4">
      <c r="A1001" s="96">
        <v>997</v>
      </c>
      <c r="B1001" s="115"/>
      <c r="C1001" s="115"/>
      <c r="D1001" s="125"/>
      <c r="E1001" s="125"/>
      <c r="F1001" s="125">
        <f t="shared" si="15"/>
        <v>0</v>
      </c>
    </row>
    <row r="1002" spans="1:6" x14ac:dyDescent="0.4">
      <c r="A1002" s="96">
        <v>998</v>
      </c>
      <c r="B1002" s="115"/>
      <c r="C1002" s="115"/>
      <c r="D1002" s="125"/>
      <c r="E1002" s="125"/>
      <c r="F1002" s="125">
        <f t="shared" si="15"/>
        <v>0</v>
      </c>
    </row>
    <row r="1003" spans="1:6" x14ac:dyDescent="0.4">
      <c r="A1003" s="96">
        <v>999</v>
      </c>
      <c r="B1003" s="115"/>
      <c r="C1003" s="115"/>
      <c r="D1003" s="125"/>
      <c r="E1003" s="125"/>
      <c r="F1003" s="125">
        <f t="shared" si="15"/>
        <v>0</v>
      </c>
    </row>
    <row r="1004" spans="1:6" x14ac:dyDescent="0.4">
      <c r="A1004" s="96">
        <v>1000</v>
      </c>
      <c r="B1004" s="115"/>
      <c r="C1004" s="115"/>
      <c r="D1004" s="125"/>
      <c r="E1004" s="125"/>
      <c r="F1004" s="125">
        <f t="shared" si="15"/>
        <v>0</v>
      </c>
    </row>
    <row r="1005" spans="1:6" x14ac:dyDescent="0.4">
      <c r="A1005" s="96">
        <v>1001</v>
      </c>
      <c r="B1005" s="115"/>
      <c r="C1005" s="115"/>
      <c r="D1005" s="125"/>
      <c r="E1005" s="125"/>
      <c r="F1005" s="125">
        <f t="shared" si="15"/>
        <v>0</v>
      </c>
    </row>
    <row r="1006" spans="1:6" x14ac:dyDescent="0.4">
      <c r="A1006" s="96">
        <v>1002</v>
      </c>
      <c r="B1006" s="115"/>
      <c r="C1006" s="115"/>
      <c r="D1006" s="125"/>
      <c r="E1006" s="125"/>
      <c r="F1006" s="125">
        <f t="shared" si="15"/>
        <v>0</v>
      </c>
    </row>
    <row r="1007" spans="1:6" x14ac:dyDescent="0.4">
      <c r="A1007" s="126"/>
      <c r="B1007" s="127" t="s">
        <v>100</v>
      </c>
      <c r="C1007" s="127"/>
      <c r="D1007" s="128"/>
      <c r="E1007" s="128"/>
      <c r="F1007" s="128">
        <f>SUM(F5:F1006)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W94"/>
  <sheetViews>
    <sheetView showGridLines="0" zoomScale="110" zoomScaleNormal="110" workbookViewId="0">
      <pane xSplit="5" ySplit="4" topLeftCell="F20" activePane="bottomRight" state="frozen"/>
      <selection activeCell="B17" sqref="B17"/>
      <selection pane="topRight" activeCell="B17" sqref="B17"/>
      <selection pane="bottomLeft" activeCell="B17" sqref="B17"/>
      <selection pane="bottomRight" activeCell="W16" sqref="W16"/>
    </sheetView>
  </sheetViews>
  <sheetFormatPr defaultColWidth="8.6328125" defaultRowHeight="14" x14ac:dyDescent="0.4"/>
  <cols>
    <col min="1" max="1" width="7.36328125" style="144" customWidth="1"/>
    <col min="2" max="2" width="27.36328125" style="130" customWidth="1"/>
    <col min="3" max="3" width="11.90625" style="130" customWidth="1"/>
    <col min="4" max="4" width="10.54296875" style="130" customWidth="1"/>
    <col min="5" max="5" width="14.453125" style="130" customWidth="1"/>
    <col min="6" max="6" width="11.36328125" style="130" customWidth="1"/>
    <col min="7" max="18" width="11.08984375" style="130" customWidth="1"/>
    <col min="19" max="19" width="13.36328125" style="130" customWidth="1"/>
    <col min="20" max="20" width="14.54296875" style="130" customWidth="1"/>
    <col min="21" max="21" width="13.36328125" style="130" customWidth="1"/>
    <col min="22" max="22" width="15" style="130" customWidth="1"/>
    <col min="23" max="16384" width="8.6328125" style="130"/>
  </cols>
  <sheetData>
    <row r="1" spans="1:22" x14ac:dyDescent="0.4">
      <c r="A1" s="129" t="s">
        <v>10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</row>
    <row r="3" spans="1:22" s="131" customFormat="1" ht="14.75" customHeight="1" x14ac:dyDescent="0.4">
      <c r="A3" s="327" t="s">
        <v>11</v>
      </c>
      <c r="B3" s="327" t="s">
        <v>12</v>
      </c>
      <c r="C3" s="327" t="s">
        <v>85</v>
      </c>
      <c r="D3" s="327" t="s">
        <v>13</v>
      </c>
      <c r="E3" s="327" t="s">
        <v>14</v>
      </c>
      <c r="F3" s="327" t="s">
        <v>95</v>
      </c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5" t="s">
        <v>86</v>
      </c>
      <c r="T3" s="325" t="s">
        <v>23</v>
      </c>
      <c r="U3" s="325" t="s">
        <v>15</v>
      </c>
      <c r="V3" s="325" t="s">
        <v>6</v>
      </c>
    </row>
    <row r="4" spans="1:22" x14ac:dyDescent="0.4">
      <c r="A4" s="327"/>
      <c r="B4" s="327"/>
      <c r="C4" s="327"/>
      <c r="D4" s="327"/>
      <c r="E4" s="327"/>
      <c r="F4" s="224" t="s">
        <v>146</v>
      </c>
      <c r="G4" s="224" t="s">
        <v>134</v>
      </c>
      <c r="H4" s="224" t="s">
        <v>135</v>
      </c>
      <c r="I4" s="224" t="s">
        <v>136</v>
      </c>
      <c r="J4" s="224" t="s">
        <v>137</v>
      </c>
      <c r="K4" s="224" t="s">
        <v>138</v>
      </c>
      <c r="L4" s="224" t="s">
        <v>139</v>
      </c>
      <c r="M4" s="224" t="s">
        <v>140</v>
      </c>
      <c r="N4" s="224" t="s">
        <v>141</v>
      </c>
      <c r="O4" s="224" t="s">
        <v>142</v>
      </c>
      <c r="P4" s="224" t="s">
        <v>143</v>
      </c>
      <c r="Q4" s="224" t="s">
        <v>144</v>
      </c>
      <c r="R4" s="224" t="s">
        <v>145</v>
      </c>
      <c r="S4" s="326"/>
      <c r="T4" s="326"/>
      <c r="U4" s="326"/>
      <c r="V4" s="326"/>
    </row>
    <row r="5" spans="1:22" x14ac:dyDescent="0.4">
      <c r="A5" s="132"/>
      <c r="B5" s="133" t="s">
        <v>113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</row>
    <row r="6" spans="1:22" x14ac:dyDescent="0.4">
      <c r="A6" s="132">
        <v>1</v>
      </c>
      <c r="B6" s="134"/>
      <c r="C6" s="135"/>
      <c r="D6" s="134">
        <f>20*12</f>
        <v>240</v>
      </c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>
        <f>SUM(G6:R6)</f>
        <v>0</v>
      </c>
      <c r="T6" s="136">
        <f t="shared" ref="T6" si="0">S6+F6</f>
        <v>0</v>
      </c>
      <c r="U6" s="136">
        <f>E6-T6</f>
        <v>0</v>
      </c>
      <c r="V6" s="136"/>
    </row>
    <row r="7" spans="1:22" x14ac:dyDescent="0.4">
      <c r="A7" s="132">
        <v>2</v>
      </c>
      <c r="B7" s="134"/>
      <c r="C7" s="135"/>
      <c r="D7" s="134">
        <f t="shared" ref="D7:D11" si="1">20*12</f>
        <v>240</v>
      </c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>
        <f t="shared" ref="S7:S13" si="2">SUM(G7:R7)</f>
        <v>0</v>
      </c>
      <c r="T7" s="136">
        <f t="shared" ref="T7:T13" si="3">S7+F7</f>
        <v>0</v>
      </c>
      <c r="U7" s="136">
        <f t="shared" ref="U7:U13" si="4">E7-T7</f>
        <v>0</v>
      </c>
      <c r="V7" s="136"/>
    </row>
    <row r="8" spans="1:22" hidden="1" x14ac:dyDescent="0.4">
      <c r="A8" s="132">
        <v>3</v>
      </c>
      <c r="B8" s="134"/>
      <c r="C8" s="135"/>
      <c r="D8" s="134">
        <f t="shared" si="1"/>
        <v>240</v>
      </c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>
        <f t="shared" si="2"/>
        <v>0</v>
      </c>
      <c r="T8" s="136">
        <f t="shared" si="3"/>
        <v>0</v>
      </c>
      <c r="U8" s="136">
        <f t="shared" si="4"/>
        <v>0</v>
      </c>
      <c r="V8" s="136"/>
    </row>
    <row r="9" spans="1:22" hidden="1" x14ac:dyDescent="0.4">
      <c r="A9" s="132">
        <v>4</v>
      </c>
      <c r="B9" s="134"/>
      <c r="C9" s="135"/>
      <c r="D9" s="134">
        <f t="shared" si="1"/>
        <v>240</v>
      </c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>
        <f t="shared" si="2"/>
        <v>0</v>
      </c>
      <c r="T9" s="136">
        <f t="shared" si="3"/>
        <v>0</v>
      </c>
      <c r="U9" s="136">
        <f t="shared" si="4"/>
        <v>0</v>
      </c>
      <c r="V9" s="136"/>
    </row>
    <row r="10" spans="1:22" hidden="1" x14ac:dyDescent="0.4">
      <c r="A10" s="132">
        <v>5</v>
      </c>
      <c r="B10" s="134"/>
      <c r="C10" s="135"/>
      <c r="D10" s="134">
        <f t="shared" si="1"/>
        <v>240</v>
      </c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>
        <f t="shared" si="2"/>
        <v>0</v>
      </c>
      <c r="T10" s="136">
        <f t="shared" si="3"/>
        <v>0</v>
      </c>
      <c r="U10" s="136">
        <f t="shared" si="4"/>
        <v>0</v>
      </c>
      <c r="V10" s="136"/>
    </row>
    <row r="11" spans="1:22" hidden="1" x14ac:dyDescent="0.4">
      <c r="A11" s="132">
        <v>6</v>
      </c>
      <c r="B11" s="134"/>
      <c r="C11" s="135"/>
      <c r="D11" s="134">
        <f t="shared" si="1"/>
        <v>240</v>
      </c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>
        <f t="shared" si="2"/>
        <v>0</v>
      </c>
      <c r="T11" s="136">
        <f t="shared" si="3"/>
        <v>0</v>
      </c>
      <c r="U11" s="136">
        <f t="shared" si="4"/>
        <v>0</v>
      </c>
      <c r="V11" s="136"/>
    </row>
    <row r="12" spans="1:22" hidden="1" x14ac:dyDescent="0.4">
      <c r="A12" s="132">
        <v>7</v>
      </c>
      <c r="B12" s="134"/>
      <c r="C12" s="135"/>
      <c r="D12" s="134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>
        <f t="shared" si="2"/>
        <v>0</v>
      </c>
      <c r="T12" s="136">
        <f t="shared" si="3"/>
        <v>0</v>
      </c>
      <c r="U12" s="136">
        <f t="shared" si="4"/>
        <v>0</v>
      </c>
      <c r="V12" s="136"/>
    </row>
    <row r="13" spans="1:22" hidden="1" x14ac:dyDescent="0.4">
      <c r="A13" s="132">
        <v>8</v>
      </c>
      <c r="B13" s="134"/>
      <c r="C13" s="135"/>
      <c r="D13" s="134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>
        <f t="shared" si="2"/>
        <v>0</v>
      </c>
      <c r="T13" s="136">
        <f t="shared" si="3"/>
        <v>0</v>
      </c>
      <c r="U13" s="136">
        <f t="shared" si="4"/>
        <v>0</v>
      </c>
      <c r="V13" s="136"/>
    </row>
    <row r="14" spans="1:22" s="129" customFormat="1" x14ac:dyDescent="0.4">
      <c r="A14" s="137"/>
      <c r="B14" s="138" t="s">
        <v>193</v>
      </c>
      <c r="C14" s="138"/>
      <c r="D14" s="138"/>
      <c r="E14" s="139">
        <f>SUM(E6:E13)</f>
        <v>0</v>
      </c>
      <c r="F14" s="139">
        <f t="shared" ref="F14:U14" si="5">SUM(F6:F13)</f>
        <v>0</v>
      </c>
      <c r="G14" s="139">
        <f t="shared" si="5"/>
        <v>0</v>
      </c>
      <c r="H14" s="139">
        <f t="shared" si="5"/>
        <v>0</v>
      </c>
      <c r="I14" s="139">
        <f t="shared" si="5"/>
        <v>0</v>
      </c>
      <c r="J14" s="139">
        <f t="shared" si="5"/>
        <v>0</v>
      </c>
      <c r="K14" s="139">
        <f t="shared" si="5"/>
        <v>0</v>
      </c>
      <c r="L14" s="139">
        <f t="shared" si="5"/>
        <v>0</v>
      </c>
      <c r="M14" s="139">
        <f t="shared" si="5"/>
        <v>0</v>
      </c>
      <c r="N14" s="139">
        <f t="shared" si="5"/>
        <v>0</v>
      </c>
      <c r="O14" s="139">
        <f t="shared" si="5"/>
        <v>0</v>
      </c>
      <c r="P14" s="139">
        <f t="shared" si="5"/>
        <v>0</v>
      </c>
      <c r="Q14" s="139">
        <f t="shared" ref="Q14" si="6">SUM(Q6:Q13)</f>
        <v>0</v>
      </c>
      <c r="R14" s="139">
        <f t="shared" si="5"/>
        <v>0</v>
      </c>
      <c r="S14" s="139">
        <f t="shared" si="5"/>
        <v>0</v>
      </c>
      <c r="T14" s="139">
        <f t="shared" si="5"/>
        <v>0</v>
      </c>
      <c r="U14" s="139">
        <f t="shared" si="5"/>
        <v>0</v>
      </c>
      <c r="V14" s="139"/>
    </row>
    <row r="15" spans="1:22" x14ac:dyDescent="0.4">
      <c r="A15" s="132"/>
      <c r="B15" s="134"/>
      <c r="C15" s="134"/>
      <c r="D15" s="134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</row>
    <row r="16" spans="1:22" x14ac:dyDescent="0.4">
      <c r="A16" s="132"/>
      <c r="B16" s="133" t="s">
        <v>97</v>
      </c>
      <c r="C16" s="134"/>
      <c r="D16" s="134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</row>
    <row r="17" spans="1:22" x14ac:dyDescent="0.4">
      <c r="A17" s="132">
        <v>1</v>
      </c>
      <c r="B17" s="134"/>
      <c r="C17" s="140"/>
      <c r="D17" s="134">
        <f>8*12</f>
        <v>96</v>
      </c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>
        <f t="shared" ref="S17" si="7">SUM(G17:R17)</f>
        <v>0</v>
      </c>
      <c r="T17" s="136">
        <f t="shared" ref="T17" si="8">S17+F17</f>
        <v>0</v>
      </c>
      <c r="U17" s="136">
        <f>E17-T17</f>
        <v>0</v>
      </c>
      <c r="V17" s="136"/>
    </row>
    <row r="18" spans="1:22" x14ac:dyDescent="0.4">
      <c r="A18" s="132">
        <v>2</v>
      </c>
      <c r="B18" s="134"/>
      <c r="C18" s="140"/>
      <c r="D18" s="134">
        <f t="shared" ref="D18:D22" si="9">8*12</f>
        <v>96</v>
      </c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>
        <f t="shared" ref="S18:S30" si="10">SUM(G18:R18)</f>
        <v>0</v>
      </c>
      <c r="T18" s="136">
        <f t="shared" ref="T18:T30" si="11">S18+F18</f>
        <v>0</v>
      </c>
      <c r="U18" s="136">
        <f t="shared" ref="U18:U25" si="12">E18-T18</f>
        <v>0</v>
      </c>
      <c r="V18" s="136"/>
    </row>
    <row r="19" spans="1:22" x14ac:dyDescent="0.4">
      <c r="A19" s="132">
        <v>3</v>
      </c>
      <c r="B19" s="134"/>
      <c r="C19" s="140"/>
      <c r="D19" s="134">
        <f t="shared" si="9"/>
        <v>96</v>
      </c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>
        <f t="shared" si="10"/>
        <v>0</v>
      </c>
      <c r="T19" s="136">
        <f t="shared" si="11"/>
        <v>0</v>
      </c>
      <c r="U19" s="136">
        <f t="shared" ref="U19:U22" si="13">E19-T19</f>
        <v>0</v>
      </c>
      <c r="V19" s="136"/>
    </row>
    <row r="20" spans="1:22" x14ac:dyDescent="0.4">
      <c r="A20" s="132">
        <v>4</v>
      </c>
      <c r="B20" s="134"/>
      <c r="C20" s="140"/>
      <c r="D20" s="134">
        <f t="shared" si="9"/>
        <v>96</v>
      </c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>
        <f t="shared" si="10"/>
        <v>0</v>
      </c>
      <c r="T20" s="136">
        <f t="shared" si="11"/>
        <v>0</v>
      </c>
      <c r="U20" s="136">
        <f t="shared" si="13"/>
        <v>0</v>
      </c>
      <c r="V20" s="136"/>
    </row>
    <row r="21" spans="1:22" hidden="1" x14ac:dyDescent="0.4">
      <c r="A21" s="132">
        <v>5</v>
      </c>
      <c r="B21" s="134"/>
      <c r="C21" s="140"/>
      <c r="D21" s="134">
        <f t="shared" si="9"/>
        <v>96</v>
      </c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>
        <f t="shared" si="10"/>
        <v>0</v>
      </c>
      <c r="T21" s="136">
        <f t="shared" si="11"/>
        <v>0</v>
      </c>
      <c r="U21" s="136">
        <f t="shared" si="13"/>
        <v>0</v>
      </c>
      <c r="V21" s="136"/>
    </row>
    <row r="22" spans="1:22" hidden="1" x14ac:dyDescent="0.4">
      <c r="A22" s="132">
        <v>6</v>
      </c>
      <c r="B22" s="134"/>
      <c r="C22" s="140"/>
      <c r="D22" s="134">
        <f t="shared" si="9"/>
        <v>96</v>
      </c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>
        <f t="shared" si="10"/>
        <v>0</v>
      </c>
      <c r="T22" s="136">
        <f t="shared" si="11"/>
        <v>0</v>
      </c>
      <c r="U22" s="136">
        <f t="shared" si="13"/>
        <v>0</v>
      </c>
      <c r="V22" s="136"/>
    </row>
    <row r="23" spans="1:22" hidden="1" x14ac:dyDescent="0.4">
      <c r="A23" s="132">
        <v>7</v>
      </c>
      <c r="B23" s="134"/>
      <c r="C23" s="140"/>
      <c r="D23" s="134">
        <f t="shared" ref="D23:D25" si="14">8*12</f>
        <v>96</v>
      </c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>
        <f t="shared" si="10"/>
        <v>0</v>
      </c>
      <c r="T23" s="136">
        <f t="shared" si="11"/>
        <v>0</v>
      </c>
      <c r="U23" s="136">
        <f t="shared" si="12"/>
        <v>0</v>
      </c>
      <c r="V23" s="136"/>
    </row>
    <row r="24" spans="1:22" hidden="1" x14ac:dyDescent="0.4">
      <c r="A24" s="132">
        <v>8</v>
      </c>
      <c r="B24" s="134"/>
      <c r="C24" s="140"/>
      <c r="D24" s="134">
        <f t="shared" si="14"/>
        <v>96</v>
      </c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>
        <f t="shared" si="10"/>
        <v>0</v>
      </c>
      <c r="T24" s="136">
        <f t="shared" si="11"/>
        <v>0</v>
      </c>
      <c r="U24" s="136">
        <f t="shared" si="12"/>
        <v>0</v>
      </c>
      <c r="V24" s="136"/>
    </row>
    <row r="25" spans="1:22" hidden="1" x14ac:dyDescent="0.4">
      <c r="A25" s="132">
        <v>9</v>
      </c>
      <c r="B25" s="134"/>
      <c r="C25" s="140"/>
      <c r="D25" s="134">
        <f t="shared" si="14"/>
        <v>96</v>
      </c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>
        <f t="shared" si="10"/>
        <v>0</v>
      </c>
      <c r="T25" s="136">
        <f t="shared" si="11"/>
        <v>0</v>
      </c>
      <c r="U25" s="136">
        <f t="shared" si="12"/>
        <v>0</v>
      </c>
      <c r="V25" s="136"/>
    </row>
    <row r="26" spans="1:22" hidden="1" x14ac:dyDescent="0.4">
      <c r="A26" s="132">
        <v>10</v>
      </c>
      <c r="B26" s="134"/>
      <c r="C26" s="140"/>
      <c r="D26" s="134">
        <f t="shared" ref="D26:D30" si="15">8*12</f>
        <v>96</v>
      </c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>
        <f t="shared" si="10"/>
        <v>0</v>
      </c>
      <c r="T26" s="136">
        <f t="shared" si="11"/>
        <v>0</v>
      </c>
      <c r="U26" s="136">
        <f t="shared" ref="U26:U30" si="16">E26-T26</f>
        <v>0</v>
      </c>
      <c r="V26" s="136"/>
    </row>
    <row r="27" spans="1:22" hidden="1" x14ac:dyDescent="0.4">
      <c r="A27" s="132">
        <v>11</v>
      </c>
      <c r="B27" s="134"/>
      <c r="C27" s="140"/>
      <c r="D27" s="134">
        <f t="shared" si="15"/>
        <v>96</v>
      </c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>
        <f t="shared" si="10"/>
        <v>0</v>
      </c>
      <c r="T27" s="136">
        <f t="shared" si="11"/>
        <v>0</v>
      </c>
      <c r="U27" s="136">
        <f t="shared" si="16"/>
        <v>0</v>
      </c>
      <c r="V27" s="136"/>
    </row>
    <row r="28" spans="1:22" hidden="1" x14ac:dyDescent="0.4">
      <c r="A28" s="132">
        <v>12</v>
      </c>
      <c r="B28" s="134"/>
      <c r="C28" s="134"/>
      <c r="D28" s="134">
        <f t="shared" si="15"/>
        <v>96</v>
      </c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>
        <f t="shared" si="10"/>
        <v>0</v>
      </c>
      <c r="T28" s="136">
        <f t="shared" si="11"/>
        <v>0</v>
      </c>
      <c r="U28" s="136">
        <f t="shared" si="16"/>
        <v>0</v>
      </c>
      <c r="V28" s="136"/>
    </row>
    <row r="29" spans="1:22" hidden="1" x14ac:dyDescent="0.4">
      <c r="A29" s="132">
        <v>13</v>
      </c>
      <c r="B29" s="134"/>
      <c r="C29" s="134"/>
      <c r="D29" s="134">
        <f t="shared" si="15"/>
        <v>96</v>
      </c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>
        <f t="shared" si="10"/>
        <v>0</v>
      </c>
      <c r="T29" s="136">
        <f t="shared" si="11"/>
        <v>0</v>
      </c>
      <c r="U29" s="136">
        <f>E29-T29</f>
        <v>0</v>
      </c>
      <c r="V29" s="136"/>
    </row>
    <row r="30" spans="1:22" hidden="1" x14ac:dyDescent="0.4">
      <c r="A30" s="132">
        <v>14</v>
      </c>
      <c r="B30" s="134"/>
      <c r="C30" s="134"/>
      <c r="D30" s="134">
        <f t="shared" si="15"/>
        <v>96</v>
      </c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>
        <f t="shared" si="10"/>
        <v>0</v>
      </c>
      <c r="T30" s="136">
        <f t="shared" si="11"/>
        <v>0</v>
      </c>
      <c r="U30" s="136">
        <f t="shared" si="16"/>
        <v>0</v>
      </c>
      <c r="V30" s="136"/>
    </row>
    <row r="31" spans="1:22" s="129" customFormat="1" x14ac:dyDescent="0.4">
      <c r="A31" s="137"/>
      <c r="B31" s="138" t="s">
        <v>87</v>
      </c>
      <c r="C31" s="138"/>
      <c r="D31" s="138"/>
      <c r="E31" s="139">
        <f>SUM(E17:E30)</f>
        <v>0</v>
      </c>
      <c r="F31" s="139">
        <f>SUM(F17:F30)</f>
        <v>0</v>
      </c>
      <c r="G31" s="139">
        <f t="shared" ref="G31:T31" si="17">SUM(G17:G30)</f>
        <v>0</v>
      </c>
      <c r="H31" s="139">
        <f t="shared" si="17"/>
        <v>0</v>
      </c>
      <c r="I31" s="139">
        <f t="shared" si="17"/>
        <v>0</v>
      </c>
      <c r="J31" s="139">
        <f t="shared" si="17"/>
        <v>0</v>
      </c>
      <c r="K31" s="139">
        <f t="shared" si="17"/>
        <v>0</v>
      </c>
      <c r="L31" s="139">
        <f t="shared" si="17"/>
        <v>0</v>
      </c>
      <c r="M31" s="139">
        <f t="shared" si="17"/>
        <v>0</v>
      </c>
      <c r="N31" s="139">
        <f t="shared" si="17"/>
        <v>0</v>
      </c>
      <c r="O31" s="139">
        <f t="shared" si="17"/>
        <v>0</v>
      </c>
      <c r="P31" s="139">
        <f t="shared" si="17"/>
        <v>0</v>
      </c>
      <c r="Q31" s="139">
        <f t="shared" ref="Q31" si="18">SUM(Q17:Q30)</f>
        <v>0</v>
      </c>
      <c r="R31" s="139">
        <f t="shared" si="17"/>
        <v>0</v>
      </c>
      <c r="S31" s="139">
        <f t="shared" si="17"/>
        <v>0</v>
      </c>
      <c r="T31" s="139">
        <f t="shared" si="17"/>
        <v>0</v>
      </c>
      <c r="U31" s="139">
        <f>SUM(U17:U30)</f>
        <v>0</v>
      </c>
      <c r="V31" s="139"/>
    </row>
    <row r="32" spans="1:22" x14ac:dyDescent="0.4">
      <c r="A32" s="132"/>
      <c r="B32" s="134"/>
      <c r="C32" s="134"/>
      <c r="D32" s="134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</row>
    <row r="33" spans="1:23" x14ac:dyDescent="0.4">
      <c r="A33" s="132"/>
      <c r="B33" s="133" t="s">
        <v>292</v>
      </c>
      <c r="C33" s="134"/>
      <c r="D33" s="134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</row>
    <row r="34" spans="1:23" x14ac:dyDescent="0.4">
      <c r="A34" s="132">
        <v>1</v>
      </c>
      <c r="B34" s="134"/>
      <c r="C34" s="140"/>
      <c r="D34" s="134">
        <f t="shared" ref="D34:D41" si="19">8*12</f>
        <v>96</v>
      </c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>
        <f t="shared" ref="S34" si="20">SUM(G34:R34)</f>
        <v>0</v>
      </c>
      <c r="T34" s="136">
        <f t="shared" ref="T34" si="21">S34+F34</f>
        <v>0</v>
      </c>
      <c r="U34" s="136">
        <f t="shared" ref="U34:U41" si="22">E34-T34</f>
        <v>0</v>
      </c>
      <c r="V34" s="136"/>
      <c r="W34" s="141"/>
    </row>
    <row r="35" spans="1:23" x14ac:dyDescent="0.4">
      <c r="A35" s="132">
        <v>2</v>
      </c>
      <c r="B35" s="134"/>
      <c r="C35" s="140"/>
      <c r="D35" s="134">
        <f t="shared" si="19"/>
        <v>96</v>
      </c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>
        <f t="shared" ref="S35:S41" si="23">SUM(G35:R35)</f>
        <v>0</v>
      </c>
      <c r="T35" s="136">
        <f t="shared" ref="T35:T41" si="24">S35+F35</f>
        <v>0</v>
      </c>
      <c r="U35" s="136">
        <f t="shared" si="22"/>
        <v>0</v>
      </c>
      <c r="V35" s="136"/>
      <c r="W35" s="141"/>
    </row>
    <row r="36" spans="1:23" x14ac:dyDescent="0.4">
      <c r="A36" s="132">
        <v>3</v>
      </c>
      <c r="B36" s="134"/>
      <c r="C36" s="140"/>
      <c r="D36" s="134">
        <f t="shared" si="19"/>
        <v>96</v>
      </c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>
        <f t="shared" si="23"/>
        <v>0</v>
      </c>
      <c r="T36" s="136">
        <f t="shared" si="24"/>
        <v>0</v>
      </c>
      <c r="U36" s="136">
        <f t="shared" si="22"/>
        <v>0</v>
      </c>
      <c r="V36" s="136"/>
      <c r="W36" s="141"/>
    </row>
    <row r="37" spans="1:23" hidden="1" x14ac:dyDescent="0.4">
      <c r="A37" s="132">
        <v>4</v>
      </c>
      <c r="B37" s="134"/>
      <c r="C37" s="140"/>
      <c r="D37" s="134">
        <f t="shared" si="19"/>
        <v>96</v>
      </c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>
        <f t="shared" si="23"/>
        <v>0</v>
      </c>
      <c r="T37" s="136">
        <f t="shared" si="24"/>
        <v>0</v>
      </c>
      <c r="U37" s="136">
        <f t="shared" si="22"/>
        <v>0</v>
      </c>
      <c r="V37" s="136"/>
      <c r="W37" s="141"/>
    </row>
    <row r="38" spans="1:23" hidden="1" x14ac:dyDescent="0.4">
      <c r="A38" s="132">
        <v>5</v>
      </c>
      <c r="B38" s="134"/>
      <c r="C38" s="140"/>
      <c r="D38" s="134">
        <f t="shared" si="19"/>
        <v>96</v>
      </c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>
        <f t="shared" si="23"/>
        <v>0</v>
      </c>
      <c r="T38" s="136">
        <f t="shared" si="24"/>
        <v>0</v>
      </c>
      <c r="U38" s="136">
        <f t="shared" si="22"/>
        <v>0</v>
      </c>
      <c r="V38" s="136"/>
    </row>
    <row r="39" spans="1:23" hidden="1" x14ac:dyDescent="0.4">
      <c r="A39" s="132">
        <v>6</v>
      </c>
      <c r="B39" s="134"/>
      <c r="C39" s="140"/>
      <c r="D39" s="134">
        <f t="shared" si="19"/>
        <v>96</v>
      </c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>
        <f t="shared" si="23"/>
        <v>0</v>
      </c>
      <c r="T39" s="136">
        <f t="shared" si="24"/>
        <v>0</v>
      </c>
      <c r="U39" s="136">
        <f t="shared" si="22"/>
        <v>0</v>
      </c>
      <c r="V39" s="136"/>
    </row>
    <row r="40" spans="1:23" hidden="1" x14ac:dyDescent="0.4">
      <c r="A40" s="132">
        <v>7</v>
      </c>
      <c r="B40" s="134"/>
      <c r="C40" s="140"/>
      <c r="D40" s="134">
        <f t="shared" si="19"/>
        <v>96</v>
      </c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>
        <f t="shared" si="23"/>
        <v>0</v>
      </c>
      <c r="T40" s="136">
        <f t="shared" si="24"/>
        <v>0</v>
      </c>
      <c r="U40" s="136">
        <f t="shared" si="22"/>
        <v>0</v>
      </c>
      <c r="V40" s="136"/>
    </row>
    <row r="41" spans="1:23" hidden="1" x14ac:dyDescent="0.4">
      <c r="A41" s="132">
        <v>8</v>
      </c>
      <c r="B41" s="134"/>
      <c r="C41" s="134"/>
      <c r="D41" s="134">
        <f t="shared" si="19"/>
        <v>96</v>
      </c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>
        <f t="shared" si="23"/>
        <v>0</v>
      </c>
      <c r="T41" s="136">
        <f t="shared" si="24"/>
        <v>0</v>
      </c>
      <c r="U41" s="136">
        <f t="shared" si="22"/>
        <v>0</v>
      </c>
      <c r="V41" s="136"/>
    </row>
    <row r="42" spans="1:23" s="129" customFormat="1" x14ac:dyDescent="0.4">
      <c r="A42" s="137"/>
      <c r="B42" s="138" t="s">
        <v>293</v>
      </c>
      <c r="C42" s="138"/>
      <c r="D42" s="138"/>
      <c r="E42" s="139">
        <f t="shared" ref="E42:U42" si="25">SUM(E34:E41)</f>
        <v>0</v>
      </c>
      <c r="F42" s="139">
        <f t="shared" si="25"/>
        <v>0</v>
      </c>
      <c r="G42" s="139">
        <f t="shared" si="25"/>
        <v>0</v>
      </c>
      <c r="H42" s="139">
        <f t="shared" si="25"/>
        <v>0</v>
      </c>
      <c r="I42" s="139">
        <f t="shared" si="25"/>
        <v>0</v>
      </c>
      <c r="J42" s="139">
        <f t="shared" si="25"/>
        <v>0</v>
      </c>
      <c r="K42" s="139">
        <f t="shared" si="25"/>
        <v>0</v>
      </c>
      <c r="L42" s="139">
        <f t="shared" si="25"/>
        <v>0</v>
      </c>
      <c r="M42" s="139">
        <f t="shared" si="25"/>
        <v>0</v>
      </c>
      <c r="N42" s="139">
        <f t="shared" si="25"/>
        <v>0</v>
      </c>
      <c r="O42" s="139">
        <f t="shared" si="25"/>
        <v>0</v>
      </c>
      <c r="P42" s="139">
        <f t="shared" si="25"/>
        <v>0</v>
      </c>
      <c r="Q42" s="139">
        <f t="shared" ref="Q42" si="26">SUM(Q34:Q41)</f>
        <v>0</v>
      </c>
      <c r="R42" s="139">
        <f t="shared" si="25"/>
        <v>0</v>
      </c>
      <c r="S42" s="139">
        <f t="shared" si="25"/>
        <v>0</v>
      </c>
      <c r="T42" s="139">
        <f t="shared" si="25"/>
        <v>0</v>
      </c>
      <c r="U42" s="139">
        <f t="shared" si="25"/>
        <v>0</v>
      </c>
      <c r="V42" s="139"/>
    </row>
    <row r="43" spans="1:23" x14ac:dyDescent="0.4">
      <c r="A43" s="132"/>
      <c r="B43" s="134"/>
      <c r="C43" s="134"/>
      <c r="D43" s="134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</row>
    <row r="44" spans="1:23" x14ac:dyDescent="0.4">
      <c r="A44" s="132"/>
      <c r="B44" s="133" t="s">
        <v>8</v>
      </c>
      <c r="C44" s="134"/>
      <c r="D44" s="134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</row>
    <row r="45" spans="1:23" x14ac:dyDescent="0.4">
      <c r="A45" s="132">
        <v>1</v>
      </c>
      <c r="B45" s="134"/>
      <c r="C45" s="140"/>
      <c r="D45" s="134">
        <f t="shared" ref="D45:D82" si="27">4*12</f>
        <v>48</v>
      </c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>
        <f>SUM(G45:R45)</f>
        <v>0</v>
      </c>
      <c r="T45" s="136">
        <f>S45+F45</f>
        <v>0</v>
      </c>
      <c r="U45" s="136">
        <f>E45-T45</f>
        <v>0</v>
      </c>
      <c r="V45" s="136"/>
    </row>
    <row r="46" spans="1:23" x14ac:dyDescent="0.4">
      <c r="A46" s="132">
        <v>2</v>
      </c>
      <c r="B46" s="134"/>
      <c r="C46" s="140"/>
      <c r="D46" s="134">
        <f t="shared" si="27"/>
        <v>48</v>
      </c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>
        <f t="shared" ref="S46" si="28">SUM(G46:R46)</f>
        <v>0</v>
      </c>
      <c r="T46" s="136">
        <f t="shared" ref="T46" si="29">S46+F46</f>
        <v>0</v>
      </c>
      <c r="U46" s="136">
        <f t="shared" ref="U46:U68" si="30">E46-T46</f>
        <v>0</v>
      </c>
      <c r="V46" s="136"/>
    </row>
    <row r="47" spans="1:23" x14ac:dyDescent="0.4">
      <c r="A47" s="132">
        <v>3</v>
      </c>
      <c r="B47" s="134"/>
      <c r="C47" s="140"/>
      <c r="D47" s="134">
        <f t="shared" si="27"/>
        <v>48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>
        <f t="shared" ref="S47:S81" si="31">SUM(G47:R47)</f>
        <v>0</v>
      </c>
      <c r="T47" s="136">
        <f t="shared" ref="T47:T81" si="32">S47+F47</f>
        <v>0</v>
      </c>
      <c r="U47" s="136">
        <f t="shared" si="30"/>
        <v>0</v>
      </c>
      <c r="V47" s="136"/>
    </row>
    <row r="48" spans="1:23" x14ac:dyDescent="0.4">
      <c r="A48" s="132">
        <v>4</v>
      </c>
      <c r="B48" s="134"/>
      <c r="C48" s="140"/>
      <c r="D48" s="134">
        <f t="shared" si="27"/>
        <v>48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>
        <f t="shared" si="31"/>
        <v>0</v>
      </c>
      <c r="T48" s="136">
        <f t="shared" si="32"/>
        <v>0</v>
      </c>
      <c r="U48" s="136">
        <f t="shared" si="30"/>
        <v>0</v>
      </c>
      <c r="V48" s="136"/>
    </row>
    <row r="49" spans="1:22" x14ac:dyDescent="0.4">
      <c r="A49" s="132">
        <v>5</v>
      </c>
      <c r="B49" s="134"/>
      <c r="C49" s="140"/>
      <c r="D49" s="134">
        <f t="shared" si="27"/>
        <v>48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>
        <f t="shared" si="31"/>
        <v>0</v>
      </c>
      <c r="T49" s="136">
        <f t="shared" si="32"/>
        <v>0</v>
      </c>
      <c r="U49" s="136">
        <f t="shared" si="30"/>
        <v>0</v>
      </c>
      <c r="V49" s="136"/>
    </row>
    <row r="50" spans="1:22" x14ac:dyDescent="0.4">
      <c r="A50" s="132">
        <v>6</v>
      </c>
      <c r="B50" s="134"/>
      <c r="C50" s="140"/>
      <c r="D50" s="134">
        <f t="shared" si="27"/>
        <v>48</v>
      </c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>
        <f t="shared" si="31"/>
        <v>0</v>
      </c>
      <c r="T50" s="136">
        <f t="shared" si="32"/>
        <v>0</v>
      </c>
      <c r="U50" s="136">
        <f t="shared" si="30"/>
        <v>0</v>
      </c>
      <c r="V50" s="136"/>
    </row>
    <row r="51" spans="1:22" x14ac:dyDescent="0.4">
      <c r="A51" s="132">
        <v>7</v>
      </c>
      <c r="B51" s="134"/>
      <c r="C51" s="140"/>
      <c r="D51" s="134">
        <f t="shared" si="27"/>
        <v>48</v>
      </c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>
        <f t="shared" si="31"/>
        <v>0</v>
      </c>
      <c r="T51" s="136">
        <f t="shared" si="32"/>
        <v>0</v>
      </c>
      <c r="U51" s="136">
        <f t="shared" si="30"/>
        <v>0</v>
      </c>
      <c r="V51" s="136"/>
    </row>
    <row r="52" spans="1:22" x14ac:dyDescent="0.4">
      <c r="A52" s="132">
        <v>8</v>
      </c>
      <c r="B52" s="134"/>
      <c r="C52" s="140"/>
      <c r="D52" s="134">
        <f t="shared" si="27"/>
        <v>48</v>
      </c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>
        <f t="shared" si="31"/>
        <v>0</v>
      </c>
      <c r="T52" s="136">
        <f t="shared" si="32"/>
        <v>0</v>
      </c>
      <c r="U52" s="136">
        <f t="shared" si="30"/>
        <v>0</v>
      </c>
      <c r="V52" s="136"/>
    </row>
    <row r="53" spans="1:22" x14ac:dyDescent="0.4">
      <c r="A53" s="132">
        <v>9</v>
      </c>
      <c r="B53" s="134"/>
      <c r="C53" s="140"/>
      <c r="D53" s="134">
        <f t="shared" si="27"/>
        <v>48</v>
      </c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>
        <f t="shared" si="31"/>
        <v>0</v>
      </c>
      <c r="T53" s="136">
        <f t="shared" si="32"/>
        <v>0</v>
      </c>
      <c r="U53" s="136">
        <f t="shared" si="30"/>
        <v>0</v>
      </c>
      <c r="V53" s="136"/>
    </row>
    <row r="54" spans="1:22" x14ac:dyDescent="0.4">
      <c r="A54" s="132">
        <v>10</v>
      </c>
      <c r="B54" s="134"/>
      <c r="C54" s="140"/>
      <c r="D54" s="134">
        <f t="shared" si="27"/>
        <v>48</v>
      </c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>
        <f t="shared" si="31"/>
        <v>0</v>
      </c>
      <c r="T54" s="136">
        <f t="shared" si="32"/>
        <v>0</v>
      </c>
      <c r="U54" s="136">
        <f t="shared" si="30"/>
        <v>0</v>
      </c>
      <c r="V54" s="136"/>
    </row>
    <row r="55" spans="1:22" x14ac:dyDescent="0.4">
      <c r="A55" s="132">
        <v>11</v>
      </c>
      <c r="B55" s="134"/>
      <c r="C55" s="140"/>
      <c r="D55" s="134">
        <f t="shared" si="27"/>
        <v>48</v>
      </c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>
        <f t="shared" si="31"/>
        <v>0</v>
      </c>
      <c r="T55" s="136">
        <f t="shared" si="32"/>
        <v>0</v>
      </c>
      <c r="U55" s="136">
        <f t="shared" si="30"/>
        <v>0</v>
      </c>
      <c r="V55" s="136"/>
    </row>
    <row r="56" spans="1:22" x14ac:dyDescent="0.4">
      <c r="A56" s="132">
        <v>12</v>
      </c>
      <c r="B56" s="134"/>
      <c r="C56" s="140"/>
      <c r="D56" s="134">
        <f t="shared" si="27"/>
        <v>48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>
        <f t="shared" si="31"/>
        <v>0</v>
      </c>
      <c r="T56" s="136">
        <f t="shared" si="32"/>
        <v>0</v>
      </c>
      <c r="U56" s="136">
        <f t="shared" ref="U56:U66" si="33">E56-T56</f>
        <v>0</v>
      </c>
      <c r="V56" s="136"/>
    </row>
    <row r="57" spans="1:22" x14ac:dyDescent="0.4">
      <c r="A57" s="132">
        <v>13</v>
      </c>
      <c r="B57" s="134"/>
      <c r="C57" s="140"/>
      <c r="D57" s="134">
        <f t="shared" si="27"/>
        <v>48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>
        <f t="shared" si="31"/>
        <v>0</v>
      </c>
      <c r="T57" s="136">
        <f t="shared" si="32"/>
        <v>0</v>
      </c>
      <c r="U57" s="136">
        <f t="shared" si="33"/>
        <v>0</v>
      </c>
      <c r="V57" s="136"/>
    </row>
    <row r="58" spans="1:22" x14ac:dyDescent="0.4">
      <c r="A58" s="132">
        <v>14</v>
      </c>
      <c r="B58" s="134"/>
      <c r="C58" s="140"/>
      <c r="D58" s="134">
        <f t="shared" si="27"/>
        <v>48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>
        <f t="shared" si="31"/>
        <v>0</v>
      </c>
      <c r="T58" s="136">
        <f t="shared" si="32"/>
        <v>0</v>
      </c>
      <c r="U58" s="136">
        <f t="shared" si="33"/>
        <v>0</v>
      </c>
      <c r="V58" s="136"/>
    </row>
    <row r="59" spans="1:22" x14ac:dyDescent="0.4">
      <c r="A59" s="132">
        <v>15</v>
      </c>
      <c r="B59" s="134"/>
      <c r="C59" s="140"/>
      <c r="D59" s="134">
        <f t="shared" si="27"/>
        <v>48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>
        <f t="shared" si="31"/>
        <v>0</v>
      </c>
      <c r="T59" s="136">
        <f t="shared" si="32"/>
        <v>0</v>
      </c>
      <c r="U59" s="136">
        <f t="shared" si="33"/>
        <v>0</v>
      </c>
      <c r="V59" s="136"/>
    </row>
    <row r="60" spans="1:22" x14ac:dyDescent="0.4">
      <c r="A60" s="132">
        <v>16</v>
      </c>
      <c r="B60" s="134"/>
      <c r="C60" s="140"/>
      <c r="D60" s="134">
        <f t="shared" si="27"/>
        <v>48</v>
      </c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>
        <f t="shared" si="31"/>
        <v>0</v>
      </c>
      <c r="T60" s="136">
        <f t="shared" si="32"/>
        <v>0</v>
      </c>
      <c r="U60" s="136">
        <f t="shared" si="33"/>
        <v>0</v>
      </c>
      <c r="V60" s="136"/>
    </row>
    <row r="61" spans="1:22" x14ac:dyDescent="0.4">
      <c r="A61" s="132">
        <v>17</v>
      </c>
      <c r="B61" s="134"/>
      <c r="C61" s="140"/>
      <c r="D61" s="134">
        <f t="shared" si="27"/>
        <v>48</v>
      </c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>
        <f t="shared" si="31"/>
        <v>0</v>
      </c>
      <c r="T61" s="136">
        <f t="shared" si="32"/>
        <v>0</v>
      </c>
      <c r="U61" s="136">
        <f t="shared" si="33"/>
        <v>0</v>
      </c>
      <c r="V61" s="136"/>
    </row>
    <row r="62" spans="1:22" x14ac:dyDescent="0.4">
      <c r="A62" s="132">
        <v>18</v>
      </c>
      <c r="B62" s="134"/>
      <c r="C62" s="140"/>
      <c r="D62" s="134">
        <f t="shared" si="27"/>
        <v>48</v>
      </c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>
        <f t="shared" si="31"/>
        <v>0</v>
      </c>
      <c r="T62" s="136">
        <f t="shared" si="32"/>
        <v>0</v>
      </c>
      <c r="U62" s="136">
        <f t="shared" si="33"/>
        <v>0</v>
      </c>
      <c r="V62" s="136"/>
    </row>
    <row r="63" spans="1:22" x14ac:dyDescent="0.4">
      <c r="A63" s="132">
        <v>19</v>
      </c>
      <c r="B63" s="134"/>
      <c r="C63" s="140"/>
      <c r="D63" s="134">
        <f t="shared" si="27"/>
        <v>48</v>
      </c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>
        <f t="shared" si="31"/>
        <v>0</v>
      </c>
      <c r="T63" s="136">
        <f t="shared" si="32"/>
        <v>0</v>
      </c>
      <c r="U63" s="136">
        <f t="shared" si="33"/>
        <v>0</v>
      </c>
      <c r="V63" s="136"/>
    </row>
    <row r="64" spans="1:22" x14ac:dyDescent="0.4">
      <c r="A64" s="132">
        <v>20</v>
      </c>
      <c r="B64" s="134"/>
      <c r="C64" s="140"/>
      <c r="D64" s="134">
        <f t="shared" si="27"/>
        <v>48</v>
      </c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>
        <f t="shared" si="31"/>
        <v>0</v>
      </c>
      <c r="T64" s="136">
        <f t="shared" si="32"/>
        <v>0</v>
      </c>
      <c r="U64" s="136">
        <f t="shared" si="33"/>
        <v>0</v>
      </c>
      <c r="V64" s="136"/>
    </row>
    <row r="65" spans="1:22" x14ac:dyDescent="0.4">
      <c r="A65" s="132">
        <v>21</v>
      </c>
      <c r="B65" s="134"/>
      <c r="C65" s="140"/>
      <c r="D65" s="134">
        <f t="shared" si="27"/>
        <v>48</v>
      </c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>
        <f t="shared" si="31"/>
        <v>0</v>
      </c>
      <c r="T65" s="136">
        <f t="shared" si="32"/>
        <v>0</v>
      </c>
      <c r="U65" s="136">
        <f t="shared" si="33"/>
        <v>0</v>
      </c>
      <c r="V65" s="136"/>
    </row>
    <row r="66" spans="1:22" x14ac:dyDescent="0.4">
      <c r="A66" s="132">
        <v>22</v>
      </c>
      <c r="B66" s="134"/>
      <c r="C66" s="140"/>
      <c r="D66" s="134">
        <f t="shared" si="27"/>
        <v>48</v>
      </c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>
        <f t="shared" si="31"/>
        <v>0</v>
      </c>
      <c r="T66" s="136">
        <f t="shared" si="32"/>
        <v>0</v>
      </c>
      <c r="U66" s="136">
        <f t="shared" si="33"/>
        <v>0</v>
      </c>
      <c r="V66" s="136"/>
    </row>
    <row r="67" spans="1:22" x14ac:dyDescent="0.4">
      <c r="A67" s="132">
        <v>23</v>
      </c>
      <c r="B67" s="134"/>
      <c r="C67" s="140"/>
      <c r="D67" s="134">
        <f t="shared" si="27"/>
        <v>48</v>
      </c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>
        <f t="shared" si="31"/>
        <v>0</v>
      </c>
      <c r="T67" s="136">
        <f t="shared" si="32"/>
        <v>0</v>
      </c>
      <c r="U67" s="136">
        <f t="shared" si="30"/>
        <v>0</v>
      </c>
      <c r="V67" s="136"/>
    </row>
    <row r="68" spans="1:22" x14ac:dyDescent="0.4">
      <c r="A68" s="132">
        <v>24</v>
      </c>
      <c r="B68" s="134"/>
      <c r="C68" s="140"/>
      <c r="D68" s="134">
        <f t="shared" si="27"/>
        <v>48</v>
      </c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>
        <f t="shared" si="31"/>
        <v>0</v>
      </c>
      <c r="T68" s="136">
        <f t="shared" si="32"/>
        <v>0</v>
      </c>
      <c r="U68" s="136">
        <f t="shared" si="30"/>
        <v>0</v>
      </c>
      <c r="V68" s="136"/>
    </row>
    <row r="69" spans="1:22" x14ac:dyDescent="0.4">
      <c r="A69" s="132">
        <v>25</v>
      </c>
      <c r="B69" s="134"/>
      <c r="C69" s="140"/>
      <c r="D69" s="134">
        <f t="shared" si="27"/>
        <v>48</v>
      </c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>
        <f t="shared" si="31"/>
        <v>0</v>
      </c>
      <c r="T69" s="136">
        <f t="shared" si="32"/>
        <v>0</v>
      </c>
      <c r="U69" s="136">
        <f t="shared" ref="U69:U82" si="34">E69-T69</f>
        <v>0</v>
      </c>
      <c r="V69" s="136"/>
    </row>
    <row r="70" spans="1:22" x14ac:dyDescent="0.4">
      <c r="A70" s="132">
        <v>26</v>
      </c>
      <c r="B70" s="134"/>
      <c r="C70" s="140"/>
      <c r="D70" s="134">
        <f t="shared" si="27"/>
        <v>48</v>
      </c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>
        <f t="shared" si="31"/>
        <v>0</v>
      </c>
      <c r="T70" s="136">
        <f t="shared" si="32"/>
        <v>0</v>
      </c>
      <c r="U70" s="136">
        <f t="shared" si="34"/>
        <v>0</v>
      </c>
      <c r="V70" s="136"/>
    </row>
    <row r="71" spans="1:22" x14ac:dyDescent="0.4">
      <c r="A71" s="132">
        <v>27</v>
      </c>
      <c r="B71" s="134"/>
      <c r="C71" s="140"/>
      <c r="D71" s="134">
        <f t="shared" si="27"/>
        <v>48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>
        <f t="shared" si="31"/>
        <v>0</v>
      </c>
      <c r="T71" s="136">
        <f t="shared" si="32"/>
        <v>0</v>
      </c>
      <c r="U71" s="136">
        <f t="shared" si="34"/>
        <v>0</v>
      </c>
      <c r="V71" s="136"/>
    </row>
    <row r="72" spans="1:22" x14ac:dyDescent="0.4">
      <c r="A72" s="132">
        <v>28</v>
      </c>
      <c r="B72" s="134"/>
      <c r="C72" s="140"/>
      <c r="D72" s="134">
        <f t="shared" si="27"/>
        <v>48</v>
      </c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>
        <f t="shared" si="31"/>
        <v>0</v>
      </c>
      <c r="T72" s="136">
        <f t="shared" si="32"/>
        <v>0</v>
      </c>
      <c r="U72" s="136">
        <f t="shared" ref="U72:U76" si="35">E72-T72</f>
        <v>0</v>
      </c>
      <c r="V72" s="136"/>
    </row>
    <row r="73" spans="1:22" x14ac:dyDescent="0.4">
      <c r="A73" s="132">
        <v>29</v>
      </c>
      <c r="B73" s="134"/>
      <c r="C73" s="140"/>
      <c r="D73" s="134">
        <f t="shared" si="27"/>
        <v>48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>
        <f t="shared" si="31"/>
        <v>0</v>
      </c>
      <c r="T73" s="136">
        <f t="shared" si="32"/>
        <v>0</v>
      </c>
      <c r="U73" s="136">
        <f t="shared" si="35"/>
        <v>0</v>
      </c>
      <c r="V73" s="136"/>
    </row>
    <row r="74" spans="1:22" x14ac:dyDescent="0.4">
      <c r="A74" s="132">
        <v>30</v>
      </c>
      <c r="B74" s="134"/>
      <c r="C74" s="140"/>
      <c r="D74" s="134">
        <f t="shared" si="27"/>
        <v>48</v>
      </c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>
        <f t="shared" si="31"/>
        <v>0</v>
      </c>
      <c r="T74" s="136">
        <f t="shared" si="32"/>
        <v>0</v>
      </c>
      <c r="U74" s="136">
        <f t="shared" si="35"/>
        <v>0</v>
      </c>
      <c r="V74" s="136"/>
    </row>
    <row r="75" spans="1:22" x14ac:dyDescent="0.4">
      <c r="A75" s="132">
        <v>31</v>
      </c>
      <c r="B75" s="134"/>
      <c r="C75" s="140"/>
      <c r="D75" s="134">
        <f t="shared" si="27"/>
        <v>48</v>
      </c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>
        <f t="shared" si="31"/>
        <v>0</v>
      </c>
      <c r="T75" s="136">
        <f t="shared" si="32"/>
        <v>0</v>
      </c>
      <c r="U75" s="136">
        <f t="shared" si="35"/>
        <v>0</v>
      </c>
      <c r="V75" s="136"/>
    </row>
    <row r="76" spans="1:22" x14ac:dyDescent="0.4">
      <c r="A76" s="132">
        <v>32</v>
      </c>
      <c r="B76" s="134"/>
      <c r="C76" s="140"/>
      <c r="D76" s="134">
        <f t="shared" si="27"/>
        <v>48</v>
      </c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>
        <f t="shared" si="31"/>
        <v>0</v>
      </c>
      <c r="T76" s="136">
        <f t="shared" si="32"/>
        <v>0</v>
      </c>
      <c r="U76" s="136">
        <f t="shared" si="35"/>
        <v>0</v>
      </c>
      <c r="V76" s="136"/>
    </row>
    <row r="77" spans="1:22" x14ac:dyDescent="0.4">
      <c r="A77" s="132">
        <v>33</v>
      </c>
      <c r="B77" s="134"/>
      <c r="C77" s="140"/>
      <c r="D77" s="134">
        <f t="shared" si="27"/>
        <v>48</v>
      </c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>
        <f t="shared" si="31"/>
        <v>0</v>
      </c>
      <c r="T77" s="136">
        <f t="shared" si="32"/>
        <v>0</v>
      </c>
      <c r="U77" s="136">
        <f t="shared" si="34"/>
        <v>0</v>
      </c>
      <c r="V77" s="136"/>
    </row>
    <row r="78" spans="1:22" x14ac:dyDescent="0.4">
      <c r="A78" s="132">
        <v>34</v>
      </c>
      <c r="B78" s="134"/>
      <c r="C78" s="140"/>
      <c r="D78" s="134">
        <f t="shared" si="27"/>
        <v>48</v>
      </c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>
        <f t="shared" si="31"/>
        <v>0</v>
      </c>
      <c r="T78" s="136">
        <f t="shared" si="32"/>
        <v>0</v>
      </c>
      <c r="U78" s="136">
        <f t="shared" si="34"/>
        <v>0</v>
      </c>
      <c r="V78" s="136"/>
    </row>
    <row r="79" spans="1:22" x14ac:dyDescent="0.4">
      <c r="A79" s="132">
        <v>35</v>
      </c>
      <c r="B79" s="134"/>
      <c r="C79" s="140"/>
      <c r="D79" s="134">
        <f t="shared" si="27"/>
        <v>48</v>
      </c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>
        <f t="shared" si="31"/>
        <v>0</v>
      </c>
      <c r="T79" s="136">
        <f t="shared" si="32"/>
        <v>0</v>
      </c>
      <c r="U79" s="136">
        <f t="shared" si="34"/>
        <v>0</v>
      </c>
      <c r="V79" s="136"/>
    </row>
    <row r="80" spans="1:22" x14ac:dyDescent="0.4">
      <c r="A80" s="132">
        <v>36</v>
      </c>
      <c r="B80" s="134"/>
      <c r="C80" s="140"/>
      <c r="D80" s="134">
        <f t="shared" si="27"/>
        <v>48</v>
      </c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>
        <f t="shared" si="31"/>
        <v>0</v>
      </c>
      <c r="T80" s="136">
        <f t="shared" si="32"/>
        <v>0</v>
      </c>
      <c r="U80" s="136">
        <f t="shared" si="34"/>
        <v>0</v>
      </c>
      <c r="V80" s="136"/>
    </row>
    <row r="81" spans="1:22" x14ac:dyDescent="0.4">
      <c r="A81" s="132">
        <v>37</v>
      </c>
      <c r="B81" s="134"/>
      <c r="C81" s="140"/>
      <c r="D81" s="134">
        <f t="shared" si="27"/>
        <v>48</v>
      </c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>
        <f t="shared" si="31"/>
        <v>0</v>
      </c>
      <c r="T81" s="136">
        <f t="shared" si="32"/>
        <v>0</v>
      </c>
      <c r="U81" s="136">
        <f t="shared" si="34"/>
        <v>0</v>
      </c>
      <c r="V81" s="136"/>
    </row>
    <row r="82" spans="1:22" x14ac:dyDescent="0.4">
      <c r="A82" s="132">
        <v>38</v>
      </c>
      <c r="B82" s="134"/>
      <c r="C82" s="134"/>
      <c r="D82" s="134">
        <f t="shared" si="27"/>
        <v>48</v>
      </c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>
        <f t="shared" si="34"/>
        <v>0</v>
      </c>
      <c r="V82" s="136"/>
    </row>
    <row r="83" spans="1:22" s="129" customFormat="1" x14ac:dyDescent="0.4">
      <c r="A83" s="137"/>
      <c r="B83" s="138" t="s">
        <v>16</v>
      </c>
      <c r="C83" s="138"/>
      <c r="D83" s="138"/>
      <c r="E83" s="139">
        <f t="shared" ref="E83:R83" si="36">SUM(E45:E82)</f>
        <v>0</v>
      </c>
      <c r="F83" s="139">
        <f t="shared" si="36"/>
        <v>0</v>
      </c>
      <c r="G83" s="139">
        <f t="shared" si="36"/>
        <v>0</v>
      </c>
      <c r="H83" s="139">
        <f t="shared" si="36"/>
        <v>0</v>
      </c>
      <c r="I83" s="139">
        <f t="shared" si="36"/>
        <v>0</v>
      </c>
      <c r="J83" s="139">
        <f t="shared" si="36"/>
        <v>0</v>
      </c>
      <c r="K83" s="139">
        <f t="shared" si="36"/>
        <v>0</v>
      </c>
      <c r="L83" s="139">
        <f t="shared" si="36"/>
        <v>0</v>
      </c>
      <c r="M83" s="139">
        <f>SUM(M45:M82)</f>
        <v>0</v>
      </c>
      <c r="N83" s="139">
        <f t="shared" si="36"/>
        <v>0</v>
      </c>
      <c r="O83" s="139">
        <f t="shared" si="36"/>
        <v>0</v>
      </c>
      <c r="P83" s="139">
        <f t="shared" si="36"/>
        <v>0</v>
      </c>
      <c r="Q83" s="139">
        <f t="shared" ref="Q83" si="37">SUM(Q45:Q82)</f>
        <v>0</v>
      </c>
      <c r="R83" s="139">
        <f t="shared" si="36"/>
        <v>0</v>
      </c>
      <c r="S83" s="139">
        <f>SUM(S45:S82)</f>
        <v>0</v>
      </c>
      <c r="T83" s="139">
        <f>SUM(T45:T82)</f>
        <v>0</v>
      </c>
      <c r="U83" s="139">
        <f>SUM(U45:U82)</f>
        <v>0</v>
      </c>
      <c r="V83" s="139"/>
    </row>
    <row r="84" spans="1:22" x14ac:dyDescent="0.4">
      <c r="A84" s="132"/>
      <c r="B84" s="134"/>
      <c r="C84" s="134"/>
      <c r="D84" s="134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</row>
    <row r="85" spans="1:22" x14ac:dyDescent="0.4">
      <c r="A85" s="132"/>
      <c r="B85" s="134"/>
      <c r="C85" s="134"/>
      <c r="D85" s="134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</row>
    <row r="86" spans="1:22" s="129" customFormat="1" x14ac:dyDescent="0.4">
      <c r="A86" s="142"/>
      <c r="B86" s="133" t="s">
        <v>5</v>
      </c>
      <c r="C86" s="133"/>
      <c r="D86" s="133"/>
      <c r="E86" s="143">
        <f>E14+E31+E42+E83</f>
        <v>0</v>
      </c>
      <c r="F86" s="143">
        <f t="shared" ref="F86:U86" si="38">F14+F31+F42+F83</f>
        <v>0</v>
      </c>
      <c r="G86" s="143">
        <f t="shared" si="38"/>
        <v>0</v>
      </c>
      <c r="H86" s="143">
        <f t="shared" si="38"/>
        <v>0</v>
      </c>
      <c r="I86" s="143">
        <f t="shared" si="38"/>
        <v>0</v>
      </c>
      <c r="J86" s="143">
        <f t="shared" si="38"/>
        <v>0</v>
      </c>
      <c r="K86" s="143">
        <f t="shared" si="38"/>
        <v>0</v>
      </c>
      <c r="L86" s="143">
        <f t="shared" si="38"/>
        <v>0</v>
      </c>
      <c r="M86" s="143">
        <f>M14+M31+M42+M83</f>
        <v>0</v>
      </c>
      <c r="N86" s="143">
        <f t="shared" si="38"/>
        <v>0</v>
      </c>
      <c r="O86" s="143">
        <f t="shared" si="38"/>
        <v>0</v>
      </c>
      <c r="P86" s="143">
        <f t="shared" si="38"/>
        <v>0</v>
      </c>
      <c r="Q86" s="143">
        <f t="shared" ref="Q86" si="39">Q14+Q31+Q42+Q83</f>
        <v>0</v>
      </c>
      <c r="R86" s="143">
        <f t="shared" si="38"/>
        <v>0</v>
      </c>
      <c r="S86" s="143">
        <f t="shared" si="38"/>
        <v>0</v>
      </c>
      <c r="T86" s="143">
        <f t="shared" si="38"/>
        <v>0</v>
      </c>
      <c r="U86" s="143">
        <f t="shared" si="38"/>
        <v>0</v>
      </c>
      <c r="V86" s="143"/>
    </row>
    <row r="88" spans="1:22" x14ac:dyDescent="0.4">
      <c r="T88" s="145" t="s">
        <v>194</v>
      </c>
    </row>
    <row r="89" spans="1:22" x14ac:dyDescent="0.4">
      <c r="T89" s="146"/>
    </row>
    <row r="90" spans="1:22" x14ac:dyDescent="0.4">
      <c r="T90" s="146"/>
    </row>
    <row r="91" spans="1:22" x14ac:dyDescent="0.4">
      <c r="T91" s="146"/>
    </row>
    <row r="92" spans="1:22" x14ac:dyDescent="0.4">
      <c r="T92" s="146"/>
    </row>
    <row r="93" spans="1:22" x14ac:dyDescent="0.4">
      <c r="T93" s="147" t="s">
        <v>195</v>
      </c>
    </row>
    <row r="94" spans="1:22" x14ac:dyDescent="0.4">
      <c r="T94" s="146" t="s">
        <v>119</v>
      </c>
    </row>
  </sheetData>
  <mergeCells count="10">
    <mergeCell ref="S3:S4"/>
    <mergeCell ref="T3:T4"/>
    <mergeCell ref="U3:U4"/>
    <mergeCell ref="V3:V4"/>
    <mergeCell ref="A3:A4"/>
    <mergeCell ref="B3:B4"/>
    <mergeCell ref="C3:C4"/>
    <mergeCell ref="D3:D4"/>
    <mergeCell ref="E3:E4"/>
    <mergeCell ref="F3:R3"/>
  </mergeCells>
  <pageMargins left="0.7" right="0.7" top="0.75" bottom="0.75" header="0.3" footer="0.3"/>
  <pageSetup paperSize="9" scale="6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:L47"/>
  <sheetViews>
    <sheetView showGridLines="0" zoomScale="110" zoomScaleNormal="110" workbookViewId="0">
      <selection activeCell="D26" sqref="D26"/>
    </sheetView>
  </sheetViews>
  <sheetFormatPr defaultColWidth="8.6328125" defaultRowHeight="14" x14ac:dyDescent="0.4"/>
  <cols>
    <col min="1" max="1" width="5.6328125" style="88" customWidth="1"/>
    <col min="2" max="2" width="30.36328125" style="148" customWidth="1"/>
    <col min="3" max="3" width="5.36328125" style="88" customWidth="1"/>
    <col min="4" max="4" width="15.6328125" style="146" customWidth="1"/>
    <col min="5" max="5" width="16.36328125" style="88" customWidth="1"/>
    <col min="6" max="6" width="5.90625" style="88" customWidth="1"/>
    <col min="7" max="7" width="5.36328125" style="88" customWidth="1"/>
    <col min="8" max="8" width="3.90625" style="88" customWidth="1"/>
    <col min="9" max="9" width="4.54296875" style="90" customWidth="1"/>
    <col min="10" max="10" width="31.6328125" style="90" customWidth="1"/>
    <col min="11" max="11" width="13.54296875" style="90" customWidth="1"/>
    <col min="12" max="12" width="13.08984375" style="88" customWidth="1"/>
    <col min="13" max="16384" width="8.6328125" style="88"/>
  </cols>
  <sheetData>
    <row r="1" spans="1:12" ht="5.75" customHeight="1" thickBot="1" x14ac:dyDescent="0.45"/>
    <row r="2" spans="1:12" ht="18.5" customHeight="1" x14ac:dyDescent="0.4">
      <c r="A2" s="200"/>
      <c r="B2" s="331" t="s">
        <v>7</v>
      </c>
      <c r="C2" s="331"/>
      <c r="D2" s="331"/>
      <c r="E2" s="331"/>
      <c r="F2" s="201"/>
      <c r="G2" s="149"/>
      <c r="I2" s="150"/>
      <c r="J2" s="150"/>
      <c r="K2" s="150"/>
    </row>
    <row r="3" spans="1:12" x14ac:dyDescent="0.4">
      <c r="A3" s="202"/>
      <c r="B3" s="332" t="str">
        <f>KAS!B2:H2</f>
        <v xml:space="preserve">PT EDU MEDIA DIGITAL </v>
      </c>
      <c r="C3" s="332"/>
      <c r="D3" s="332"/>
      <c r="E3" s="332"/>
      <c r="F3" s="203"/>
      <c r="G3" s="149"/>
    </row>
    <row r="4" spans="1:12" ht="21.5" customHeight="1" x14ac:dyDescent="0.4">
      <c r="A4" s="202"/>
      <c r="B4" s="333" t="str">
        <f>'BANK 4'!B3</f>
        <v>2026</v>
      </c>
      <c r="C4" s="333"/>
      <c r="D4" s="333"/>
      <c r="E4" s="333"/>
      <c r="F4" s="204"/>
      <c r="G4" s="151"/>
    </row>
    <row r="5" spans="1:12" ht="16.25" customHeight="1" x14ac:dyDescent="0.4">
      <c r="A5" s="152"/>
      <c r="F5" s="153"/>
    </row>
    <row r="6" spans="1:12" ht="16.25" customHeight="1" x14ac:dyDescent="0.4">
      <c r="A6" s="152"/>
      <c r="B6" s="154" t="s">
        <v>17</v>
      </c>
      <c r="C6" s="155"/>
      <c r="F6" s="153"/>
    </row>
    <row r="7" spans="1:12" ht="16.25" customHeight="1" x14ac:dyDescent="0.4">
      <c r="A7" s="152"/>
      <c r="B7" s="229" t="s">
        <v>17</v>
      </c>
      <c r="C7" s="230" t="s">
        <v>17</v>
      </c>
      <c r="D7" s="156">
        <f>(SUMIF(KAS!$C$7:$C$1577,VLOOKUP('LABA RUGI'!C7,$C$7:$C$60,1,FALSE),KAS!$F$7:$F$1577))+(SUMIF('BANK 1'!$C$7:$C$1436,VLOOKUP('LABA RUGI'!C7,$C$7:$C$60,1,FALSE),'BANK 1'!$F$7:$F$1436))+(SUMIF('JURNAL PENYESUAIAN'!$C$7:$C$1434,VLOOKUP('LABA RUGI'!C7,$C$7:$C$60,1,FALSE),'JURNAL PENYESUAIAN'!$F$7:$F$1434))+(SUMIF('BANK 4'!$C$7:$C$2046,VLOOKUP('LABA RUGI'!C7,$C$7:$C$60,1,FALSE),'BANK 4'!$F$7:$F$2046))+(SUMIF('BANK 2'!$C$7:$C$2046,VLOOKUP('LABA RUGI'!C7,$C$7:$C$60,1,FALSE),'BANK 2'!$F$7:$F$2046))+(SUMIF('BANK 3'!$C$7:$C$2046,VLOOKUP('LABA RUGI'!C7,$C$7:$C$60,1,FALSE),'BANK 3'!$F$7:$F$2046))</f>
        <v>150208916.28</v>
      </c>
      <c r="F7" s="153"/>
      <c r="G7" s="146"/>
    </row>
    <row r="8" spans="1:12" ht="16.25" customHeight="1" x14ac:dyDescent="0.4">
      <c r="A8" s="152"/>
      <c r="B8" s="154" t="s">
        <v>18</v>
      </c>
      <c r="C8" s="157"/>
      <c r="E8" s="147">
        <f>SUM(D7:D7)</f>
        <v>150208916.28</v>
      </c>
      <c r="F8" s="158"/>
    </row>
    <row r="9" spans="1:12" ht="16.25" customHeight="1" x14ac:dyDescent="0.4">
      <c r="A9" s="152"/>
      <c r="B9" s="154"/>
      <c r="C9" s="157"/>
      <c r="D9" s="147"/>
      <c r="F9" s="153"/>
    </row>
    <row r="10" spans="1:12" s="149" customFormat="1" ht="16.25" customHeight="1" thickBot="1" x14ac:dyDescent="0.45">
      <c r="A10" s="159"/>
      <c r="B10" s="154" t="s">
        <v>320</v>
      </c>
      <c r="C10" s="157"/>
      <c r="D10" s="147"/>
      <c r="F10" s="160"/>
    </row>
    <row r="11" spans="1:12" ht="16.25" customHeight="1" thickBot="1" x14ac:dyDescent="0.45">
      <c r="A11" s="152"/>
      <c r="B11" s="166" t="s">
        <v>319</v>
      </c>
      <c r="C11" s="231" t="s">
        <v>320</v>
      </c>
      <c r="D11" s="162">
        <f>(SUMIF(KAS!$C$7:$C$1577,VLOOKUP('LABA RUGI'!C11,$C$10:$C$32,1,FALSE),KAS!$G$7:$G$1577))+(SUMIF('BANK 1'!$C$7:$C$1436,VLOOKUP('LABA RUGI'!C11,$C$10:$C$32,1,FALSE),'BANK 1'!$G$7:$G$1436))+(SUMIF('JURNAL PENYESUAIAN'!$C$7:$C$1434,VLOOKUP('LABA RUGI'!C11,$C$10:$C$32,1,FALSE),'JURNAL PENYESUAIAN'!$G$7:$G$1434))+(SUMIF('BANK 4'!$C$7:$C$2046,VLOOKUP('LABA RUGI'!C11,$C$10:$C$32,1,FALSE),'BANK 4'!$G$7:$G$2046))+(SUMIF('BANK 2'!$C$7:$C$2046,VLOOKUP('LABA RUGI'!C11,$C$10:$C$32,1,FALSE),'BANK 2'!$G$7:$G$2046))+(SUMIF('BANK 3'!$C$7:$C$2046,VLOOKUP('LABA RUGI'!C11,$C$10:$C$32,1,FALSE),'BANK 3'!$G$7:$G$2046))</f>
        <v>6000000</v>
      </c>
      <c r="F11" s="153"/>
      <c r="I11" s="328" t="s">
        <v>328</v>
      </c>
      <c r="J11" s="329"/>
      <c r="K11" s="329"/>
      <c r="L11" s="330"/>
    </row>
    <row r="12" spans="1:12" ht="16.25" customHeight="1" x14ac:dyDescent="0.4">
      <c r="A12" s="152"/>
      <c r="B12" s="154" t="s">
        <v>324</v>
      </c>
      <c r="C12" s="157"/>
      <c r="E12" s="163">
        <f>D11</f>
        <v>6000000</v>
      </c>
      <c r="F12" s="153"/>
      <c r="G12" s="161"/>
      <c r="I12" s="238"/>
      <c r="J12" s="12" t="s">
        <v>329</v>
      </c>
      <c r="K12" s="12">
        <f>D7</f>
        <v>150208916.28</v>
      </c>
      <c r="L12" s="239"/>
    </row>
    <row r="13" spans="1:12" ht="16.25" customHeight="1" x14ac:dyDescent="0.4">
      <c r="A13" s="152"/>
      <c r="B13" s="154" t="s">
        <v>19</v>
      </c>
      <c r="C13" s="157"/>
      <c r="E13" s="147">
        <f>E8-E12</f>
        <v>144208916.28</v>
      </c>
      <c r="F13" s="153"/>
      <c r="I13" s="240"/>
      <c r="J13" s="241"/>
      <c r="K13" s="241"/>
      <c r="L13" s="242"/>
    </row>
    <row r="14" spans="1:12" ht="16.25" customHeight="1" x14ac:dyDescent="0.4">
      <c r="A14" s="152"/>
      <c r="F14" s="158"/>
      <c r="I14" s="240"/>
      <c r="J14" s="12" t="s">
        <v>330</v>
      </c>
      <c r="K14" s="241"/>
      <c r="L14" s="242"/>
    </row>
    <row r="15" spans="1:12" ht="16.25" customHeight="1" x14ac:dyDescent="0.4">
      <c r="A15" s="152"/>
      <c r="B15" s="154" t="s">
        <v>54</v>
      </c>
      <c r="F15" s="158"/>
      <c r="I15" s="240"/>
      <c r="J15" s="241" t="s">
        <v>331</v>
      </c>
      <c r="K15" s="241">
        <f>K12*0.5%</f>
        <v>751044.58140000002</v>
      </c>
      <c r="L15" s="242"/>
    </row>
    <row r="16" spans="1:12" ht="16.25" customHeight="1" x14ac:dyDescent="0.4">
      <c r="A16" s="152"/>
      <c r="B16" s="166" t="s">
        <v>116</v>
      </c>
      <c r="C16" s="231" t="s">
        <v>50</v>
      </c>
      <c r="D16" s="146">
        <f>(SUMIF(KAS!$C$7:$C$1577,VLOOKUP('LABA RUGI'!C16,$C$10:$C$32,1,FALSE),KAS!$G$7:$G$1577))+(SUMIF('BANK 1'!$C$7:$C$1436,VLOOKUP('LABA RUGI'!C16,$C$10:$C$32,1,FALSE),'BANK 1'!$G$7:$G$1436))+(SUMIF('JURNAL PENYESUAIAN'!$C$7:$C$1434,VLOOKUP('LABA RUGI'!C16,$C$10:$C$32,1,FALSE),'JURNAL PENYESUAIAN'!$G$7:$G$1434))+(SUMIF('BANK 4'!$C$7:$C$2046,VLOOKUP('LABA RUGI'!C16,$C$10:$C$32,1,FALSE),'BANK 4'!$G$7:$G$2046))+(SUMIF('BANK 2'!$C$7:$C$2046,VLOOKUP('LABA RUGI'!C16,$C$10:$C$32,1,FALSE),'BANK 2'!$G$7:$G$2046))+(SUMIF('BANK 3'!$C$7:$C$2046,VLOOKUP('LABA RUGI'!C16,$C$10:$C$32,1,FALSE),'BANK 3'!$G$7:$G$2046))</f>
        <v>0</v>
      </c>
      <c r="F16" s="153"/>
      <c r="I16" s="240"/>
      <c r="J16" s="241"/>
      <c r="K16" s="241"/>
      <c r="L16" s="242"/>
    </row>
    <row r="17" spans="1:12" ht="16.25" customHeight="1" x14ac:dyDescent="0.4">
      <c r="A17" s="152"/>
      <c r="B17" s="232" t="s">
        <v>57</v>
      </c>
      <c r="C17" s="233" t="s">
        <v>107</v>
      </c>
      <c r="D17" s="146">
        <f>(SUMIF(KAS!$C$7:$C$1577,VLOOKUP('LABA RUGI'!C17,$C$10:$C$32,1,FALSE),KAS!$G$7:$G$1577))+(SUMIF('BANK 1'!$C$7:$C$1436,VLOOKUP('LABA RUGI'!C17,$C$10:$C$32,1,FALSE),'BANK 1'!$G$7:$G$1436))+(SUMIF('JURNAL PENYESUAIAN'!$C$7:$C$1434,VLOOKUP('LABA RUGI'!C17,$C$10:$C$32,1,FALSE),'JURNAL PENYESUAIAN'!$G$7:$G$1434))+(SUMIF('BANK 4'!$C$7:$C$2046,VLOOKUP('LABA RUGI'!C17,$C$10:$C$32,1,FALSE),'BANK 4'!$G$7:$G$2046))+(SUMIF('BANK 2'!$C$7:$C$2046,VLOOKUP('LABA RUGI'!C17,$C$10:$C$32,1,FALSE),'BANK 2'!$G$7:$G$2046))+(SUMIF('BANK 3'!$C$7:$C$2046,VLOOKUP('LABA RUGI'!C17,$C$10:$C$32,1,FALSE),'BANK 3'!$G$7:$G$2046))</f>
        <v>1555000</v>
      </c>
      <c r="F17" s="153"/>
      <c r="I17" s="240"/>
      <c r="J17" s="241"/>
      <c r="K17" s="241"/>
      <c r="L17" s="242"/>
    </row>
    <row r="18" spans="1:12" ht="16.25" customHeight="1" x14ac:dyDescent="0.4">
      <c r="A18" s="152"/>
      <c r="B18" s="232" t="s">
        <v>147</v>
      </c>
      <c r="C18" s="233" t="s">
        <v>148</v>
      </c>
      <c r="D18" s="146">
        <f>(SUMIF(KAS!$C$7:$C$1577,VLOOKUP('LABA RUGI'!C18,$C$10:$C$32,1,FALSE),KAS!$G$7:$G$1577))+(SUMIF('BANK 1'!$C$7:$C$1436,VLOOKUP('LABA RUGI'!C18,$C$10:$C$32,1,FALSE),'BANK 1'!$G$7:$G$1436))+(SUMIF('JURNAL PENYESUAIAN'!$C$7:$C$1434,VLOOKUP('LABA RUGI'!C18,$C$10:$C$32,1,FALSE),'JURNAL PENYESUAIAN'!$G$7:$G$1434))+(SUMIF('BANK 4'!$C$7:$C$2046,VLOOKUP('LABA RUGI'!C18,$C$10:$C$32,1,FALSE),'BANK 4'!$G$7:$G$2046))+(SUMIF('BANK 2'!$C$7:$C$2046,VLOOKUP('LABA RUGI'!C18,$C$10:$C$32,1,FALSE),'BANK 2'!$G$7:$G$2046))+(SUMIF('BANK 3'!$C$7:$C$2046,VLOOKUP('LABA RUGI'!C18,$C$10:$C$32,1,FALSE),'BANK 3'!$G$7:$G$2046))</f>
        <v>5198862</v>
      </c>
      <c r="F18" s="153"/>
      <c r="I18" s="240"/>
      <c r="J18" s="12"/>
      <c r="K18" s="12"/>
      <c r="L18" s="242"/>
    </row>
    <row r="19" spans="1:12" ht="16.25" customHeight="1" x14ac:dyDescent="0.4">
      <c r="A19" s="152"/>
      <c r="B19" s="232" t="s">
        <v>54</v>
      </c>
      <c r="C19" s="233" t="s">
        <v>103</v>
      </c>
      <c r="D19" s="146">
        <f>(SUMIF(KAS!$C$7:$C$1577,VLOOKUP('LABA RUGI'!C19,$C$10:$C$32,1,FALSE),KAS!$G$7:$G$1577))+(SUMIF('BANK 1'!$C$7:$C$1436,VLOOKUP('LABA RUGI'!C19,$C$10:$C$32,1,FALSE),'BANK 1'!$G$7:$G$1436))+(SUMIF('JURNAL PENYESUAIAN'!$C$7:$C$1434,VLOOKUP('LABA RUGI'!C19,$C$10:$C$32,1,FALSE),'JURNAL PENYESUAIAN'!$G$7:$G$1434))+(SUMIF('BANK 4'!$C$7:$C$2046,VLOOKUP('LABA RUGI'!C19,$C$10:$C$32,1,FALSE),'BANK 4'!$G$7:$G$2046))+(SUMIF('BANK 2'!$C$7:$C$2046,VLOOKUP('LABA RUGI'!C19,$C$10:$C$32,1,FALSE),'BANK 2'!$G$7:$G$2046))+(SUMIF('BANK 3'!$C$7:$C$2046,VLOOKUP('LABA RUGI'!C19,$C$10:$C$32,1,FALSE),'BANK 3'!$G$7:$G$2046))</f>
        <v>0</v>
      </c>
      <c r="F19" s="153"/>
      <c r="I19" s="243" t="s">
        <v>156</v>
      </c>
      <c r="J19" s="241"/>
      <c r="K19" s="244"/>
      <c r="L19" s="242"/>
    </row>
    <row r="20" spans="1:12" ht="16.25" customHeight="1" x14ac:dyDescent="0.4">
      <c r="A20" s="152"/>
      <c r="B20" s="232" t="s">
        <v>20</v>
      </c>
      <c r="C20" s="233" t="s">
        <v>56</v>
      </c>
      <c r="D20" s="146">
        <f>(SUMIF(KAS!$C$7:$C$1577,VLOOKUP('LABA RUGI'!C20,$C$10:$C$32,1,FALSE),KAS!$G$7:$G$1577))+(SUMIF('BANK 1'!$C$7:$C$1436,VLOOKUP('LABA RUGI'!C20,$C$10:$C$32,1,FALSE),'BANK 1'!$G$7:$G$1436))+(SUMIF('JURNAL PENYESUAIAN'!$C$7:$C$1434,VLOOKUP('LABA RUGI'!C20,$C$10:$C$32,1,FALSE),'JURNAL PENYESUAIAN'!$G$7:$G$1434))+(SUMIF('BANK 4'!$C$7:$C$2046,VLOOKUP('LABA RUGI'!C20,$C$10:$C$32,1,FALSE),'BANK 4'!$G$7:$G$2046))+(SUMIF('BANK 2'!$C$7:$C$2046,VLOOKUP('LABA RUGI'!C20,$C$10:$C$32,1,FALSE),'BANK 2'!$G$7:$G$2046))+(SUMIF('BANK 3'!$C$7:$C$2046,VLOOKUP('LABA RUGI'!C20,$C$10:$C$32,1,FALSE),'BANK 3'!$G$7:$G$2046))</f>
        <v>0</v>
      </c>
      <c r="F20" s="153"/>
      <c r="I20" s="240"/>
      <c r="J20" s="12" t="s">
        <v>332</v>
      </c>
      <c r="K20" s="12">
        <f>K15</f>
        <v>751044.58140000002</v>
      </c>
      <c r="L20" s="242"/>
    </row>
    <row r="21" spans="1:12" ht="16.25" customHeight="1" thickBot="1" x14ac:dyDescent="0.45">
      <c r="A21" s="152"/>
      <c r="B21" s="232" t="s">
        <v>58</v>
      </c>
      <c r="C21" s="233" t="s">
        <v>51</v>
      </c>
      <c r="D21" s="146">
        <f>(SUMIF(KAS!$C$7:$C$1577,VLOOKUP('LABA RUGI'!C21,$C$10:$C$32,1,FALSE),KAS!$G$7:$G$1577))+(SUMIF('BANK 1'!$C$7:$C$1436,VLOOKUP('LABA RUGI'!C21,$C$10:$C$32,1,FALSE),'BANK 1'!$G$7:$G$1436))+(SUMIF('JURNAL PENYESUAIAN'!$C$7:$C$1434,VLOOKUP('LABA RUGI'!C21,$C$10:$C$32,1,FALSE),'JURNAL PENYESUAIAN'!$G$7:$G$1434))+(SUMIF('BANK 4'!$C$7:$C$2046,VLOOKUP('LABA RUGI'!C21,$C$10:$C$32,1,FALSE),'BANK 4'!$G$7:$G$2046))+(SUMIF('BANK 2'!$C$7:$C$2046,VLOOKUP('LABA RUGI'!C21,$C$10:$C$32,1,FALSE),'BANK 2'!$G$7:$G$2046))+(SUMIF('BANK 3'!$C$7:$C$2046,VLOOKUP('LABA RUGI'!C21,$C$10:$C$32,1,FALSE),'BANK 3'!$G$7:$G$2046))</f>
        <v>0</v>
      </c>
      <c r="F21" s="153"/>
      <c r="I21" s="245"/>
      <c r="J21" s="246"/>
      <c r="K21" s="246"/>
      <c r="L21" s="247"/>
    </row>
    <row r="22" spans="1:12" ht="16.25" customHeight="1" x14ac:dyDescent="0.4">
      <c r="A22" s="152"/>
      <c r="B22" s="232" t="s">
        <v>101</v>
      </c>
      <c r="C22" s="233" t="s">
        <v>102</v>
      </c>
      <c r="D22" s="146">
        <f>(SUMIF(KAS!$C$7:$C$1577,VLOOKUP('LABA RUGI'!C22,$C$10:$C$32,1,FALSE),KAS!$G$7:$G$1577))+(SUMIF('BANK 1'!$C$7:$C$1436,VLOOKUP('LABA RUGI'!C22,$C$10:$C$32,1,FALSE),'BANK 1'!$G$7:$G$1436))+(SUMIF('JURNAL PENYESUAIAN'!$C$7:$C$1434,VLOOKUP('LABA RUGI'!C22,$C$10:$C$32,1,FALSE),'JURNAL PENYESUAIAN'!$G$7:$G$1434))+(SUMIF('BANK 4'!$C$7:$C$2046,VLOOKUP('LABA RUGI'!C22,$C$10:$C$32,1,FALSE),'BANK 4'!$G$7:$G$2046))+(SUMIF('BANK 2'!$C$7:$C$2046,VLOOKUP('LABA RUGI'!C22,$C$10:$C$32,1,FALSE),'BANK 2'!$G$7:$G$2046))+(SUMIF('BANK 3'!$C$7:$C$2046,VLOOKUP('LABA RUGI'!C22,$C$10:$C$32,1,FALSE),'BANK 3'!$G$7:$G$2046))</f>
        <v>0</v>
      </c>
      <c r="F22" s="153"/>
      <c r="I22" s="88"/>
      <c r="J22" s="147"/>
      <c r="K22" s="147"/>
      <c r="L22" s="146"/>
    </row>
    <row r="23" spans="1:12" s="149" customFormat="1" ht="16.25" customHeight="1" x14ac:dyDescent="0.4">
      <c r="A23" s="152"/>
      <c r="B23" s="232" t="s">
        <v>59</v>
      </c>
      <c r="C23" s="233" t="s">
        <v>52</v>
      </c>
      <c r="D23" s="146">
        <f>(SUMIF(KAS!$C$7:$C$1577,VLOOKUP('LABA RUGI'!C23,$C$10:$C$32,1,FALSE),KAS!$G$7:$G$1577))+(SUMIF('BANK 1'!$C$7:$C$1436,VLOOKUP('LABA RUGI'!C23,$C$10:$C$32,1,FALSE),'BANK 1'!$G$7:$G$1436))+(SUMIF('JURNAL PENYESUAIAN'!$C$7:$C$1434,VLOOKUP('LABA RUGI'!C23,$C$10:$C$32,1,FALSE),'JURNAL PENYESUAIAN'!$G$7:$G$1434))+(SUMIF('BANK 4'!$C$7:$C$2046,VLOOKUP('LABA RUGI'!C23,$C$10:$C$32,1,FALSE),'BANK 4'!$G$7:$G$2046))+(SUMIF('BANK 2'!$C$7:$C$2046,VLOOKUP('LABA RUGI'!C23,$C$10:$C$32,1,FALSE),'BANK 2'!$G$7:$G$2046))+(SUMIF('BANK 3'!$C$7:$C$2046,VLOOKUP('LABA RUGI'!C23,$C$10:$C$32,1,FALSE),'BANK 3'!$G$7:$G$2046))</f>
        <v>0</v>
      </c>
      <c r="F23" s="153"/>
      <c r="I23" s="88"/>
      <c r="J23" s="147"/>
      <c r="K23" s="146"/>
      <c r="L23" s="146"/>
    </row>
    <row r="24" spans="1:12" s="149" customFormat="1" ht="16.25" customHeight="1" x14ac:dyDescent="0.4">
      <c r="A24" s="152"/>
      <c r="B24" s="232" t="s">
        <v>60</v>
      </c>
      <c r="C24" s="233" t="s">
        <v>53</v>
      </c>
      <c r="D24" s="146">
        <f>(SUMIF(KAS!$C$7:$C$1577,VLOOKUP('LABA RUGI'!C24,$C$10:$C$32,1,FALSE),KAS!$G$7:$G$1577))+(SUMIF('BANK 1'!$C$7:$C$1436,VLOOKUP('LABA RUGI'!C24,$C$10:$C$32,1,FALSE),'BANK 1'!$G$7:$G$1436))+(SUMIF('JURNAL PENYESUAIAN'!$C$7:$C$1434,VLOOKUP('LABA RUGI'!C24,$C$10:$C$32,1,FALSE),'JURNAL PENYESUAIAN'!$G$7:$G$1434))+(SUMIF('BANK 4'!$C$7:$C$2046,VLOOKUP('LABA RUGI'!C24,$C$10:$C$32,1,FALSE),'BANK 4'!$G$7:$G$2046))+(SUMIF('BANK 2'!$C$7:$C$2046,VLOOKUP('LABA RUGI'!C24,$C$10:$C$32,1,FALSE),'BANK 2'!$G$7:$G$2046))+(SUMIF('BANK 3'!$C$7:$C$2046,VLOOKUP('LABA RUGI'!C24,$C$10:$C$32,1,FALSE),'BANK 3'!$G$7:$G$2046))</f>
        <v>32500</v>
      </c>
      <c r="F24" s="153"/>
      <c r="J24" s="146"/>
      <c r="K24" s="146"/>
      <c r="L24" s="147"/>
    </row>
    <row r="25" spans="1:12" s="149" customFormat="1" ht="16.25" customHeight="1" x14ac:dyDescent="0.4">
      <c r="A25" s="152"/>
      <c r="B25" s="232" t="s">
        <v>153</v>
      </c>
      <c r="C25" s="233"/>
      <c r="D25" s="146">
        <f>ASET!S86</f>
        <v>0</v>
      </c>
      <c r="F25" s="153"/>
      <c r="J25" s="146"/>
      <c r="K25" s="146"/>
      <c r="L25" s="147"/>
    </row>
    <row r="26" spans="1:12" ht="16.25" customHeight="1" x14ac:dyDescent="0.4">
      <c r="A26" s="159"/>
      <c r="B26" s="232" t="s">
        <v>105</v>
      </c>
      <c r="C26" s="233" t="s">
        <v>106</v>
      </c>
      <c r="D26" s="162">
        <f>(SUMIF(KAS!$C$7:$C$1577,VLOOKUP('LABA RUGI'!C26,$C$10:$C$32,1,FALSE),KAS!$G$7:$G$1577))+(SUMIF('BANK 1'!$C$7:$C$1436,VLOOKUP('LABA RUGI'!C26,$C$10:$C$32,1,FALSE),'BANK 1'!$G$7:$G$1436))+(SUMIF('JURNAL PENYESUAIAN'!$C$7:$C$1434,VLOOKUP('LABA RUGI'!C26,$C$10:$C$32,1,FALSE),'JURNAL PENYESUAIAN'!$G$7:$G$1434))+(SUMIF('BANK 4'!$C$7:$C$2046,VLOOKUP('LABA RUGI'!C26,$C$10:$C$32,1,FALSE),'BANK 4'!$G$7:$G$2046))+(SUMIF('BANK 2'!$C$7:$C$2046,VLOOKUP('LABA RUGI'!C26,$C$10:$C$32,1,FALSE),'BANK 2'!$G$7:$G$2046))+(SUMIF('BANK 3'!$C$7:$C$2046,VLOOKUP('LABA RUGI'!C26,$C$10:$C$32,1,FALSE),'BANK 3'!$G$7:$G$2046))</f>
        <v>233463.26</v>
      </c>
      <c r="F26" s="160"/>
      <c r="I26" s="149"/>
      <c r="J26" s="147"/>
      <c r="K26" s="147"/>
      <c r="L26" s="147"/>
    </row>
    <row r="27" spans="1:12" ht="16.25" customHeight="1" x14ac:dyDescent="0.4">
      <c r="A27" s="159"/>
      <c r="B27" s="154" t="s">
        <v>55</v>
      </c>
      <c r="C27" s="157"/>
      <c r="E27" s="163">
        <f>SUM(D16:D26)</f>
        <v>7019825.2599999998</v>
      </c>
      <c r="F27" s="160"/>
      <c r="G27" s="161"/>
      <c r="I27" s="146"/>
      <c r="J27" s="146"/>
      <c r="K27" s="146"/>
    </row>
    <row r="28" spans="1:12" ht="16.25" customHeight="1" x14ac:dyDescent="0.4">
      <c r="A28" s="159"/>
      <c r="B28" s="154" t="s">
        <v>111</v>
      </c>
      <c r="C28" s="157"/>
      <c r="E28" s="147">
        <f>E13-E27</f>
        <v>137189091.02000001</v>
      </c>
      <c r="F28" s="160"/>
      <c r="I28" s="146"/>
      <c r="J28" s="146"/>
      <c r="K28" s="146"/>
    </row>
    <row r="29" spans="1:12" ht="16.25" customHeight="1" x14ac:dyDescent="0.4">
      <c r="A29" s="152"/>
      <c r="B29" s="154"/>
      <c r="C29" s="157"/>
      <c r="E29" s="147"/>
      <c r="F29" s="153"/>
      <c r="I29" s="146"/>
      <c r="J29" s="147"/>
      <c r="K29" s="147"/>
    </row>
    <row r="30" spans="1:12" ht="16.25" customHeight="1" x14ac:dyDescent="0.4">
      <c r="A30" s="152"/>
      <c r="B30" s="154" t="s">
        <v>110</v>
      </c>
      <c r="C30" s="157"/>
      <c r="E30" s="147"/>
      <c r="F30" s="158"/>
      <c r="I30" s="88"/>
      <c r="J30" s="146"/>
      <c r="K30" s="146"/>
      <c r="L30" s="146"/>
    </row>
    <row r="31" spans="1:12" ht="16.25" customHeight="1" x14ac:dyDescent="0.4">
      <c r="A31" s="152"/>
      <c r="B31" s="229" t="s">
        <v>154</v>
      </c>
      <c r="C31" s="230" t="s">
        <v>108</v>
      </c>
      <c r="D31" s="167">
        <f>(SUMIF(KAS!$C$7:$C$1577,VLOOKUP('LABA RUGI'!C31,$C$7:$C$60,1,FALSE),KAS!$F$7:$F$1577))+(SUMIF('BANK 1'!$C$7:$C$1436,VLOOKUP('LABA RUGI'!C31,$C$7:$C$60,1,FALSE),'BANK 1'!$F$7:$F$1436))+(SUMIF('JURNAL PENYESUAIAN'!$C$7:$C$1434,VLOOKUP('LABA RUGI'!C31,$C$7:$C$60,1,FALSE),'JURNAL PENYESUAIAN'!$F$7:$F$1434))+(SUMIF('BANK 4'!$C$7:$C$2046,VLOOKUP('LABA RUGI'!C31,$C$7:$C$60,1,FALSE),'BANK 4'!$F$7:$F$2046))+(SUMIF('BANK 2'!$C$7:$C$2046,VLOOKUP('LABA RUGI'!C31,$C$7:$C$60,1,FALSE),'BANK 2'!$F$7:$F$2046))+(SUMIF('BANK 3'!$C$7:$C$2046,VLOOKUP('LABA RUGI'!C31,$C$7:$C$60,1,FALSE),'BANK 3'!$F$7:$F$2046))</f>
        <v>0</v>
      </c>
      <c r="E31" s="147"/>
      <c r="F31" s="158"/>
      <c r="I31" s="88"/>
      <c r="J31" s="147"/>
      <c r="K31" s="146"/>
      <c r="L31" s="146"/>
    </row>
    <row r="32" spans="1:12" ht="16.25" customHeight="1" x14ac:dyDescent="0.4">
      <c r="A32" s="152"/>
      <c r="B32" s="232" t="s">
        <v>112</v>
      </c>
      <c r="C32" s="233" t="s">
        <v>109</v>
      </c>
      <c r="D32" s="162">
        <f>(SUMIF(KAS!$C$7:$C$1577,VLOOKUP('LABA RUGI'!C32,$C$10:$C$32,1,FALSE),KAS!$G$7:$G$1577))+(SUMIF('BANK 1'!$C$7:$C$1436,VLOOKUP('LABA RUGI'!C32,$C$10:$C$32,1,FALSE),'BANK 1'!$G$7:$G$1436))+(SUMIF('JURNAL PENYESUAIAN'!$C$7:$C$1434,VLOOKUP('LABA RUGI'!C32,$C$10:$C$32,1,FALSE),'JURNAL PENYESUAIAN'!$G$7:$G$1434))+(SUMIF('BANK 4'!$C$7:$C$2046,VLOOKUP('LABA RUGI'!C32,$C$10:$C$32,1,FALSE),'BANK 4'!$G$7:$G$2046))+(SUMIF('BANK 2'!$C$7:$C$2046,VLOOKUP('LABA RUGI'!C32,$C$10:$C$32,1,FALSE),'BANK 2'!$G$7:$G$2046))+(SUMIF('BANK 3'!$C$7:$C$2046,VLOOKUP('LABA RUGI'!C32,$C$10:$C$32,1,FALSE),'BANK 3'!$G$7:$G$2046))</f>
        <v>0</v>
      </c>
      <c r="E32" s="147"/>
      <c r="F32" s="158"/>
      <c r="I32" s="88"/>
      <c r="J32" s="146"/>
      <c r="K32" s="146"/>
      <c r="L32" s="146"/>
    </row>
    <row r="33" spans="1:12" ht="16.25" customHeight="1" x14ac:dyDescent="0.4">
      <c r="A33" s="152"/>
      <c r="B33" s="154" t="s">
        <v>100</v>
      </c>
      <c r="C33" s="157"/>
      <c r="E33" s="163">
        <f>D31-D32</f>
        <v>0</v>
      </c>
      <c r="F33" s="158"/>
      <c r="I33" s="88"/>
      <c r="J33" s="146"/>
      <c r="K33" s="146"/>
      <c r="L33" s="146"/>
    </row>
    <row r="34" spans="1:12" ht="16.25" customHeight="1" x14ac:dyDescent="0.4">
      <c r="A34" s="152"/>
      <c r="B34" s="154" t="s">
        <v>90</v>
      </c>
      <c r="C34" s="157"/>
      <c r="E34" s="147">
        <f>E28+E33</f>
        <v>137189091.02000001</v>
      </c>
      <c r="F34" s="158"/>
      <c r="G34" s="161"/>
      <c r="I34" s="88"/>
      <c r="J34" s="146"/>
      <c r="K34" s="146"/>
      <c r="L34" s="146"/>
    </row>
    <row r="35" spans="1:12" ht="16.25" customHeight="1" x14ac:dyDescent="0.4">
      <c r="A35" s="152"/>
      <c r="F35" s="158"/>
      <c r="I35" s="88"/>
      <c r="J35" s="147"/>
      <c r="K35" s="147"/>
      <c r="L35" s="146"/>
    </row>
    <row r="36" spans="1:12" ht="16.25" customHeight="1" x14ac:dyDescent="0.4">
      <c r="A36" s="152"/>
      <c r="F36" s="158"/>
      <c r="I36" s="248"/>
      <c r="J36" s="146"/>
      <c r="K36" s="146"/>
      <c r="L36" s="146"/>
    </row>
    <row r="37" spans="1:12" ht="14.5" thickBot="1" x14ac:dyDescent="0.45">
      <c r="A37" s="168"/>
      <c r="B37" s="169"/>
      <c r="C37" s="170"/>
      <c r="D37" s="164"/>
      <c r="E37" s="171"/>
      <c r="F37" s="165"/>
      <c r="I37" s="88"/>
      <c r="J37" s="147"/>
      <c r="K37" s="147"/>
      <c r="L37" s="146"/>
    </row>
    <row r="38" spans="1:12" x14ac:dyDescent="0.4">
      <c r="A38" s="152"/>
      <c r="B38" s="154"/>
      <c r="C38" s="157"/>
      <c r="E38" s="147"/>
      <c r="F38" s="147"/>
      <c r="I38" s="88"/>
      <c r="J38" s="146"/>
      <c r="K38" s="146"/>
      <c r="L38" s="146"/>
    </row>
    <row r="40" spans="1:12" x14ac:dyDescent="0.4">
      <c r="B40" s="154"/>
      <c r="D40" s="172"/>
    </row>
    <row r="41" spans="1:12" x14ac:dyDescent="0.4">
      <c r="D41" s="145" t="s">
        <v>406</v>
      </c>
    </row>
    <row r="46" spans="1:12" x14ac:dyDescent="0.4">
      <c r="D46" s="147" t="s">
        <v>195</v>
      </c>
    </row>
    <row r="47" spans="1:12" x14ac:dyDescent="0.4">
      <c r="D47" s="146" t="s">
        <v>407</v>
      </c>
    </row>
  </sheetData>
  <mergeCells count="4">
    <mergeCell ref="I11:L11"/>
    <mergeCell ref="B2:E2"/>
    <mergeCell ref="B3:E3"/>
    <mergeCell ref="B4:E4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  <pageSetUpPr fitToPage="1"/>
  </sheetPr>
  <dimension ref="A1:J30"/>
  <sheetViews>
    <sheetView showGridLines="0" zoomScaleNormal="100" workbookViewId="0">
      <selection activeCell="B9" sqref="B9"/>
    </sheetView>
  </sheetViews>
  <sheetFormatPr defaultColWidth="8.6328125" defaultRowHeight="14" x14ac:dyDescent="0.4"/>
  <cols>
    <col min="1" max="1" width="29.453125" style="130" customWidth="1"/>
    <col min="2" max="2" width="15" style="130" customWidth="1"/>
    <col min="3" max="3" width="14.36328125" style="179" customWidth="1"/>
    <col min="4" max="4" width="3.90625" style="130" customWidth="1"/>
    <col min="5" max="5" width="2.36328125" style="130" customWidth="1"/>
    <col min="6" max="6" width="28.36328125" style="130" customWidth="1"/>
    <col min="7" max="7" width="15.36328125" style="130" customWidth="1"/>
    <col min="8" max="8" width="13.6328125" style="130" customWidth="1"/>
    <col min="9" max="10" width="9.6328125" style="130" bestFit="1" customWidth="1"/>
    <col min="11" max="16384" width="8.6328125" style="130"/>
  </cols>
  <sheetData>
    <row r="1" spans="1:8" x14ac:dyDescent="0.4">
      <c r="A1" s="319" t="s">
        <v>94</v>
      </c>
      <c r="B1" s="319"/>
      <c r="C1" s="319"/>
      <c r="D1" s="319"/>
      <c r="E1" s="319"/>
      <c r="F1" s="319"/>
      <c r="G1" s="319"/>
      <c r="H1" s="319"/>
    </row>
    <row r="2" spans="1:8" x14ac:dyDescent="0.4">
      <c r="A2" s="319" t="str">
        <f>'LABA RUGI'!B3</f>
        <v xml:space="preserve">PT EDU MEDIA DIGITAL </v>
      </c>
      <c r="B2" s="319"/>
      <c r="C2" s="319"/>
      <c r="D2" s="319"/>
      <c r="E2" s="319"/>
      <c r="F2" s="319"/>
      <c r="G2" s="319"/>
      <c r="H2" s="319"/>
    </row>
    <row r="3" spans="1:8" x14ac:dyDescent="0.4">
      <c r="A3" s="317" t="str">
        <f>'LABA RUGI'!B4</f>
        <v>2026</v>
      </c>
      <c r="B3" s="317"/>
      <c r="C3" s="317"/>
      <c r="D3" s="317"/>
      <c r="E3" s="317"/>
      <c r="F3" s="317"/>
      <c r="G3" s="317"/>
      <c r="H3" s="317"/>
    </row>
    <row r="4" spans="1:8" ht="5.4" customHeight="1" x14ac:dyDescent="0.4"/>
    <row r="5" spans="1:8" x14ac:dyDescent="0.4">
      <c r="A5" s="205" t="s">
        <v>77</v>
      </c>
      <c r="B5" s="206"/>
      <c r="C5" s="207"/>
      <c r="D5" s="208"/>
      <c r="E5" s="209"/>
      <c r="F5" s="210" t="s">
        <v>72</v>
      </c>
      <c r="G5" s="211"/>
      <c r="H5" s="211"/>
    </row>
    <row r="6" spans="1:8" x14ac:dyDescent="0.4">
      <c r="A6" s="155" t="s">
        <v>78</v>
      </c>
      <c r="B6" s="174"/>
      <c r="C6" s="175"/>
      <c r="E6" s="176"/>
      <c r="F6" s="149" t="s">
        <v>73</v>
      </c>
      <c r="G6" s="146"/>
      <c r="H6" s="146"/>
    </row>
    <row r="7" spans="1:8" x14ac:dyDescent="0.4">
      <c r="A7" s="177" t="s">
        <v>117</v>
      </c>
      <c r="B7" s="175">
        <f>NS!J7+NS!J8+NS!J9+NS!J10+NS!J11</f>
        <v>60955611.019999996</v>
      </c>
      <c r="C7" s="130"/>
      <c r="E7" s="176"/>
      <c r="F7" s="88" t="s">
        <v>99</v>
      </c>
      <c r="G7" s="146">
        <f>NS!K21</f>
        <v>0</v>
      </c>
    </row>
    <row r="8" spans="1:8" x14ac:dyDescent="0.4">
      <c r="A8" s="177" t="s">
        <v>98</v>
      </c>
      <c r="B8" s="178">
        <f>NS!J12</f>
        <v>0</v>
      </c>
      <c r="C8" s="130"/>
      <c r="E8" s="176"/>
      <c r="F8" s="130" t="s">
        <v>122</v>
      </c>
      <c r="G8" s="106">
        <f>NS!K18</f>
        <v>0</v>
      </c>
    </row>
    <row r="9" spans="1:8" x14ac:dyDescent="0.4">
      <c r="A9" s="177" t="s">
        <v>125</v>
      </c>
      <c r="B9" s="90">
        <f>NS!J13</f>
        <v>0</v>
      </c>
      <c r="E9" s="176"/>
      <c r="F9" s="88"/>
      <c r="G9" s="162"/>
      <c r="H9" s="146"/>
    </row>
    <row r="10" spans="1:8" x14ac:dyDescent="0.4">
      <c r="A10" s="177" t="s">
        <v>126</v>
      </c>
      <c r="B10" s="90">
        <f>NS!J14</f>
        <v>0</v>
      </c>
      <c r="C10" s="175"/>
      <c r="E10" s="176"/>
      <c r="F10" s="88" t="s">
        <v>114</v>
      </c>
      <c r="G10" s="146"/>
      <c r="H10" s="146">
        <f>SUM(G7:G9)</f>
        <v>0</v>
      </c>
    </row>
    <row r="11" spans="1:8" x14ac:dyDescent="0.4">
      <c r="A11" s="177" t="s">
        <v>157</v>
      </c>
      <c r="B11" s="90">
        <f>NS!J15</f>
        <v>0</v>
      </c>
      <c r="C11" s="175"/>
      <c r="E11" s="176"/>
      <c r="F11" s="88"/>
      <c r="G11" s="146"/>
      <c r="H11" s="146"/>
    </row>
    <row r="12" spans="1:8" x14ac:dyDescent="0.4">
      <c r="A12" s="177" t="s">
        <v>120</v>
      </c>
      <c r="B12" s="90">
        <f>NS!J16</f>
        <v>0</v>
      </c>
      <c r="C12" s="130"/>
      <c r="E12" s="176"/>
      <c r="F12" s="88"/>
      <c r="G12" s="146"/>
      <c r="H12" s="146"/>
    </row>
    <row r="13" spans="1:8" ht="28" x14ac:dyDescent="0.4">
      <c r="A13" s="177" t="s">
        <v>127</v>
      </c>
      <c r="B13" s="162">
        <f>NS!J17</f>
        <v>0</v>
      </c>
      <c r="C13" s="130"/>
      <c r="E13" s="176"/>
      <c r="F13" s="149" t="s">
        <v>21</v>
      </c>
      <c r="G13" s="146"/>
      <c r="H13" s="146"/>
    </row>
    <row r="14" spans="1:8" x14ac:dyDescent="0.4">
      <c r="A14" s="180" t="s">
        <v>75</v>
      </c>
      <c r="B14" s="180"/>
      <c r="C14" s="175">
        <f>SUM(B7:B13)</f>
        <v>60955611.019999996</v>
      </c>
      <c r="E14" s="176"/>
      <c r="F14" s="88" t="s">
        <v>115</v>
      </c>
      <c r="G14" s="146">
        <f>LPM!C5</f>
        <v>0</v>
      </c>
      <c r="H14" s="146"/>
    </row>
    <row r="15" spans="1:8" x14ac:dyDescent="0.4">
      <c r="A15" s="180"/>
      <c r="B15" s="180"/>
      <c r="C15" s="175"/>
      <c r="E15" s="176"/>
      <c r="F15" s="130" t="s">
        <v>152</v>
      </c>
      <c r="G15" s="146">
        <f>LPM!B9</f>
        <v>0</v>
      </c>
    </row>
    <row r="16" spans="1:8" x14ac:dyDescent="0.4">
      <c r="A16" s="155" t="s">
        <v>70</v>
      </c>
      <c r="B16" s="180"/>
      <c r="C16" s="175"/>
      <c r="E16" s="176"/>
      <c r="F16" s="130" t="s">
        <v>149</v>
      </c>
      <c r="G16" s="146">
        <f>LPM!B7</f>
        <v>0</v>
      </c>
      <c r="H16" s="146"/>
    </row>
    <row r="17" spans="1:10" x14ac:dyDescent="0.4">
      <c r="A17" s="177" t="s">
        <v>93</v>
      </c>
      <c r="B17" s="175">
        <f>ASET!E86</f>
        <v>0</v>
      </c>
      <c r="C17" s="130"/>
      <c r="E17" s="176"/>
      <c r="F17" s="88" t="s">
        <v>150</v>
      </c>
      <c r="G17" s="173">
        <f>LPM!B8</f>
        <v>137189091.02000001</v>
      </c>
      <c r="H17" s="146"/>
    </row>
    <row r="18" spans="1:10" x14ac:dyDescent="0.4">
      <c r="A18" s="177" t="s">
        <v>89</v>
      </c>
      <c r="B18" s="173">
        <f>-ASET!T86</f>
        <v>0</v>
      </c>
      <c r="C18" s="130"/>
      <c r="E18" s="176"/>
      <c r="F18" s="166" t="s">
        <v>22</v>
      </c>
      <c r="G18" s="181"/>
      <c r="H18" s="162">
        <f>SUM(G14:G17)</f>
        <v>137189091.02000001</v>
      </c>
      <c r="J18" s="129"/>
    </row>
    <row r="19" spans="1:10" x14ac:dyDescent="0.4">
      <c r="A19" s="180" t="s">
        <v>71</v>
      </c>
      <c r="B19" s="180"/>
      <c r="C19" s="173">
        <f>SUM(B17:B18)</f>
        <v>0</v>
      </c>
      <c r="E19" s="176"/>
    </row>
    <row r="20" spans="1:10" x14ac:dyDescent="0.4">
      <c r="E20" s="176"/>
      <c r="F20" s="88"/>
      <c r="G20" s="181"/>
      <c r="H20" s="146"/>
    </row>
    <row r="21" spans="1:10" x14ac:dyDescent="0.4">
      <c r="A21" s="157" t="s">
        <v>76</v>
      </c>
      <c r="B21" s="157"/>
      <c r="C21" s="182">
        <f>C14+C19</f>
        <v>60955611.019999996</v>
      </c>
      <c r="E21" s="176"/>
      <c r="F21" s="149" t="s">
        <v>74</v>
      </c>
      <c r="G21" s="146"/>
      <c r="H21" s="147">
        <f>H10+H18</f>
        <v>137189091.02000001</v>
      </c>
    </row>
    <row r="22" spans="1:10" x14ac:dyDescent="0.4">
      <c r="A22" s="157"/>
      <c r="B22" s="157"/>
      <c r="C22" s="182"/>
      <c r="E22" s="176"/>
      <c r="H22" s="183">
        <f>H21-C21</f>
        <v>76233480.000000015</v>
      </c>
    </row>
    <row r="23" spans="1:10" x14ac:dyDescent="0.4">
      <c r="G23" s="146"/>
      <c r="H23" s="146"/>
    </row>
    <row r="24" spans="1:10" x14ac:dyDescent="0.4">
      <c r="F24" s="145" t="s">
        <v>406</v>
      </c>
      <c r="H24" s="90"/>
    </row>
    <row r="25" spans="1:10" x14ac:dyDescent="0.4">
      <c r="F25" s="146"/>
    </row>
    <row r="26" spans="1:10" x14ac:dyDescent="0.4">
      <c r="F26" s="146"/>
    </row>
    <row r="27" spans="1:10" x14ac:dyDescent="0.4">
      <c r="F27" s="146"/>
    </row>
    <row r="28" spans="1:10" x14ac:dyDescent="0.4">
      <c r="F28" s="146"/>
    </row>
    <row r="29" spans="1:10" x14ac:dyDescent="0.4">
      <c r="F29" s="147" t="s">
        <v>195</v>
      </c>
    </row>
    <row r="30" spans="1:10" x14ac:dyDescent="0.4">
      <c r="F30" s="146" t="s">
        <v>407</v>
      </c>
    </row>
  </sheetData>
  <mergeCells count="3">
    <mergeCell ref="A1:H1"/>
    <mergeCell ref="A2:H2"/>
    <mergeCell ref="A3:H3"/>
  </mergeCells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C1001"/>
  <sheetViews>
    <sheetView showGridLines="0" zoomScale="120" zoomScaleNormal="120" workbookViewId="0">
      <selection activeCell="G5" sqref="G5"/>
    </sheetView>
  </sheetViews>
  <sheetFormatPr defaultColWidth="14.453125" defaultRowHeight="15" customHeight="1" x14ac:dyDescent="0.4"/>
  <cols>
    <col min="1" max="1" width="32" style="130" customWidth="1"/>
    <col min="2" max="3" width="19.453125" style="130" customWidth="1"/>
    <col min="4" max="25" width="8.6328125" style="130" customWidth="1"/>
    <col min="26" max="16384" width="14.453125" style="130"/>
  </cols>
  <sheetData>
    <row r="1" spans="1:3" ht="14" x14ac:dyDescent="0.4">
      <c r="A1" s="334" t="str">
        <f>'LABA RUGI'!B3</f>
        <v xml:space="preserve">PT EDU MEDIA DIGITAL </v>
      </c>
      <c r="B1" s="335"/>
      <c r="C1" s="336"/>
    </row>
    <row r="2" spans="1:3" ht="14" x14ac:dyDescent="0.4">
      <c r="A2" s="337" t="s">
        <v>159</v>
      </c>
      <c r="B2" s="338"/>
      <c r="C2" s="339"/>
    </row>
    <row r="3" spans="1:3" ht="14" x14ac:dyDescent="0.4">
      <c r="A3" s="337" t="str">
        <f>'LABA RUGI'!B4</f>
        <v>2026</v>
      </c>
      <c r="B3" s="338"/>
      <c r="C3" s="339"/>
    </row>
    <row r="4" spans="1:3" ht="8.25" customHeight="1" thickBot="1" x14ac:dyDescent="0.45">
      <c r="A4" s="184"/>
      <c r="C4" s="185"/>
    </row>
    <row r="5" spans="1:3" ht="14" x14ac:dyDescent="0.4">
      <c r="A5" s="186" t="s">
        <v>79</v>
      </c>
      <c r="B5" s="187"/>
      <c r="C5" s="188">
        <f>NS!K22</f>
        <v>0</v>
      </c>
    </row>
    <row r="6" spans="1:3" ht="14" x14ac:dyDescent="0.4">
      <c r="A6" s="189"/>
      <c r="B6" s="190"/>
      <c r="C6" s="191"/>
    </row>
    <row r="7" spans="1:3" ht="14" x14ac:dyDescent="0.4">
      <c r="A7" s="192" t="s">
        <v>44</v>
      </c>
      <c r="B7" s="193">
        <f>NS!K24</f>
        <v>0</v>
      </c>
      <c r="C7" s="194"/>
    </row>
    <row r="8" spans="1:3" ht="14" x14ac:dyDescent="0.4">
      <c r="A8" s="192" t="s">
        <v>80</v>
      </c>
      <c r="B8" s="193">
        <f>'LABA RUGI'!E34</f>
        <v>137189091.02000001</v>
      </c>
      <c r="C8" s="194"/>
    </row>
    <row r="9" spans="1:3" ht="14.5" thickBot="1" x14ac:dyDescent="0.45">
      <c r="A9" s="192" t="s">
        <v>152</v>
      </c>
      <c r="B9" s="195">
        <f>-NS!K23</f>
        <v>0</v>
      </c>
      <c r="C9" s="194"/>
    </row>
    <row r="10" spans="1:3" ht="14.5" thickBot="1" x14ac:dyDescent="0.45">
      <c r="A10" s="192"/>
      <c r="B10" s="190"/>
      <c r="C10" s="196">
        <f>SUM(B7:B9)</f>
        <v>137189091.02000001</v>
      </c>
    </row>
    <row r="11" spans="1:3" ht="14.5" thickBot="1" x14ac:dyDescent="0.45">
      <c r="A11" s="197" t="s">
        <v>81</v>
      </c>
      <c r="B11" s="198"/>
      <c r="C11" s="199">
        <f>C5+C10</f>
        <v>137189091.02000001</v>
      </c>
    </row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  <row r="1001" ht="15.75" customHeight="1" x14ac:dyDescent="0.4"/>
  </sheetData>
  <mergeCells count="3">
    <mergeCell ref="A1:C1"/>
    <mergeCell ref="A2:C2"/>
    <mergeCell ref="A3:C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499984740745262"/>
  </sheetPr>
  <dimension ref="A1:I38"/>
  <sheetViews>
    <sheetView workbookViewId="0">
      <selection activeCell="F28" sqref="F28"/>
    </sheetView>
  </sheetViews>
  <sheetFormatPr defaultColWidth="8.81640625" defaultRowHeight="14" x14ac:dyDescent="0.4"/>
  <cols>
    <col min="1" max="1" width="5.1796875" style="88" customWidth="1"/>
    <col min="2" max="2" width="19.08984375" style="88" customWidth="1"/>
    <col min="3" max="3" width="20.36328125" style="88" customWidth="1"/>
    <col min="4" max="4" width="21.453125" style="88" customWidth="1"/>
    <col min="5" max="5" width="17" style="88" customWidth="1"/>
    <col min="6" max="6" width="15.453125" style="88" customWidth="1"/>
    <col min="7" max="7" width="12.54296875" style="88" customWidth="1"/>
    <col min="8" max="8" width="9.54296875" style="273" customWidth="1"/>
    <col min="9" max="9" width="19.81640625" style="274" customWidth="1"/>
    <col min="10" max="16384" width="8.81640625" style="88"/>
  </cols>
  <sheetData>
    <row r="1" spans="1:9" s="249" customFormat="1" x14ac:dyDescent="0.4">
      <c r="A1" s="346" t="s">
        <v>333</v>
      </c>
      <c r="B1" s="346"/>
      <c r="C1" s="346"/>
      <c r="D1" s="346"/>
      <c r="E1" s="346"/>
      <c r="H1" s="250"/>
      <c r="I1" s="251"/>
    </row>
    <row r="2" spans="1:9" s="249" customFormat="1" x14ac:dyDescent="0.4">
      <c r="A2" s="346" t="s">
        <v>334</v>
      </c>
      <c r="B2" s="346"/>
      <c r="C2" s="346"/>
      <c r="D2" s="346"/>
      <c r="E2" s="346"/>
      <c r="H2" s="250"/>
      <c r="I2" s="251"/>
    </row>
    <row r="3" spans="1:9" s="249" customFormat="1" x14ac:dyDescent="0.4">
      <c r="A3" s="252"/>
      <c r="H3" s="250"/>
      <c r="I3" s="251"/>
    </row>
    <row r="4" spans="1:9" s="249" customFormat="1" x14ac:dyDescent="0.4">
      <c r="B4" s="253" t="s">
        <v>335</v>
      </c>
      <c r="C4" s="254" t="str">
        <f>KAS!B2</f>
        <v xml:space="preserve">PT EDU MEDIA DIGITAL </v>
      </c>
      <c r="H4" s="250"/>
      <c r="I4" s="251"/>
    </row>
    <row r="5" spans="1:9" s="249" customFormat="1" x14ac:dyDescent="0.4">
      <c r="B5" s="253" t="s">
        <v>336</v>
      </c>
      <c r="C5" s="255">
        <v>0</v>
      </c>
      <c r="H5" s="250"/>
      <c r="I5" s="251"/>
    </row>
    <row r="6" spans="1:9" s="256" customFormat="1" x14ac:dyDescent="0.35">
      <c r="B6" s="257" t="s">
        <v>337</v>
      </c>
      <c r="C6" s="347" t="s">
        <v>305</v>
      </c>
      <c r="D6" s="347"/>
      <c r="H6" s="258"/>
      <c r="I6" s="259"/>
    </row>
    <row r="7" spans="1:9" s="249" customFormat="1" x14ac:dyDescent="0.4">
      <c r="H7" s="250"/>
      <c r="I7" s="251"/>
    </row>
    <row r="8" spans="1:9" s="260" customFormat="1" x14ac:dyDescent="0.35">
      <c r="A8" s="348" t="s">
        <v>338</v>
      </c>
      <c r="B8" s="349" t="s">
        <v>339</v>
      </c>
      <c r="C8" s="351" t="s">
        <v>340</v>
      </c>
      <c r="D8" s="352" t="s">
        <v>341</v>
      </c>
      <c r="E8" s="352" t="s">
        <v>342</v>
      </c>
      <c r="H8" s="261"/>
      <c r="I8" s="262"/>
    </row>
    <row r="9" spans="1:9" s="260" customFormat="1" x14ac:dyDescent="0.35">
      <c r="A9" s="348"/>
      <c r="B9" s="350"/>
      <c r="C9" s="351"/>
      <c r="D9" s="352"/>
      <c r="E9" s="352"/>
      <c r="H9" s="261"/>
      <c r="I9" s="262"/>
    </row>
    <row r="10" spans="1:9" s="260" customFormat="1" x14ac:dyDescent="0.35">
      <c r="A10" s="348"/>
      <c r="B10" s="277" t="s">
        <v>343</v>
      </c>
      <c r="C10" s="351"/>
      <c r="D10" s="352"/>
      <c r="E10" s="352"/>
      <c r="H10" s="261"/>
      <c r="I10" s="262"/>
    </row>
    <row r="11" spans="1:9" s="260" customFormat="1" x14ac:dyDescent="0.35">
      <c r="A11" s="263" t="s">
        <v>344</v>
      </c>
      <c r="B11" s="264">
        <f>C5</f>
        <v>0</v>
      </c>
      <c r="C11" s="265"/>
      <c r="D11" s="263"/>
      <c r="E11" s="263"/>
      <c r="H11" s="261"/>
      <c r="I11" s="262"/>
    </row>
    <row r="12" spans="1:9" s="260" customFormat="1" x14ac:dyDescent="0.35">
      <c r="A12" s="263"/>
      <c r="B12" s="263" t="s">
        <v>345</v>
      </c>
      <c r="C12" s="266" t="str">
        <f>$C$6</f>
        <v>-</v>
      </c>
      <c r="D12" s="267"/>
      <c r="E12" s="267">
        <f>D12*0.5%</f>
        <v>0</v>
      </c>
      <c r="G12" s="262"/>
      <c r="H12" s="261"/>
      <c r="I12" s="262"/>
    </row>
    <row r="13" spans="1:9" s="260" customFormat="1" x14ac:dyDescent="0.35">
      <c r="A13" s="263"/>
      <c r="B13" s="263" t="s">
        <v>346</v>
      </c>
      <c r="C13" s="266" t="str">
        <f t="shared" ref="C13:C23" si="0">$C$6</f>
        <v>-</v>
      </c>
      <c r="D13" s="267"/>
      <c r="E13" s="267">
        <f t="shared" ref="E13:E23" si="1">D13*0.5%</f>
        <v>0</v>
      </c>
      <c r="G13" s="262"/>
      <c r="H13" s="261"/>
      <c r="I13" s="262"/>
    </row>
    <row r="14" spans="1:9" s="260" customFormat="1" x14ac:dyDescent="0.35">
      <c r="A14" s="263"/>
      <c r="B14" s="263" t="s">
        <v>347</v>
      </c>
      <c r="C14" s="266" t="str">
        <f t="shared" si="0"/>
        <v>-</v>
      </c>
      <c r="D14" s="267"/>
      <c r="E14" s="267">
        <f t="shared" si="1"/>
        <v>0</v>
      </c>
      <c r="G14" s="262"/>
      <c r="H14" s="261"/>
      <c r="I14" s="262"/>
    </row>
    <row r="15" spans="1:9" s="260" customFormat="1" x14ac:dyDescent="0.35">
      <c r="A15" s="263"/>
      <c r="B15" s="263" t="s">
        <v>348</v>
      </c>
      <c r="C15" s="266" t="str">
        <f t="shared" si="0"/>
        <v>-</v>
      </c>
      <c r="D15" s="267"/>
      <c r="E15" s="267">
        <f t="shared" si="1"/>
        <v>0</v>
      </c>
      <c r="G15" s="262"/>
      <c r="H15" s="261"/>
      <c r="I15" s="262"/>
    </row>
    <row r="16" spans="1:9" s="260" customFormat="1" x14ac:dyDescent="0.35">
      <c r="A16" s="263"/>
      <c r="B16" s="263" t="s">
        <v>349</v>
      </c>
      <c r="C16" s="266" t="str">
        <f t="shared" si="0"/>
        <v>-</v>
      </c>
      <c r="D16" s="267"/>
      <c r="E16" s="267">
        <f t="shared" si="1"/>
        <v>0</v>
      </c>
      <c r="G16" s="262"/>
      <c r="H16" s="261"/>
      <c r="I16" s="262"/>
    </row>
    <row r="17" spans="1:9" s="260" customFormat="1" x14ac:dyDescent="0.35">
      <c r="A17" s="263"/>
      <c r="B17" s="263" t="s">
        <v>350</v>
      </c>
      <c r="C17" s="266" t="str">
        <f t="shared" si="0"/>
        <v>-</v>
      </c>
      <c r="D17" s="267"/>
      <c r="E17" s="267">
        <f t="shared" si="1"/>
        <v>0</v>
      </c>
      <c r="G17" s="262"/>
      <c r="H17" s="261"/>
      <c r="I17" s="262"/>
    </row>
    <row r="18" spans="1:9" s="260" customFormat="1" x14ac:dyDescent="0.35">
      <c r="A18" s="263"/>
      <c r="B18" s="263" t="s">
        <v>351</v>
      </c>
      <c r="C18" s="266" t="str">
        <f t="shared" si="0"/>
        <v>-</v>
      </c>
      <c r="D18" s="267"/>
      <c r="E18" s="267">
        <f t="shared" si="1"/>
        <v>0</v>
      </c>
      <c r="G18" s="262"/>
      <c r="H18" s="261"/>
      <c r="I18" s="262"/>
    </row>
    <row r="19" spans="1:9" s="260" customFormat="1" x14ac:dyDescent="0.35">
      <c r="A19" s="263"/>
      <c r="B19" s="263" t="s">
        <v>352</v>
      </c>
      <c r="C19" s="266" t="str">
        <f t="shared" si="0"/>
        <v>-</v>
      </c>
      <c r="D19" s="267"/>
      <c r="E19" s="267">
        <f t="shared" si="1"/>
        <v>0</v>
      </c>
      <c r="G19" s="262"/>
      <c r="H19" s="261"/>
      <c r="I19" s="262"/>
    </row>
    <row r="20" spans="1:9" s="260" customFormat="1" x14ac:dyDescent="0.35">
      <c r="A20" s="263"/>
      <c r="B20" s="263" t="s">
        <v>353</v>
      </c>
      <c r="C20" s="266" t="str">
        <f t="shared" si="0"/>
        <v>-</v>
      </c>
      <c r="D20" s="267"/>
      <c r="E20" s="267">
        <f t="shared" si="1"/>
        <v>0</v>
      </c>
      <c r="G20" s="262"/>
      <c r="H20" s="261"/>
      <c r="I20" s="262"/>
    </row>
    <row r="21" spans="1:9" s="260" customFormat="1" x14ac:dyDescent="0.35">
      <c r="A21" s="263"/>
      <c r="B21" s="263" t="s">
        <v>354</v>
      </c>
      <c r="C21" s="266" t="str">
        <f t="shared" si="0"/>
        <v>-</v>
      </c>
      <c r="D21" s="267"/>
      <c r="E21" s="267">
        <f t="shared" si="1"/>
        <v>0</v>
      </c>
      <c r="G21" s="262"/>
      <c r="H21" s="261"/>
      <c r="I21" s="262"/>
    </row>
    <row r="22" spans="1:9" s="260" customFormat="1" x14ac:dyDescent="0.35">
      <c r="A22" s="263"/>
      <c r="B22" s="263" t="s">
        <v>355</v>
      </c>
      <c r="C22" s="266" t="str">
        <f t="shared" si="0"/>
        <v>-</v>
      </c>
      <c r="D22" s="267"/>
      <c r="E22" s="267">
        <f t="shared" si="1"/>
        <v>0</v>
      </c>
      <c r="G22" s="262"/>
      <c r="H22" s="261"/>
      <c r="I22" s="262"/>
    </row>
    <row r="23" spans="1:9" s="260" customFormat="1" x14ac:dyDescent="0.35">
      <c r="A23" s="263"/>
      <c r="B23" s="263" t="s">
        <v>356</v>
      </c>
      <c r="C23" s="266" t="str">
        <f t="shared" si="0"/>
        <v>-</v>
      </c>
      <c r="D23" s="267"/>
      <c r="E23" s="267">
        <f t="shared" si="1"/>
        <v>0</v>
      </c>
      <c r="G23" s="262"/>
      <c r="H23" s="262"/>
      <c r="I23" s="262"/>
    </row>
    <row r="24" spans="1:9" s="260" customFormat="1" x14ac:dyDescent="0.35">
      <c r="A24" s="263"/>
      <c r="B24" s="263"/>
      <c r="C24" s="263"/>
      <c r="D24" s="268"/>
      <c r="E24" s="268"/>
      <c r="G24" s="262"/>
      <c r="H24" s="261"/>
      <c r="I24" s="262"/>
    </row>
    <row r="25" spans="1:9" s="270" customFormat="1" x14ac:dyDescent="0.35">
      <c r="A25" s="340" t="s">
        <v>357</v>
      </c>
      <c r="B25" s="340"/>
      <c r="C25" s="340"/>
      <c r="D25" s="269">
        <f>SUM(D11:D24)</f>
        <v>0</v>
      </c>
      <c r="E25" s="269">
        <f>SUM(E11:E24)</f>
        <v>0</v>
      </c>
      <c r="H25" s="271"/>
      <c r="I25" s="272"/>
    </row>
    <row r="26" spans="1:9" x14ac:dyDescent="0.4">
      <c r="A26" s="249"/>
    </row>
    <row r="27" spans="1:9" x14ac:dyDescent="0.4">
      <c r="A27" s="249"/>
    </row>
    <row r="28" spans="1:9" x14ac:dyDescent="0.4">
      <c r="A28" s="249"/>
    </row>
    <row r="29" spans="1:9" s="249" customFormat="1" x14ac:dyDescent="0.4">
      <c r="D29" s="341" t="str">
        <f>'LABA RUGI'!D41</f>
        <v>…...................., 31 Desember 2026</v>
      </c>
      <c r="E29" s="341"/>
      <c r="H29" s="250"/>
      <c r="I29" s="251"/>
    </row>
    <row r="30" spans="1:9" s="249" customFormat="1" x14ac:dyDescent="0.4">
      <c r="H30" s="250"/>
      <c r="I30" s="251"/>
    </row>
    <row r="31" spans="1:9" s="249" customFormat="1" x14ac:dyDescent="0.4">
      <c r="H31" s="250"/>
      <c r="I31" s="251"/>
    </row>
    <row r="32" spans="1:9" s="249" customFormat="1" x14ac:dyDescent="0.4">
      <c r="H32" s="250"/>
      <c r="I32" s="251"/>
    </row>
    <row r="33" spans="1:9" s="249" customFormat="1" x14ac:dyDescent="0.4">
      <c r="H33" s="250"/>
      <c r="I33" s="251"/>
    </row>
    <row r="34" spans="1:9" s="249" customFormat="1" ht="15.5" x14ac:dyDescent="0.55000000000000004">
      <c r="D34" s="342" t="str">
        <f>'[61]LABA RUGI'!D45</f>
        <v>…..............................</v>
      </c>
      <c r="E34" s="343"/>
      <c r="H34" s="250"/>
      <c r="I34" s="251"/>
    </row>
    <row r="35" spans="1:9" x14ac:dyDescent="0.4">
      <c r="D35" s="344" t="str">
        <f>[62]IDENTITAS!B20</f>
        <v>DIREKTUR UTAMA</v>
      </c>
      <c r="E35" s="341"/>
    </row>
    <row r="36" spans="1:9" s="249" customFormat="1" x14ac:dyDescent="0.4">
      <c r="A36" s="345"/>
      <c r="B36" s="345"/>
      <c r="C36" s="345"/>
      <c r="H36" s="250"/>
      <c r="I36" s="251"/>
    </row>
    <row r="38" spans="1:9" x14ac:dyDescent="0.4">
      <c r="B38" s="275"/>
      <c r="C38" s="276"/>
    </row>
  </sheetData>
  <mergeCells count="13">
    <mergeCell ref="A1:E1"/>
    <mergeCell ref="A2:E2"/>
    <mergeCell ref="C6:D6"/>
    <mergeCell ref="A8:A10"/>
    <mergeCell ref="B8:B9"/>
    <mergeCell ref="C8:C10"/>
    <mergeCell ref="D8:D10"/>
    <mergeCell ref="E8:E10"/>
    <mergeCell ref="A25:C25"/>
    <mergeCell ref="D29:E29"/>
    <mergeCell ref="D34:E34"/>
    <mergeCell ref="D35:E35"/>
    <mergeCell ref="A36:C36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I48"/>
  <sheetViews>
    <sheetView zoomScale="110" zoomScaleNormal="110" workbookViewId="0">
      <pane ySplit="5" topLeftCell="A6" activePane="bottomLeft" state="frozen"/>
      <selection pane="bottomLeft" activeCell="C9" sqref="C9"/>
    </sheetView>
  </sheetViews>
  <sheetFormatPr defaultRowHeight="14.5" x14ac:dyDescent="0.35"/>
  <cols>
    <col min="1" max="1" width="8.36328125" style="9" customWidth="1"/>
    <col min="2" max="2" width="55.6328125" customWidth="1"/>
    <col min="3" max="3" width="15.54296875" style="54" bestFit="1" customWidth="1"/>
    <col min="4" max="6" width="15.54296875" style="54" customWidth="1"/>
    <col min="7" max="7" width="18.54296875" style="54" customWidth="1"/>
    <col min="8" max="8" width="18.6328125" style="54" customWidth="1"/>
    <col min="9" max="9" width="19.6328125" style="53" customWidth="1"/>
  </cols>
  <sheetData>
    <row r="1" spans="1:9" x14ac:dyDescent="0.35">
      <c r="A1" s="320" t="s">
        <v>317</v>
      </c>
      <c r="B1" s="320"/>
      <c r="C1" s="320"/>
      <c r="D1" s="320"/>
      <c r="E1" s="320"/>
      <c r="F1" s="320"/>
      <c r="G1" s="320"/>
      <c r="H1" s="320"/>
      <c r="I1" s="320"/>
    </row>
    <row r="2" spans="1:9" x14ac:dyDescent="0.35">
      <c r="A2" s="320" t="str">
        <f>[63]LPM!A1</f>
        <v>(NAMA PERUSAHAAN)</v>
      </c>
      <c r="B2" s="320"/>
      <c r="C2" s="320"/>
      <c r="D2" s="320"/>
      <c r="E2" s="320"/>
      <c r="F2" s="320"/>
      <c r="G2" s="320"/>
      <c r="H2" s="320"/>
      <c r="I2" s="320"/>
    </row>
    <row r="3" spans="1:9" x14ac:dyDescent="0.35">
      <c r="A3" s="320" t="str">
        <f>[63]LPM!A3</f>
        <v>2025</v>
      </c>
      <c r="B3" s="320"/>
      <c r="C3" s="320"/>
      <c r="D3" s="320"/>
      <c r="E3" s="320"/>
      <c r="F3" s="320"/>
      <c r="G3" s="320"/>
      <c r="H3" s="320"/>
      <c r="I3" s="320"/>
    </row>
    <row r="4" spans="1:9" ht="6" customHeight="1" x14ac:dyDescent="0.35"/>
    <row r="5" spans="1:9" s="57" customFormat="1" ht="43.5" x14ac:dyDescent="0.35">
      <c r="A5" s="225" t="s">
        <v>218</v>
      </c>
      <c r="B5" s="226" t="s">
        <v>27</v>
      </c>
      <c r="C5" s="227" t="s">
        <v>219</v>
      </c>
      <c r="D5" s="227" t="s">
        <v>358</v>
      </c>
      <c r="E5" s="227" t="s">
        <v>359</v>
      </c>
      <c r="F5" s="227" t="s">
        <v>360</v>
      </c>
      <c r="G5" s="227" t="s">
        <v>220</v>
      </c>
      <c r="H5" s="227" t="s">
        <v>221</v>
      </c>
      <c r="I5" s="228" t="s">
        <v>222</v>
      </c>
    </row>
    <row r="6" spans="1:9" x14ac:dyDescent="0.35">
      <c r="A6" s="55"/>
      <c r="B6" s="278" t="s">
        <v>361</v>
      </c>
      <c r="I6" s="54"/>
    </row>
    <row r="7" spans="1:9" x14ac:dyDescent="0.35">
      <c r="A7" s="56">
        <v>4021</v>
      </c>
      <c r="B7" s="52" t="s">
        <v>362</v>
      </c>
      <c r="C7" s="54">
        <f>'LABA RUGI'!D7</f>
        <v>150208916.28</v>
      </c>
      <c r="F7" s="54">
        <f>C7-D7-E7</f>
        <v>150208916.28</v>
      </c>
      <c r="H7" s="54">
        <f>C7</f>
        <v>150208916.28</v>
      </c>
      <c r="I7" s="54">
        <f>C7-D7-E7+G7-H7</f>
        <v>0</v>
      </c>
    </row>
    <row r="8" spans="1:9" x14ac:dyDescent="0.35">
      <c r="A8" s="56">
        <v>4013</v>
      </c>
      <c r="B8" s="60" t="s">
        <v>196</v>
      </c>
      <c r="C8" s="54">
        <v>0</v>
      </c>
      <c r="F8" s="54">
        <f>C8-D8-E8</f>
        <v>0</v>
      </c>
      <c r="G8" s="54">
        <f>C8</f>
        <v>0</v>
      </c>
      <c r="I8" s="54">
        <f t="shared" ref="I8:I9" si="0">C8+H8-G8</f>
        <v>0</v>
      </c>
    </row>
    <row r="9" spans="1:9" x14ac:dyDescent="0.35">
      <c r="A9" s="56">
        <v>5020</v>
      </c>
      <c r="B9" s="60" t="s">
        <v>363</v>
      </c>
      <c r="C9" s="54">
        <f>'LABA RUGI'!D11</f>
        <v>6000000</v>
      </c>
      <c r="G9" s="54">
        <f>C9</f>
        <v>6000000</v>
      </c>
      <c r="I9" s="54">
        <f t="shared" si="0"/>
        <v>0</v>
      </c>
    </row>
    <row r="10" spans="1:9" x14ac:dyDescent="0.35">
      <c r="A10" s="56">
        <v>4300</v>
      </c>
      <c r="B10" s="279" t="s">
        <v>223</v>
      </c>
      <c r="C10" s="61">
        <f t="shared" ref="C10:I10" si="1">C7-C8-C9</f>
        <v>144208916.28</v>
      </c>
      <c r="D10" s="61">
        <f t="shared" si="1"/>
        <v>0</v>
      </c>
      <c r="E10" s="61">
        <f t="shared" si="1"/>
        <v>0</v>
      </c>
      <c r="F10" s="61">
        <f t="shared" si="1"/>
        <v>150208916.28</v>
      </c>
      <c r="G10" s="61">
        <f t="shared" si="1"/>
        <v>-6000000</v>
      </c>
      <c r="H10" s="61">
        <f t="shared" si="1"/>
        <v>150208916.28</v>
      </c>
      <c r="I10" s="61">
        <f t="shared" si="1"/>
        <v>0</v>
      </c>
    </row>
    <row r="11" spans="1:9" x14ac:dyDescent="0.35">
      <c r="A11" s="56">
        <v>4199</v>
      </c>
      <c r="B11" s="52" t="s">
        <v>197</v>
      </c>
      <c r="C11" s="54">
        <v>0</v>
      </c>
      <c r="F11" s="54">
        <f>C11-D11-E11</f>
        <v>0</v>
      </c>
      <c r="H11" s="54">
        <f>C11</f>
        <v>0</v>
      </c>
      <c r="I11" s="54">
        <f>C11-D11-E11+G11-H11</f>
        <v>0</v>
      </c>
    </row>
    <row r="12" spans="1:9" x14ac:dyDescent="0.35">
      <c r="A12" s="56"/>
      <c r="B12" s="278" t="s">
        <v>224</v>
      </c>
      <c r="I12" s="54"/>
    </row>
    <row r="13" spans="1:9" x14ac:dyDescent="0.35">
      <c r="A13" s="56">
        <v>5311</v>
      </c>
      <c r="B13" s="60" t="s">
        <v>202</v>
      </c>
      <c r="C13" s="54">
        <f>'LABA RUGI'!D16</f>
        <v>0</v>
      </c>
      <c r="G13" s="54">
        <f t="shared" ref="G13:G24" si="2">C13</f>
        <v>0</v>
      </c>
      <c r="I13" s="54">
        <f t="shared" ref="I13:I24" si="3">C13+H13-G13</f>
        <v>0</v>
      </c>
    </row>
    <row r="14" spans="1:9" x14ac:dyDescent="0.35">
      <c r="A14" s="56">
        <v>5312</v>
      </c>
      <c r="B14" s="60" t="s">
        <v>203</v>
      </c>
      <c r="C14" s="54">
        <f>'LABA RUGI'!D18</f>
        <v>5198862</v>
      </c>
      <c r="G14" s="54">
        <f t="shared" si="2"/>
        <v>5198862</v>
      </c>
      <c r="I14" s="54">
        <f t="shared" si="3"/>
        <v>0</v>
      </c>
    </row>
    <row r="15" spans="1:9" x14ac:dyDescent="0.35">
      <c r="A15" s="56">
        <v>5313</v>
      </c>
      <c r="B15" s="60" t="s">
        <v>204</v>
      </c>
      <c r="C15" s="54">
        <f>'LABA RUGI'!D21</f>
        <v>0</v>
      </c>
      <c r="G15" s="54">
        <f t="shared" si="2"/>
        <v>0</v>
      </c>
      <c r="I15" s="54">
        <f t="shared" si="3"/>
        <v>0</v>
      </c>
    </row>
    <row r="16" spans="1:9" x14ac:dyDescent="0.35">
      <c r="A16" s="56">
        <v>5314</v>
      </c>
      <c r="B16" s="60" t="s">
        <v>205</v>
      </c>
      <c r="C16" s="54">
        <f>'LABA RUGI'!D25</f>
        <v>0</v>
      </c>
      <c r="G16" s="54">
        <f t="shared" si="2"/>
        <v>0</v>
      </c>
      <c r="I16" s="54">
        <f t="shared" si="3"/>
        <v>0</v>
      </c>
    </row>
    <row r="17" spans="1:9" x14ac:dyDescent="0.35">
      <c r="A17" s="56">
        <v>5315</v>
      </c>
      <c r="B17" s="60" t="s">
        <v>206</v>
      </c>
      <c r="C17" s="54">
        <f>'LABA RUGI'!D23</f>
        <v>0</v>
      </c>
      <c r="G17" s="54">
        <f t="shared" si="2"/>
        <v>0</v>
      </c>
      <c r="I17" s="54">
        <f t="shared" si="3"/>
        <v>0</v>
      </c>
    </row>
    <row r="18" spans="1:9" x14ac:dyDescent="0.35">
      <c r="A18" s="56">
        <v>5316</v>
      </c>
      <c r="B18" s="60" t="s">
        <v>207</v>
      </c>
      <c r="G18" s="54">
        <f t="shared" si="2"/>
        <v>0</v>
      </c>
      <c r="I18" s="54">
        <f t="shared" si="3"/>
        <v>0</v>
      </c>
    </row>
    <row r="19" spans="1:9" x14ac:dyDescent="0.35">
      <c r="A19" s="56">
        <v>5317</v>
      </c>
      <c r="B19" s="60" t="s">
        <v>208</v>
      </c>
      <c r="C19" s="54">
        <v>0</v>
      </c>
      <c r="G19" s="54">
        <f t="shared" si="2"/>
        <v>0</v>
      </c>
      <c r="I19" s="54">
        <f t="shared" si="3"/>
        <v>0</v>
      </c>
    </row>
    <row r="20" spans="1:9" x14ac:dyDescent="0.35">
      <c r="A20" s="56">
        <v>5318</v>
      </c>
      <c r="B20" s="60" t="s">
        <v>209</v>
      </c>
      <c r="G20" s="54">
        <f t="shared" si="2"/>
        <v>0</v>
      </c>
      <c r="I20" s="54">
        <f t="shared" si="3"/>
        <v>0</v>
      </c>
    </row>
    <row r="21" spans="1:9" x14ac:dyDescent="0.35">
      <c r="A21" s="56">
        <v>5319</v>
      </c>
      <c r="B21" s="60" t="s">
        <v>210</v>
      </c>
      <c r="G21" s="54">
        <f t="shared" si="2"/>
        <v>0</v>
      </c>
      <c r="I21" s="54">
        <f t="shared" si="3"/>
        <v>0</v>
      </c>
    </row>
    <row r="22" spans="1:9" x14ac:dyDescent="0.35">
      <c r="A22" s="56">
        <v>5320</v>
      </c>
      <c r="B22" s="60" t="s">
        <v>211</v>
      </c>
      <c r="C22" s="54">
        <f>'LABA RUGI'!D20</f>
        <v>0</v>
      </c>
      <c r="G22" s="54">
        <f t="shared" si="2"/>
        <v>0</v>
      </c>
      <c r="I22" s="54">
        <f t="shared" si="3"/>
        <v>0</v>
      </c>
    </row>
    <row r="23" spans="1:9" x14ac:dyDescent="0.35">
      <c r="A23" s="56">
        <v>5321</v>
      </c>
      <c r="B23" s="60" t="s">
        <v>212</v>
      </c>
      <c r="G23" s="54">
        <f t="shared" si="2"/>
        <v>0</v>
      </c>
      <c r="I23" s="54">
        <f t="shared" si="3"/>
        <v>0</v>
      </c>
    </row>
    <row r="24" spans="1:9" x14ac:dyDescent="0.35">
      <c r="A24" s="56">
        <v>5399</v>
      </c>
      <c r="B24" s="60" t="s">
        <v>213</v>
      </c>
      <c r="G24" s="54">
        <f t="shared" si="2"/>
        <v>0</v>
      </c>
      <c r="I24" s="54">
        <f t="shared" si="3"/>
        <v>0</v>
      </c>
    </row>
    <row r="25" spans="1:9" x14ac:dyDescent="0.35">
      <c r="A25" s="56">
        <v>5400</v>
      </c>
      <c r="B25" s="280" t="s">
        <v>225</v>
      </c>
      <c r="C25" s="61">
        <f>SUM(C13:C24)</f>
        <v>5198862</v>
      </c>
      <c r="D25" s="61"/>
      <c r="E25" s="61"/>
      <c r="F25" s="61"/>
      <c r="G25" s="61">
        <f>SUM(G13:G24)</f>
        <v>5198862</v>
      </c>
      <c r="H25" s="61">
        <f>SUM(H13:H24)</f>
        <v>0</v>
      </c>
      <c r="I25" s="61">
        <f>SUM(I13:I24)</f>
        <v>0</v>
      </c>
    </row>
    <row r="26" spans="1:9" x14ac:dyDescent="0.35">
      <c r="A26" s="56">
        <v>4500</v>
      </c>
      <c r="B26" s="279" t="s">
        <v>226</v>
      </c>
      <c r="C26" s="61">
        <f>C10+C11-C25</f>
        <v>139010054.28</v>
      </c>
      <c r="D26" s="61"/>
      <c r="E26" s="61"/>
      <c r="F26" s="61"/>
      <c r="G26" s="61">
        <f>G10+G11-G25</f>
        <v>-11198862</v>
      </c>
      <c r="H26" s="61">
        <f>H10+H11-H25</f>
        <v>150208916.28</v>
      </c>
      <c r="I26" s="61">
        <f>I10+I11-I25</f>
        <v>0</v>
      </c>
    </row>
    <row r="27" spans="1:9" x14ac:dyDescent="0.35">
      <c r="A27" s="56"/>
      <c r="B27" s="278" t="s">
        <v>227</v>
      </c>
      <c r="I27" s="54"/>
    </row>
    <row r="28" spans="1:9" x14ac:dyDescent="0.35">
      <c r="A28" s="56">
        <v>4501</v>
      </c>
      <c r="B28" s="52" t="s">
        <v>198</v>
      </c>
      <c r="F28" s="54">
        <f>C28-D28-E28</f>
        <v>0</v>
      </c>
      <c r="H28" s="54">
        <f>C28</f>
        <v>0</v>
      </c>
      <c r="I28" s="54">
        <f t="shared" ref="I28:I31" si="4">C28-D28-E28+G28-H28</f>
        <v>0</v>
      </c>
    </row>
    <row r="29" spans="1:9" x14ac:dyDescent="0.35">
      <c r="A29" s="56">
        <v>4503</v>
      </c>
      <c r="B29" s="52" t="s">
        <v>199</v>
      </c>
      <c r="F29" s="54">
        <f>C29-D29-E29</f>
        <v>0</v>
      </c>
      <c r="H29" s="54">
        <f>C29</f>
        <v>0</v>
      </c>
      <c r="I29" s="54">
        <f t="shared" si="4"/>
        <v>0</v>
      </c>
    </row>
    <row r="30" spans="1:9" x14ac:dyDescent="0.35">
      <c r="A30" s="56">
        <v>4511</v>
      </c>
      <c r="B30" s="52" t="s">
        <v>200</v>
      </c>
      <c r="F30" s="54">
        <f>C30-D30-E30</f>
        <v>0</v>
      </c>
      <c r="H30" s="54">
        <f>C30</f>
        <v>0</v>
      </c>
      <c r="I30" s="54">
        <f t="shared" si="4"/>
        <v>0</v>
      </c>
    </row>
    <row r="31" spans="1:9" x14ac:dyDescent="0.35">
      <c r="A31" s="56">
        <v>4599</v>
      </c>
      <c r="B31" s="52" t="s">
        <v>201</v>
      </c>
      <c r="C31" s="54">
        <f>'LABA RUGI'!D31</f>
        <v>0</v>
      </c>
      <c r="F31" s="54">
        <f>C31-D31-E31</f>
        <v>0</v>
      </c>
      <c r="H31" s="54">
        <f>C31</f>
        <v>0</v>
      </c>
      <c r="I31" s="54">
        <f t="shared" si="4"/>
        <v>0</v>
      </c>
    </row>
    <row r="32" spans="1:9" x14ac:dyDescent="0.35">
      <c r="A32" s="56">
        <v>4600</v>
      </c>
      <c r="B32" s="279" t="s">
        <v>228</v>
      </c>
      <c r="C32" s="61">
        <f>SUM(C28:C31)</f>
        <v>0</v>
      </c>
      <c r="D32" s="61"/>
      <c r="E32" s="61"/>
      <c r="F32" s="61"/>
      <c r="G32" s="61">
        <f>SUM(G28:G31)</f>
        <v>0</v>
      </c>
      <c r="H32" s="61">
        <f>SUM(H28:H31)</f>
        <v>0</v>
      </c>
      <c r="I32" s="61">
        <f>SUM(I28:I31)</f>
        <v>0</v>
      </c>
    </row>
    <row r="33" spans="1:9" x14ac:dyDescent="0.35">
      <c r="A33" s="56"/>
      <c r="B33" s="278" t="s">
        <v>229</v>
      </c>
      <c r="I33" s="54"/>
    </row>
    <row r="34" spans="1:9" x14ac:dyDescent="0.35">
      <c r="A34" s="56">
        <v>5405</v>
      </c>
      <c r="B34" s="60" t="s">
        <v>214</v>
      </c>
      <c r="G34" s="54">
        <f>C34</f>
        <v>0</v>
      </c>
      <c r="I34" s="54">
        <f t="shared" ref="I34:I37" si="5">C34+H34-G34</f>
        <v>0</v>
      </c>
    </row>
    <row r="35" spans="1:9" x14ac:dyDescent="0.35">
      <c r="A35" s="56">
        <v>5409</v>
      </c>
      <c r="B35" s="60" t="s">
        <v>215</v>
      </c>
      <c r="G35" s="54">
        <f>C35</f>
        <v>0</v>
      </c>
      <c r="I35" s="54">
        <f t="shared" si="5"/>
        <v>0</v>
      </c>
    </row>
    <row r="36" spans="1:9" x14ac:dyDescent="0.35">
      <c r="A36" s="56">
        <v>5421</v>
      </c>
      <c r="B36" s="60" t="s">
        <v>216</v>
      </c>
      <c r="G36" s="54">
        <f>C36</f>
        <v>0</v>
      </c>
      <c r="I36" s="54">
        <f t="shared" si="5"/>
        <v>0</v>
      </c>
    </row>
    <row r="37" spans="1:9" x14ac:dyDescent="0.35">
      <c r="A37" s="56">
        <v>5499</v>
      </c>
      <c r="B37" s="60" t="s">
        <v>217</v>
      </c>
      <c r="C37" s="54">
        <f>'LABA RUGI'!D32</f>
        <v>0</v>
      </c>
      <c r="G37" s="54">
        <f>C37</f>
        <v>0</v>
      </c>
      <c r="I37" s="54">
        <f t="shared" si="5"/>
        <v>0</v>
      </c>
    </row>
    <row r="38" spans="1:9" x14ac:dyDescent="0.35">
      <c r="A38" s="56">
        <v>5500</v>
      </c>
      <c r="B38" s="280" t="s">
        <v>230</v>
      </c>
      <c r="C38" s="61">
        <f>SUM(C34:C37)</f>
        <v>0</v>
      </c>
      <c r="D38" s="61"/>
      <c r="E38" s="61"/>
      <c r="F38" s="61"/>
      <c r="G38" s="61">
        <f>SUM(G34:G37)</f>
        <v>0</v>
      </c>
      <c r="H38" s="61">
        <f>SUM(H34:H37)</f>
        <v>0</v>
      </c>
      <c r="I38" s="61">
        <f>SUM(I34:I37)</f>
        <v>0</v>
      </c>
    </row>
    <row r="39" spans="1:9" x14ac:dyDescent="0.35">
      <c r="A39" s="56">
        <v>4700</v>
      </c>
      <c r="B39" s="279" t="s">
        <v>231</v>
      </c>
      <c r="C39" s="61">
        <f>C32-C38</f>
        <v>0</v>
      </c>
      <c r="D39" s="61"/>
      <c r="E39" s="61"/>
      <c r="F39" s="61"/>
      <c r="G39" s="61">
        <f>G32-G38</f>
        <v>0</v>
      </c>
      <c r="H39" s="61">
        <f>H32-H38</f>
        <v>0</v>
      </c>
      <c r="I39" s="61">
        <f>I32-I38</f>
        <v>0</v>
      </c>
    </row>
    <row r="40" spans="1:9" x14ac:dyDescent="0.35">
      <c r="A40" s="56">
        <v>4800</v>
      </c>
      <c r="B40" s="279" t="s">
        <v>232</v>
      </c>
      <c r="C40" s="61">
        <f>C26+C39</f>
        <v>139010054.28</v>
      </c>
      <c r="D40" s="61"/>
      <c r="E40" s="61"/>
      <c r="F40" s="61"/>
      <c r="G40" s="61">
        <f>G26+G39</f>
        <v>-11198862</v>
      </c>
      <c r="H40" s="61">
        <f>H26+H39</f>
        <v>150208916.28</v>
      </c>
      <c r="I40" s="61">
        <f>I26+I39</f>
        <v>0</v>
      </c>
    </row>
    <row r="42" spans="1:9" x14ac:dyDescent="0.35">
      <c r="H42" s="281" t="s">
        <v>406</v>
      </c>
    </row>
    <row r="43" spans="1:9" x14ac:dyDescent="0.35">
      <c r="H43" s="282"/>
    </row>
    <row r="44" spans="1:9" x14ac:dyDescent="0.35">
      <c r="H44" s="282"/>
    </row>
    <row r="45" spans="1:9" x14ac:dyDescent="0.35">
      <c r="H45" s="282"/>
    </row>
    <row r="46" spans="1:9" x14ac:dyDescent="0.35">
      <c r="H46" s="282"/>
    </row>
    <row r="47" spans="1:9" x14ac:dyDescent="0.35">
      <c r="H47" s="12" t="s">
        <v>195</v>
      </c>
    </row>
    <row r="48" spans="1:9" x14ac:dyDescent="0.35">
      <c r="H48" s="282" t="s">
        <v>409</v>
      </c>
    </row>
  </sheetData>
  <mergeCells count="3">
    <mergeCell ref="A1:I1"/>
    <mergeCell ref="A2:I2"/>
    <mergeCell ref="A3:I3"/>
  </mergeCells>
  <pageMargins left="0.7" right="0.7" top="0.75" bottom="0.75" header="0.3" footer="0.3"/>
  <pageSetup paperSize="9" scale="96" fitToHeight="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A1:G48"/>
  <sheetViews>
    <sheetView topLeftCell="C7" zoomScaleNormal="100" workbookViewId="0">
      <selection activeCell="G13" sqref="G13"/>
    </sheetView>
  </sheetViews>
  <sheetFormatPr defaultRowHeight="14.5" x14ac:dyDescent="0.35"/>
  <cols>
    <col min="1" max="1" width="10.08984375" style="9" customWidth="1"/>
    <col min="2" max="2" width="60.08984375" customWidth="1"/>
    <col min="3" max="3" width="14.54296875" style="53" customWidth="1"/>
    <col min="4" max="4" width="3.36328125" customWidth="1"/>
    <col min="5" max="5" width="10.36328125" style="9" customWidth="1"/>
    <col min="6" max="6" width="57.6328125" customWidth="1"/>
    <col min="7" max="7" width="12.6328125" style="53" customWidth="1"/>
  </cols>
  <sheetData>
    <row r="1" spans="1:7" x14ac:dyDescent="0.35">
      <c r="A1" s="320" t="s">
        <v>318</v>
      </c>
      <c r="B1" s="320"/>
      <c r="C1" s="320"/>
      <c r="D1" s="320"/>
      <c r="E1" s="320"/>
      <c r="F1" s="320"/>
      <c r="G1" s="320"/>
    </row>
    <row r="2" spans="1:7" x14ac:dyDescent="0.35">
      <c r="A2" s="320" t="str">
        <f>'[63]LABA RUGI PAJAK'!A2</f>
        <v>(NAMA PERUSAHAAN)</v>
      </c>
      <c r="B2" s="320"/>
      <c r="C2" s="320"/>
      <c r="D2" s="320"/>
      <c r="E2" s="320"/>
      <c r="F2" s="320"/>
      <c r="G2" s="320"/>
    </row>
    <row r="3" spans="1:7" x14ac:dyDescent="0.35">
      <c r="A3" s="320" t="str">
        <f>'[63]LABA RUGI PAJAK'!A3</f>
        <v>2025</v>
      </c>
      <c r="B3" s="320"/>
      <c r="C3" s="320"/>
      <c r="D3" s="320"/>
      <c r="E3" s="320"/>
      <c r="F3" s="320"/>
      <c r="G3" s="320"/>
    </row>
    <row r="5" spans="1:7" s="51" customFormat="1" x14ac:dyDescent="0.35">
      <c r="A5" s="58" t="s">
        <v>274</v>
      </c>
      <c r="B5" s="58" t="s">
        <v>275</v>
      </c>
      <c r="C5" s="59" t="s">
        <v>276</v>
      </c>
      <c r="E5" s="58" t="s">
        <v>274</v>
      </c>
      <c r="F5" s="58" t="s">
        <v>275</v>
      </c>
      <c r="G5" s="59" t="s">
        <v>276</v>
      </c>
    </row>
    <row r="6" spans="1:7" x14ac:dyDescent="0.35">
      <c r="A6" s="55"/>
      <c r="B6" s="278" t="s">
        <v>78</v>
      </c>
      <c r="E6" s="55"/>
      <c r="F6" s="278" t="s">
        <v>279</v>
      </c>
    </row>
    <row r="7" spans="1:7" x14ac:dyDescent="0.35">
      <c r="A7" s="56">
        <v>1101</v>
      </c>
      <c r="B7" s="60" t="s">
        <v>233</v>
      </c>
      <c r="C7" s="53">
        <f>NERACA!B7</f>
        <v>60955611.019999996</v>
      </c>
      <c r="E7" s="56">
        <v>2102</v>
      </c>
      <c r="F7" s="60" t="s">
        <v>251</v>
      </c>
      <c r="G7" s="53">
        <f>NERACA!G7</f>
        <v>0</v>
      </c>
    </row>
    <row r="8" spans="1:7" x14ac:dyDescent="0.35">
      <c r="A8" s="56">
        <v>1122</v>
      </c>
      <c r="B8" s="60" t="s">
        <v>234</v>
      </c>
      <c r="C8" s="53">
        <f>NERACA!B8</f>
        <v>0</v>
      </c>
      <c r="E8" s="56">
        <v>2103</v>
      </c>
      <c r="F8" s="60" t="s">
        <v>252</v>
      </c>
    </row>
    <row r="9" spans="1:7" x14ac:dyDescent="0.35">
      <c r="A9" s="56">
        <v>1123</v>
      </c>
      <c r="B9" s="60" t="s">
        <v>235</v>
      </c>
      <c r="E9" s="56">
        <v>2111</v>
      </c>
      <c r="F9" s="60" t="s">
        <v>253</v>
      </c>
    </row>
    <row r="10" spans="1:7" x14ac:dyDescent="0.35">
      <c r="A10" s="56">
        <v>1124</v>
      </c>
      <c r="B10" s="60" t="s">
        <v>236</v>
      </c>
      <c r="E10" s="56">
        <v>2191</v>
      </c>
      <c r="F10" s="60" t="s">
        <v>256</v>
      </c>
      <c r="G10" s="53">
        <f>NERACA!G8</f>
        <v>0</v>
      </c>
    </row>
    <row r="11" spans="1:7" x14ac:dyDescent="0.35">
      <c r="A11" s="56">
        <v>1125</v>
      </c>
      <c r="B11" s="60" t="s">
        <v>237</v>
      </c>
      <c r="E11" s="56">
        <v>2186</v>
      </c>
      <c r="F11" s="60" t="s">
        <v>254</v>
      </c>
    </row>
    <row r="12" spans="1:7" x14ac:dyDescent="0.35">
      <c r="A12" s="56">
        <v>1131</v>
      </c>
      <c r="B12" s="283" t="s">
        <v>238</v>
      </c>
      <c r="E12" s="56">
        <v>2187</v>
      </c>
      <c r="F12" s="60" t="s">
        <v>255</v>
      </c>
    </row>
    <row r="13" spans="1:7" x14ac:dyDescent="0.35">
      <c r="A13" s="56">
        <v>1181</v>
      </c>
      <c r="B13" s="60" t="s">
        <v>239</v>
      </c>
      <c r="E13" s="56">
        <v>2192</v>
      </c>
      <c r="F13" s="60" t="s">
        <v>257</v>
      </c>
    </row>
    <row r="14" spans="1:7" x14ac:dyDescent="0.35">
      <c r="A14" s="9">
        <v>1200</v>
      </c>
      <c r="B14" s="60" t="s">
        <v>364</v>
      </c>
      <c r="E14" s="56">
        <v>2195</v>
      </c>
      <c r="F14" s="60" t="s">
        <v>258</v>
      </c>
    </row>
    <row r="15" spans="1:7" x14ac:dyDescent="0.35">
      <c r="A15" s="56">
        <v>1401</v>
      </c>
      <c r="B15" s="60" t="s">
        <v>118</v>
      </c>
      <c r="E15" s="56">
        <v>2201</v>
      </c>
      <c r="F15" s="60" t="s">
        <v>259</v>
      </c>
    </row>
    <row r="16" spans="1:7" x14ac:dyDescent="0.35">
      <c r="A16" s="56">
        <v>1421</v>
      </c>
      <c r="B16" s="60" t="s">
        <v>365</v>
      </c>
      <c r="E16" s="56">
        <v>2202</v>
      </c>
      <c r="F16" s="60" t="s">
        <v>260</v>
      </c>
    </row>
    <row r="17" spans="1:7" x14ac:dyDescent="0.35">
      <c r="A17" s="56">
        <v>1422</v>
      </c>
      <c r="B17" s="60" t="s">
        <v>366</v>
      </c>
      <c r="E17" s="56">
        <v>2203</v>
      </c>
      <c r="F17" s="60" t="s">
        <v>240</v>
      </c>
    </row>
    <row r="18" spans="1:7" x14ac:dyDescent="0.35">
      <c r="A18" s="56">
        <v>1423</v>
      </c>
      <c r="B18" s="60" t="s">
        <v>241</v>
      </c>
      <c r="C18" s="53">
        <f>NERACA!B9+NERACA!B10+NERACA!B11+NERACA!B12+NERACA!B13</f>
        <v>0</v>
      </c>
      <c r="E18" s="56">
        <v>2228</v>
      </c>
      <c r="F18" s="60" t="s">
        <v>261</v>
      </c>
    </row>
    <row r="19" spans="1:7" x14ac:dyDescent="0.35">
      <c r="A19" s="56">
        <v>1499</v>
      </c>
      <c r="B19" s="60" t="s">
        <v>242</v>
      </c>
      <c r="E19" s="56">
        <v>2229</v>
      </c>
      <c r="F19" s="279" t="s">
        <v>262</v>
      </c>
      <c r="G19" s="62">
        <f>SUM(G7:G18)</f>
        <v>0</v>
      </c>
    </row>
    <row r="20" spans="1:7" x14ac:dyDescent="0.35">
      <c r="A20" s="56">
        <v>1500</v>
      </c>
      <c r="B20" s="280" t="s">
        <v>75</v>
      </c>
      <c r="C20" s="62">
        <f>SUM(C7:C19)</f>
        <v>60955611.019999996</v>
      </c>
    </row>
    <row r="21" spans="1:7" x14ac:dyDescent="0.35">
      <c r="A21" s="56"/>
      <c r="B21" s="278" t="s">
        <v>277</v>
      </c>
      <c r="F21" s="278" t="s">
        <v>280</v>
      </c>
    </row>
    <row r="22" spans="1:7" x14ac:dyDescent="0.35">
      <c r="A22" s="56">
        <v>1501</v>
      </c>
      <c r="B22" s="60" t="s">
        <v>367</v>
      </c>
      <c r="E22" s="56">
        <v>2301</v>
      </c>
      <c r="F22" s="60" t="s">
        <v>263</v>
      </c>
    </row>
    <row r="23" spans="1:7" x14ac:dyDescent="0.35">
      <c r="A23" s="56">
        <v>1521</v>
      </c>
      <c r="B23" s="60" t="s">
        <v>368</v>
      </c>
      <c r="C23" s="53">
        <f>ASET!E86</f>
        <v>0</v>
      </c>
      <c r="E23" s="56">
        <v>2303</v>
      </c>
      <c r="F23" s="60" t="s">
        <v>264</v>
      </c>
    </row>
    <row r="24" spans="1:7" x14ac:dyDescent="0.35">
      <c r="A24" s="56">
        <v>1522</v>
      </c>
      <c r="B24" s="283" t="s">
        <v>369</v>
      </c>
      <c r="C24" s="53">
        <f>ASET!T86</f>
        <v>0</v>
      </c>
      <c r="E24" s="56">
        <v>2304</v>
      </c>
      <c r="F24" s="60" t="s">
        <v>265</v>
      </c>
    </row>
    <row r="25" spans="1:7" x14ac:dyDescent="0.35">
      <c r="A25" s="56">
        <v>1551</v>
      </c>
      <c r="B25" s="60" t="s">
        <v>244</v>
      </c>
      <c r="E25" s="56">
        <v>2312</v>
      </c>
      <c r="F25" s="60" t="s">
        <v>370</v>
      </c>
    </row>
    <row r="26" spans="1:7" x14ac:dyDescent="0.35">
      <c r="A26" s="56">
        <v>1599</v>
      </c>
      <c r="B26" s="60" t="s">
        <v>245</v>
      </c>
      <c r="E26" s="56">
        <v>2322</v>
      </c>
      <c r="F26" s="60" t="s">
        <v>267</v>
      </c>
    </row>
    <row r="27" spans="1:7" x14ac:dyDescent="0.35">
      <c r="A27" s="56">
        <v>1600</v>
      </c>
      <c r="B27" s="60" t="s">
        <v>246</v>
      </c>
      <c r="E27" s="56">
        <v>2321</v>
      </c>
      <c r="F27" s="60" t="s">
        <v>266</v>
      </c>
    </row>
    <row r="28" spans="1:7" x14ac:dyDescent="0.35">
      <c r="A28" s="56">
        <v>1601</v>
      </c>
      <c r="B28" s="283" t="s">
        <v>247</v>
      </c>
      <c r="E28" s="56">
        <v>2998</v>
      </c>
      <c r="F28" s="60" t="s">
        <v>268</v>
      </c>
    </row>
    <row r="29" spans="1:7" x14ac:dyDescent="0.35">
      <c r="A29" s="56">
        <v>1611</v>
      </c>
      <c r="B29" s="60" t="s">
        <v>248</v>
      </c>
      <c r="E29" s="9">
        <v>2999</v>
      </c>
      <c r="F29" s="279" t="s">
        <v>281</v>
      </c>
      <c r="G29" s="62">
        <f>SUM(G19:G28)</f>
        <v>0</v>
      </c>
    </row>
    <row r="30" spans="1:7" x14ac:dyDescent="0.35">
      <c r="A30" s="56">
        <v>1651</v>
      </c>
      <c r="B30" s="60" t="s">
        <v>249</v>
      </c>
    </row>
    <row r="31" spans="1:7" x14ac:dyDescent="0.35">
      <c r="A31" s="56">
        <v>1658</v>
      </c>
      <c r="B31" s="283" t="s">
        <v>238</v>
      </c>
      <c r="F31" s="278" t="s">
        <v>282</v>
      </c>
    </row>
    <row r="32" spans="1:7" x14ac:dyDescent="0.35">
      <c r="A32" s="56">
        <v>1698</v>
      </c>
      <c r="B32" s="60" t="s">
        <v>250</v>
      </c>
      <c r="E32" s="56">
        <v>3102</v>
      </c>
      <c r="F32" s="60" t="s">
        <v>269</v>
      </c>
      <c r="G32" s="53">
        <f>NERACA!G14</f>
        <v>0</v>
      </c>
    </row>
    <row r="33" spans="1:7" x14ac:dyDescent="0.35">
      <c r="A33" s="56">
        <v>1699</v>
      </c>
      <c r="B33" s="280" t="s">
        <v>278</v>
      </c>
      <c r="C33" s="62">
        <f>C22+C23-C24+C25+C26+C27-C28+C29+C30+C31+C32</f>
        <v>0</v>
      </c>
      <c r="E33" s="56">
        <v>3120</v>
      </c>
      <c r="F33" s="60" t="s">
        <v>270</v>
      </c>
    </row>
    <row r="34" spans="1:7" x14ac:dyDescent="0.35">
      <c r="E34" s="56">
        <v>3200</v>
      </c>
      <c r="F34" s="60" t="s">
        <v>271</v>
      </c>
      <c r="G34" s="53">
        <f>NERACA!G16+NERACA!G17</f>
        <v>137189091.02000001</v>
      </c>
    </row>
    <row r="35" spans="1:7" x14ac:dyDescent="0.35">
      <c r="A35" s="9">
        <v>1700</v>
      </c>
      <c r="B35" s="280" t="s">
        <v>284</v>
      </c>
      <c r="C35" s="62">
        <f>C20+C33</f>
        <v>60955611.019999996</v>
      </c>
      <c r="E35" s="56">
        <v>3297</v>
      </c>
      <c r="F35" s="60" t="s">
        <v>272</v>
      </c>
    </row>
    <row r="36" spans="1:7" x14ac:dyDescent="0.35">
      <c r="E36" s="56">
        <v>3298</v>
      </c>
      <c r="F36" s="60" t="s">
        <v>273</v>
      </c>
      <c r="G36" s="53">
        <f>NERACA!G15</f>
        <v>0</v>
      </c>
    </row>
    <row r="37" spans="1:7" x14ac:dyDescent="0.35">
      <c r="E37" s="9">
        <v>3299</v>
      </c>
      <c r="F37" s="279" t="s">
        <v>22</v>
      </c>
      <c r="G37" s="62">
        <f>SUM(G32:G36)</f>
        <v>137189091.02000001</v>
      </c>
    </row>
    <row r="39" spans="1:7" x14ac:dyDescent="0.35">
      <c r="E39" s="9">
        <v>3300</v>
      </c>
      <c r="F39" s="279" t="s">
        <v>283</v>
      </c>
      <c r="G39" s="62">
        <f>G29+G37</f>
        <v>137189091.02000001</v>
      </c>
    </row>
    <row r="42" spans="1:7" x14ac:dyDescent="0.35">
      <c r="F42" s="281" t="s">
        <v>406</v>
      </c>
    </row>
    <row r="43" spans="1:7" x14ac:dyDescent="0.35">
      <c r="F43" s="282"/>
    </row>
    <row r="44" spans="1:7" x14ac:dyDescent="0.35">
      <c r="F44" s="282"/>
    </row>
    <row r="45" spans="1:7" x14ac:dyDescent="0.35">
      <c r="F45" s="282"/>
    </row>
    <row r="46" spans="1:7" x14ac:dyDescent="0.35">
      <c r="F46" s="282"/>
    </row>
    <row r="47" spans="1:7" x14ac:dyDescent="0.35">
      <c r="F47" s="12" t="s">
        <v>195</v>
      </c>
    </row>
    <row r="48" spans="1:7" x14ac:dyDescent="0.35">
      <c r="F48" s="282" t="s">
        <v>407</v>
      </c>
    </row>
  </sheetData>
  <mergeCells count="3">
    <mergeCell ref="A1:G1"/>
    <mergeCell ref="A2:G2"/>
    <mergeCell ref="A3:G3"/>
  </mergeCells>
  <pageMargins left="0.7" right="0.7" top="0.75" bottom="0.75" header="0.3" footer="0.3"/>
  <pageSetup paperSize="9" scale="69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997"/>
  <sheetViews>
    <sheetView showGridLines="0" topLeftCell="A26" workbookViewId="0">
      <selection activeCell="C23" sqref="C23"/>
    </sheetView>
  </sheetViews>
  <sheetFormatPr defaultColWidth="14.453125" defaultRowHeight="15" customHeight="1" x14ac:dyDescent="0.35"/>
  <cols>
    <col min="1" max="1" width="5.54296875" style="40" customWidth="1"/>
    <col min="2" max="2" width="22.453125" style="40" customWidth="1"/>
    <col min="3" max="3" width="8.6328125" style="40" customWidth="1"/>
    <col min="4" max="4" width="24.6328125" style="40" customWidth="1"/>
    <col min="5" max="5" width="8.6328125" style="40" customWidth="1"/>
    <col min="6" max="6" width="8.453125" style="40" customWidth="1"/>
    <col min="7" max="7" width="14.08984375" style="40" customWidth="1"/>
    <col min="8" max="26" width="8.6328125" style="40" customWidth="1"/>
    <col min="27" max="16384" width="14.453125" style="40"/>
  </cols>
  <sheetData>
    <row r="1" spans="1:26" ht="14.25" customHeight="1" x14ac:dyDescent="0.35">
      <c r="A1" s="38" t="s">
        <v>160</v>
      </c>
      <c r="B1" s="39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4.25" customHeight="1" x14ac:dyDescent="0.35">
      <c r="B2" s="41"/>
      <c r="J2" s="42"/>
    </row>
    <row r="3" spans="1:26" ht="14.25" customHeight="1" thickBot="1" x14ac:dyDescent="0.4">
      <c r="B3" s="43" t="s">
        <v>161</v>
      </c>
      <c r="C3" s="353" t="s">
        <v>162</v>
      </c>
      <c r="D3" s="44" t="s">
        <v>163</v>
      </c>
      <c r="E3" s="353" t="s">
        <v>164</v>
      </c>
      <c r="G3" s="45">
        <f>'LABA RUGI'!E28</f>
        <v>137189091.02000001</v>
      </c>
      <c r="H3" s="353" t="s">
        <v>164</v>
      </c>
      <c r="I3" s="353" t="s">
        <v>162</v>
      </c>
      <c r="J3" s="355">
        <f>IFERROR(G3/G4,0)</f>
        <v>1</v>
      </c>
    </row>
    <row r="4" spans="1:26" ht="14.25" customHeight="1" x14ac:dyDescent="0.35">
      <c r="B4" s="41" t="s">
        <v>165</v>
      </c>
      <c r="C4" s="354"/>
      <c r="D4" s="41" t="s">
        <v>166</v>
      </c>
      <c r="E4" s="354"/>
      <c r="G4" s="46">
        <f>NERACA!H18</f>
        <v>137189091.02000001</v>
      </c>
      <c r="H4" s="354"/>
      <c r="I4" s="354"/>
      <c r="J4" s="354"/>
    </row>
    <row r="5" spans="1:26" ht="14.25" customHeight="1" x14ac:dyDescent="0.35">
      <c r="B5" s="41"/>
      <c r="J5" s="42"/>
    </row>
    <row r="6" spans="1:26" ht="14.25" customHeight="1" x14ac:dyDescent="0.35">
      <c r="B6" s="41"/>
      <c r="J6" s="42"/>
    </row>
    <row r="7" spans="1:26" ht="14.25" customHeight="1" thickBot="1" x14ac:dyDescent="0.4">
      <c r="B7" s="43" t="s">
        <v>167</v>
      </c>
      <c r="C7" s="353" t="s">
        <v>162</v>
      </c>
      <c r="D7" s="44" t="s">
        <v>163</v>
      </c>
      <c r="E7" s="353" t="s">
        <v>164</v>
      </c>
      <c r="G7" s="45">
        <f>G3</f>
        <v>137189091.02000001</v>
      </c>
      <c r="H7" s="353" t="s">
        <v>164</v>
      </c>
      <c r="I7" s="353" t="s">
        <v>162</v>
      </c>
      <c r="J7" s="355">
        <f>IFERROR(G7/G8,0)</f>
        <v>2.2506392557526369</v>
      </c>
    </row>
    <row r="8" spans="1:26" ht="14.25" customHeight="1" x14ac:dyDescent="0.35">
      <c r="B8" s="41" t="s">
        <v>168</v>
      </c>
      <c r="C8" s="354"/>
      <c r="D8" s="41" t="s">
        <v>169</v>
      </c>
      <c r="E8" s="354"/>
      <c r="G8" s="46">
        <f>NERACA!C21</f>
        <v>60955611.019999996</v>
      </c>
      <c r="H8" s="354"/>
      <c r="I8" s="354"/>
      <c r="J8" s="354"/>
    </row>
    <row r="9" spans="1:26" ht="14.25" customHeight="1" x14ac:dyDescent="0.35">
      <c r="B9" s="41"/>
      <c r="J9" s="42"/>
    </row>
    <row r="10" spans="1:26" ht="14.25" customHeight="1" x14ac:dyDescent="0.35">
      <c r="B10" s="41"/>
      <c r="J10" s="42"/>
    </row>
    <row r="11" spans="1:26" ht="14.25" customHeight="1" thickBot="1" x14ac:dyDescent="0.4">
      <c r="B11" s="43" t="s">
        <v>170</v>
      </c>
      <c r="C11" s="353" t="s">
        <v>162</v>
      </c>
      <c r="D11" s="44" t="s">
        <v>19</v>
      </c>
      <c r="E11" s="353" t="s">
        <v>164</v>
      </c>
      <c r="G11" s="45">
        <f>'LABA RUGI'!E13</f>
        <v>144208916.28</v>
      </c>
      <c r="H11" s="353" t="s">
        <v>164</v>
      </c>
      <c r="I11" s="353" t="s">
        <v>162</v>
      </c>
      <c r="J11" s="355">
        <f>IFERROR(G11/G12,0)</f>
        <v>0.96005563352300882</v>
      </c>
    </row>
    <row r="12" spans="1:26" ht="14.25" customHeight="1" x14ac:dyDescent="0.35">
      <c r="B12" s="41"/>
      <c r="C12" s="354"/>
      <c r="D12" s="41" t="s">
        <v>171</v>
      </c>
      <c r="E12" s="354"/>
      <c r="G12" s="46">
        <f>'LABA RUGI'!E8</f>
        <v>150208916.28</v>
      </c>
      <c r="H12" s="354"/>
      <c r="I12" s="354"/>
      <c r="J12" s="354"/>
    </row>
    <row r="13" spans="1:26" ht="14.25" customHeight="1" x14ac:dyDescent="0.35">
      <c r="B13" s="41"/>
      <c r="J13" s="42"/>
    </row>
    <row r="14" spans="1:26" ht="14.25" customHeight="1" x14ac:dyDescent="0.35">
      <c r="B14" s="41"/>
      <c r="J14" s="42"/>
    </row>
    <row r="15" spans="1:26" ht="14.25" customHeight="1" thickBot="1" x14ac:dyDescent="0.4">
      <c r="B15" s="43" t="s">
        <v>172</v>
      </c>
      <c r="C15" s="353" t="s">
        <v>162</v>
      </c>
      <c r="D15" s="44" t="s">
        <v>163</v>
      </c>
      <c r="E15" s="353" t="s">
        <v>164</v>
      </c>
      <c r="G15" s="45">
        <f>G7</f>
        <v>137189091.02000001</v>
      </c>
      <c r="H15" s="353" t="s">
        <v>164</v>
      </c>
      <c r="I15" s="353" t="s">
        <v>162</v>
      </c>
      <c r="J15" s="355">
        <f>IFERROR(G15/G16,0)</f>
        <v>0.91332188805802905</v>
      </c>
    </row>
    <row r="16" spans="1:26" ht="14.25" customHeight="1" x14ac:dyDescent="0.35">
      <c r="B16" s="41"/>
      <c r="C16" s="354"/>
      <c r="D16" s="41" t="s">
        <v>171</v>
      </c>
      <c r="E16" s="354"/>
      <c r="G16" s="46">
        <f>'LABA RUGI'!E8</f>
        <v>150208916.28</v>
      </c>
      <c r="H16" s="354"/>
      <c r="I16" s="354"/>
      <c r="J16" s="354"/>
    </row>
    <row r="17" spans="1:26" ht="14.25" customHeight="1" x14ac:dyDescent="0.35">
      <c r="B17" s="41"/>
      <c r="C17" s="47"/>
      <c r="D17" s="41"/>
      <c r="E17" s="47"/>
      <c r="G17" s="46"/>
      <c r="H17" s="47"/>
      <c r="I17" s="47"/>
      <c r="J17" s="48"/>
    </row>
    <row r="18" spans="1:26" ht="14.25" customHeight="1" x14ac:dyDescent="0.35">
      <c r="B18" s="41"/>
      <c r="J18" s="42"/>
    </row>
    <row r="19" spans="1:26" ht="14.25" customHeight="1" thickBot="1" x14ac:dyDescent="0.4">
      <c r="B19" s="43" t="s">
        <v>173</v>
      </c>
      <c r="C19" s="353" t="s">
        <v>162</v>
      </c>
      <c r="D19" s="44" t="s">
        <v>174</v>
      </c>
      <c r="E19" s="353" t="s">
        <v>164</v>
      </c>
      <c r="G19" s="45">
        <f>'LABA RUGI'!E34</f>
        <v>137189091.02000001</v>
      </c>
      <c r="H19" s="353" t="s">
        <v>164</v>
      </c>
      <c r="I19" s="353" t="s">
        <v>162</v>
      </c>
      <c r="J19" s="355">
        <f>IFERROR(G19/G20,0)</f>
        <v>0.91332188805802905</v>
      </c>
    </row>
    <row r="20" spans="1:26" ht="14.25" customHeight="1" x14ac:dyDescent="0.35">
      <c r="B20" s="41"/>
      <c r="C20" s="354"/>
      <c r="D20" s="41" t="s">
        <v>171</v>
      </c>
      <c r="E20" s="354"/>
      <c r="G20" s="46">
        <f>'LABA RUGI'!E8</f>
        <v>150208916.28</v>
      </c>
      <c r="H20" s="354"/>
      <c r="I20" s="354"/>
      <c r="J20" s="354"/>
    </row>
    <row r="21" spans="1:26" ht="14.25" customHeight="1" x14ac:dyDescent="0.35">
      <c r="B21" s="41"/>
      <c r="J21" s="42"/>
    </row>
    <row r="22" spans="1:26" ht="14.25" customHeight="1" x14ac:dyDescent="0.35">
      <c r="B22" s="41"/>
      <c r="J22" s="42"/>
    </row>
    <row r="23" spans="1:26" ht="14.25" customHeight="1" x14ac:dyDescent="0.35">
      <c r="B23" s="41"/>
      <c r="J23" s="42"/>
    </row>
    <row r="24" spans="1:26" ht="14.25" customHeight="1" x14ac:dyDescent="0.35">
      <c r="A24" s="38" t="s">
        <v>175</v>
      </c>
      <c r="B24" s="39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4.25" customHeight="1" x14ac:dyDescent="0.35">
      <c r="B25" s="41"/>
      <c r="J25" s="42"/>
    </row>
    <row r="26" spans="1:26" ht="14.25" customHeight="1" thickBot="1" x14ac:dyDescent="0.4">
      <c r="B26" s="43" t="s">
        <v>176</v>
      </c>
      <c r="C26" s="353" t="s">
        <v>162</v>
      </c>
      <c r="D26" s="44" t="s">
        <v>177</v>
      </c>
      <c r="E26" s="353"/>
      <c r="G26" s="45">
        <f>NERACA!C14</f>
        <v>60955611.019999996</v>
      </c>
      <c r="H26" s="353"/>
      <c r="I26" s="353" t="s">
        <v>162</v>
      </c>
      <c r="J26" s="355">
        <f>IFERROR(G26/G27,0)</f>
        <v>0</v>
      </c>
    </row>
    <row r="27" spans="1:26" ht="14.25" customHeight="1" x14ac:dyDescent="0.35">
      <c r="B27" s="41" t="s">
        <v>178</v>
      </c>
      <c r="C27" s="354"/>
      <c r="D27" s="41" t="s">
        <v>179</v>
      </c>
      <c r="E27" s="354"/>
      <c r="G27" s="46">
        <f>NERACA!H10</f>
        <v>0</v>
      </c>
      <c r="H27" s="354"/>
      <c r="I27" s="354"/>
      <c r="J27" s="354"/>
    </row>
    <row r="28" spans="1:26" ht="14.25" customHeight="1" x14ac:dyDescent="0.35">
      <c r="B28" s="41"/>
      <c r="J28" s="49"/>
    </row>
    <row r="29" spans="1:26" ht="14.25" customHeight="1" x14ac:dyDescent="0.35">
      <c r="B29" s="41"/>
      <c r="J29" s="49"/>
    </row>
    <row r="30" spans="1:26" ht="14.25" customHeight="1" x14ac:dyDescent="0.35">
      <c r="B30" s="41"/>
      <c r="J30" s="49"/>
    </row>
    <row r="31" spans="1:26" ht="14.25" customHeight="1" thickBot="1" x14ac:dyDescent="0.4">
      <c r="B31" s="43" t="s">
        <v>180</v>
      </c>
      <c r="C31" s="353" t="s">
        <v>162</v>
      </c>
      <c r="D31" s="44" t="s">
        <v>181</v>
      </c>
      <c r="E31" s="353"/>
      <c r="G31" s="45">
        <f>NERACA!B7</f>
        <v>60955611.019999996</v>
      </c>
      <c r="H31" s="353"/>
      <c r="I31" s="353" t="s">
        <v>162</v>
      </c>
      <c r="J31" s="355">
        <f>IFERROR(G31/G32,0)</f>
        <v>0</v>
      </c>
    </row>
    <row r="32" spans="1:26" ht="14.25" customHeight="1" x14ac:dyDescent="0.35">
      <c r="B32" s="41" t="s">
        <v>182</v>
      </c>
      <c r="C32" s="354"/>
      <c r="D32" s="41" t="s">
        <v>179</v>
      </c>
      <c r="E32" s="354"/>
      <c r="G32" s="46">
        <f>NERACA!H10</f>
        <v>0</v>
      </c>
      <c r="H32" s="354"/>
      <c r="I32" s="354"/>
      <c r="J32" s="354"/>
    </row>
    <row r="33" spans="1:26" ht="14.25" customHeight="1" x14ac:dyDescent="0.35">
      <c r="B33" s="41"/>
      <c r="J33" s="42"/>
    </row>
    <row r="34" spans="1:26" ht="14.25" customHeight="1" x14ac:dyDescent="0.35">
      <c r="B34" s="41"/>
      <c r="J34" s="42"/>
    </row>
    <row r="35" spans="1:26" ht="14.25" customHeight="1" x14ac:dyDescent="0.35">
      <c r="A35" s="38" t="s">
        <v>183</v>
      </c>
      <c r="B35" s="39"/>
      <c r="C35" s="38"/>
      <c r="D35" s="38"/>
      <c r="E35" s="38"/>
      <c r="F35" s="38"/>
      <c r="G35" s="38"/>
      <c r="H35" s="38"/>
      <c r="I35" s="38"/>
      <c r="J35" s="38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4.25" customHeight="1" x14ac:dyDescent="0.35">
      <c r="B36" s="41"/>
      <c r="J36" s="42"/>
    </row>
    <row r="37" spans="1:26" ht="14.25" customHeight="1" thickBot="1" x14ac:dyDescent="0.4">
      <c r="B37" s="43" t="s">
        <v>184</v>
      </c>
      <c r="C37" s="353" t="s">
        <v>162</v>
      </c>
      <c r="D37" s="44" t="s">
        <v>185</v>
      </c>
      <c r="E37" s="353"/>
      <c r="G37" s="45">
        <f>NERACA!H10</f>
        <v>0</v>
      </c>
      <c r="H37" s="353"/>
      <c r="I37" s="353" t="s">
        <v>162</v>
      </c>
      <c r="J37" s="355">
        <f>IFERROR(G37/G38,0)</f>
        <v>0</v>
      </c>
    </row>
    <row r="38" spans="1:26" ht="14.25" customHeight="1" x14ac:dyDescent="0.35">
      <c r="B38" s="41" t="s">
        <v>186</v>
      </c>
      <c r="C38" s="354"/>
      <c r="D38" s="41" t="s">
        <v>166</v>
      </c>
      <c r="E38" s="354"/>
      <c r="G38" s="46">
        <f>NERACA!H18</f>
        <v>137189091.02000001</v>
      </c>
      <c r="H38" s="354"/>
      <c r="I38" s="354"/>
      <c r="J38" s="354"/>
    </row>
    <row r="39" spans="1:26" ht="14.25" customHeight="1" x14ac:dyDescent="0.35">
      <c r="B39" s="41"/>
      <c r="J39" s="42"/>
    </row>
    <row r="40" spans="1:26" ht="14.25" customHeight="1" x14ac:dyDescent="0.35">
      <c r="B40" s="41"/>
      <c r="J40" s="42"/>
    </row>
    <row r="41" spans="1:26" ht="14.25" customHeight="1" thickBot="1" x14ac:dyDescent="0.4">
      <c r="B41" s="43" t="s">
        <v>187</v>
      </c>
      <c r="C41" s="353" t="s">
        <v>162</v>
      </c>
      <c r="D41" s="44" t="s">
        <v>185</v>
      </c>
      <c r="E41" s="353" t="s">
        <v>164</v>
      </c>
      <c r="G41" s="45">
        <f>NERACA!H10</f>
        <v>0</v>
      </c>
      <c r="H41" s="353" t="s">
        <v>164</v>
      </c>
      <c r="I41" s="353" t="s">
        <v>162</v>
      </c>
      <c r="J41" s="355">
        <f>IFERROR(G41/G42,0)</f>
        <v>0</v>
      </c>
    </row>
    <row r="42" spans="1:26" ht="14.25" customHeight="1" x14ac:dyDescent="0.35">
      <c r="B42" s="41" t="s">
        <v>188</v>
      </c>
      <c r="C42" s="354"/>
      <c r="D42" s="41" t="s">
        <v>169</v>
      </c>
      <c r="E42" s="354"/>
      <c r="G42" s="46">
        <f>NERACA!C21</f>
        <v>60955611.019999996</v>
      </c>
      <c r="H42" s="354"/>
      <c r="I42" s="354"/>
      <c r="J42" s="354"/>
    </row>
    <row r="43" spans="1:26" ht="14.25" customHeight="1" x14ac:dyDescent="0.35">
      <c r="B43" s="41"/>
      <c r="J43" s="42"/>
    </row>
    <row r="44" spans="1:26" ht="14.25" customHeight="1" x14ac:dyDescent="0.35">
      <c r="B44" s="41"/>
      <c r="J44" s="42"/>
    </row>
    <row r="45" spans="1:26" ht="14.25" customHeight="1" x14ac:dyDescent="0.35">
      <c r="B45" s="41"/>
      <c r="J45" s="42"/>
    </row>
    <row r="46" spans="1:26" ht="14.25" customHeight="1" x14ac:dyDescent="0.35">
      <c r="B46" s="41"/>
      <c r="J46" s="42"/>
    </row>
    <row r="47" spans="1:26" ht="14.25" customHeight="1" x14ac:dyDescent="0.35">
      <c r="B47" s="41"/>
      <c r="J47" s="42"/>
    </row>
    <row r="48" spans="1:26" ht="14.25" customHeight="1" x14ac:dyDescent="0.35">
      <c r="B48" s="41"/>
      <c r="J48" s="42"/>
    </row>
    <row r="49" spans="2:10" ht="14.25" customHeight="1" x14ac:dyDescent="0.35">
      <c r="B49" s="41"/>
      <c r="J49" s="42"/>
    </row>
    <row r="50" spans="2:10" ht="14.25" customHeight="1" x14ac:dyDescent="0.35">
      <c r="B50" s="41"/>
      <c r="J50" s="42"/>
    </row>
    <row r="51" spans="2:10" ht="14.25" customHeight="1" x14ac:dyDescent="0.35">
      <c r="B51" s="41"/>
      <c r="J51" s="42"/>
    </row>
    <row r="52" spans="2:10" ht="14.25" customHeight="1" x14ac:dyDescent="0.35">
      <c r="B52" s="41"/>
      <c r="J52" s="42"/>
    </row>
    <row r="53" spans="2:10" ht="14.25" customHeight="1" x14ac:dyDescent="0.35">
      <c r="B53" s="41"/>
      <c r="J53" s="42"/>
    </row>
    <row r="54" spans="2:10" ht="14.25" customHeight="1" x14ac:dyDescent="0.35">
      <c r="B54" s="41"/>
      <c r="J54" s="42"/>
    </row>
    <row r="55" spans="2:10" ht="14.25" customHeight="1" x14ac:dyDescent="0.35">
      <c r="B55" s="41"/>
      <c r="J55" s="42"/>
    </row>
    <row r="56" spans="2:10" ht="14.25" customHeight="1" x14ac:dyDescent="0.35">
      <c r="B56" s="41"/>
      <c r="J56" s="42"/>
    </row>
    <row r="57" spans="2:10" ht="14.25" customHeight="1" x14ac:dyDescent="0.35">
      <c r="B57" s="41"/>
      <c r="J57" s="42"/>
    </row>
    <row r="58" spans="2:10" ht="14.25" customHeight="1" x14ac:dyDescent="0.35">
      <c r="B58" s="41"/>
      <c r="J58" s="42"/>
    </row>
    <row r="59" spans="2:10" ht="14.25" customHeight="1" x14ac:dyDescent="0.35">
      <c r="B59" s="41"/>
      <c r="J59" s="42"/>
    </row>
    <row r="60" spans="2:10" ht="14.25" customHeight="1" x14ac:dyDescent="0.35">
      <c r="B60" s="41"/>
      <c r="J60" s="42"/>
    </row>
    <row r="61" spans="2:10" ht="14.25" customHeight="1" x14ac:dyDescent="0.35">
      <c r="B61" s="41"/>
      <c r="J61" s="42"/>
    </row>
    <row r="62" spans="2:10" ht="14.25" customHeight="1" x14ac:dyDescent="0.35">
      <c r="B62" s="41"/>
      <c r="J62" s="42"/>
    </row>
    <row r="63" spans="2:10" ht="14.25" customHeight="1" x14ac:dyDescent="0.35">
      <c r="B63" s="41"/>
      <c r="J63" s="42"/>
    </row>
    <row r="64" spans="2:10" ht="14.25" customHeight="1" x14ac:dyDescent="0.35">
      <c r="B64" s="41"/>
      <c r="J64" s="42"/>
    </row>
    <row r="65" spans="2:10" ht="14.25" customHeight="1" x14ac:dyDescent="0.35">
      <c r="B65" s="41"/>
      <c r="J65" s="42"/>
    </row>
    <row r="66" spans="2:10" ht="14.25" customHeight="1" x14ac:dyDescent="0.35">
      <c r="B66" s="41"/>
      <c r="J66" s="42"/>
    </row>
    <row r="67" spans="2:10" ht="14.25" customHeight="1" x14ac:dyDescent="0.35">
      <c r="B67" s="41"/>
      <c r="J67" s="42"/>
    </row>
    <row r="68" spans="2:10" ht="14.25" customHeight="1" x14ac:dyDescent="0.35">
      <c r="B68" s="41"/>
      <c r="J68" s="42"/>
    </row>
    <row r="69" spans="2:10" ht="14.25" customHeight="1" x14ac:dyDescent="0.35">
      <c r="B69" s="41"/>
      <c r="J69" s="42"/>
    </row>
    <row r="70" spans="2:10" ht="14.25" customHeight="1" x14ac:dyDescent="0.35">
      <c r="B70" s="41"/>
      <c r="J70" s="42"/>
    </row>
    <row r="71" spans="2:10" ht="14.25" customHeight="1" x14ac:dyDescent="0.35">
      <c r="B71" s="41"/>
      <c r="J71" s="42"/>
    </row>
    <row r="72" spans="2:10" ht="14.25" customHeight="1" x14ac:dyDescent="0.35">
      <c r="B72" s="41"/>
      <c r="J72" s="42"/>
    </row>
    <row r="73" spans="2:10" ht="14.25" customHeight="1" x14ac:dyDescent="0.35">
      <c r="B73" s="41"/>
      <c r="J73" s="42"/>
    </row>
    <row r="74" spans="2:10" ht="14.25" customHeight="1" x14ac:dyDescent="0.35">
      <c r="B74" s="41"/>
      <c r="J74" s="42"/>
    </row>
    <row r="75" spans="2:10" ht="14.25" customHeight="1" x14ac:dyDescent="0.35">
      <c r="B75" s="41"/>
      <c r="J75" s="42"/>
    </row>
    <row r="76" spans="2:10" ht="14.25" customHeight="1" x14ac:dyDescent="0.35">
      <c r="B76" s="41"/>
      <c r="J76" s="42"/>
    </row>
    <row r="77" spans="2:10" ht="14.25" customHeight="1" x14ac:dyDescent="0.35">
      <c r="B77" s="41"/>
      <c r="J77" s="42"/>
    </row>
    <row r="78" spans="2:10" ht="14.25" customHeight="1" x14ac:dyDescent="0.35">
      <c r="B78" s="41"/>
      <c r="J78" s="42"/>
    </row>
    <row r="79" spans="2:10" ht="14.25" customHeight="1" x14ac:dyDescent="0.35">
      <c r="B79" s="41"/>
      <c r="J79" s="42"/>
    </row>
    <row r="80" spans="2:10" ht="14.25" customHeight="1" x14ac:dyDescent="0.35">
      <c r="B80" s="41"/>
      <c r="J80" s="42"/>
    </row>
    <row r="81" spans="2:10" ht="14.25" customHeight="1" x14ac:dyDescent="0.35">
      <c r="B81" s="41"/>
      <c r="J81" s="42"/>
    </row>
    <row r="82" spans="2:10" ht="14.25" customHeight="1" x14ac:dyDescent="0.35">
      <c r="B82" s="41"/>
      <c r="J82" s="42"/>
    </row>
    <row r="83" spans="2:10" ht="14.25" customHeight="1" x14ac:dyDescent="0.35">
      <c r="B83" s="41"/>
      <c r="J83" s="42"/>
    </row>
    <row r="84" spans="2:10" ht="14.25" customHeight="1" x14ac:dyDescent="0.35">
      <c r="B84" s="41"/>
      <c r="J84" s="42"/>
    </row>
    <row r="85" spans="2:10" ht="14.25" customHeight="1" x14ac:dyDescent="0.35">
      <c r="B85" s="41"/>
      <c r="J85" s="42"/>
    </row>
    <row r="86" spans="2:10" ht="14.25" customHeight="1" x14ac:dyDescent="0.35">
      <c r="B86" s="41"/>
      <c r="J86" s="42"/>
    </row>
    <row r="87" spans="2:10" ht="14.25" customHeight="1" x14ac:dyDescent="0.35">
      <c r="B87" s="41"/>
      <c r="J87" s="42"/>
    </row>
    <row r="88" spans="2:10" ht="14.25" customHeight="1" x14ac:dyDescent="0.35">
      <c r="B88" s="41"/>
      <c r="J88" s="42"/>
    </row>
    <row r="89" spans="2:10" ht="14.25" customHeight="1" x14ac:dyDescent="0.35">
      <c r="B89" s="41"/>
      <c r="J89" s="42"/>
    </row>
    <row r="90" spans="2:10" ht="14.25" customHeight="1" x14ac:dyDescent="0.35">
      <c r="B90" s="41"/>
      <c r="J90" s="42"/>
    </row>
    <row r="91" spans="2:10" ht="14.25" customHeight="1" x14ac:dyDescent="0.35">
      <c r="B91" s="41"/>
      <c r="J91" s="42"/>
    </row>
    <row r="92" spans="2:10" ht="14.25" customHeight="1" x14ac:dyDescent="0.35">
      <c r="B92" s="41"/>
      <c r="J92" s="42"/>
    </row>
    <row r="93" spans="2:10" ht="14.25" customHeight="1" x14ac:dyDescent="0.35">
      <c r="B93" s="41"/>
      <c r="J93" s="42"/>
    </row>
    <row r="94" spans="2:10" ht="14.25" customHeight="1" x14ac:dyDescent="0.35">
      <c r="B94" s="41"/>
      <c r="J94" s="42"/>
    </row>
    <row r="95" spans="2:10" ht="14.25" customHeight="1" x14ac:dyDescent="0.35">
      <c r="B95" s="41"/>
      <c r="J95" s="42"/>
    </row>
    <row r="96" spans="2:10" ht="14.25" customHeight="1" x14ac:dyDescent="0.35">
      <c r="B96" s="41"/>
      <c r="J96" s="42"/>
    </row>
    <row r="97" spans="2:10" ht="14.25" customHeight="1" x14ac:dyDescent="0.35">
      <c r="B97" s="41"/>
      <c r="J97" s="42"/>
    </row>
    <row r="98" spans="2:10" ht="14.25" customHeight="1" x14ac:dyDescent="0.35">
      <c r="B98" s="41"/>
      <c r="J98" s="42"/>
    </row>
    <row r="99" spans="2:10" ht="14.25" customHeight="1" x14ac:dyDescent="0.35">
      <c r="B99" s="41"/>
      <c r="J99" s="42"/>
    </row>
    <row r="100" spans="2:10" ht="14.25" customHeight="1" x14ac:dyDescent="0.35">
      <c r="B100" s="41"/>
      <c r="J100" s="42"/>
    </row>
    <row r="101" spans="2:10" ht="14.25" customHeight="1" x14ac:dyDescent="0.35">
      <c r="B101" s="41"/>
      <c r="J101" s="42"/>
    </row>
    <row r="102" spans="2:10" ht="14.25" customHeight="1" x14ac:dyDescent="0.35">
      <c r="B102" s="41"/>
      <c r="J102" s="42"/>
    </row>
    <row r="103" spans="2:10" ht="14.25" customHeight="1" x14ac:dyDescent="0.35">
      <c r="B103" s="41"/>
      <c r="J103" s="42"/>
    </row>
    <row r="104" spans="2:10" ht="14.25" customHeight="1" x14ac:dyDescent="0.35">
      <c r="B104" s="41"/>
      <c r="J104" s="42"/>
    </row>
    <row r="105" spans="2:10" ht="14.25" customHeight="1" x14ac:dyDescent="0.35">
      <c r="B105" s="41"/>
      <c r="J105" s="42"/>
    </row>
    <row r="106" spans="2:10" ht="14.25" customHeight="1" x14ac:dyDescent="0.35">
      <c r="B106" s="41"/>
      <c r="J106" s="42"/>
    </row>
    <row r="107" spans="2:10" ht="14.25" customHeight="1" x14ac:dyDescent="0.35">
      <c r="B107" s="41"/>
      <c r="J107" s="42"/>
    </row>
    <row r="108" spans="2:10" ht="14.25" customHeight="1" x14ac:dyDescent="0.35">
      <c r="B108" s="41"/>
      <c r="J108" s="42"/>
    </row>
    <row r="109" spans="2:10" ht="14.25" customHeight="1" x14ac:dyDescent="0.35">
      <c r="B109" s="41"/>
      <c r="J109" s="42"/>
    </row>
    <row r="110" spans="2:10" ht="14.25" customHeight="1" x14ac:dyDescent="0.35">
      <c r="B110" s="41"/>
      <c r="J110" s="42"/>
    </row>
    <row r="111" spans="2:10" ht="14.25" customHeight="1" x14ac:dyDescent="0.35">
      <c r="B111" s="41"/>
      <c r="J111" s="42"/>
    </row>
    <row r="112" spans="2:10" ht="14.25" customHeight="1" x14ac:dyDescent="0.35">
      <c r="B112" s="41"/>
      <c r="J112" s="42"/>
    </row>
    <row r="113" spans="2:10" ht="14.25" customHeight="1" x14ac:dyDescent="0.35">
      <c r="B113" s="41"/>
      <c r="J113" s="42"/>
    </row>
    <row r="114" spans="2:10" ht="14.25" customHeight="1" x14ac:dyDescent="0.35">
      <c r="B114" s="41"/>
      <c r="J114" s="42"/>
    </row>
    <row r="115" spans="2:10" ht="14.25" customHeight="1" x14ac:dyDescent="0.35">
      <c r="B115" s="41"/>
      <c r="J115" s="42"/>
    </row>
    <row r="116" spans="2:10" ht="14.25" customHeight="1" x14ac:dyDescent="0.35">
      <c r="B116" s="41"/>
      <c r="J116" s="42"/>
    </row>
    <row r="117" spans="2:10" ht="14.25" customHeight="1" x14ac:dyDescent="0.35">
      <c r="B117" s="41"/>
      <c r="J117" s="42"/>
    </row>
    <row r="118" spans="2:10" ht="14.25" customHeight="1" x14ac:dyDescent="0.35">
      <c r="B118" s="41"/>
      <c r="J118" s="42"/>
    </row>
    <row r="119" spans="2:10" ht="14.25" customHeight="1" x14ac:dyDescent="0.35">
      <c r="B119" s="41"/>
      <c r="J119" s="42"/>
    </row>
    <row r="120" spans="2:10" ht="14.25" customHeight="1" x14ac:dyDescent="0.35">
      <c r="B120" s="41"/>
      <c r="J120" s="42"/>
    </row>
    <row r="121" spans="2:10" ht="14.25" customHeight="1" x14ac:dyDescent="0.35">
      <c r="B121" s="41"/>
      <c r="J121" s="42"/>
    </row>
    <row r="122" spans="2:10" ht="14.25" customHeight="1" x14ac:dyDescent="0.35">
      <c r="B122" s="41"/>
      <c r="J122" s="42"/>
    </row>
    <row r="123" spans="2:10" ht="14.25" customHeight="1" x14ac:dyDescent="0.35">
      <c r="B123" s="41"/>
      <c r="J123" s="42"/>
    </row>
    <row r="124" spans="2:10" ht="14.25" customHeight="1" x14ac:dyDescent="0.35">
      <c r="B124" s="41"/>
      <c r="J124" s="42"/>
    </row>
    <row r="125" spans="2:10" ht="14.25" customHeight="1" x14ac:dyDescent="0.35">
      <c r="B125" s="41"/>
      <c r="J125" s="42"/>
    </row>
    <row r="126" spans="2:10" ht="14.25" customHeight="1" x14ac:dyDescent="0.35">
      <c r="B126" s="41"/>
      <c r="J126" s="42"/>
    </row>
    <row r="127" spans="2:10" ht="14.25" customHeight="1" x14ac:dyDescent="0.35">
      <c r="B127" s="41"/>
      <c r="J127" s="42"/>
    </row>
    <row r="128" spans="2:10" ht="14.25" customHeight="1" x14ac:dyDescent="0.35">
      <c r="B128" s="41"/>
      <c r="J128" s="42"/>
    </row>
    <row r="129" spans="2:10" ht="14.25" customHeight="1" x14ac:dyDescent="0.35">
      <c r="B129" s="41"/>
      <c r="J129" s="42"/>
    </row>
    <row r="130" spans="2:10" ht="14.25" customHeight="1" x14ac:dyDescent="0.35">
      <c r="B130" s="41"/>
      <c r="J130" s="42"/>
    </row>
    <row r="131" spans="2:10" ht="14.25" customHeight="1" x14ac:dyDescent="0.35">
      <c r="B131" s="41"/>
      <c r="J131" s="42"/>
    </row>
    <row r="132" spans="2:10" ht="14.25" customHeight="1" x14ac:dyDescent="0.35">
      <c r="B132" s="41"/>
      <c r="J132" s="42"/>
    </row>
    <row r="133" spans="2:10" ht="14.25" customHeight="1" x14ac:dyDescent="0.35">
      <c r="B133" s="41"/>
      <c r="J133" s="42"/>
    </row>
    <row r="134" spans="2:10" ht="14.25" customHeight="1" x14ac:dyDescent="0.35">
      <c r="B134" s="41"/>
      <c r="J134" s="42"/>
    </row>
    <row r="135" spans="2:10" ht="14.25" customHeight="1" x14ac:dyDescent="0.35">
      <c r="B135" s="41"/>
      <c r="J135" s="42"/>
    </row>
    <row r="136" spans="2:10" ht="14.25" customHeight="1" x14ac:dyDescent="0.35">
      <c r="B136" s="41"/>
      <c r="J136" s="42"/>
    </row>
    <row r="137" spans="2:10" ht="14.25" customHeight="1" x14ac:dyDescent="0.35">
      <c r="B137" s="41"/>
      <c r="J137" s="42"/>
    </row>
    <row r="138" spans="2:10" ht="14.25" customHeight="1" x14ac:dyDescent="0.35">
      <c r="B138" s="41"/>
      <c r="J138" s="42"/>
    </row>
    <row r="139" spans="2:10" ht="14.25" customHeight="1" x14ac:dyDescent="0.35">
      <c r="B139" s="41"/>
      <c r="J139" s="42"/>
    </row>
    <row r="140" spans="2:10" ht="14.25" customHeight="1" x14ac:dyDescent="0.35">
      <c r="B140" s="41"/>
      <c r="J140" s="42"/>
    </row>
    <row r="141" spans="2:10" ht="14.25" customHeight="1" x14ac:dyDescent="0.35">
      <c r="B141" s="41"/>
      <c r="J141" s="42"/>
    </row>
    <row r="142" spans="2:10" ht="14.25" customHeight="1" x14ac:dyDescent="0.35">
      <c r="B142" s="41"/>
      <c r="J142" s="42"/>
    </row>
    <row r="143" spans="2:10" ht="14.25" customHeight="1" x14ac:dyDescent="0.35">
      <c r="B143" s="41"/>
      <c r="J143" s="42"/>
    </row>
    <row r="144" spans="2:10" ht="14.25" customHeight="1" x14ac:dyDescent="0.35">
      <c r="B144" s="41"/>
      <c r="J144" s="42"/>
    </row>
    <row r="145" spans="2:10" ht="14.25" customHeight="1" x14ac:dyDescent="0.35">
      <c r="B145" s="41"/>
      <c r="J145" s="42"/>
    </row>
    <row r="146" spans="2:10" ht="14.25" customHeight="1" x14ac:dyDescent="0.35">
      <c r="B146" s="41"/>
      <c r="J146" s="42"/>
    </row>
    <row r="147" spans="2:10" ht="14.25" customHeight="1" x14ac:dyDescent="0.35">
      <c r="B147" s="41"/>
      <c r="J147" s="42"/>
    </row>
    <row r="148" spans="2:10" ht="14.25" customHeight="1" x14ac:dyDescent="0.35">
      <c r="B148" s="41"/>
      <c r="J148" s="42"/>
    </row>
    <row r="149" spans="2:10" ht="14.25" customHeight="1" x14ac:dyDescent="0.35">
      <c r="B149" s="41"/>
      <c r="J149" s="42"/>
    </row>
    <row r="150" spans="2:10" ht="14.25" customHeight="1" x14ac:dyDescent="0.35">
      <c r="B150" s="41"/>
      <c r="J150" s="42"/>
    </row>
    <row r="151" spans="2:10" ht="14.25" customHeight="1" x14ac:dyDescent="0.35">
      <c r="B151" s="41"/>
      <c r="J151" s="42"/>
    </row>
    <row r="152" spans="2:10" ht="14.25" customHeight="1" x14ac:dyDescent="0.35">
      <c r="B152" s="41"/>
      <c r="J152" s="42"/>
    </row>
    <row r="153" spans="2:10" ht="14.25" customHeight="1" x14ac:dyDescent="0.35">
      <c r="B153" s="41"/>
      <c r="J153" s="42"/>
    </row>
    <row r="154" spans="2:10" ht="14.25" customHeight="1" x14ac:dyDescent="0.35">
      <c r="B154" s="41"/>
      <c r="J154" s="42"/>
    </row>
    <row r="155" spans="2:10" ht="14.25" customHeight="1" x14ac:dyDescent="0.35">
      <c r="B155" s="41"/>
      <c r="J155" s="42"/>
    </row>
    <row r="156" spans="2:10" ht="14.25" customHeight="1" x14ac:dyDescent="0.35">
      <c r="B156" s="41"/>
      <c r="J156" s="42"/>
    </row>
    <row r="157" spans="2:10" ht="14.25" customHeight="1" x14ac:dyDescent="0.35">
      <c r="B157" s="41"/>
      <c r="J157" s="42"/>
    </row>
    <row r="158" spans="2:10" ht="14.25" customHeight="1" x14ac:dyDescent="0.35">
      <c r="B158" s="41"/>
      <c r="J158" s="42"/>
    </row>
    <row r="159" spans="2:10" ht="14.25" customHeight="1" x14ac:dyDescent="0.35">
      <c r="B159" s="41"/>
      <c r="J159" s="42"/>
    </row>
    <row r="160" spans="2:10" ht="14.25" customHeight="1" x14ac:dyDescent="0.35">
      <c r="B160" s="41"/>
      <c r="J160" s="42"/>
    </row>
    <row r="161" spans="2:10" ht="14.25" customHeight="1" x14ac:dyDescent="0.35">
      <c r="B161" s="41"/>
      <c r="J161" s="42"/>
    </row>
    <row r="162" spans="2:10" ht="14.25" customHeight="1" x14ac:dyDescent="0.35">
      <c r="B162" s="41"/>
      <c r="J162" s="42"/>
    </row>
    <row r="163" spans="2:10" ht="14.25" customHeight="1" x14ac:dyDescent="0.35">
      <c r="B163" s="41"/>
      <c r="J163" s="42"/>
    </row>
    <row r="164" spans="2:10" ht="14.25" customHeight="1" x14ac:dyDescent="0.35">
      <c r="B164" s="41"/>
      <c r="J164" s="42"/>
    </row>
    <row r="165" spans="2:10" ht="14.25" customHeight="1" x14ac:dyDescent="0.35">
      <c r="B165" s="41"/>
      <c r="J165" s="42"/>
    </row>
    <row r="166" spans="2:10" ht="14.25" customHeight="1" x14ac:dyDescent="0.35">
      <c r="B166" s="41"/>
      <c r="J166" s="42"/>
    </row>
    <row r="167" spans="2:10" ht="14.25" customHeight="1" x14ac:dyDescent="0.35">
      <c r="B167" s="41"/>
      <c r="J167" s="42"/>
    </row>
    <row r="168" spans="2:10" ht="14.25" customHeight="1" x14ac:dyDescent="0.35">
      <c r="B168" s="41"/>
      <c r="J168" s="42"/>
    </row>
    <row r="169" spans="2:10" ht="14.25" customHeight="1" x14ac:dyDescent="0.35">
      <c r="B169" s="41"/>
      <c r="J169" s="42"/>
    </row>
    <row r="170" spans="2:10" ht="14.25" customHeight="1" x14ac:dyDescent="0.35">
      <c r="B170" s="41"/>
      <c r="J170" s="42"/>
    </row>
    <row r="171" spans="2:10" ht="14.25" customHeight="1" x14ac:dyDescent="0.35">
      <c r="B171" s="41"/>
      <c r="J171" s="42"/>
    </row>
    <row r="172" spans="2:10" ht="14.25" customHeight="1" x14ac:dyDescent="0.35">
      <c r="B172" s="41"/>
      <c r="J172" s="42"/>
    </row>
    <row r="173" spans="2:10" ht="14.25" customHeight="1" x14ac:dyDescent="0.35">
      <c r="B173" s="41"/>
      <c r="J173" s="42"/>
    </row>
    <row r="174" spans="2:10" ht="14.25" customHeight="1" x14ac:dyDescent="0.35">
      <c r="B174" s="41"/>
      <c r="J174" s="42"/>
    </row>
    <row r="175" spans="2:10" ht="14.25" customHeight="1" x14ac:dyDescent="0.35">
      <c r="B175" s="41"/>
      <c r="J175" s="42"/>
    </row>
    <row r="176" spans="2:10" ht="14.25" customHeight="1" x14ac:dyDescent="0.35">
      <c r="B176" s="41"/>
      <c r="J176" s="42"/>
    </row>
    <row r="177" spans="2:10" ht="14.25" customHeight="1" x14ac:dyDescent="0.35">
      <c r="B177" s="41"/>
      <c r="J177" s="42"/>
    </row>
    <row r="178" spans="2:10" ht="14.25" customHeight="1" x14ac:dyDescent="0.35">
      <c r="B178" s="41"/>
      <c r="J178" s="42"/>
    </row>
    <row r="179" spans="2:10" ht="14.25" customHeight="1" x14ac:dyDescent="0.35">
      <c r="B179" s="41"/>
      <c r="J179" s="42"/>
    </row>
    <row r="180" spans="2:10" ht="14.25" customHeight="1" x14ac:dyDescent="0.35">
      <c r="B180" s="41"/>
      <c r="J180" s="42"/>
    </row>
    <row r="181" spans="2:10" ht="14.25" customHeight="1" x14ac:dyDescent="0.35">
      <c r="B181" s="41"/>
      <c r="J181" s="42"/>
    </row>
    <row r="182" spans="2:10" ht="14.25" customHeight="1" x14ac:dyDescent="0.35">
      <c r="B182" s="41"/>
      <c r="J182" s="42"/>
    </row>
    <row r="183" spans="2:10" ht="14.25" customHeight="1" x14ac:dyDescent="0.35">
      <c r="B183" s="41"/>
      <c r="J183" s="42"/>
    </row>
    <row r="184" spans="2:10" ht="14.25" customHeight="1" x14ac:dyDescent="0.35">
      <c r="B184" s="41"/>
      <c r="J184" s="42"/>
    </row>
    <row r="185" spans="2:10" ht="14.25" customHeight="1" x14ac:dyDescent="0.35">
      <c r="B185" s="41"/>
      <c r="J185" s="42"/>
    </row>
    <row r="186" spans="2:10" ht="14.25" customHeight="1" x14ac:dyDescent="0.35">
      <c r="B186" s="41"/>
      <c r="J186" s="42"/>
    </row>
    <row r="187" spans="2:10" ht="14.25" customHeight="1" x14ac:dyDescent="0.35">
      <c r="B187" s="41"/>
      <c r="J187" s="42"/>
    </row>
    <row r="188" spans="2:10" ht="14.25" customHeight="1" x14ac:dyDescent="0.35">
      <c r="B188" s="41"/>
      <c r="J188" s="42"/>
    </row>
    <row r="189" spans="2:10" ht="14.25" customHeight="1" x14ac:dyDescent="0.35">
      <c r="B189" s="41"/>
      <c r="J189" s="42"/>
    </row>
    <row r="190" spans="2:10" ht="14.25" customHeight="1" x14ac:dyDescent="0.35">
      <c r="B190" s="41"/>
      <c r="J190" s="42"/>
    </row>
    <row r="191" spans="2:10" ht="14.25" customHeight="1" x14ac:dyDescent="0.35">
      <c r="B191" s="41"/>
      <c r="J191" s="42"/>
    </row>
    <row r="192" spans="2:10" ht="14.25" customHeight="1" x14ac:dyDescent="0.35">
      <c r="B192" s="41"/>
      <c r="J192" s="42"/>
    </row>
    <row r="193" spans="2:10" ht="14.25" customHeight="1" x14ac:dyDescent="0.35">
      <c r="B193" s="41"/>
      <c r="J193" s="42"/>
    </row>
    <row r="194" spans="2:10" ht="14.25" customHeight="1" x14ac:dyDescent="0.35">
      <c r="B194" s="41"/>
      <c r="J194" s="42"/>
    </row>
    <row r="195" spans="2:10" ht="14.25" customHeight="1" x14ac:dyDescent="0.35">
      <c r="B195" s="41"/>
      <c r="J195" s="42"/>
    </row>
    <row r="196" spans="2:10" ht="14.25" customHeight="1" x14ac:dyDescent="0.35">
      <c r="B196" s="41"/>
      <c r="J196" s="42"/>
    </row>
    <row r="197" spans="2:10" ht="14.25" customHeight="1" x14ac:dyDescent="0.35">
      <c r="B197" s="41"/>
      <c r="J197" s="42"/>
    </row>
    <row r="198" spans="2:10" ht="14.25" customHeight="1" x14ac:dyDescent="0.35">
      <c r="B198" s="41"/>
      <c r="J198" s="42"/>
    </row>
    <row r="199" spans="2:10" ht="14.25" customHeight="1" x14ac:dyDescent="0.35">
      <c r="B199" s="41"/>
      <c r="J199" s="42"/>
    </row>
    <row r="200" spans="2:10" ht="14.25" customHeight="1" x14ac:dyDescent="0.35">
      <c r="B200" s="41"/>
      <c r="J200" s="42"/>
    </row>
    <row r="201" spans="2:10" ht="14.25" customHeight="1" x14ac:dyDescent="0.35">
      <c r="B201" s="41"/>
      <c r="J201" s="42"/>
    </row>
    <row r="202" spans="2:10" ht="14.25" customHeight="1" x14ac:dyDescent="0.35">
      <c r="B202" s="41"/>
      <c r="J202" s="42"/>
    </row>
    <row r="203" spans="2:10" ht="14.25" customHeight="1" x14ac:dyDescent="0.35">
      <c r="B203" s="41"/>
      <c r="J203" s="42"/>
    </row>
    <row r="204" spans="2:10" ht="14.25" customHeight="1" x14ac:dyDescent="0.35">
      <c r="B204" s="41"/>
      <c r="J204" s="42"/>
    </row>
    <row r="205" spans="2:10" ht="14.25" customHeight="1" x14ac:dyDescent="0.35">
      <c r="B205" s="41"/>
      <c r="J205" s="42"/>
    </row>
    <row r="206" spans="2:10" ht="14.25" customHeight="1" x14ac:dyDescent="0.35">
      <c r="B206" s="41"/>
      <c r="J206" s="42"/>
    </row>
    <row r="207" spans="2:10" ht="14.25" customHeight="1" x14ac:dyDescent="0.35">
      <c r="B207" s="41"/>
      <c r="J207" s="42"/>
    </row>
    <row r="208" spans="2:10" ht="14.25" customHeight="1" x14ac:dyDescent="0.35">
      <c r="B208" s="41"/>
      <c r="J208" s="42"/>
    </row>
    <row r="209" spans="2:10" ht="14.25" customHeight="1" x14ac:dyDescent="0.35">
      <c r="B209" s="41"/>
      <c r="J209" s="42"/>
    </row>
    <row r="210" spans="2:10" ht="14.25" customHeight="1" x14ac:dyDescent="0.35">
      <c r="B210" s="41"/>
      <c r="J210" s="42"/>
    </row>
    <row r="211" spans="2:10" ht="14.25" customHeight="1" x14ac:dyDescent="0.35">
      <c r="B211" s="41"/>
      <c r="J211" s="42"/>
    </row>
    <row r="212" spans="2:10" ht="14.25" customHeight="1" x14ac:dyDescent="0.35">
      <c r="B212" s="41"/>
      <c r="J212" s="42"/>
    </row>
    <row r="213" spans="2:10" ht="14.25" customHeight="1" x14ac:dyDescent="0.35">
      <c r="B213" s="41"/>
      <c r="J213" s="42"/>
    </row>
    <row r="214" spans="2:10" ht="14.25" customHeight="1" x14ac:dyDescent="0.35">
      <c r="B214" s="41"/>
      <c r="J214" s="42"/>
    </row>
    <row r="215" spans="2:10" ht="14.25" customHeight="1" x14ac:dyDescent="0.35">
      <c r="B215" s="41"/>
      <c r="J215" s="42"/>
    </row>
    <row r="216" spans="2:10" ht="14.25" customHeight="1" x14ac:dyDescent="0.35">
      <c r="B216" s="41"/>
      <c r="J216" s="42"/>
    </row>
    <row r="217" spans="2:10" ht="14.25" customHeight="1" x14ac:dyDescent="0.35">
      <c r="B217" s="41"/>
      <c r="J217" s="42"/>
    </row>
    <row r="218" spans="2:10" ht="14.25" customHeight="1" x14ac:dyDescent="0.35">
      <c r="B218" s="41"/>
      <c r="J218" s="42"/>
    </row>
    <row r="219" spans="2:10" ht="14.25" customHeight="1" x14ac:dyDescent="0.35">
      <c r="B219" s="41"/>
      <c r="J219" s="42"/>
    </row>
    <row r="220" spans="2:10" ht="14.25" customHeight="1" x14ac:dyDescent="0.35">
      <c r="B220" s="41"/>
      <c r="J220" s="42"/>
    </row>
    <row r="221" spans="2:10" ht="14.25" customHeight="1" x14ac:dyDescent="0.35">
      <c r="B221" s="41"/>
      <c r="J221" s="42"/>
    </row>
    <row r="222" spans="2:10" ht="14.25" customHeight="1" x14ac:dyDescent="0.35">
      <c r="B222" s="41"/>
      <c r="J222" s="42"/>
    </row>
    <row r="223" spans="2:10" ht="14.25" customHeight="1" x14ac:dyDescent="0.35">
      <c r="B223" s="41"/>
      <c r="J223" s="42"/>
    </row>
    <row r="224" spans="2:10" ht="14.25" customHeight="1" x14ac:dyDescent="0.35">
      <c r="B224" s="41"/>
      <c r="J224" s="42"/>
    </row>
    <row r="225" spans="2:10" ht="14.25" customHeight="1" x14ac:dyDescent="0.35">
      <c r="B225" s="41"/>
      <c r="J225" s="42"/>
    </row>
    <row r="226" spans="2:10" ht="14.25" customHeight="1" x14ac:dyDescent="0.35">
      <c r="B226" s="41"/>
      <c r="J226" s="42"/>
    </row>
    <row r="227" spans="2:10" ht="14.25" customHeight="1" x14ac:dyDescent="0.35">
      <c r="B227" s="41"/>
      <c r="J227" s="42"/>
    </row>
    <row r="228" spans="2:10" ht="14.25" customHeight="1" x14ac:dyDescent="0.35">
      <c r="B228" s="41"/>
      <c r="J228" s="42"/>
    </row>
    <row r="229" spans="2:10" ht="14.25" customHeight="1" x14ac:dyDescent="0.35">
      <c r="B229" s="41"/>
      <c r="J229" s="42"/>
    </row>
    <row r="230" spans="2:10" ht="14.25" customHeight="1" x14ac:dyDescent="0.35">
      <c r="B230" s="41"/>
      <c r="J230" s="42"/>
    </row>
    <row r="231" spans="2:10" ht="14.25" customHeight="1" x14ac:dyDescent="0.35">
      <c r="B231" s="41"/>
      <c r="J231" s="42"/>
    </row>
    <row r="232" spans="2:10" ht="14.25" customHeight="1" x14ac:dyDescent="0.35">
      <c r="B232" s="41"/>
      <c r="J232" s="42"/>
    </row>
    <row r="233" spans="2:10" ht="14.25" customHeight="1" x14ac:dyDescent="0.35">
      <c r="B233" s="41"/>
      <c r="J233" s="42"/>
    </row>
    <row r="234" spans="2:10" ht="14.25" customHeight="1" x14ac:dyDescent="0.35">
      <c r="B234" s="41"/>
      <c r="J234" s="42"/>
    </row>
    <row r="235" spans="2:10" ht="14.25" customHeight="1" x14ac:dyDescent="0.35">
      <c r="B235" s="41"/>
      <c r="J235" s="42"/>
    </row>
    <row r="236" spans="2:10" ht="14.25" customHeight="1" x14ac:dyDescent="0.35">
      <c r="B236" s="41"/>
      <c r="J236" s="42"/>
    </row>
    <row r="237" spans="2:10" ht="14.25" customHeight="1" x14ac:dyDescent="0.35">
      <c r="B237" s="41"/>
      <c r="J237" s="42"/>
    </row>
    <row r="238" spans="2:10" ht="14.25" customHeight="1" x14ac:dyDescent="0.35">
      <c r="B238" s="41"/>
      <c r="J238" s="42"/>
    </row>
    <row r="239" spans="2:10" ht="14.25" customHeight="1" x14ac:dyDescent="0.35">
      <c r="B239" s="41"/>
      <c r="J239" s="42"/>
    </row>
    <row r="240" spans="2:10" ht="14.25" customHeight="1" x14ac:dyDescent="0.35">
      <c r="B240" s="41"/>
      <c r="J240" s="42"/>
    </row>
    <row r="241" spans="2:10" ht="14.25" customHeight="1" x14ac:dyDescent="0.35">
      <c r="B241" s="41"/>
      <c r="J241" s="42"/>
    </row>
    <row r="242" spans="2:10" ht="14.25" customHeight="1" x14ac:dyDescent="0.35">
      <c r="B242" s="41"/>
      <c r="J242" s="42"/>
    </row>
    <row r="243" spans="2:10" ht="14.25" customHeight="1" x14ac:dyDescent="0.35">
      <c r="B243" s="41"/>
      <c r="J243" s="42"/>
    </row>
    <row r="244" spans="2:10" ht="14.25" customHeight="1" x14ac:dyDescent="0.35">
      <c r="B244" s="41"/>
      <c r="J244" s="42"/>
    </row>
    <row r="245" spans="2:10" ht="14.25" customHeight="1" x14ac:dyDescent="0.35">
      <c r="B245" s="41"/>
      <c r="J245" s="42"/>
    </row>
    <row r="246" spans="2:10" ht="14.25" customHeight="1" x14ac:dyDescent="0.35">
      <c r="B246" s="41"/>
      <c r="J246" s="42"/>
    </row>
    <row r="247" spans="2:10" ht="14.25" customHeight="1" x14ac:dyDescent="0.35">
      <c r="B247" s="41"/>
      <c r="J247" s="42"/>
    </row>
    <row r="248" spans="2:10" ht="14.25" customHeight="1" x14ac:dyDescent="0.35">
      <c r="B248" s="41"/>
      <c r="J248" s="42"/>
    </row>
    <row r="249" spans="2:10" ht="14.25" customHeight="1" x14ac:dyDescent="0.35">
      <c r="B249" s="41"/>
      <c r="J249" s="42"/>
    </row>
    <row r="250" spans="2:10" ht="14.25" customHeight="1" x14ac:dyDescent="0.35">
      <c r="B250" s="41"/>
      <c r="J250" s="42"/>
    </row>
    <row r="251" spans="2:10" ht="14.25" customHeight="1" x14ac:dyDescent="0.35">
      <c r="B251" s="41"/>
      <c r="J251" s="42"/>
    </row>
    <row r="252" spans="2:10" ht="14.25" customHeight="1" x14ac:dyDescent="0.35">
      <c r="B252" s="41"/>
      <c r="J252" s="42"/>
    </row>
    <row r="253" spans="2:10" ht="14.25" customHeight="1" x14ac:dyDescent="0.35">
      <c r="B253" s="41"/>
      <c r="J253" s="42"/>
    </row>
    <row r="254" spans="2:10" ht="14.25" customHeight="1" x14ac:dyDescent="0.35">
      <c r="B254" s="41"/>
      <c r="J254" s="42"/>
    </row>
    <row r="255" spans="2:10" ht="14.25" customHeight="1" x14ac:dyDescent="0.35">
      <c r="B255" s="41"/>
      <c r="J255" s="42"/>
    </row>
    <row r="256" spans="2:10" ht="14.25" customHeight="1" x14ac:dyDescent="0.35">
      <c r="B256" s="41"/>
      <c r="J256" s="42"/>
    </row>
    <row r="257" spans="2:10" ht="14.25" customHeight="1" x14ac:dyDescent="0.35">
      <c r="B257" s="41"/>
      <c r="J257" s="42"/>
    </row>
    <row r="258" spans="2:10" ht="14.25" customHeight="1" x14ac:dyDescent="0.35">
      <c r="B258" s="41"/>
      <c r="J258" s="42"/>
    </row>
    <row r="259" spans="2:10" ht="14.25" customHeight="1" x14ac:dyDescent="0.35">
      <c r="B259" s="41"/>
      <c r="J259" s="42"/>
    </row>
    <row r="260" spans="2:10" ht="14.25" customHeight="1" x14ac:dyDescent="0.35">
      <c r="B260" s="41"/>
      <c r="J260" s="42"/>
    </row>
    <row r="261" spans="2:10" ht="14.25" customHeight="1" x14ac:dyDescent="0.35">
      <c r="B261" s="41"/>
      <c r="J261" s="42"/>
    </row>
    <row r="262" spans="2:10" ht="14.25" customHeight="1" x14ac:dyDescent="0.35">
      <c r="B262" s="41"/>
      <c r="J262" s="42"/>
    </row>
    <row r="263" spans="2:10" ht="14.25" customHeight="1" x14ac:dyDescent="0.35">
      <c r="B263" s="41"/>
      <c r="J263" s="42"/>
    </row>
    <row r="264" spans="2:10" ht="14.25" customHeight="1" x14ac:dyDescent="0.35">
      <c r="B264" s="41"/>
      <c r="J264" s="42"/>
    </row>
    <row r="265" spans="2:10" ht="14.25" customHeight="1" x14ac:dyDescent="0.35">
      <c r="B265" s="41"/>
      <c r="J265" s="42"/>
    </row>
    <row r="266" spans="2:10" ht="14.25" customHeight="1" x14ac:dyDescent="0.35">
      <c r="B266" s="41"/>
      <c r="J266" s="42"/>
    </row>
    <row r="267" spans="2:10" ht="14.25" customHeight="1" x14ac:dyDescent="0.35">
      <c r="B267" s="41"/>
      <c r="J267" s="42"/>
    </row>
    <row r="268" spans="2:10" ht="14.25" customHeight="1" x14ac:dyDescent="0.35">
      <c r="B268" s="41"/>
      <c r="J268" s="42"/>
    </row>
    <row r="269" spans="2:10" ht="14.25" customHeight="1" x14ac:dyDescent="0.35">
      <c r="B269" s="41"/>
      <c r="J269" s="42"/>
    </row>
    <row r="270" spans="2:10" ht="14.25" customHeight="1" x14ac:dyDescent="0.35">
      <c r="B270" s="41"/>
      <c r="J270" s="42"/>
    </row>
    <row r="271" spans="2:10" ht="14.25" customHeight="1" x14ac:dyDescent="0.35">
      <c r="B271" s="41"/>
      <c r="J271" s="42"/>
    </row>
    <row r="272" spans="2:10" ht="14.25" customHeight="1" x14ac:dyDescent="0.35">
      <c r="B272" s="41"/>
      <c r="J272" s="42"/>
    </row>
    <row r="273" spans="2:10" ht="14.25" customHeight="1" x14ac:dyDescent="0.35">
      <c r="B273" s="41"/>
      <c r="J273" s="42"/>
    </row>
    <row r="274" spans="2:10" ht="14.25" customHeight="1" x14ac:dyDescent="0.35">
      <c r="B274" s="41"/>
      <c r="J274" s="42"/>
    </row>
    <row r="275" spans="2:10" ht="14.25" customHeight="1" x14ac:dyDescent="0.35">
      <c r="B275" s="41"/>
      <c r="J275" s="42"/>
    </row>
    <row r="276" spans="2:10" ht="14.25" customHeight="1" x14ac:dyDescent="0.35">
      <c r="B276" s="41"/>
      <c r="J276" s="42"/>
    </row>
    <row r="277" spans="2:10" ht="14.25" customHeight="1" x14ac:dyDescent="0.35">
      <c r="B277" s="41"/>
      <c r="J277" s="42"/>
    </row>
    <row r="278" spans="2:10" ht="14.25" customHeight="1" x14ac:dyDescent="0.35">
      <c r="B278" s="41"/>
      <c r="J278" s="42"/>
    </row>
    <row r="279" spans="2:10" ht="14.25" customHeight="1" x14ac:dyDescent="0.35">
      <c r="B279" s="41"/>
      <c r="J279" s="42"/>
    </row>
    <row r="280" spans="2:10" ht="14.25" customHeight="1" x14ac:dyDescent="0.35">
      <c r="B280" s="41"/>
      <c r="J280" s="42"/>
    </row>
    <row r="281" spans="2:10" ht="14.25" customHeight="1" x14ac:dyDescent="0.35">
      <c r="B281" s="41"/>
      <c r="J281" s="42"/>
    </row>
    <row r="282" spans="2:10" ht="14.25" customHeight="1" x14ac:dyDescent="0.35">
      <c r="B282" s="41"/>
      <c r="J282" s="42"/>
    </row>
    <row r="283" spans="2:10" ht="14.25" customHeight="1" x14ac:dyDescent="0.35">
      <c r="B283" s="41"/>
      <c r="J283" s="42"/>
    </row>
    <row r="284" spans="2:10" ht="14.25" customHeight="1" x14ac:dyDescent="0.35">
      <c r="B284" s="41"/>
      <c r="J284" s="42"/>
    </row>
    <row r="285" spans="2:10" ht="14.25" customHeight="1" x14ac:dyDescent="0.35">
      <c r="B285" s="41"/>
      <c r="J285" s="42"/>
    </row>
    <row r="286" spans="2:10" ht="14.25" customHeight="1" x14ac:dyDescent="0.35">
      <c r="B286" s="41"/>
      <c r="J286" s="42"/>
    </row>
    <row r="287" spans="2:10" ht="14.25" customHeight="1" x14ac:dyDescent="0.35">
      <c r="B287" s="41"/>
      <c r="J287" s="42"/>
    </row>
    <row r="288" spans="2:10" ht="14.25" customHeight="1" x14ac:dyDescent="0.35">
      <c r="B288" s="41"/>
      <c r="J288" s="42"/>
    </row>
    <row r="289" spans="2:10" ht="14.25" customHeight="1" x14ac:dyDescent="0.35">
      <c r="B289" s="41"/>
      <c r="J289" s="42"/>
    </row>
    <row r="290" spans="2:10" ht="14.25" customHeight="1" x14ac:dyDescent="0.35">
      <c r="B290" s="41"/>
      <c r="J290" s="42"/>
    </row>
    <row r="291" spans="2:10" ht="14.25" customHeight="1" x14ac:dyDescent="0.35">
      <c r="B291" s="41"/>
      <c r="J291" s="42"/>
    </row>
    <row r="292" spans="2:10" ht="14.25" customHeight="1" x14ac:dyDescent="0.35">
      <c r="B292" s="41"/>
      <c r="J292" s="42"/>
    </row>
    <row r="293" spans="2:10" ht="14.25" customHeight="1" x14ac:dyDescent="0.35">
      <c r="B293" s="41"/>
      <c r="J293" s="42"/>
    </row>
    <row r="294" spans="2:10" ht="14.25" customHeight="1" x14ac:dyDescent="0.35">
      <c r="B294" s="41"/>
      <c r="J294" s="42"/>
    </row>
    <row r="295" spans="2:10" ht="14.25" customHeight="1" x14ac:dyDescent="0.35">
      <c r="B295" s="41"/>
      <c r="J295" s="42"/>
    </row>
    <row r="296" spans="2:10" ht="14.25" customHeight="1" x14ac:dyDescent="0.35">
      <c r="B296" s="41"/>
      <c r="J296" s="42"/>
    </row>
    <row r="297" spans="2:10" ht="14.25" customHeight="1" x14ac:dyDescent="0.35">
      <c r="B297" s="41"/>
      <c r="J297" s="42"/>
    </row>
    <row r="298" spans="2:10" ht="14.25" customHeight="1" x14ac:dyDescent="0.35">
      <c r="B298" s="41"/>
      <c r="J298" s="42"/>
    </row>
    <row r="299" spans="2:10" ht="14.25" customHeight="1" x14ac:dyDescent="0.35">
      <c r="B299" s="41"/>
      <c r="J299" s="42"/>
    </row>
    <row r="300" spans="2:10" ht="14.25" customHeight="1" x14ac:dyDescent="0.35">
      <c r="B300" s="41"/>
      <c r="J300" s="42"/>
    </row>
    <row r="301" spans="2:10" ht="14.25" customHeight="1" x14ac:dyDescent="0.35">
      <c r="B301" s="41"/>
      <c r="J301" s="42"/>
    </row>
    <row r="302" spans="2:10" ht="14.25" customHeight="1" x14ac:dyDescent="0.35">
      <c r="B302" s="41"/>
      <c r="J302" s="42"/>
    </row>
    <row r="303" spans="2:10" ht="14.25" customHeight="1" x14ac:dyDescent="0.35">
      <c r="B303" s="41"/>
      <c r="J303" s="42"/>
    </row>
    <row r="304" spans="2:10" ht="14.25" customHeight="1" x14ac:dyDescent="0.35">
      <c r="B304" s="41"/>
      <c r="J304" s="42"/>
    </row>
    <row r="305" spans="2:10" ht="14.25" customHeight="1" x14ac:dyDescent="0.35">
      <c r="B305" s="41"/>
      <c r="J305" s="42"/>
    </row>
    <row r="306" spans="2:10" ht="14.25" customHeight="1" x14ac:dyDescent="0.35">
      <c r="B306" s="41"/>
      <c r="J306" s="42"/>
    </row>
    <row r="307" spans="2:10" ht="14.25" customHeight="1" x14ac:dyDescent="0.35">
      <c r="B307" s="41"/>
      <c r="J307" s="42"/>
    </row>
    <row r="308" spans="2:10" ht="14.25" customHeight="1" x14ac:dyDescent="0.35">
      <c r="B308" s="41"/>
      <c r="J308" s="42"/>
    </row>
    <row r="309" spans="2:10" ht="14.25" customHeight="1" x14ac:dyDescent="0.35">
      <c r="B309" s="41"/>
      <c r="J309" s="42"/>
    </row>
    <row r="310" spans="2:10" ht="14.25" customHeight="1" x14ac:dyDescent="0.35">
      <c r="B310" s="41"/>
      <c r="J310" s="42"/>
    </row>
    <row r="311" spans="2:10" ht="14.25" customHeight="1" x14ac:dyDescent="0.35">
      <c r="B311" s="41"/>
      <c r="J311" s="42"/>
    </row>
    <row r="312" spans="2:10" ht="14.25" customHeight="1" x14ac:dyDescent="0.35">
      <c r="B312" s="41"/>
      <c r="J312" s="42"/>
    </row>
    <row r="313" spans="2:10" ht="14.25" customHeight="1" x14ac:dyDescent="0.35">
      <c r="B313" s="41"/>
      <c r="J313" s="42"/>
    </row>
    <row r="314" spans="2:10" ht="14.25" customHeight="1" x14ac:dyDescent="0.35">
      <c r="B314" s="41"/>
      <c r="J314" s="42"/>
    </row>
    <row r="315" spans="2:10" ht="14.25" customHeight="1" x14ac:dyDescent="0.35">
      <c r="B315" s="41"/>
      <c r="J315" s="42"/>
    </row>
    <row r="316" spans="2:10" ht="14.25" customHeight="1" x14ac:dyDescent="0.35">
      <c r="B316" s="41"/>
      <c r="J316" s="42"/>
    </row>
    <row r="317" spans="2:10" ht="14.25" customHeight="1" x14ac:dyDescent="0.35">
      <c r="B317" s="41"/>
      <c r="J317" s="42"/>
    </row>
    <row r="318" spans="2:10" ht="14.25" customHeight="1" x14ac:dyDescent="0.35">
      <c r="B318" s="41"/>
      <c r="J318" s="42"/>
    </row>
    <row r="319" spans="2:10" ht="14.25" customHeight="1" x14ac:dyDescent="0.35">
      <c r="B319" s="41"/>
      <c r="J319" s="42"/>
    </row>
    <row r="320" spans="2:10" ht="14.25" customHeight="1" x14ac:dyDescent="0.35">
      <c r="B320" s="41"/>
      <c r="J320" s="42"/>
    </row>
    <row r="321" spans="2:10" ht="14.25" customHeight="1" x14ac:dyDescent="0.35">
      <c r="B321" s="41"/>
      <c r="J321" s="42"/>
    </row>
    <row r="322" spans="2:10" ht="14.25" customHeight="1" x14ac:dyDescent="0.35">
      <c r="B322" s="41"/>
      <c r="J322" s="42"/>
    </row>
    <row r="323" spans="2:10" ht="14.25" customHeight="1" x14ac:dyDescent="0.35">
      <c r="B323" s="41"/>
      <c r="J323" s="42"/>
    </row>
    <row r="324" spans="2:10" ht="14.25" customHeight="1" x14ac:dyDescent="0.35">
      <c r="B324" s="41"/>
      <c r="J324" s="42"/>
    </row>
    <row r="325" spans="2:10" ht="14.25" customHeight="1" x14ac:dyDescent="0.35">
      <c r="B325" s="41"/>
      <c r="J325" s="42"/>
    </row>
    <row r="326" spans="2:10" ht="14.25" customHeight="1" x14ac:dyDescent="0.35">
      <c r="B326" s="41"/>
      <c r="J326" s="42"/>
    </row>
    <row r="327" spans="2:10" ht="14.25" customHeight="1" x14ac:dyDescent="0.35">
      <c r="B327" s="41"/>
      <c r="J327" s="42"/>
    </row>
    <row r="328" spans="2:10" ht="14.25" customHeight="1" x14ac:dyDescent="0.35">
      <c r="B328" s="41"/>
      <c r="J328" s="42"/>
    </row>
    <row r="329" spans="2:10" ht="14.25" customHeight="1" x14ac:dyDescent="0.35">
      <c r="B329" s="41"/>
      <c r="J329" s="42"/>
    </row>
    <row r="330" spans="2:10" ht="14.25" customHeight="1" x14ac:dyDescent="0.35">
      <c r="B330" s="41"/>
      <c r="J330" s="42"/>
    </row>
    <row r="331" spans="2:10" ht="14.25" customHeight="1" x14ac:dyDescent="0.35">
      <c r="B331" s="41"/>
      <c r="J331" s="42"/>
    </row>
    <row r="332" spans="2:10" ht="14.25" customHeight="1" x14ac:dyDescent="0.35">
      <c r="B332" s="41"/>
      <c r="J332" s="42"/>
    </row>
    <row r="333" spans="2:10" ht="14.25" customHeight="1" x14ac:dyDescent="0.35">
      <c r="B333" s="41"/>
      <c r="J333" s="42"/>
    </row>
    <row r="334" spans="2:10" ht="14.25" customHeight="1" x14ac:dyDescent="0.35">
      <c r="B334" s="41"/>
      <c r="J334" s="42"/>
    </row>
    <row r="335" spans="2:10" ht="14.25" customHeight="1" x14ac:dyDescent="0.35">
      <c r="B335" s="41"/>
      <c r="J335" s="42"/>
    </row>
    <row r="336" spans="2:10" ht="14.25" customHeight="1" x14ac:dyDescent="0.35">
      <c r="B336" s="41"/>
      <c r="J336" s="42"/>
    </row>
    <row r="337" spans="2:10" ht="14.25" customHeight="1" x14ac:dyDescent="0.35">
      <c r="B337" s="41"/>
      <c r="J337" s="42"/>
    </row>
    <row r="338" spans="2:10" ht="14.25" customHeight="1" x14ac:dyDescent="0.35">
      <c r="B338" s="41"/>
      <c r="J338" s="42"/>
    </row>
    <row r="339" spans="2:10" ht="14.25" customHeight="1" x14ac:dyDescent="0.35">
      <c r="B339" s="41"/>
      <c r="J339" s="42"/>
    </row>
    <row r="340" spans="2:10" ht="14.25" customHeight="1" x14ac:dyDescent="0.35">
      <c r="B340" s="41"/>
      <c r="J340" s="42"/>
    </row>
    <row r="341" spans="2:10" ht="14.25" customHeight="1" x14ac:dyDescent="0.35">
      <c r="B341" s="41"/>
      <c r="J341" s="42"/>
    </row>
    <row r="342" spans="2:10" ht="14.25" customHeight="1" x14ac:dyDescent="0.35">
      <c r="B342" s="41"/>
      <c r="J342" s="42"/>
    </row>
    <row r="343" spans="2:10" ht="14.25" customHeight="1" x14ac:dyDescent="0.35">
      <c r="B343" s="41"/>
      <c r="J343" s="42"/>
    </row>
    <row r="344" spans="2:10" ht="14.25" customHeight="1" x14ac:dyDescent="0.35">
      <c r="B344" s="41"/>
      <c r="J344" s="42"/>
    </row>
    <row r="345" spans="2:10" ht="14.25" customHeight="1" x14ac:dyDescent="0.35">
      <c r="B345" s="41"/>
      <c r="J345" s="42"/>
    </row>
    <row r="346" spans="2:10" ht="14.25" customHeight="1" x14ac:dyDescent="0.35">
      <c r="B346" s="41"/>
      <c r="J346" s="42"/>
    </row>
    <row r="347" spans="2:10" ht="14.25" customHeight="1" x14ac:dyDescent="0.35">
      <c r="B347" s="41"/>
      <c r="J347" s="42"/>
    </row>
    <row r="348" spans="2:10" ht="14.25" customHeight="1" x14ac:dyDescent="0.35">
      <c r="B348" s="41"/>
      <c r="J348" s="42"/>
    </row>
    <row r="349" spans="2:10" ht="14.25" customHeight="1" x14ac:dyDescent="0.35">
      <c r="B349" s="41"/>
      <c r="J349" s="42"/>
    </row>
    <row r="350" spans="2:10" ht="14.25" customHeight="1" x14ac:dyDescent="0.35">
      <c r="B350" s="41"/>
      <c r="J350" s="42"/>
    </row>
    <row r="351" spans="2:10" ht="14.25" customHeight="1" x14ac:dyDescent="0.35">
      <c r="B351" s="41"/>
      <c r="J351" s="42"/>
    </row>
    <row r="352" spans="2:10" ht="14.25" customHeight="1" x14ac:dyDescent="0.35">
      <c r="B352" s="41"/>
      <c r="J352" s="42"/>
    </row>
    <row r="353" spans="2:10" ht="14.25" customHeight="1" x14ac:dyDescent="0.35">
      <c r="B353" s="41"/>
      <c r="J353" s="42"/>
    </row>
    <row r="354" spans="2:10" ht="14.25" customHeight="1" x14ac:dyDescent="0.35">
      <c r="B354" s="41"/>
      <c r="J354" s="42"/>
    </row>
    <row r="355" spans="2:10" ht="14.25" customHeight="1" x14ac:dyDescent="0.35">
      <c r="B355" s="41"/>
      <c r="J355" s="42"/>
    </row>
    <row r="356" spans="2:10" ht="14.25" customHeight="1" x14ac:dyDescent="0.35">
      <c r="B356" s="41"/>
      <c r="J356" s="42"/>
    </row>
    <row r="357" spans="2:10" ht="14.25" customHeight="1" x14ac:dyDescent="0.35">
      <c r="B357" s="41"/>
      <c r="J357" s="42"/>
    </row>
    <row r="358" spans="2:10" ht="14.25" customHeight="1" x14ac:dyDescent="0.35">
      <c r="B358" s="41"/>
      <c r="J358" s="42"/>
    </row>
    <row r="359" spans="2:10" ht="14.25" customHeight="1" x14ac:dyDescent="0.35">
      <c r="B359" s="41"/>
      <c r="J359" s="42"/>
    </row>
    <row r="360" spans="2:10" ht="14.25" customHeight="1" x14ac:dyDescent="0.35">
      <c r="B360" s="41"/>
      <c r="J360" s="42"/>
    </row>
    <row r="361" spans="2:10" ht="14.25" customHeight="1" x14ac:dyDescent="0.35">
      <c r="B361" s="41"/>
      <c r="J361" s="42"/>
    </row>
    <row r="362" spans="2:10" ht="14.25" customHeight="1" x14ac:dyDescent="0.35">
      <c r="B362" s="41"/>
      <c r="J362" s="42"/>
    </row>
    <row r="363" spans="2:10" ht="14.25" customHeight="1" x14ac:dyDescent="0.35">
      <c r="B363" s="41"/>
      <c r="J363" s="42"/>
    </row>
    <row r="364" spans="2:10" ht="14.25" customHeight="1" x14ac:dyDescent="0.35">
      <c r="B364" s="41"/>
      <c r="J364" s="42"/>
    </row>
    <row r="365" spans="2:10" ht="14.25" customHeight="1" x14ac:dyDescent="0.35">
      <c r="B365" s="41"/>
      <c r="J365" s="42"/>
    </row>
    <row r="366" spans="2:10" ht="14.25" customHeight="1" x14ac:dyDescent="0.35">
      <c r="B366" s="41"/>
      <c r="J366" s="42"/>
    </row>
    <row r="367" spans="2:10" ht="14.25" customHeight="1" x14ac:dyDescent="0.35">
      <c r="B367" s="41"/>
      <c r="J367" s="42"/>
    </row>
    <row r="368" spans="2:10" ht="14.25" customHeight="1" x14ac:dyDescent="0.35">
      <c r="B368" s="41"/>
      <c r="J368" s="42"/>
    </row>
    <row r="369" spans="2:10" ht="14.25" customHeight="1" x14ac:dyDescent="0.35">
      <c r="B369" s="41"/>
      <c r="J369" s="42"/>
    </row>
    <row r="370" spans="2:10" ht="14.25" customHeight="1" x14ac:dyDescent="0.35">
      <c r="B370" s="41"/>
      <c r="J370" s="42"/>
    </row>
    <row r="371" spans="2:10" ht="14.25" customHeight="1" x14ac:dyDescent="0.35">
      <c r="B371" s="41"/>
      <c r="J371" s="42"/>
    </row>
    <row r="372" spans="2:10" ht="14.25" customHeight="1" x14ac:dyDescent="0.35">
      <c r="B372" s="41"/>
      <c r="J372" s="42"/>
    </row>
    <row r="373" spans="2:10" ht="14.25" customHeight="1" x14ac:dyDescent="0.35">
      <c r="B373" s="41"/>
      <c r="J373" s="42"/>
    </row>
    <row r="374" spans="2:10" ht="14.25" customHeight="1" x14ac:dyDescent="0.35">
      <c r="B374" s="41"/>
      <c r="J374" s="42"/>
    </row>
    <row r="375" spans="2:10" ht="14.25" customHeight="1" x14ac:dyDescent="0.35">
      <c r="B375" s="41"/>
      <c r="J375" s="42"/>
    </row>
    <row r="376" spans="2:10" ht="14.25" customHeight="1" x14ac:dyDescent="0.35">
      <c r="B376" s="41"/>
      <c r="J376" s="42"/>
    </row>
    <row r="377" spans="2:10" ht="14.25" customHeight="1" x14ac:dyDescent="0.35">
      <c r="B377" s="41"/>
      <c r="J377" s="42"/>
    </row>
    <row r="378" spans="2:10" ht="14.25" customHeight="1" x14ac:dyDescent="0.35">
      <c r="B378" s="41"/>
      <c r="J378" s="42"/>
    </row>
    <row r="379" spans="2:10" ht="14.25" customHeight="1" x14ac:dyDescent="0.35">
      <c r="B379" s="41"/>
      <c r="J379" s="42"/>
    </row>
    <row r="380" spans="2:10" ht="14.25" customHeight="1" x14ac:dyDescent="0.35">
      <c r="B380" s="41"/>
      <c r="J380" s="42"/>
    </row>
    <row r="381" spans="2:10" ht="14.25" customHeight="1" x14ac:dyDescent="0.35">
      <c r="B381" s="41"/>
      <c r="J381" s="42"/>
    </row>
    <row r="382" spans="2:10" ht="14.25" customHeight="1" x14ac:dyDescent="0.35">
      <c r="B382" s="41"/>
      <c r="J382" s="42"/>
    </row>
    <row r="383" spans="2:10" ht="14.25" customHeight="1" x14ac:dyDescent="0.35">
      <c r="B383" s="41"/>
      <c r="J383" s="42"/>
    </row>
    <row r="384" spans="2:10" ht="14.25" customHeight="1" x14ac:dyDescent="0.35">
      <c r="B384" s="41"/>
      <c r="J384" s="42"/>
    </row>
    <row r="385" spans="2:10" ht="14.25" customHeight="1" x14ac:dyDescent="0.35">
      <c r="B385" s="41"/>
      <c r="J385" s="42"/>
    </row>
    <row r="386" spans="2:10" ht="14.25" customHeight="1" x14ac:dyDescent="0.35">
      <c r="B386" s="41"/>
      <c r="J386" s="42"/>
    </row>
    <row r="387" spans="2:10" ht="14.25" customHeight="1" x14ac:dyDescent="0.35">
      <c r="B387" s="41"/>
      <c r="J387" s="42"/>
    </row>
    <row r="388" spans="2:10" ht="14.25" customHeight="1" x14ac:dyDescent="0.35">
      <c r="B388" s="41"/>
      <c r="J388" s="42"/>
    </row>
    <row r="389" spans="2:10" ht="14.25" customHeight="1" x14ac:dyDescent="0.35">
      <c r="B389" s="41"/>
      <c r="J389" s="42"/>
    </row>
    <row r="390" spans="2:10" ht="14.25" customHeight="1" x14ac:dyDescent="0.35">
      <c r="B390" s="41"/>
      <c r="J390" s="42"/>
    </row>
    <row r="391" spans="2:10" ht="14.25" customHeight="1" x14ac:dyDescent="0.35">
      <c r="B391" s="41"/>
      <c r="J391" s="42"/>
    </row>
    <row r="392" spans="2:10" ht="14.25" customHeight="1" x14ac:dyDescent="0.35">
      <c r="B392" s="41"/>
      <c r="J392" s="42"/>
    </row>
    <row r="393" spans="2:10" ht="14.25" customHeight="1" x14ac:dyDescent="0.35">
      <c r="B393" s="41"/>
      <c r="J393" s="42"/>
    </row>
    <row r="394" spans="2:10" ht="14.25" customHeight="1" x14ac:dyDescent="0.35">
      <c r="B394" s="41"/>
      <c r="J394" s="42"/>
    </row>
    <row r="395" spans="2:10" ht="14.25" customHeight="1" x14ac:dyDescent="0.35">
      <c r="B395" s="41"/>
      <c r="J395" s="42"/>
    </row>
    <row r="396" spans="2:10" ht="14.25" customHeight="1" x14ac:dyDescent="0.35">
      <c r="B396" s="41"/>
      <c r="J396" s="42"/>
    </row>
    <row r="397" spans="2:10" ht="14.25" customHeight="1" x14ac:dyDescent="0.35">
      <c r="B397" s="41"/>
      <c r="J397" s="42"/>
    </row>
    <row r="398" spans="2:10" ht="14.25" customHeight="1" x14ac:dyDescent="0.35">
      <c r="B398" s="41"/>
      <c r="J398" s="42"/>
    </row>
    <row r="399" spans="2:10" ht="14.25" customHeight="1" x14ac:dyDescent="0.35">
      <c r="B399" s="41"/>
      <c r="J399" s="42"/>
    </row>
    <row r="400" spans="2:10" ht="14.25" customHeight="1" x14ac:dyDescent="0.35">
      <c r="B400" s="41"/>
      <c r="J400" s="42"/>
    </row>
    <row r="401" spans="2:10" ht="14.25" customHeight="1" x14ac:dyDescent="0.35">
      <c r="B401" s="41"/>
      <c r="J401" s="42"/>
    </row>
    <row r="402" spans="2:10" ht="14.25" customHeight="1" x14ac:dyDescent="0.35">
      <c r="B402" s="41"/>
      <c r="J402" s="42"/>
    </row>
    <row r="403" spans="2:10" ht="14.25" customHeight="1" x14ac:dyDescent="0.35">
      <c r="B403" s="41"/>
      <c r="J403" s="42"/>
    </row>
    <row r="404" spans="2:10" ht="14.25" customHeight="1" x14ac:dyDescent="0.35">
      <c r="B404" s="41"/>
      <c r="J404" s="42"/>
    </row>
    <row r="405" spans="2:10" ht="14.25" customHeight="1" x14ac:dyDescent="0.35">
      <c r="B405" s="41"/>
      <c r="J405" s="42"/>
    </row>
    <row r="406" spans="2:10" ht="14.25" customHeight="1" x14ac:dyDescent="0.35">
      <c r="B406" s="41"/>
      <c r="J406" s="42"/>
    </row>
    <row r="407" spans="2:10" ht="14.25" customHeight="1" x14ac:dyDescent="0.35">
      <c r="B407" s="41"/>
      <c r="J407" s="42"/>
    </row>
    <row r="408" spans="2:10" ht="14.25" customHeight="1" x14ac:dyDescent="0.35">
      <c r="B408" s="41"/>
      <c r="J408" s="42"/>
    </row>
    <row r="409" spans="2:10" ht="14.25" customHeight="1" x14ac:dyDescent="0.35">
      <c r="B409" s="41"/>
      <c r="J409" s="42"/>
    </row>
    <row r="410" spans="2:10" ht="14.25" customHeight="1" x14ac:dyDescent="0.35">
      <c r="B410" s="41"/>
      <c r="J410" s="42"/>
    </row>
    <row r="411" spans="2:10" ht="14.25" customHeight="1" x14ac:dyDescent="0.35">
      <c r="B411" s="41"/>
      <c r="J411" s="42"/>
    </row>
    <row r="412" spans="2:10" ht="14.25" customHeight="1" x14ac:dyDescent="0.35">
      <c r="B412" s="41"/>
      <c r="J412" s="42"/>
    </row>
    <row r="413" spans="2:10" ht="14.25" customHeight="1" x14ac:dyDescent="0.35">
      <c r="B413" s="41"/>
      <c r="J413" s="42"/>
    </row>
    <row r="414" spans="2:10" ht="14.25" customHeight="1" x14ac:dyDescent="0.35">
      <c r="B414" s="41"/>
      <c r="J414" s="42"/>
    </row>
    <row r="415" spans="2:10" ht="14.25" customHeight="1" x14ac:dyDescent="0.35">
      <c r="B415" s="41"/>
      <c r="J415" s="42"/>
    </row>
    <row r="416" spans="2:10" ht="14.25" customHeight="1" x14ac:dyDescent="0.35">
      <c r="B416" s="41"/>
      <c r="J416" s="42"/>
    </row>
    <row r="417" spans="2:10" ht="14.25" customHeight="1" x14ac:dyDescent="0.35">
      <c r="B417" s="41"/>
      <c r="J417" s="42"/>
    </row>
    <row r="418" spans="2:10" ht="14.25" customHeight="1" x14ac:dyDescent="0.35">
      <c r="B418" s="41"/>
      <c r="J418" s="42"/>
    </row>
    <row r="419" spans="2:10" ht="14.25" customHeight="1" x14ac:dyDescent="0.35">
      <c r="B419" s="41"/>
      <c r="J419" s="42"/>
    </row>
    <row r="420" spans="2:10" ht="14.25" customHeight="1" x14ac:dyDescent="0.35">
      <c r="B420" s="41"/>
      <c r="J420" s="42"/>
    </row>
    <row r="421" spans="2:10" ht="14.25" customHeight="1" x14ac:dyDescent="0.35">
      <c r="B421" s="41"/>
      <c r="J421" s="42"/>
    </row>
    <row r="422" spans="2:10" ht="14.25" customHeight="1" x14ac:dyDescent="0.35">
      <c r="B422" s="41"/>
      <c r="J422" s="42"/>
    </row>
    <row r="423" spans="2:10" ht="14.25" customHeight="1" x14ac:dyDescent="0.35">
      <c r="B423" s="41"/>
      <c r="J423" s="42"/>
    </row>
    <row r="424" spans="2:10" ht="14.25" customHeight="1" x14ac:dyDescent="0.35">
      <c r="B424" s="41"/>
      <c r="J424" s="42"/>
    </row>
    <row r="425" spans="2:10" ht="14.25" customHeight="1" x14ac:dyDescent="0.35">
      <c r="B425" s="41"/>
      <c r="J425" s="42"/>
    </row>
    <row r="426" spans="2:10" ht="14.25" customHeight="1" x14ac:dyDescent="0.35">
      <c r="B426" s="41"/>
      <c r="J426" s="42"/>
    </row>
    <row r="427" spans="2:10" ht="14.25" customHeight="1" x14ac:dyDescent="0.35">
      <c r="B427" s="41"/>
      <c r="J427" s="42"/>
    </row>
    <row r="428" spans="2:10" ht="14.25" customHeight="1" x14ac:dyDescent="0.35">
      <c r="B428" s="41"/>
      <c r="J428" s="42"/>
    </row>
    <row r="429" spans="2:10" ht="14.25" customHeight="1" x14ac:dyDescent="0.35">
      <c r="B429" s="41"/>
      <c r="J429" s="42"/>
    </row>
    <row r="430" spans="2:10" ht="14.25" customHeight="1" x14ac:dyDescent="0.35">
      <c r="B430" s="41"/>
      <c r="J430" s="42"/>
    </row>
    <row r="431" spans="2:10" ht="14.25" customHeight="1" x14ac:dyDescent="0.35">
      <c r="B431" s="41"/>
      <c r="J431" s="42"/>
    </row>
    <row r="432" spans="2:10" ht="14.25" customHeight="1" x14ac:dyDescent="0.35">
      <c r="B432" s="41"/>
      <c r="J432" s="42"/>
    </row>
    <row r="433" spans="2:10" ht="14.25" customHeight="1" x14ac:dyDescent="0.35">
      <c r="B433" s="41"/>
      <c r="J433" s="42"/>
    </row>
    <row r="434" spans="2:10" ht="14.25" customHeight="1" x14ac:dyDescent="0.35">
      <c r="B434" s="41"/>
      <c r="J434" s="42"/>
    </row>
    <row r="435" spans="2:10" ht="14.25" customHeight="1" x14ac:dyDescent="0.35">
      <c r="B435" s="41"/>
      <c r="J435" s="42"/>
    </row>
    <row r="436" spans="2:10" ht="14.25" customHeight="1" x14ac:dyDescent="0.35">
      <c r="B436" s="41"/>
      <c r="J436" s="42"/>
    </row>
    <row r="437" spans="2:10" ht="14.25" customHeight="1" x14ac:dyDescent="0.35">
      <c r="B437" s="41"/>
      <c r="J437" s="42"/>
    </row>
    <row r="438" spans="2:10" ht="14.25" customHeight="1" x14ac:dyDescent="0.35">
      <c r="B438" s="41"/>
      <c r="J438" s="42"/>
    </row>
    <row r="439" spans="2:10" ht="14.25" customHeight="1" x14ac:dyDescent="0.35">
      <c r="B439" s="41"/>
      <c r="J439" s="42"/>
    </row>
    <row r="440" spans="2:10" ht="14.25" customHeight="1" x14ac:dyDescent="0.35">
      <c r="B440" s="41"/>
      <c r="J440" s="42"/>
    </row>
    <row r="441" spans="2:10" ht="14.25" customHeight="1" x14ac:dyDescent="0.35">
      <c r="B441" s="41"/>
      <c r="J441" s="42"/>
    </row>
    <row r="442" spans="2:10" ht="14.25" customHeight="1" x14ac:dyDescent="0.35">
      <c r="B442" s="41"/>
      <c r="J442" s="42"/>
    </row>
    <row r="443" spans="2:10" ht="14.25" customHeight="1" x14ac:dyDescent="0.35">
      <c r="B443" s="41"/>
      <c r="J443" s="42"/>
    </row>
    <row r="444" spans="2:10" ht="14.25" customHeight="1" x14ac:dyDescent="0.35">
      <c r="B444" s="41"/>
      <c r="J444" s="42"/>
    </row>
    <row r="445" spans="2:10" ht="14.25" customHeight="1" x14ac:dyDescent="0.35">
      <c r="B445" s="41"/>
      <c r="J445" s="42"/>
    </row>
    <row r="446" spans="2:10" ht="14.25" customHeight="1" x14ac:dyDescent="0.35">
      <c r="B446" s="41"/>
      <c r="J446" s="42"/>
    </row>
    <row r="447" spans="2:10" ht="14.25" customHeight="1" x14ac:dyDescent="0.35">
      <c r="B447" s="41"/>
      <c r="J447" s="42"/>
    </row>
    <row r="448" spans="2:10" ht="14.25" customHeight="1" x14ac:dyDescent="0.35">
      <c r="B448" s="41"/>
      <c r="J448" s="42"/>
    </row>
    <row r="449" spans="2:10" ht="14.25" customHeight="1" x14ac:dyDescent="0.35">
      <c r="B449" s="41"/>
      <c r="J449" s="42"/>
    </row>
    <row r="450" spans="2:10" ht="14.25" customHeight="1" x14ac:dyDescent="0.35">
      <c r="B450" s="41"/>
      <c r="J450" s="42"/>
    </row>
    <row r="451" spans="2:10" ht="14.25" customHeight="1" x14ac:dyDescent="0.35">
      <c r="B451" s="41"/>
      <c r="J451" s="42"/>
    </row>
    <row r="452" spans="2:10" ht="14.25" customHeight="1" x14ac:dyDescent="0.35">
      <c r="B452" s="41"/>
      <c r="J452" s="42"/>
    </row>
    <row r="453" spans="2:10" ht="14.25" customHeight="1" x14ac:dyDescent="0.35">
      <c r="B453" s="41"/>
      <c r="J453" s="42"/>
    </row>
    <row r="454" spans="2:10" ht="14.25" customHeight="1" x14ac:dyDescent="0.35">
      <c r="B454" s="41"/>
      <c r="J454" s="42"/>
    </row>
    <row r="455" spans="2:10" ht="14.25" customHeight="1" x14ac:dyDescent="0.35">
      <c r="B455" s="41"/>
      <c r="J455" s="42"/>
    </row>
    <row r="456" spans="2:10" ht="14.25" customHeight="1" x14ac:dyDescent="0.35">
      <c r="B456" s="41"/>
      <c r="J456" s="42"/>
    </row>
    <row r="457" spans="2:10" ht="14.25" customHeight="1" x14ac:dyDescent="0.35">
      <c r="B457" s="41"/>
      <c r="J457" s="42"/>
    </row>
    <row r="458" spans="2:10" ht="14.25" customHeight="1" x14ac:dyDescent="0.35">
      <c r="B458" s="41"/>
      <c r="J458" s="42"/>
    </row>
    <row r="459" spans="2:10" ht="14.25" customHeight="1" x14ac:dyDescent="0.35">
      <c r="B459" s="41"/>
      <c r="J459" s="42"/>
    </row>
    <row r="460" spans="2:10" ht="14.25" customHeight="1" x14ac:dyDescent="0.35">
      <c r="B460" s="41"/>
      <c r="J460" s="42"/>
    </row>
    <row r="461" spans="2:10" ht="14.25" customHeight="1" x14ac:dyDescent="0.35">
      <c r="B461" s="41"/>
      <c r="J461" s="42"/>
    </row>
    <row r="462" spans="2:10" ht="14.25" customHeight="1" x14ac:dyDescent="0.35">
      <c r="B462" s="41"/>
      <c r="J462" s="42"/>
    </row>
    <row r="463" spans="2:10" ht="14.25" customHeight="1" x14ac:dyDescent="0.35">
      <c r="B463" s="41"/>
      <c r="J463" s="42"/>
    </row>
    <row r="464" spans="2:10" ht="14.25" customHeight="1" x14ac:dyDescent="0.35">
      <c r="B464" s="41"/>
      <c r="J464" s="42"/>
    </row>
    <row r="465" spans="2:10" ht="14.25" customHeight="1" x14ac:dyDescent="0.35">
      <c r="B465" s="41"/>
      <c r="J465" s="42"/>
    </row>
    <row r="466" spans="2:10" ht="14.25" customHeight="1" x14ac:dyDescent="0.35">
      <c r="B466" s="41"/>
      <c r="J466" s="42"/>
    </row>
    <row r="467" spans="2:10" ht="14.25" customHeight="1" x14ac:dyDescent="0.35">
      <c r="B467" s="41"/>
      <c r="J467" s="42"/>
    </row>
    <row r="468" spans="2:10" ht="14.25" customHeight="1" x14ac:dyDescent="0.35">
      <c r="B468" s="41"/>
      <c r="J468" s="42"/>
    </row>
    <row r="469" spans="2:10" ht="14.25" customHeight="1" x14ac:dyDescent="0.35">
      <c r="B469" s="41"/>
      <c r="J469" s="42"/>
    </row>
    <row r="470" spans="2:10" ht="14.25" customHeight="1" x14ac:dyDescent="0.35">
      <c r="B470" s="41"/>
      <c r="J470" s="42"/>
    </row>
    <row r="471" spans="2:10" ht="14.25" customHeight="1" x14ac:dyDescent="0.35">
      <c r="B471" s="41"/>
      <c r="J471" s="42"/>
    </row>
    <row r="472" spans="2:10" ht="14.25" customHeight="1" x14ac:dyDescent="0.35">
      <c r="B472" s="41"/>
      <c r="J472" s="42"/>
    </row>
    <row r="473" spans="2:10" ht="14.25" customHeight="1" x14ac:dyDescent="0.35">
      <c r="B473" s="41"/>
      <c r="J473" s="42"/>
    </row>
    <row r="474" spans="2:10" ht="14.25" customHeight="1" x14ac:dyDescent="0.35">
      <c r="B474" s="41"/>
      <c r="J474" s="42"/>
    </row>
    <row r="475" spans="2:10" ht="14.25" customHeight="1" x14ac:dyDescent="0.35">
      <c r="B475" s="41"/>
      <c r="J475" s="42"/>
    </row>
    <row r="476" spans="2:10" ht="14.25" customHeight="1" x14ac:dyDescent="0.35">
      <c r="B476" s="41"/>
      <c r="J476" s="42"/>
    </row>
    <row r="477" spans="2:10" ht="14.25" customHeight="1" x14ac:dyDescent="0.35">
      <c r="B477" s="41"/>
      <c r="J477" s="42"/>
    </row>
    <row r="478" spans="2:10" ht="14.25" customHeight="1" x14ac:dyDescent="0.35">
      <c r="B478" s="41"/>
      <c r="J478" s="42"/>
    </row>
    <row r="479" spans="2:10" ht="14.25" customHeight="1" x14ac:dyDescent="0.35">
      <c r="B479" s="41"/>
      <c r="J479" s="42"/>
    </row>
    <row r="480" spans="2:10" ht="14.25" customHeight="1" x14ac:dyDescent="0.35">
      <c r="B480" s="41"/>
      <c r="J480" s="42"/>
    </row>
    <row r="481" spans="2:10" ht="14.25" customHeight="1" x14ac:dyDescent="0.35">
      <c r="B481" s="41"/>
      <c r="J481" s="42"/>
    </row>
    <row r="482" spans="2:10" ht="14.25" customHeight="1" x14ac:dyDescent="0.35">
      <c r="B482" s="41"/>
      <c r="J482" s="42"/>
    </row>
    <row r="483" spans="2:10" ht="14.25" customHeight="1" x14ac:dyDescent="0.35">
      <c r="B483" s="41"/>
      <c r="J483" s="42"/>
    </row>
    <row r="484" spans="2:10" ht="14.25" customHeight="1" x14ac:dyDescent="0.35">
      <c r="B484" s="41"/>
      <c r="J484" s="42"/>
    </row>
    <row r="485" spans="2:10" ht="14.25" customHeight="1" x14ac:dyDescent="0.35">
      <c r="B485" s="41"/>
      <c r="J485" s="42"/>
    </row>
    <row r="486" spans="2:10" ht="14.25" customHeight="1" x14ac:dyDescent="0.35">
      <c r="B486" s="41"/>
      <c r="J486" s="42"/>
    </row>
    <row r="487" spans="2:10" ht="14.25" customHeight="1" x14ac:dyDescent="0.35">
      <c r="B487" s="41"/>
      <c r="J487" s="42"/>
    </row>
    <row r="488" spans="2:10" ht="14.25" customHeight="1" x14ac:dyDescent="0.35">
      <c r="B488" s="41"/>
      <c r="J488" s="42"/>
    </row>
    <row r="489" spans="2:10" ht="14.25" customHeight="1" x14ac:dyDescent="0.35">
      <c r="B489" s="41"/>
      <c r="J489" s="42"/>
    </row>
    <row r="490" spans="2:10" ht="14.25" customHeight="1" x14ac:dyDescent="0.35">
      <c r="B490" s="41"/>
      <c r="J490" s="42"/>
    </row>
    <row r="491" spans="2:10" ht="14.25" customHeight="1" x14ac:dyDescent="0.35">
      <c r="B491" s="41"/>
      <c r="J491" s="42"/>
    </row>
    <row r="492" spans="2:10" ht="14.25" customHeight="1" x14ac:dyDescent="0.35">
      <c r="B492" s="41"/>
      <c r="J492" s="42"/>
    </row>
    <row r="493" spans="2:10" ht="14.25" customHeight="1" x14ac:dyDescent="0.35">
      <c r="B493" s="41"/>
      <c r="J493" s="42"/>
    </row>
    <row r="494" spans="2:10" ht="14.25" customHeight="1" x14ac:dyDescent="0.35">
      <c r="B494" s="41"/>
      <c r="J494" s="42"/>
    </row>
    <row r="495" spans="2:10" ht="14.25" customHeight="1" x14ac:dyDescent="0.35">
      <c r="B495" s="41"/>
      <c r="J495" s="42"/>
    </row>
    <row r="496" spans="2:10" ht="14.25" customHeight="1" x14ac:dyDescent="0.35">
      <c r="B496" s="41"/>
      <c r="J496" s="42"/>
    </row>
    <row r="497" spans="2:10" ht="14.25" customHeight="1" x14ac:dyDescent="0.35">
      <c r="B497" s="41"/>
      <c r="J497" s="42"/>
    </row>
    <row r="498" spans="2:10" ht="14.25" customHeight="1" x14ac:dyDescent="0.35">
      <c r="B498" s="41"/>
      <c r="J498" s="42"/>
    </row>
    <row r="499" spans="2:10" ht="14.25" customHeight="1" x14ac:dyDescent="0.35">
      <c r="B499" s="41"/>
      <c r="J499" s="42"/>
    </row>
    <row r="500" spans="2:10" ht="14.25" customHeight="1" x14ac:dyDescent="0.35">
      <c r="B500" s="41"/>
      <c r="J500" s="42"/>
    </row>
    <row r="501" spans="2:10" ht="14.25" customHeight="1" x14ac:dyDescent="0.35">
      <c r="B501" s="41"/>
      <c r="J501" s="42"/>
    </row>
    <row r="502" spans="2:10" ht="14.25" customHeight="1" x14ac:dyDescent="0.35">
      <c r="B502" s="41"/>
      <c r="J502" s="42"/>
    </row>
    <row r="503" spans="2:10" ht="14.25" customHeight="1" x14ac:dyDescent="0.35">
      <c r="B503" s="41"/>
      <c r="J503" s="42"/>
    </row>
    <row r="504" spans="2:10" ht="14.25" customHeight="1" x14ac:dyDescent="0.35">
      <c r="B504" s="41"/>
      <c r="J504" s="42"/>
    </row>
    <row r="505" spans="2:10" ht="14.25" customHeight="1" x14ac:dyDescent="0.35">
      <c r="B505" s="41"/>
      <c r="J505" s="42"/>
    </row>
    <row r="506" spans="2:10" ht="14.25" customHeight="1" x14ac:dyDescent="0.35">
      <c r="B506" s="41"/>
      <c r="J506" s="42"/>
    </row>
    <row r="507" spans="2:10" ht="14.25" customHeight="1" x14ac:dyDescent="0.35">
      <c r="B507" s="41"/>
      <c r="J507" s="42"/>
    </row>
    <row r="508" spans="2:10" ht="14.25" customHeight="1" x14ac:dyDescent="0.35">
      <c r="B508" s="41"/>
      <c r="J508" s="42"/>
    </row>
    <row r="509" spans="2:10" ht="14.25" customHeight="1" x14ac:dyDescent="0.35">
      <c r="B509" s="41"/>
      <c r="J509" s="42"/>
    </row>
    <row r="510" spans="2:10" ht="14.25" customHeight="1" x14ac:dyDescent="0.35">
      <c r="B510" s="41"/>
      <c r="J510" s="42"/>
    </row>
    <row r="511" spans="2:10" ht="14.25" customHeight="1" x14ac:dyDescent="0.35">
      <c r="B511" s="41"/>
      <c r="J511" s="42"/>
    </row>
    <row r="512" spans="2:10" ht="14.25" customHeight="1" x14ac:dyDescent="0.35">
      <c r="B512" s="41"/>
      <c r="J512" s="42"/>
    </row>
    <row r="513" spans="2:10" ht="14.25" customHeight="1" x14ac:dyDescent="0.35">
      <c r="B513" s="41"/>
      <c r="J513" s="42"/>
    </row>
    <row r="514" spans="2:10" ht="14.25" customHeight="1" x14ac:dyDescent="0.35">
      <c r="B514" s="41"/>
      <c r="J514" s="42"/>
    </row>
    <row r="515" spans="2:10" ht="14.25" customHeight="1" x14ac:dyDescent="0.35">
      <c r="B515" s="41"/>
      <c r="J515" s="42"/>
    </row>
    <row r="516" spans="2:10" ht="14.25" customHeight="1" x14ac:dyDescent="0.35">
      <c r="B516" s="41"/>
      <c r="J516" s="42"/>
    </row>
    <row r="517" spans="2:10" ht="14.25" customHeight="1" x14ac:dyDescent="0.35">
      <c r="B517" s="41"/>
      <c r="J517" s="42"/>
    </row>
    <row r="518" spans="2:10" ht="14.25" customHeight="1" x14ac:dyDescent="0.35">
      <c r="B518" s="41"/>
      <c r="J518" s="42"/>
    </row>
    <row r="519" spans="2:10" ht="14.25" customHeight="1" x14ac:dyDescent="0.35">
      <c r="B519" s="41"/>
      <c r="J519" s="42"/>
    </row>
    <row r="520" spans="2:10" ht="14.25" customHeight="1" x14ac:dyDescent="0.35">
      <c r="B520" s="41"/>
      <c r="J520" s="42"/>
    </row>
    <row r="521" spans="2:10" ht="14.25" customHeight="1" x14ac:dyDescent="0.35">
      <c r="B521" s="41"/>
      <c r="J521" s="42"/>
    </row>
    <row r="522" spans="2:10" ht="14.25" customHeight="1" x14ac:dyDescent="0.35">
      <c r="B522" s="41"/>
      <c r="J522" s="42"/>
    </row>
    <row r="523" spans="2:10" ht="14.25" customHeight="1" x14ac:dyDescent="0.35">
      <c r="B523" s="41"/>
      <c r="J523" s="42"/>
    </row>
    <row r="524" spans="2:10" ht="14.25" customHeight="1" x14ac:dyDescent="0.35">
      <c r="B524" s="41"/>
      <c r="J524" s="42"/>
    </row>
    <row r="525" spans="2:10" ht="14.25" customHeight="1" x14ac:dyDescent="0.35">
      <c r="B525" s="41"/>
      <c r="J525" s="42"/>
    </row>
    <row r="526" spans="2:10" ht="14.25" customHeight="1" x14ac:dyDescent="0.35">
      <c r="B526" s="41"/>
      <c r="J526" s="42"/>
    </row>
    <row r="527" spans="2:10" ht="14.25" customHeight="1" x14ac:dyDescent="0.35">
      <c r="B527" s="41"/>
      <c r="J527" s="42"/>
    </row>
    <row r="528" spans="2:10" ht="14.25" customHeight="1" x14ac:dyDescent="0.35">
      <c r="B528" s="41"/>
      <c r="J528" s="42"/>
    </row>
    <row r="529" spans="2:10" ht="14.25" customHeight="1" x14ac:dyDescent="0.35">
      <c r="B529" s="41"/>
      <c r="J529" s="42"/>
    </row>
    <row r="530" spans="2:10" ht="14.25" customHeight="1" x14ac:dyDescent="0.35">
      <c r="B530" s="41"/>
      <c r="J530" s="42"/>
    </row>
    <row r="531" spans="2:10" ht="14.25" customHeight="1" x14ac:dyDescent="0.35">
      <c r="B531" s="41"/>
      <c r="J531" s="42"/>
    </row>
    <row r="532" spans="2:10" ht="14.25" customHeight="1" x14ac:dyDescent="0.35">
      <c r="B532" s="41"/>
      <c r="J532" s="42"/>
    </row>
    <row r="533" spans="2:10" ht="14.25" customHeight="1" x14ac:dyDescent="0.35">
      <c r="B533" s="41"/>
      <c r="J533" s="42"/>
    </row>
    <row r="534" spans="2:10" ht="14.25" customHeight="1" x14ac:dyDescent="0.35">
      <c r="B534" s="41"/>
      <c r="J534" s="42"/>
    </row>
    <row r="535" spans="2:10" ht="14.25" customHeight="1" x14ac:dyDescent="0.35">
      <c r="B535" s="41"/>
      <c r="J535" s="42"/>
    </row>
    <row r="536" spans="2:10" ht="14.25" customHeight="1" x14ac:dyDescent="0.35">
      <c r="B536" s="41"/>
      <c r="J536" s="42"/>
    </row>
    <row r="537" spans="2:10" ht="14.25" customHeight="1" x14ac:dyDescent="0.35">
      <c r="B537" s="41"/>
      <c r="J537" s="42"/>
    </row>
    <row r="538" spans="2:10" ht="14.25" customHeight="1" x14ac:dyDescent="0.35">
      <c r="B538" s="41"/>
      <c r="J538" s="42"/>
    </row>
    <row r="539" spans="2:10" ht="14.25" customHeight="1" x14ac:dyDescent="0.35">
      <c r="B539" s="41"/>
      <c r="J539" s="42"/>
    </row>
    <row r="540" spans="2:10" ht="14.25" customHeight="1" x14ac:dyDescent="0.35">
      <c r="B540" s="41"/>
      <c r="J540" s="42"/>
    </row>
    <row r="541" spans="2:10" ht="14.25" customHeight="1" x14ac:dyDescent="0.35">
      <c r="B541" s="41"/>
      <c r="J541" s="42"/>
    </row>
    <row r="542" spans="2:10" ht="14.25" customHeight="1" x14ac:dyDescent="0.35">
      <c r="B542" s="41"/>
      <c r="J542" s="42"/>
    </row>
    <row r="543" spans="2:10" ht="14.25" customHeight="1" x14ac:dyDescent="0.35">
      <c r="B543" s="41"/>
      <c r="J543" s="42"/>
    </row>
    <row r="544" spans="2:10" ht="14.25" customHeight="1" x14ac:dyDescent="0.35">
      <c r="B544" s="41"/>
      <c r="J544" s="42"/>
    </row>
    <row r="545" spans="2:10" ht="14.25" customHeight="1" x14ac:dyDescent="0.35">
      <c r="B545" s="41"/>
      <c r="J545" s="42"/>
    </row>
    <row r="546" spans="2:10" ht="14.25" customHeight="1" x14ac:dyDescent="0.35">
      <c r="B546" s="41"/>
      <c r="J546" s="42"/>
    </row>
    <row r="547" spans="2:10" ht="14.25" customHeight="1" x14ac:dyDescent="0.35">
      <c r="B547" s="41"/>
      <c r="J547" s="42"/>
    </row>
    <row r="548" spans="2:10" ht="14.25" customHeight="1" x14ac:dyDescent="0.35">
      <c r="B548" s="41"/>
      <c r="J548" s="42"/>
    </row>
    <row r="549" spans="2:10" ht="14.25" customHeight="1" x14ac:dyDescent="0.35">
      <c r="B549" s="41"/>
      <c r="J549" s="42"/>
    </row>
    <row r="550" spans="2:10" ht="14.25" customHeight="1" x14ac:dyDescent="0.35">
      <c r="B550" s="41"/>
      <c r="J550" s="42"/>
    </row>
    <row r="551" spans="2:10" ht="14.25" customHeight="1" x14ac:dyDescent="0.35">
      <c r="B551" s="41"/>
      <c r="J551" s="42"/>
    </row>
    <row r="552" spans="2:10" ht="14.25" customHeight="1" x14ac:dyDescent="0.35">
      <c r="B552" s="41"/>
      <c r="J552" s="42"/>
    </row>
    <row r="553" spans="2:10" ht="14.25" customHeight="1" x14ac:dyDescent="0.35">
      <c r="B553" s="41"/>
      <c r="J553" s="42"/>
    </row>
    <row r="554" spans="2:10" ht="14.25" customHeight="1" x14ac:dyDescent="0.35">
      <c r="B554" s="41"/>
      <c r="J554" s="42"/>
    </row>
    <row r="555" spans="2:10" ht="14.25" customHeight="1" x14ac:dyDescent="0.35">
      <c r="B555" s="41"/>
      <c r="J555" s="42"/>
    </row>
    <row r="556" spans="2:10" ht="14.25" customHeight="1" x14ac:dyDescent="0.35">
      <c r="B556" s="41"/>
      <c r="J556" s="42"/>
    </row>
    <row r="557" spans="2:10" ht="14.25" customHeight="1" x14ac:dyDescent="0.35">
      <c r="B557" s="41"/>
      <c r="J557" s="42"/>
    </row>
    <row r="558" spans="2:10" ht="14.25" customHeight="1" x14ac:dyDescent="0.35">
      <c r="B558" s="41"/>
      <c r="J558" s="42"/>
    </row>
    <row r="559" spans="2:10" ht="14.25" customHeight="1" x14ac:dyDescent="0.35">
      <c r="B559" s="41"/>
      <c r="J559" s="42"/>
    </row>
    <row r="560" spans="2:10" ht="14.25" customHeight="1" x14ac:dyDescent="0.35">
      <c r="B560" s="41"/>
      <c r="J560" s="42"/>
    </row>
    <row r="561" spans="2:10" ht="14.25" customHeight="1" x14ac:dyDescent="0.35">
      <c r="B561" s="41"/>
      <c r="J561" s="42"/>
    </row>
    <row r="562" spans="2:10" ht="14.25" customHeight="1" x14ac:dyDescent="0.35">
      <c r="B562" s="41"/>
      <c r="J562" s="42"/>
    </row>
    <row r="563" spans="2:10" ht="14.25" customHeight="1" x14ac:dyDescent="0.35">
      <c r="B563" s="41"/>
      <c r="J563" s="42"/>
    </row>
    <row r="564" spans="2:10" ht="14.25" customHeight="1" x14ac:dyDescent="0.35">
      <c r="B564" s="41"/>
      <c r="J564" s="42"/>
    </row>
    <row r="565" spans="2:10" ht="14.25" customHeight="1" x14ac:dyDescent="0.35">
      <c r="B565" s="41"/>
      <c r="J565" s="42"/>
    </row>
    <row r="566" spans="2:10" ht="14.25" customHeight="1" x14ac:dyDescent="0.35">
      <c r="B566" s="41"/>
      <c r="J566" s="42"/>
    </row>
    <row r="567" spans="2:10" ht="14.25" customHeight="1" x14ac:dyDescent="0.35">
      <c r="B567" s="41"/>
      <c r="J567" s="42"/>
    </row>
    <row r="568" spans="2:10" ht="14.25" customHeight="1" x14ac:dyDescent="0.35">
      <c r="B568" s="41"/>
      <c r="J568" s="42"/>
    </row>
    <row r="569" spans="2:10" ht="14.25" customHeight="1" x14ac:dyDescent="0.35">
      <c r="B569" s="41"/>
      <c r="J569" s="42"/>
    </row>
    <row r="570" spans="2:10" ht="14.25" customHeight="1" x14ac:dyDescent="0.35">
      <c r="B570" s="41"/>
      <c r="J570" s="42"/>
    </row>
    <row r="571" spans="2:10" ht="14.25" customHeight="1" x14ac:dyDescent="0.35">
      <c r="B571" s="41"/>
      <c r="J571" s="42"/>
    </row>
    <row r="572" spans="2:10" ht="14.25" customHeight="1" x14ac:dyDescent="0.35">
      <c r="B572" s="41"/>
      <c r="J572" s="42"/>
    </row>
    <row r="573" spans="2:10" ht="14.25" customHeight="1" x14ac:dyDescent="0.35">
      <c r="B573" s="41"/>
      <c r="J573" s="42"/>
    </row>
    <row r="574" spans="2:10" ht="14.25" customHeight="1" x14ac:dyDescent="0.35">
      <c r="B574" s="41"/>
      <c r="J574" s="42"/>
    </row>
    <row r="575" spans="2:10" ht="14.25" customHeight="1" x14ac:dyDescent="0.35">
      <c r="B575" s="41"/>
      <c r="J575" s="42"/>
    </row>
    <row r="576" spans="2:10" ht="14.25" customHeight="1" x14ac:dyDescent="0.35">
      <c r="B576" s="41"/>
      <c r="J576" s="42"/>
    </row>
    <row r="577" spans="2:10" ht="14.25" customHeight="1" x14ac:dyDescent="0.35">
      <c r="B577" s="41"/>
      <c r="J577" s="42"/>
    </row>
    <row r="578" spans="2:10" ht="14.25" customHeight="1" x14ac:dyDescent="0.35">
      <c r="B578" s="41"/>
      <c r="J578" s="42"/>
    </row>
    <row r="579" spans="2:10" ht="14.25" customHeight="1" x14ac:dyDescent="0.35">
      <c r="B579" s="41"/>
      <c r="J579" s="42"/>
    </row>
    <row r="580" spans="2:10" ht="14.25" customHeight="1" x14ac:dyDescent="0.35">
      <c r="B580" s="41"/>
      <c r="J580" s="42"/>
    </row>
    <row r="581" spans="2:10" ht="14.25" customHeight="1" x14ac:dyDescent="0.35">
      <c r="B581" s="41"/>
      <c r="J581" s="42"/>
    </row>
    <row r="582" spans="2:10" ht="14.25" customHeight="1" x14ac:dyDescent="0.35">
      <c r="B582" s="41"/>
      <c r="J582" s="42"/>
    </row>
    <row r="583" spans="2:10" ht="14.25" customHeight="1" x14ac:dyDescent="0.35">
      <c r="B583" s="41"/>
      <c r="J583" s="42"/>
    </row>
    <row r="584" spans="2:10" ht="14.25" customHeight="1" x14ac:dyDescent="0.35">
      <c r="B584" s="41"/>
      <c r="J584" s="42"/>
    </row>
    <row r="585" spans="2:10" ht="14.25" customHeight="1" x14ac:dyDescent="0.35">
      <c r="B585" s="41"/>
      <c r="J585" s="42"/>
    </row>
    <row r="586" spans="2:10" ht="14.25" customHeight="1" x14ac:dyDescent="0.35">
      <c r="B586" s="41"/>
      <c r="J586" s="42"/>
    </row>
    <row r="587" spans="2:10" ht="14.25" customHeight="1" x14ac:dyDescent="0.35">
      <c r="B587" s="41"/>
      <c r="J587" s="42"/>
    </row>
    <row r="588" spans="2:10" ht="14.25" customHeight="1" x14ac:dyDescent="0.35">
      <c r="B588" s="41"/>
      <c r="J588" s="42"/>
    </row>
    <row r="589" spans="2:10" ht="14.25" customHeight="1" x14ac:dyDescent="0.35">
      <c r="B589" s="41"/>
      <c r="J589" s="42"/>
    </row>
    <row r="590" spans="2:10" ht="14.25" customHeight="1" x14ac:dyDescent="0.35">
      <c r="B590" s="41"/>
      <c r="J590" s="42"/>
    </row>
    <row r="591" spans="2:10" ht="14.25" customHeight="1" x14ac:dyDescent="0.35">
      <c r="B591" s="41"/>
      <c r="J591" s="42"/>
    </row>
    <row r="592" spans="2:10" ht="14.25" customHeight="1" x14ac:dyDescent="0.35">
      <c r="B592" s="41"/>
      <c r="J592" s="42"/>
    </row>
    <row r="593" spans="2:10" ht="14.25" customHeight="1" x14ac:dyDescent="0.35">
      <c r="B593" s="41"/>
      <c r="J593" s="42"/>
    </row>
    <row r="594" spans="2:10" ht="14.25" customHeight="1" x14ac:dyDescent="0.35">
      <c r="B594" s="41"/>
      <c r="J594" s="42"/>
    </row>
    <row r="595" spans="2:10" ht="14.25" customHeight="1" x14ac:dyDescent="0.35">
      <c r="B595" s="41"/>
      <c r="J595" s="42"/>
    </row>
    <row r="596" spans="2:10" ht="14.25" customHeight="1" x14ac:dyDescent="0.35">
      <c r="B596" s="41"/>
      <c r="J596" s="42"/>
    </row>
    <row r="597" spans="2:10" ht="14.25" customHeight="1" x14ac:dyDescent="0.35">
      <c r="B597" s="41"/>
      <c r="J597" s="42"/>
    </row>
    <row r="598" spans="2:10" ht="14.25" customHeight="1" x14ac:dyDescent="0.35">
      <c r="B598" s="41"/>
      <c r="J598" s="42"/>
    </row>
    <row r="599" spans="2:10" ht="14.25" customHeight="1" x14ac:dyDescent="0.35">
      <c r="B599" s="41"/>
      <c r="J599" s="42"/>
    </row>
    <row r="600" spans="2:10" ht="14.25" customHeight="1" x14ac:dyDescent="0.35">
      <c r="B600" s="41"/>
      <c r="J600" s="42"/>
    </row>
    <row r="601" spans="2:10" ht="14.25" customHeight="1" x14ac:dyDescent="0.35">
      <c r="B601" s="41"/>
      <c r="J601" s="42"/>
    </row>
    <row r="602" spans="2:10" ht="14.25" customHeight="1" x14ac:dyDescent="0.35">
      <c r="B602" s="41"/>
      <c r="J602" s="42"/>
    </row>
    <row r="603" spans="2:10" ht="14.25" customHeight="1" x14ac:dyDescent="0.35">
      <c r="B603" s="41"/>
      <c r="J603" s="42"/>
    </row>
    <row r="604" spans="2:10" ht="14.25" customHeight="1" x14ac:dyDescent="0.35">
      <c r="B604" s="41"/>
      <c r="J604" s="42"/>
    </row>
    <row r="605" spans="2:10" ht="14.25" customHeight="1" x14ac:dyDescent="0.35">
      <c r="B605" s="41"/>
      <c r="J605" s="42"/>
    </row>
    <row r="606" spans="2:10" ht="14.25" customHeight="1" x14ac:dyDescent="0.35">
      <c r="B606" s="41"/>
      <c r="J606" s="42"/>
    </row>
    <row r="607" spans="2:10" ht="14.25" customHeight="1" x14ac:dyDescent="0.35">
      <c r="B607" s="41"/>
      <c r="J607" s="42"/>
    </row>
    <row r="608" spans="2:10" ht="14.25" customHeight="1" x14ac:dyDescent="0.35">
      <c r="B608" s="41"/>
      <c r="J608" s="42"/>
    </row>
    <row r="609" spans="2:10" ht="14.25" customHeight="1" x14ac:dyDescent="0.35">
      <c r="B609" s="41"/>
      <c r="J609" s="42"/>
    </row>
    <row r="610" spans="2:10" ht="14.25" customHeight="1" x14ac:dyDescent="0.35">
      <c r="B610" s="41"/>
      <c r="J610" s="42"/>
    </row>
    <row r="611" spans="2:10" ht="14.25" customHeight="1" x14ac:dyDescent="0.35">
      <c r="B611" s="41"/>
      <c r="J611" s="42"/>
    </row>
    <row r="612" spans="2:10" ht="14.25" customHeight="1" x14ac:dyDescent="0.35">
      <c r="B612" s="41"/>
      <c r="J612" s="42"/>
    </row>
    <row r="613" spans="2:10" ht="14.25" customHeight="1" x14ac:dyDescent="0.35">
      <c r="B613" s="41"/>
      <c r="J613" s="42"/>
    </row>
    <row r="614" spans="2:10" ht="14.25" customHeight="1" x14ac:dyDescent="0.35">
      <c r="B614" s="41"/>
      <c r="J614" s="42"/>
    </row>
    <row r="615" spans="2:10" ht="14.25" customHeight="1" x14ac:dyDescent="0.35">
      <c r="B615" s="41"/>
      <c r="J615" s="42"/>
    </row>
    <row r="616" spans="2:10" ht="14.25" customHeight="1" x14ac:dyDescent="0.35">
      <c r="B616" s="41"/>
      <c r="J616" s="42"/>
    </row>
    <row r="617" spans="2:10" ht="14.25" customHeight="1" x14ac:dyDescent="0.35">
      <c r="B617" s="41"/>
      <c r="J617" s="42"/>
    </row>
    <row r="618" spans="2:10" ht="14.25" customHeight="1" x14ac:dyDescent="0.35">
      <c r="B618" s="41"/>
      <c r="J618" s="42"/>
    </row>
    <row r="619" spans="2:10" ht="14.25" customHeight="1" x14ac:dyDescent="0.35">
      <c r="B619" s="41"/>
      <c r="J619" s="42"/>
    </row>
    <row r="620" spans="2:10" ht="14.25" customHeight="1" x14ac:dyDescent="0.35">
      <c r="B620" s="41"/>
      <c r="J620" s="42"/>
    </row>
    <row r="621" spans="2:10" ht="14.25" customHeight="1" x14ac:dyDescent="0.35">
      <c r="B621" s="41"/>
      <c r="J621" s="42"/>
    </row>
    <row r="622" spans="2:10" ht="14.25" customHeight="1" x14ac:dyDescent="0.35">
      <c r="B622" s="41"/>
      <c r="J622" s="42"/>
    </row>
    <row r="623" spans="2:10" ht="14.25" customHeight="1" x14ac:dyDescent="0.35">
      <c r="B623" s="41"/>
      <c r="J623" s="42"/>
    </row>
    <row r="624" spans="2:10" ht="14.25" customHeight="1" x14ac:dyDescent="0.35">
      <c r="B624" s="41"/>
      <c r="J624" s="42"/>
    </row>
    <row r="625" spans="2:10" ht="14.25" customHeight="1" x14ac:dyDescent="0.35">
      <c r="B625" s="41"/>
      <c r="J625" s="42"/>
    </row>
    <row r="626" spans="2:10" ht="14.25" customHeight="1" x14ac:dyDescent="0.35">
      <c r="B626" s="41"/>
      <c r="J626" s="42"/>
    </row>
    <row r="627" spans="2:10" ht="14.25" customHeight="1" x14ac:dyDescent="0.35">
      <c r="B627" s="41"/>
      <c r="J627" s="42"/>
    </row>
    <row r="628" spans="2:10" ht="14.25" customHeight="1" x14ac:dyDescent="0.35">
      <c r="B628" s="41"/>
      <c r="J628" s="42"/>
    </row>
    <row r="629" spans="2:10" ht="14.25" customHeight="1" x14ac:dyDescent="0.35">
      <c r="B629" s="41"/>
      <c r="J629" s="42"/>
    </row>
    <row r="630" spans="2:10" ht="14.25" customHeight="1" x14ac:dyDescent="0.35">
      <c r="B630" s="41"/>
      <c r="J630" s="42"/>
    </row>
    <row r="631" spans="2:10" ht="14.25" customHeight="1" x14ac:dyDescent="0.35">
      <c r="B631" s="41"/>
      <c r="J631" s="42"/>
    </row>
    <row r="632" spans="2:10" ht="14.25" customHeight="1" x14ac:dyDescent="0.35">
      <c r="B632" s="41"/>
      <c r="J632" s="42"/>
    </row>
    <row r="633" spans="2:10" ht="14.25" customHeight="1" x14ac:dyDescent="0.35">
      <c r="B633" s="41"/>
      <c r="J633" s="42"/>
    </row>
    <row r="634" spans="2:10" ht="14.25" customHeight="1" x14ac:dyDescent="0.35">
      <c r="B634" s="41"/>
      <c r="J634" s="42"/>
    </row>
    <row r="635" spans="2:10" ht="14.25" customHeight="1" x14ac:dyDescent="0.35">
      <c r="B635" s="41"/>
      <c r="J635" s="42"/>
    </row>
    <row r="636" spans="2:10" ht="14.25" customHeight="1" x14ac:dyDescent="0.35">
      <c r="B636" s="41"/>
      <c r="J636" s="42"/>
    </row>
    <row r="637" spans="2:10" ht="14.25" customHeight="1" x14ac:dyDescent="0.35">
      <c r="B637" s="41"/>
      <c r="J637" s="42"/>
    </row>
    <row r="638" spans="2:10" ht="14.25" customHeight="1" x14ac:dyDescent="0.35">
      <c r="B638" s="41"/>
      <c r="J638" s="42"/>
    </row>
    <row r="639" spans="2:10" ht="14.25" customHeight="1" x14ac:dyDescent="0.35">
      <c r="B639" s="41"/>
      <c r="J639" s="42"/>
    </row>
    <row r="640" spans="2:10" ht="14.25" customHeight="1" x14ac:dyDescent="0.35">
      <c r="B640" s="41"/>
      <c r="J640" s="42"/>
    </row>
    <row r="641" spans="2:10" ht="14.25" customHeight="1" x14ac:dyDescent="0.35">
      <c r="B641" s="41"/>
      <c r="J641" s="42"/>
    </row>
    <row r="642" spans="2:10" ht="14.25" customHeight="1" x14ac:dyDescent="0.35">
      <c r="B642" s="41"/>
      <c r="J642" s="42"/>
    </row>
    <row r="643" spans="2:10" ht="14.25" customHeight="1" x14ac:dyDescent="0.35">
      <c r="B643" s="41"/>
      <c r="J643" s="42"/>
    </row>
    <row r="644" spans="2:10" ht="14.25" customHeight="1" x14ac:dyDescent="0.35">
      <c r="B644" s="41"/>
      <c r="J644" s="42"/>
    </row>
    <row r="645" spans="2:10" ht="14.25" customHeight="1" x14ac:dyDescent="0.35">
      <c r="B645" s="41"/>
      <c r="J645" s="42"/>
    </row>
    <row r="646" spans="2:10" ht="14.25" customHeight="1" x14ac:dyDescent="0.35">
      <c r="B646" s="41"/>
      <c r="J646" s="42"/>
    </row>
    <row r="647" spans="2:10" ht="14.25" customHeight="1" x14ac:dyDescent="0.35">
      <c r="B647" s="41"/>
      <c r="J647" s="42"/>
    </row>
    <row r="648" spans="2:10" ht="14.25" customHeight="1" x14ac:dyDescent="0.35">
      <c r="B648" s="41"/>
      <c r="J648" s="42"/>
    </row>
    <row r="649" spans="2:10" ht="14.25" customHeight="1" x14ac:dyDescent="0.35">
      <c r="B649" s="41"/>
      <c r="J649" s="42"/>
    </row>
    <row r="650" spans="2:10" ht="14.25" customHeight="1" x14ac:dyDescent="0.35">
      <c r="B650" s="41"/>
      <c r="J650" s="42"/>
    </row>
    <row r="651" spans="2:10" ht="14.25" customHeight="1" x14ac:dyDescent="0.35">
      <c r="B651" s="41"/>
      <c r="J651" s="42"/>
    </row>
    <row r="652" spans="2:10" ht="14.25" customHeight="1" x14ac:dyDescent="0.35">
      <c r="B652" s="41"/>
      <c r="J652" s="42"/>
    </row>
    <row r="653" spans="2:10" ht="14.25" customHeight="1" x14ac:dyDescent="0.35">
      <c r="B653" s="41"/>
      <c r="J653" s="42"/>
    </row>
    <row r="654" spans="2:10" ht="14.25" customHeight="1" x14ac:dyDescent="0.35">
      <c r="B654" s="41"/>
      <c r="J654" s="42"/>
    </row>
    <row r="655" spans="2:10" ht="14.25" customHeight="1" x14ac:dyDescent="0.35">
      <c r="B655" s="41"/>
      <c r="J655" s="42"/>
    </row>
    <row r="656" spans="2:10" ht="14.25" customHeight="1" x14ac:dyDescent="0.35">
      <c r="B656" s="41"/>
      <c r="J656" s="42"/>
    </row>
    <row r="657" spans="2:10" ht="14.25" customHeight="1" x14ac:dyDescent="0.35">
      <c r="B657" s="41"/>
      <c r="J657" s="42"/>
    </row>
    <row r="658" spans="2:10" ht="14.25" customHeight="1" x14ac:dyDescent="0.35">
      <c r="B658" s="41"/>
      <c r="J658" s="42"/>
    </row>
    <row r="659" spans="2:10" ht="14.25" customHeight="1" x14ac:dyDescent="0.35">
      <c r="B659" s="41"/>
      <c r="J659" s="42"/>
    </row>
    <row r="660" spans="2:10" ht="14.25" customHeight="1" x14ac:dyDescent="0.35">
      <c r="B660" s="41"/>
      <c r="J660" s="42"/>
    </row>
    <row r="661" spans="2:10" ht="14.25" customHeight="1" x14ac:dyDescent="0.35">
      <c r="B661" s="41"/>
      <c r="J661" s="42"/>
    </row>
    <row r="662" spans="2:10" ht="14.25" customHeight="1" x14ac:dyDescent="0.35">
      <c r="B662" s="41"/>
      <c r="J662" s="42"/>
    </row>
    <row r="663" spans="2:10" ht="14.25" customHeight="1" x14ac:dyDescent="0.35">
      <c r="B663" s="41"/>
      <c r="J663" s="42"/>
    </row>
    <row r="664" spans="2:10" ht="14.25" customHeight="1" x14ac:dyDescent="0.35">
      <c r="B664" s="41"/>
      <c r="J664" s="42"/>
    </row>
    <row r="665" spans="2:10" ht="14.25" customHeight="1" x14ac:dyDescent="0.35">
      <c r="B665" s="41"/>
      <c r="J665" s="42"/>
    </row>
    <row r="666" spans="2:10" ht="14.25" customHeight="1" x14ac:dyDescent="0.35">
      <c r="B666" s="41"/>
      <c r="J666" s="42"/>
    </row>
    <row r="667" spans="2:10" ht="14.25" customHeight="1" x14ac:dyDescent="0.35">
      <c r="B667" s="41"/>
      <c r="J667" s="42"/>
    </row>
    <row r="668" spans="2:10" ht="14.25" customHeight="1" x14ac:dyDescent="0.35">
      <c r="B668" s="41"/>
      <c r="J668" s="42"/>
    </row>
    <row r="669" spans="2:10" ht="14.25" customHeight="1" x14ac:dyDescent="0.35">
      <c r="B669" s="41"/>
      <c r="J669" s="42"/>
    </row>
    <row r="670" spans="2:10" ht="14.25" customHeight="1" x14ac:dyDescent="0.35">
      <c r="B670" s="41"/>
      <c r="J670" s="42"/>
    </row>
    <row r="671" spans="2:10" ht="14.25" customHeight="1" x14ac:dyDescent="0.35">
      <c r="B671" s="41"/>
      <c r="J671" s="42"/>
    </row>
    <row r="672" spans="2:10" ht="14.25" customHeight="1" x14ac:dyDescent="0.35">
      <c r="B672" s="41"/>
      <c r="J672" s="42"/>
    </row>
    <row r="673" spans="2:10" ht="14.25" customHeight="1" x14ac:dyDescent="0.35">
      <c r="B673" s="41"/>
      <c r="J673" s="42"/>
    </row>
    <row r="674" spans="2:10" ht="14.25" customHeight="1" x14ac:dyDescent="0.35">
      <c r="B674" s="41"/>
      <c r="J674" s="42"/>
    </row>
    <row r="675" spans="2:10" ht="14.25" customHeight="1" x14ac:dyDescent="0.35">
      <c r="B675" s="41"/>
      <c r="J675" s="42"/>
    </row>
    <row r="676" spans="2:10" ht="14.25" customHeight="1" x14ac:dyDescent="0.35">
      <c r="B676" s="41"/>
      <c r="J676" s="42"/>
    </row>
    <row r="677" spans="2:10" ht="14.25" customHeight="1" x14ac:dyDescent="0.35">
      <c r="B677" s="41"/>
      <c r="J677" s="42"/>
    </row>
    <row r="678" spans="2:10" ht="14.25" customHeight="1" x14ac:dyDescent="0.35">
      <c r="B678" s="41"/>
      <c r="J678" s="42"/>
    </row>
    <row r="679" spans="2:10" ht="14.25" customHeight="1" x14ac:dyDescent="0.35">
      <c r="B679" s="41"/>
      <c r="J679" s="42"/>
    </row>
    <row r="680" spans="2:10" ht="14.25" customHeight="1" x14ac:dyDescent="0.35">
      <c r="B680" s="41"/>
      <c r="J680" s="42"/>
    </row>
    <row r="681" spans="2:10" ht="14.25" customHeight="1" x14ac:dyDescent="0.35">
      <c r="B681" s="41"/>
      <c r="J681" s="42"/>
    </row>
    <row r="682" spans="2:10" ht="14.25" customHeight="1" x14ac:dyDescent="0.35">
      <c r="B682" s="41"/>
      <c r="J682" s="42"/>
    </row>
    <row r="683" spans="2:10" ht="14.25" customHeight="1" x14ac:dyDescent="0.35">
      <c r="B683" s="41"/>
      <c r="J683" s="42"/>
    </row>
    <row r="684" spans="2:10" ht="14.25" customHeight="1" x14ac:dyDescent="0.35">
      <c r="B684" s="41"/>
      <c r="J684" s="42"/>
    </row>
    <row r="685" spans="2:10" ht="14.25" customHeight="1" x14ac:dyDescent="0.35">
      <c r="B685" s="41"/>
      <c r="J685" s="42"/>
    </row>
    <row r="686" spans="2:10" ht="14.25" customHeight="1" x14ac:dyDescent="0.35">
      <c r="B686" s="41"/>
      <c r="J686" s="42"/>
    </row>
    <row r="687" spans="2:10" ht="14.25" customHeight="1" x14ac:dyDescent="0.35">
      <c r="B687" s="41"/>
      <c r="J687" s="42"/>
    </row>
    <row r="688" spans="2:10" ht="14.25" customHeight="1" x14ac:dyDescent="0.35">
      <c r="B688" s="41"/>
      <c r="J688" s="42"/>
    </row>
    <row r="689" spans="2:10" ht="14.25" customHeight="1" x14ac:dyDescent="0.35">
      <c r="B689" s="41"/>
      <c r="J689" s="42"/>
    </row>
    <row r="690" spans="2:10" ht="14.25" customHeight="1" x14ac:dyDescent="0.35">
      <c r="B690" s="41"/>
      <c r="J690" s="42"/>
    </row>
    <row r="691" spans="2:10" ht="14.25" customHeight="1" x14ac:dyDescent="0.35">
      <c r="B691" s="41"/>
      <c r="J691" s="42"/>
    </row>
    <row r="692" spans="2:10" ht="14.25" customHeight="1" x14ac:dyDescent="0.35">
      <c r="B692" s="41"/>
      <c r="J692" s="42"/>
    </row>
    <row r="693" spans="2:10" ht="14.25" customHeight="1" x14ac:dyDescent="0.35">
      <c r="B693" s="41"/>
      <c r="J693" s="42"/>
    </row>
    <row r="694" spans="2:10" ht="14.25" customHeight="1" x14ac:dyDescent="0.35">
      <c r="B694" s="41"/>
      <c r="J694" s="42"/>
    </row>
    <row r="695" spans="2:10" ht="14.25" customHeight="1" x14ac:dyDescent="0.35">
      <c r="B695" s="41"/>
      <c r="J695" s="42"/>
    </row>
    <row r="696" spans="2:10" ht="14.25" customHeight="1" x14ac:dyDescent="0.35">
      <c r="B696" s="41"/>
      <c r="J696" s="42"/>
    </row>
    <row r="697" spans="2:10" ht="14.25" customHeight="1" x14ac:dyDescent="0.35">
      <c r="B697" s="41"/>
      <c r="J697" s="42"/>
    </row>
    <row r="698" spans="2:10" ht="14.25" customHeight="1" x14ac:dyDescent="0.35">
      <c r="B698" s="41"/>
      <c r="J698" s="42"/>
    </row>
    <row r="699" spans="2:10" ht="14.25" customHeight="1" x14ac:dyDescent="0.35">
      <c r="B699" s="41"/>
      <c r="J699" s="42"/>
    </row>
    <row r="700" spans="2:10" ht="14.25" customHeight="1" x14ac:dyDescent="0.35">
      <c r="B700" s="41"/>
      <c r="J700" s="42"/>
    </row>
    <row r="701" spans="2:10" ht="14.25" customHeight="1" x14ac:dyDescent="0.35">
      <c r="B701" s="41"/>
      <c r="J701" s="42"/>
    </row>
    <row r="702" spans="2:10" ht="14.25" customHeight="1" x14ac:dyDescent="0.35">
      <c r="B702" s="41"/>
      <c r="J702" s="42"/>
    </row>
    <row r="703" spans="2:10" ht="14.25" customHeight="1" x14ac:dyDescent="0.35">
      <c r="B703" s="41"/>
      <c r="J703" s="42"/>
    </row>
    <row r="704" spans="2:10" ht="14.25" customHeight="1" x14ac:dyDescent="0.35">
      <c r="B704" s="41"/>
      <c r="J704" s="42"/>
    </row>
    <row r="705" spans="2:10" ht="14.25" customHeight="1" x14ac:dyDescent="0.35">
      <c r="B705" s="41"/>
      <c r="J705" s="42"/>
    </row>
    <row r="706" spans="2:10" ht="14.25" customHeight="1" x14ac:dyDescent="0.35">
      <c r="B706" s="41"/>
      <c r="J706" s="42"/>
    </row>
    <row r="707" spans="2:10" ht="14.25" customHeight="1" x14ac:dyDescent="0.35">
      <c r="B707" s="41"/>
      <c r="J707" s="42"/>
    </row>
    <row r="708" spans="2:10" ht="14.25" customHeight="1" x14ac:dyDescent="0.35">
      <c r="B708" s="41"/>
      <c r="J708" s="42"/>
    </row>
    <row r="709" spans="2:10" ht="14.25" customHeight="1" x14ac:dyDescent="0.35">
      <c r="B709" s="41"/>
      <c r="J709" s="42"/>
    </row>
    <row r="710" spans="2:10" ht="14.25" customHeight="1" x14ac:dyDescent="0.35">
      <c r="B710" s="41"/>
      <c r="J710" s="42"/>
    </row>
    <row r="711" spans="2:10" ht="14.25" customHeight="1" x14ac:dyDescent="0.35">
      <c r="B711" s="41"/>
      <c r="J711" s="42"/>
    </row>
    <row r="712" spans="2:10" ht="14.25" customHeight="1" x14ac:dyDescent="0.35">
      <c r="B712" s="41"/>
      <c r="J712" s="42"/>
    </row>
    <row r="713" spans="2:10" ht="14.25" customHeight="1" x14ac:dyDescent="0.35">
      <c r="B713" s="41"/>
      <c r="J713" s="42"/>
    </row>
    <row r="714" spans="2:10" ht="14.25" customHeight="1" x14ac:dyDescent="0.35">
      <c r="B714" s="41"/>
      <c r="J714" s="42"/>
    </row>
    <row r="715" spans="2:10" ht="14.25" customHeight="1" x14ac:dyDescent="0.35">
      <c r="B715" s="41"/>
      <c r="J715" s="42"/>
    </row>
    <row r="716" spans="2:10" ht="14.25" customHeight="1" x14ac:dyDescent="0.35">
      <c r="B716" s="41"/>
      <c r="J716" s="42"/>
    </row>
    <row r="717" spans="2:10" ht="14.25" customHeight="1" x14ac:dyDescent="0.35">
      <c r="B717" s="41"/>
      <c r="J717" s="42"/>
    </row>
    <row r="718" spans="2:10" ht="14.25" customHeight="1" x14ac:dyDescent="0.35">
      <c r="B718" s="41"/>
      <c r="J718" s="42"/>
    </row>
    <row r="719" spans="2:10" ht="14.25" customHeight="1" x14ac:dyDescent="0.35">
      <c r="B719" s="41"/>
      <c r="J719" s="42"/>
    </row>
    <row r="720" spans="2:10" ht="14.25" customHeight="1" x14ac:dyDescent="0.35">
      <c r="B720" s="41"/>
      <c r="J720" s="42"/>
    </row>
    <row r="721" spans="2:10" ht="14.25" customHeight="1" x14ac:dyDescent="0.35">
      <c r="B721" s="41"/>
      <c r="J721" s="42"/>
    </row>
    <row r="722" spans="2:10" ht="14.25" customHeight="1" x14ac:dyDescent="0.35">
      <c r="B722" s="41"/>
      <c r="J722" s="42"/>
    </row>
    <row r="723" spans="2:10" ht="14.25" customHeight="1" x14ac:dyDescent="0.35">
      <c r="B723" s="41"/>
      <c r="J723" s="42"/>
    </row>
    <row r="724" spans="2:10" ht="14.25" customHeight="1" x14ac:dyDescent="0.35">
      <c r="B724" s="41"/>
      <c r="J724" s="42"/>
    </row>
    <row r="725" spans="2:10" ht="14.25" customHeight="1" x14ac:dyDescent="0.35">
      <c r="B725" s="41"/>
      <c r="J725" s="42"/>
    </row>
    <row r="726" spans="2:10" ht="14.25" customHeight="1" x14ac:dyDescent="0.35">
      <c r="B726" s="41"/>
      <c r="J726" s="42"/>
    </row>
    <row r="727" spans="2:10" ht="14.25" customHeight="1" x14ac:dyDescent="0.35">
      <c r="B727" s="41"/>
      <c r="J727" s="42"/>
    </row>
    <row r="728" spans="2:10" ht="14.25" customHeight="1" x14ac:dyDescent="0.35">
      <c r="B728" s="41"/>
      <c r="J728" s="42"/>
    </row>
    <row r="729" spans="2:10" ht="14.25" customHeight="1" x14ac:dyDescent="0.35">
      <c r="B729" s="41"/>
      <c r="J729" s="42"/>
    </row>
    <row r="730" spans="2:10" ht="14.25" customHeight="1" x14ac:dyDescent="0.35">
      <c r="B730" s="41"/>
      <c r="J730" s="42"/>
    </row>
    <row r="731" spans="2:10" ht="14.25" customHeight="1" x14ac:dyDescent="0.35">
      <c r="B731" s="41"/>
      <c r="J731" s="42"/>
    </row>
    <row r="732" spans="2:10" ht="14.25" customHeight="1" x14ac:dyDescent="0.35">
      <c r="B732" s="41"/>
      <c r="J732" s="42"/>
    </row>
    <row r="733" spans="2:10" ht="14.25" customHeight="1" x14ac:dyDescent="0.35">
      <c r="B733" s="41"/>
      <c r="J733" s="42"/>
    </row>
    <row r="734" spans="2:10" ht="14.25" customHeight="1" x14ac:dyDescent="0.35">
      <c r="B734" s="41"/>
      <c r="J734" s="42"/>
    </row>
    <row r="735" spans="2:10" ht="14.25" customHeight="1" x14ac:dyDescent="0.35">
      <c r="B735" s="41"/>
      <c r="J735" s="42"/>
    </row>
    <row r="736" spans="2:10" ht="14.25" customHeight="1" x14ac:dyDescent="0.35">
      <c r="B736" s="41"/>
      <c r="J736" s="42"/>
    </row>
    <row r="737" spans="2:10" ht="14.25" customHeight="1" x14ac:dyDescent="0.35">
      <c r="B737" s="41"/>
      <c r="J737" s="42"/>
    </row>
    <row r="738" spans="2:10" ht="14.25" customHeight="1" x14ac:dyDescent="0.35">
      <c r="B738" s="41"/>
      <c r="J738" s="42"/>
    </row>
    <row r="739" spans="2:10" ht="14.25" customHeight="1" x14ac:dyDescent="0.35">
      <c r="B739" s="41"/>
      <c r="J739" s="42"/>
    </row>
    <row r="740" spans="2:10" ht="14.25" customHeight="1" x14ac:dyDescent="0.35">
      <c r="B740" s="41"/>
      <c r="J740" s="42"/>
    </row>
    <row r="741" spans="2:10" ht="14.25" customHeight="1" x14ac:dyDescent="0.35">
      <c r="B741" s="41"/>
      <c r="J741" s="42"/>
    </row>
    <row r="742" spans="2:10" ht="14.25" customHeight="1" x14ac:dyDescent="0.35">
      <c r="B742" s="41"/>
      <c r="J742" s="42"/>
    </row>
    <row r="743" spans="2:10" ht="14.25" customHeight="1" x14ac:dyDescent="0.35">
      <c r="B743" s="41"/>
      <c r="J743" s="42"/>
    </row>
    <row r="744" spans="2:10" ht="14.25" customHeight="1" x14ac:dyDescent="0.35">
      <c r="B744" s="41"/>
      <c r="J744" s="42"/>
    </row>
    <row r="745" spans="2:10" ht="14.25" customHeight="1" x14ac:dyDescent="0.35">
      <c r="B745" s="41"/>
      <c r="J745" s="42"/>
    </row>
    <row r="746" spans="2:10" ht="14.25" customHeight="1" x14ac:dyDescent="0.35">
      <c r="B746" s="41"/>
      <c r="J746" s="42"/>
    </row>
    <row r="747" spans="2:10" ht="14.25" customHeight="1" x14ac:dyDescent="0.35">
      <c r="B747" s="41"/>
      <c r="J747" s="42"/>
    </row>
    <row r="748" spans="2:10" ht="14.25" customHeight="1" x14ac:dyDescent="0.35">
      <c r="B748" s="41"/>
      <c r="J748" s="42"/>
    </row>
    <row r="749" spans="2:10" ht="14.25" customHeight="1" x14ac:dyDescent="0.35">
      <c r="B749" s="41"/>
      <c r="J749" s="42"/>
    </row>
    <row r="750" spans="2:10" ht="14.25" customHeight="1" x14ac:dyDescent="0.35">
      <c r="B750" s="41"/>
      <c r="J750" s="42"/>
    </row>
    <row r="751" spans="2:10" ht="14.25" customHeight="1" x14ac:dyDescent="0.35">
      <c r="B751" s="41"/>
      <c r="J751" s="42"/>
    </row>
    <row r="752" spans="2:10" ht="14.25" customHeight="1" x14ac:dyDescent="0.35">
      <c r="B752" s="41"/>
      <c r="J752" s="42"/>
    </row>
    <row r="753" spans="2:10" ht="14.25" customHeight="1" x14ac:dyDescent="0.35">
      <c r="B753" s="41"/>
      <c r="J753" s="42"/>
    </row>
    <row r="754" spans="2:10" ht="14.25" customHeight="1" x14ac:dyDescent="0.35">
      <c r="B754" s="41"/>
      <c r="J754" s="42"/>
    </row>
    <row r="755" spans="2:10" ht="14.25" customHeight="1" x14ac:dyDescent="0.35">
      <c r="B755" s="41"/>
      <c r="J755" s="42"/>
    </row>
    <row r="756" spans="2:10" ht="14.25" customHeight="1" x14ac:dyDescent="0.35">
      <c r="B756" s="41"/>
      <c r="J756" s="42"/>
    </row>
    <row r="757" spans="2:10" ht="14.25" customHeight="1" x14ac:dyDescent="0.35">
      <c r="B757" s="41"/>
      <c r="J757" s="42"/>
    </row>
    <row r="758" spans="2:10" ht="14.25" customHeight="1" x14ac:dyDescent="0.35">
      <c r="B758" s="41"/>
      <c r="J758" s="42"/>
    </row>
    <row r="759" spans="2:10" ht="14.25" customHeight="1" x14ac:dyDescent="0.35">
      <c r="B759" s="41"/>
      <c r="J759" s="42"/>
    </row>
    <row r="760" spans="2:10" ht="14.25" customHeight="1" x14ac:dyDescent="0.35">
      <c r="B760" s="41"/>
      <c r="J760" s="42"/>
    </row>
    <row r="761" spans="2:10" ht="14.25" customHeight="1" x14ac:dyDescent="0.35">
      <c r="B761" s="41"/>
      <c r="J761" s="42"/>
    </row>
    <row r="762" spans="2:10" ht="14.25" customHeight="1" x14ac:dyDescent="0.35">
      <c r="B762" s="41"/>
      <c r="J762" s="42"/>
    </row>
    <row r="763" spans="2:10" ht="14.25" customHeight="1" x14ac:dyDescent="0.35">
      <c r="B763" s="41"/>
      <c r="J763" s="42"/>
    </row>
    <row r="764" spans="2:10" ht="14.25" customHeight="1" x14ac:dyDescent="0.35">
      <c r="B764" s="41"/>
      <c r="J764" s="42"/>
    </row>
    <row r="765" spans="2:10" ht="14.25" customHeight="1" x14ac:dyDescent="0.35">
      <c r="B765" s="41"/>
      <c r="J765" s="42"/>
    </row>
    <row r="766" spans="2:10" ht="14.25" customHeight="1" x14ac:dyDescent="0.35">
      <c r="B766" s="41"/>
      <c r="J766" s="42"/>
    </row>
    <row r="767" spans="2:10" ht="14.25" customHeight="1" x14ac:dyDescent="0.35">
      <c r="B767" s="41"/>
      <c r="J767" s="42"/>
    </row>
    <row r="768" spans="2:10" ht="14.25" customHeight="1" x14ac:dyDescent="0.35">
      <c r="B768" s="41"/>
      <c r="J768" s="42"/>
    </row>
    <row r="769" spans="2:10" ht="14.25" customHeight="1" x14ac:dyDescent="0.35">
      <c r="B769" s="41"/>
      <c r="J769" s="42"/>
    </row>
    <row r="770" spans="2:10" ht="14.25" customHeight="1" x14ac:dyDescent="0.35">
      <c r="B770" s="41"/>
      <c r="J770" s="42"/>
    </row>
    <row r="771" spans="2:10" ht="14.25" customHeight="1" x14ac:dyDescent="0.35">
      <c r="B771" s="41"/>
      <c r="J771" s="42"/>
    </row>
    <row r="772" spans="2:10" ht="14.25" customHeight="1" x14ac:dyDescent="0.35">
      <c r="B772" s="41"/>
      <c r="J772" s="42"/>
    </row>
    <row r="773" spans="2:10" ht="14.25" customHeight="1" x14ac:dyDescent="0.35">
      <c r="B773" s="41"/>
      <c r="J773" s="42"/>
    </row>
    <row r="774" spans="2:10" ht="14.25" customHeight="1" x14ac:dyDescent="0.35">
      <c r="B774" s="41"/>
      <c r="J774" s="42"/>
    </row>
    <row r="775" spans="2:10" ht="14.25" customHeight="1" x14ac:dyDescent="0.35">
      <c r="B775" s="41"/>
      <c r="J775" s="42"/>
    </row>
    <row r="776" spans="2:10" ht="14.25" customHeight="1" x14ac:dyDescent="0.35">
      <c r="B776" s="41"/>
      <c r="J776" s="42"/>
    </row>
    <row r="777" spans="2:10" ht="14.25" customHeight="1" x14ac:dyDescent="0.35">
      <c r="B777" s="41"/>
      <c r="J777" s="42"/>
    </row>
    <row r="778" spans="2:10" ht="14.25" customHeight="1" x14ac:dyDescent="0.35">
      <c r="B778" s="41"/>
      <c r="J778" s="42"/>
    </row>
    <row r="779" spans="2:10" ht="14.25" customHeight="1" x14ac:dyDescent="0.35">
      <c r="B779" s="41"/>
      <c r="J779" s="42"/>
    </row>
    <row r="780" spans="2:10" ht="14.25" customHeight="1" x14ac:dyDescent="0.35">
      <c r="B780" s="41"/>
      <c r="J780" s="42"/>
    </row>
    <row r="781" spans="2:10" ht="14.25" customHeight="1" x14ac:dyDescent="0.35">
      <c r="B781" s="41"/>
      <c r="J781" s="42"/>
    </row>
    <row r="782" spans="2:10" ht="14.25" customHeight="1" x14ac:dyDescent="0.35">
      <c r="B782" s="41"/>
      <c r="J782" s="42"/>
    </row>
    <row r="783" spans="2:10" ht="14.25" customHeight="1" x14ac:dyDescent="0.35">
      <c r="B783" s="41"/>
      <c r="J783" s="42"/>
    </row>
    <row r="784" spans="2:10" ht="14.25" customHeight="1" x14ac:dyDescent="0.35">
      <c r="B784" s="41"/>
      <c r="J784" s="42"/>
    </row>
    <row r="785" spans="2:10" ht="14.25" customHeight="1" x14ac:dyDescent="0.35">
      <c r="B785" s="41"/>
      <c r="J785" s="42"/>
    </row>
    <row r="786" spans="2:10" ht="14.25" customHeight="1" x14ac:dyDescent="0.35">
      <c r="B786" s="41"/>
      <c r="J786" s="42"/>
    </row>
    <row r="787" spans="2:10" ht="14.25" customHeight="1" x14ac:dyDescent="0.35">
      <c r="B787" s="41"/>
      <c r="J787" s="42"/>
    </row>
    <row r="788" spans="2:10" ht="14.25" customHeight="1" x14ac:dyDescent="0.35">
      <c r="B788" s="41"/>
      <c r="J788" s="42"/>
    </row>
    <row r="789" spans="2:10" ht="14.25" customHeight="1" x14ac:dyDescent="0.35">
      <c r="B789" s="41"/>
      <c r="J789" s="42"/>
    </row>
    <row r="790" spans="2:10" ht="14.25" customHeight="1" x14ac:dyDescent="0.35">
      <c r="B790" s="41"/>
      <c r="J790" s="42"/>
    </row>
    <row r="791" spans="2:10" ht="14.25" customHeight="1" x14ac:dyDescent="0.35">
      <c r="B791" s="41"/>
      <c r="J791" s="42"/>
    </row>
    <row r="792" spans="2:10" ht="14.25" customHeight="1" x14ac:dyDescent="0.35">
      <c r="B792" s="41"/>
      <c r="J792" s="42"/>
    </row>
    <row r="793" spans="2:10" ht="14.25" customHeight="1" x14ac:dyDescent="0.35">
      <c r="B793" s="41"/>
      <c r="J793" s="42"/>
    </row>
    <row r="794" spans="2:10" ht="14.25" customHeight="1" x14ac:dyDescent="0.35">
      <c r="B794" s="41"/>
      <c r="J794" s="42"/>
    </row>
    <row r="795" spans="2:10" ht="14.25" customHeight="1" x14ac:dyDescent="0.35">
      <c r="B795" s="41"/>
      <c r="J795" s="42"/>
    </row>
    <row r="796" spans="2:10" ht="14.25" customHeight="1" x14ac:dyDescent="0.35">
      <c r="B796" s="41"/>
      <c r="J796" s="42"/>
    </row>
    <row r="797" spans="2:10" ht="14.25" customHeight="1" x14ac:dyDescent="0.35">
      <c r="B797" s="41"/>
      <c r="J797" s="42"/>
    </row>
    <row r="798" spans="2:10" ht="14.25" customHeight="1" x14ac:dyDescent="0.35">
      <c r="B798" s="41"/>
      <c r="J798" s="42"/>
    </row>
    <row r="799" spans="2:10" ht="14.25" customHeight="1" x14ac:dyDescent="0.35">
      <c r="B799" s="41"/>
      <c r="J799" s="42"/>
    </row>
    <row r="800" spans="2:10" ht="14.25" customHeight="1" x14ac:dyDescent="0.35">
      <c r="B800" s="41"/>
      <c r="J800" s="42"/>
    </row>
    <row r="801" spans="2:10" ht="14.25" customHeight="1" x14ac:dyDescent="0.35">
      <c r="B801" s="41"/>
      <c r="J801" s="42"/>
    </row>
    <row r="802" spans="2:10" ht="14.25" customHeight="1" x14ac:dyDescent="0.35">
      <c r="B802" s="41"/>
      <c r="J802" s="42"/>
    </row>
    <row r="803" spans="2:10" ht="14.25" customHeight="1" x14ac:dyDescent="0.35">
      <c r="B803" s="41"/>
      <c r="J803" s="42"/>
    </row>
    <row r="804" spans="2:10" ht="14.25" customHeight="1" x14ac:dyDescent="0.35">
      <c r="B804" s="41"/>
      <c r="J804" s="42"/>
    </row>
    <row r="805" spans="2:10" ht="14.25" customHeight="1" x14ac:dyDescent="0.35">
      <c r="B805" s="41"/>
      <c r="J805" s="42"/>
    </row>
    <row r="806" spans="2:10" ht="14.25" customHeight="1" x14ac:dyDescent="0.35">
      <c r="B806" s="41"/>
      <c r="J806" s="42"/>
    </row>
    <row r="807" spans="2:10" ht="14.25" customHeight="1" x14ac:dyDescent="0.35">
      <c r="B807" s="41"/>
      <c r="J807" s="42"/>
    </row>
    <row r="808" spans="2:10" ht="14.25" customHeight="1" x14ac:dyDescent="0.35">
      <c r="B808" s="41"/>
      <c r="J808" s="42"/>
    </row>
    <row r="809" spans="2:10" ht="14.25" customHeight="1" x14ac:dyDescent="0.35">
      <c r="B809" s="41"/>
      <c r="J809" s="42"/>
    </row>
    <row r="810" spans="2:10" ht="14.25" customHeight="1" x14ac:dyDescent="0.35">
      <c r="B810" s="41"/>
      <c r="J810" s="42"/>
    </row>
    <row r="811" spans="2:10" ht="14.25" customHeight="1" x14ac:dyDescent="0.35">
      <c r="B811" s="41"/>
      <c r="J811" s="42"/>
    </row>
    <row r="812" spans="2:10" ht="14.25" customHeight="1" x14ac:dyDescent="0.35">
      <c r="B812" s="41"/>
      <c r="J812" s="42"/>
    </row>
    <row r="813" spans="2:10" ht="14.25" customHeight="1" x14ac:dyDescent="0.35">
      <c r="B813" s="41"/>
      <c r="J813" s="42"/>
    </row>
    <row r="814" spans="2:10" ht="14.25" customHeight="1" x14ac:dyDescent="0.35">
      <c r="B814" s="41"/>
      <c r="J814" s="42"/>
    </row>
    <row r="815" spans="2:10" ht="14.25" customHeight="1" x14ac:dyDescent="0.35">
      <c r="B815" s="41"/>
      <c r="J815" s="42"/>
    </row>
    <row r="816" spans="2:10" ht="14.25" customHeight="1" x14ac:dyDescent="0.35">
      <c r="B816" s="41"/>
      <c r="J816" s="42"/>
    </row>
    <row r="817" spans="2:10" ht="14.25" customHeight="1" x14ac:dyDescent="0.35">
      <c r="B817" s="41"/>
      <c r="J817" s="42"/>
    </row>
    <row r="818" spans="2:10" ht="14.25" customHeight="1" x14ac:dyDescent="0.35">
      <c r="B818" s="41"/>
      <c r="J818" s="42"/>
    </row>
    <row r="819" spans="2:10" ht="14.25" customHeight="1" x14ac:dyDescent="0.35">
      <c r="B819" s="41"/>
      <c r="J819" s="42"/>
    </row>
    <row r="820" spans="2:10" ht="14.25" customHeight="1" x14ac:dyDescent="0.35">
      <c r="B820" s="41"/>
      <c r="J820" s="42"/>
    </row>
    <row r="821" spans="2:10" ht="14.25" customHeight="1" x14ac:dyDescent="0.35">
      <c r="B821" s="41"/>
      <c r="J821" s="42"/>
    </row>
    <row r="822" spans="2:10" ht="14.25" customHeight="1" x14ac:dyDescent="0.35">
      <c r="B822" s="41"/>
      <c r="J822" s="42"/>
    </row>
    <row r="823" spans="2:10" ht="14.25" customHeight="1" x14ac:dyDescent="0.35">
      <c r="B823" s="41"/>
      <c r="J823" s="42"/>
    </row>
    <row r="824" spans="2:10" ht="14.25" customHeight="1" x14ac:dyDescent="0.35">
      <c r="B824" s="41"/>
      <c r="J824" s="42"/>
    </row>
    <row r="825" spans="2:10" ht="14.25" customHeight="1" x14ac:dyDescent="0.35">
      <c r="B825" s="41"/>
      <c r="J825" s="42"/>
    </row>
    <row r="826" spans="2:10" ht="14.25" customHeight="1" x14ac:dyDescent="0.35">
      <c r="B826" s="41"/>
      <c r="J826" s="42"/>
    </row>
    <row r="827" spans="2:10" ht="14.25" customHeight="1" x14ac:dyDescent="0.35">
      <c r="B827" s="41"/>
      <c r="J827" s="42"/>
    </row>
    <row r="828" spans="2:10" ht="14.25" customHeight="1" x14ac:dyDescent="0.35">
      <c r="B828" s="41"/>
      <c r="J828" s="42"/>
    </row>
    <row r="829" spans="2:10" ht="14.25" customHeight="1" x14ac:dyDescent="0.35">
      <c r="B829" s="41"/>
      <c r="J829" s="42"/>
    </row>
    <row r="830" spans="2:10" ht="14.25" customHeight="1" x14ac:dyDescent="0.35">
      <c r="B830" s="41"/>
      <c r="J830" s="42"/>
    </row>
    <row r="831" spans="2:10" ht="14.25" customHeight="1" x14ac:dyDescent="0.35">
      <c r="B831" s="41"/>
      <c r="J831" s="42"/>
    </row>
    <row r="832" spans="2:10" ht="14.25" customHeight="1" x14ac:dyDescent="0.35">
      <c r="B832" s="41"/>
      <c r="J832" s="42"/>
    </row>
    <row r="833" spans="2:10" ht="14.25" customHeight="1" x14ac:dyDescent="0.35">
      <c r="B833" s="41"/>
      <c r="J833" s="42"/>
    </row>
    <row r="834" spans="2:10" ht="14.25" customHeight="1" x14ac:dyDescent="0.35">
      <c r="B834" s="41"/>
      <c r="J834" s="42"/>
    </row>
    <row r="835" spans="2:10" ht="14.25" customHeight="1" x14ac:dyDescent="0.35">
      <c r="B835" s="41"/>
      <c r="J835" s="42"/>
    </row>
    <row r="836" spans="2:10" ht="14.25" customHeight="1" x14ac:dyDescent="0.35">
      <c r="B836" s="41"/>
      <c r="J836" s="42"/>
    </row>
    <row r="837" spans="2:10" ht="14.25" customHeight="1" x14ac:dyDescent="0.35">
      <c r="B837" s="41"/>
      <c r="J837" s="42"/>
    </row>
    <row r="838" spans="2:10" ht="14.25" customHeight="1" x14ac:dyDescent="0.35">
      <c r="B838" s="41"/>
      <c r="J838" s="42"/>
    </row>
    <row r="839" spans="2:10" ht="14.25" customHeight="1" x14ac:dyDescent="0.35">
      <c r="B839" s="41"/>
      <c r="J839" s="42"/>
    </row>
    <row r="840" spans="2:10" ht="14.25" customHeight="1" x14ac:dyDescent="0.35">
      <c r="B840" s="41"/>
      <c r="J840" s="42"/>
    </row>
    <row r="841" spans="2:10" ht="14.25" customHeight="1" x14ac:dyDescent="0.35">
      <c r="B841" s="41"/>
      <c r="J841" s="42"/>
    </row>
    <row r="842" spans="2:10" ht="14.25" customHeight="1" x14ac:dyDescent="0.35">
      <c r="B842" s="41"/>
      <c r="J842" s="42"/>
    </row>
    <row r="843" spans="2:10" ht="14.25" customHeight="1" x14ac:dyDescent="0.35">
      <c r="B843" s="41"/>
      <c r="J843" s="42"/>
    </row>
    <row r="844" spans="2:10" ht="14.25" customHeight="1" x14ac:dyDescent="0.35">
      <c r="B844" s="41"/>
      <c r="J844" s="42"/>
    </row>
    <row r="845" spans="2:10" ht="14.25" customHeight="1" x14ac:dyDescent="0.35">
      <c r="B845" s="41"/>
      <c r="J845" s="42"/>
    </row>
    <row r="846" spans="2:10" ht="14.25" customHeight="1" x14ac:dyDescent="0.35">
      <c r="B846" s="41"/>
      <c r="J846" s="42"/>
    </row>
    <row r="847" spans="2:10" ht="14.25" customHeight="1" x14ac:dyDescent="0.35">
      <c r="B847" s="41"/>
      <c r="J847" s="42"/>
    </row>
    <row r="848" spans="2:10" ht="14.25" customHeight="1" x14ac:dyDescent="0.35">
      <c r="B848" s="41"/>
      <c r="J848" s="42"/>
    </row>
    <row r="849" spans="2:10" ht="14.25" customHeight="1" x14ac:dyDescent="0.35">
      <c r="B849" s="41"/>
      <c r="J849" s="42"/>
    </row>
    <row r="850" spans="2:10" ht="14.25" customHeight="1" x14ac:dyDescent="0.35">
      <c r="B850" s="41"/>
      <c r="J850" s="42"/>
    </row>
    <row r="851" spans="2:10" ht="14.25" customHeight="1" x14ac:dyDescent="0.35">
      <c r="B851" s="41"/>
      <c r="J851" s="42"/>
    </row>
    <row r="852" spans="2:10" ht="14.25" customHeight="1" x14ac:dyDescent="0.35">
      <c r="B852" s="41"/>
      <c r="J852" s="42"/>
    </row>
    <row r="853" spans="2:10" ht="14.25" customHeight="1" x14ac:dyDescent="0.35">
      <c r="B853" s="41"/>
      <c r="J853" s="42"/>
    </row>
    <row r="854" spans="2:10" ht="14.25" customHeight="1" x14ac:dyDescent="0.35">
      <c r="B854" s="41"/>
      <c r="J854" s="42"/>
    </row>
    <row r="855" spans="2:10" ht="14.25" customHeight="1" x14ac:dyDescent="0.35">
      <c r="B855" s="41"/>
      <c r="J855" s="42"/>
    </row>
    <row r="856" spans="2:10" ht="14.25" customHeight="1" x14ac:dyDescent="0.35">
      <c r="B856" s="41"/>
      <c r="J856" s="42"/>
    </row>
    <row r="857" spans="2:10" ht="14.25" customHeight="1" x14ac:dyDescent="0.35">
      <c r="B857" s="41"/>
      <c r="J857" s="42"/>
    </row>
    <row r="858" spans="2:10" ht="14.25" customHeight="1" x14ac:dyDescent="0.35">
      <c r="B858" s="41"/>
      <c r="J858" s="42"/>
    </row>
    <row r="859" spans="2:10" ht="14.25" customHeight="1" x14ac:dyDescent="0.35">
      <c r="B859" s="41"/>
      <c r="J859" s="42"/>
    </row>
    <row r="860" spans="2:10" ht="14.25" customHeight="1" x14ac:dyDescent="0.35">
      <c r="B860" s="41"/>
      <c r="J860" s="42"/>
    </row>
    <row r="861" spans="2:10" ht="14.25" customHeight="1" x14ac:dyDescent="0.35">
      <c r="B861" s="41"/>
      <c r="J861" s="42"/>
    </row>
    <row r="862" spans="2:10" ht="14.25" customHeight="1" x14ac:dyDescent="0.35">
      <c r="B862" s="41"/>
      <c r="J862" s="42"/>
    </row>
    <row r="863" spans="2:10" ht="14.25" customHeight="1" x14ac:dyDescent="0.35">
      <c r="B863" s="41"/>
      <c r="J863" s="42"/>
    </row>
    <row r="864" spans="2:10" ht="14.25" customHeight="1" x14ac:dyDescent="0.35">
      <c r="B864" s="41"/>
      <c r="J864" s="42"/>
    </row>
    <row r="865" spans="2:10" ht="14.25" customHeight="1" x14ac:dyDescent="0.35">
      <c r="B865" s="41"/>
      <c r="J865" s="42"/>
    </row>
    <row r="866" spans="2:10" ht="14.25" customHeight="1" x14ac:dyDescent="0.35">
      <c r="B866" s="41"/>
      <c r="J866" s="42"/>
    </row>
    <row r="867" spans="2:10" ht="14.25" customHeight="1" x14ac:dyDescent="0.35">
      <c r="B867" s="41"/>
      <c r="J867" s="42"/>
    </row>
    <row r="868" spans="2:10" ht="14.25" customHeight="1" x14ac:dyDescent="0.35">
      <c r="B868" s="41"/>
      <c r="J868" s="42"/>
    </row>
    <row r="869" spans="2:10" ht="14.25" customHeight="1" x14ac:dyDescent="0.35">
      <c r="B869" s="41"/>
      <c r="J869" s="42"/>
    </row>
    <row r="870" spans="2:10" ht="14.25" customHeight="1" x14ac:dyDescent="0.35">
      <c r="B870" s="41"/>
      <c r="J870" s="42"/>
    </row>
    <row r="871" spans="2:10" ht="14.25" customHeight="1" x14ac:dyDescent="0.35">
      <c r="B871" s="41"/>
      <c r="J871" s="42"/>
    </row>
    <row r="872" spans="2:10" ht="14.25" customHeight="1" x14ac:dyDescent="0.35">
      <c r="B872" s="41"/>
      <c r="J872" s="42"/>
    </row>
    <row r="873" spans="2:10" ht="14.25" customHeight="1" x14ac:dyDescent="0.35">
      <c r="B873" s="41"/>
      <c r="J873" s="42"/>
    </row>
    <row r="874" spans="2:10" ht="14.25" customHeight="1" x14ac:dyDescent="0.35">
      <c r="B874" s="41"/>
      <c r="J874" s="42"/>
    </row>
    <row r="875" spans="2:10" ht="14.25" customHeight="1" x14ac:dyDescent="0.35">
      <c r="B875" s="41"/>
      <c r="J875" s="42"/>
    </row>
    <row r="876" spans="2:10" ht="14.25" customHeight="1" x14ac:dyDescent="0.35">
      <c r="B876" s="41"/>
      <c r="J876" s="42"/>
    </row>
    <row r="877" spans="2:10" ht="14.25" customHeight="1" x14ac:dyDescent="0.35">
      <c r="B877" s="41"/>
      <c r="J877" s="42"/>
    </row>
    <row r="878" spans="2:10" ht="14.25" customHeight="1" x14ac:dyDescent="0.35">
      <c r="B878" s="41"/>
      <c r="J878" s="42"/>
    </row>
    <row r="879" spans="2:10" ht="14.25" customHeight="1" x14ac:dyDescent="0.35">
      <c r="B879" s="41"/>
      <c r="J879" s="42"/>
    </row>
    <row r="880" spans="2:10" ht="14.25" customHeight="1" x14ac:dyDescent="0.35">
      <c r="B880" s="41"/>
      <c r="J880" s="42"/>
    </row>
    <row r="881" spans="2:10" ht="14.25" customHeight="1" x14ac:dyDescent="0.35">
      <c r="B881" s="41"/>
      <c r="J881" s="42"/>
    </row>
    <row r="882" spans="2:10" ht="14.25" customHeight="1" x14ac:dyDescent="0.35">
      <c r="B882" s="41"/>
      <c r="J882" s="42"/>
    </row>
    <row r="883" spans="2:10" ht="14.25" customHeight="1" x14ac:dyDescent="0.35">
      <c r="B883" s="41"/>
      <c r="J883" s="42"/>
    </row>
    <row r="884" spans="2:10" ht="14.25" customHeight="1" x14ac:dyDescent="0.35">
      <c r="B884" s="41"/>
      <c r="J884" s="42"/>
    </row>
    <row r="885" spans="2:10" ht="14.25" customHeight="1" x14ac:dyDescent="0.35">
      <c r="B885" s="41"/>
      <c r="J885" s="42"/>
    </row>
    <row r="886" spans="2:10" ht="14.25" customHeight="1" x14ac:dyDescent="0.35">
      <c r="B886" s="41"/>
      <c r="J886" s="42"/>
    </row>
    <row r="887" spans="2:10" ht="14.25" customHeight="1" x14ac:dyDescent="0.35">
      <c r="B887" s="41"/>
      <c r="J887" s="42"/>
    </row>
    <row r="888" spans="2:10" ht="14.25" customHeight="1" x14ac:dyDescent="0.35">
      <c r="B888" s="41"/>
      <c r="J888" s="42"/>
    </row>
    <row r="889" spans="2:10" ht="14.25" customHeight="1" x14ac:dyDescent="0.35">
      <c r="B889" s="41"/>
      <c r="J889" s="42"/>
    </row>
    <row r="890" spans="2:10" ht="14.25" customHeight="1" x14ac:dyDescent="0.35">
      <c r="B890" s="41"/>
      <c r="J890" s="42"/>
    </row>
    <row r="891" spans="2:10" ht="14.25" customHeight="1" x14ac:dyDescent="0.35">
      <c r="B891" s="41"/>
      <c r="J891" s="42"/>
    </row>
    <row r="892" spans="2:10" ht="14.25" customHeight="1" x14ac:dyDescent="0.35">
      <c r="B892" s="41"/>
      <c r="J892" s="42"/>
    </row>
    <row r="893" spans="2:10" ht="14.25" customHeight="1" x14ac:dyDescent="0.35">
      <c r="B893" s="41"/>
      <c r="J893" s="42"/>
    </row>
    <row r="894" spans="2:10" ht="14.25" customHeight="1" x14ac:dyDescent="0.35">
      <c r="B894" s="41"/>
      <c r="J894" s="42"/>
    </row>
    <row r="895" spans="2:10" ht="14.25" customHeight="1" x14ac:dyDescent="0.35">
      <c r="B895" s="41"/>
      <c r="J895" s="42"/>
    </row>
    <row r="896" spans="2:10" ht="14.25" customHeight="1" x14ac:dyDescent="0.35">
      <c r="B896" s="41"/>
      <c r="J896" s="42"/>
    </row>
    <row r="897" spans="2:10" ht="14.25" customHeight="1" x14ac:dyDescent="0.35">
      <c r="B897" s="41"/>
      <c r="J897" s="42"/>
    </row>
    <row r="898" spans="2:10" ht="14.25" customHeight="1" x14ac:dyDescent="0.35">
      <c r="B898" s="41"/>
      <c r="J898" s="42"/>
    </row>
    <row r="899" spans="2:10" ht="14.25" customHeight="1" x14ac:dyDescent="0.35">
      <c r="B899" s="41"/>
      <c r="J899" s="42"/>
    </row>
    <row r="900" spans="2:10" ht="14.25" customHeight="1" x14ac:dyDescent="0.35">
      <c r="B900" s="41"/>
      <c r="J900" s="42"/>
    </row>
    <row r="901" spans="2:10" ht="14.25" customHeight="1" x14ac:dyDescent="0.35">
      <c r="B901" s="41"/>
      <c r="J901" s="42"/>
    </row>
    <row r="902" spans="2:10" ht="14.25" customHeight="1" x14ac:dyDescent="0.35">
      <c r="B902" s="41"/>
      <c r="J902" s="42"/>
    </row>
    <row r="903" spans="2:10" ht="14.25" customHeight="1" x14ac:dyDescent="0.35">
      <c r="B903" s="41"/>
      <c r="J903" s="42"/>
    </row>
    <row r="904" spans="2:10" ht="14.25" customHeight="1" x14ac:dyDescent="0.35">
      <c r="B904" s="41"/>
      <c r="J904" s="42"/>
    </row>
    <row r="905" spans="2:10" ht="14.25" customHeight="1" x14ac:dyDescent="0.35">
      <c r="B905" s="41"/>
      <c r="J905" s="42"/>
    </row>
    <row r="906" spans="2:10" ht="14.25" customHeight="1" x14ac:dyDescent="0.35">
      <c r="B906" s="41"/>
      <c r="J906" s="42"/>
    </row>
    <row r="907" spans="2:10" ht="14.25" customHeight="1" x14ac:dyDescent="0.35">
      <c r="B907" s="41"/>
      <c r="J907" s="42"/>
    </row>
    <row r="908" spans="2:10" ht="14.25" customHeight="1" x14ac:dyDescent="0.35">
      <c r="B908" s="41"/>
      <c r="J908" s="42"/>
    </row>
    <row r="909" spans="2:10" ht="14.25" customHeight="1" x14ac:dyDescent="0.35">
      <c r="B909" s="41"/>
      <c r="J909" s="42"/>
    </row>
    <row r="910" spans="2:10" ht="14.25" customHeight="1" x14ac:dyDescent="0.35">
      <c r="B910" s="41"/>
      <c r="J910" s="42"/>
    </row>
    <row r="911" spans="2:10" ht="14.25" customHeight="1" x14ac:dyDescent="0.35">
      <c r="B911" s="41"/>
      <c r="J911" s="42"/>
    </row>
    <row r="912" spans="2:10" ht="14.25" customHeight="1" x14ac:dyDescent="0.35">
      <c r="B912" s="41"/>
      <c r="J912" s="42"/>
    </row>
    <row r="913" spans="2:10" ht="14.25" customHeight="1" x14ac:dyDescent="0.35">
      <c r="B913" s="41"/>
      <c r="J913" s="42"/>
    </row>
    <row r="914" spans="2:10" ht="14.25" customHeight="1" x14ac:dyDescent="0.35">
      <c r="B914" s="41"/>
      <c r="J914" s="42"/>
    </row>
    <row r="915" spans="2:10" ht="14.25" customHeight="1" x14ac:dyDescent="0.35">
      <c r="B915" s="41"/>
      <c r="J915" s="42"/>
    </row>
    <row r="916" spans="2:10" ht="14.25" customHeight="1" x14ac:dyDescent="0.35">
      <c r="B916" s="41"/>
      <c r="J916" s="42"/>
    </row>
    <row r="917" spans="2:10" ht="14.25" customHeight="1" x14ac:dyDescent="0.35">
      <c r="B917" s="41"/>
      <c r="J917" s="42"/>
    </row>
    <row r="918" spans="2:10" ht="14.25" customHeight="1" x14ac:dyDescent="0.35">
      <c r="B918" s="41"/>
      <c r="J918" s="42"/>
    </row>
    <row r="919" spans="2:10" ht="14.25" customHeight="1" x14ac:dyDescent="0.35">
      <c r="B919" s="41"/>
      <c r="J919" s="42"/>
    </row>
    <row r="920" spans="2:10" ht="14.25" customHeight="1" x14ac:dyDescent="0.35">
      <c r="B920" s="41"/>
      <c r="J920" s="42"/>
    </row>
    <row r="921" spans="2:10" ht="14.25" customHeight="1" x14ac:dyDescent="0.35">
      <c r="B921" s="41"/>
      <c r="J921" s="42"/>
    </row>
    <row r="922" spans="2:10" ht="14.25" customHeight="1" x14ac:dyDescent="0.35">
      <c r="B922" s="41"/>
      <c r="J922" s="42"/>
    </row>
    <row r="923" spans="2:10" ht="14.25" customHeight="1" x14ac:dyDescent="0.35">
      <c r="B923" s="41"/>
      <c r="J923" s="42"/>
    </row>
    <row r="924" spans="2:10" ht="14.25" customHeight="1" x14ac:dyDescent="0.35">
      <c r="B924" s="41"/>
      <c r="J924" s="42"/>
    </row>
    <row r="925" spans="2:10" ht="14.25" customHeight="1" x14ac:dyDescent="0.35">
      <c r="B925" s="41"/>
      <c r="J925" s="42"/>
    </row>
    <row r="926" spans="2:10" ht="14.25" customHeight="1" x14ac:dyDescent="0.35">
      <c r="B926" s="41"/>
      <c r="J926" s="42"/>
    </row>
    <row r="927" spans="2:10" ht="14.25" customHeight="1" x14ac:dyDescent="0.35">
      <c r="B927" s="41"/>
      <c r="J927" s="42"/>
    </row>
    <row r="928" spans="2:10" ht="14.25" customHeight="1" x14ac:dyDescent="0.35">
      <c r="B928" s="41"/>
      <c r="J928" s="42"/>
    </row>
    <row r="929" spans="2:10" ht="14.25" customHeight="1" x14ac:dyDescent="0.35">
      <c r="B929" s="41"/>
      <c r="J929" s="42"/>
    </row>
    <row r="930" spans="2:10" ht="14.25" customHeight="1" x14ac:dyDescent="0.35">
      <c r="B930" s="41"/>
      <c r="J930" s="42"/>
    </row>
    <row r="931" spans="2:10" ht="14.25" customHeight="1" x14ac:dyDescent="0.35">
      <c r="B931" s="41"/>
      <c r="J931" s="42"/>
    </row>
    <row r="932" spans="2:10" ht="14.25" customHeight="1" x14ac:dyDescent="0.35">
      <c r="B932" s="41"/>
      <c r="J932" s="42"/>
    </row>
    <row r="933" spans="2:10" ht="14.25" customHeight="1" x14ac:dyDescent="0.35">
      <c r="B933" s="41"/>
      <c r="J933" s="42"/>
    </row>
    <row r="934" spans="2:10" ht="14.25" customHeight="1" x14ac:dyDescent="0.35">
      <c r="B934" s="41"/>
      <c r="J934" s="42"/>
    </row>
    <row r="935" spans="2:10" ht="14.25" customHeight="1" x14ac:dyDescent="0.35">
      <c r="B935" s="41"/>
      <c r="J935" s="42"/>
    </row>
    <row r="936" spans="2:10" ht="14.25" customHeight="1" x14ac:dyDescent="0.35">
      <c r="B936" s="41"/>
      <c r="J936" s="42"/>
    </row>
    <row r="937" spans="2:10" ht="14.25" customHeight="1" x14ac:dyDescent="0.35">
      <c r="B937" s="41"/>
      <c r="J937" s="42"/>
    </row>
    <row r="938" spans="2:10" ht="14.25" customHeight="1" x14ac:dyDescent="0.35">
      <c r="B938" s="41"/>
      <c r="J938" s="42"/>
    </row>
    <row r="939" spans="2:10" ht="14.25" customHeight="1" x14ac:dyDescent="0.35">
      <c r="B939" s="41"/>
      <c r="J939" s="42"/>
    </row>
    <row r="940" spans="2:10" ht="14.25" customHeight="1" x14ac:dyDescent="0.35">
      <c r="B940" s="41"/>
      <c r="J940" s="42"/>
    </row>
    <row r="941" spans="2:10" ht="14.25" customHeight="1" x14ac:dyDescent="0.35">
      <c r="B941" s="41"/>
      <c r="J941" s="42"/>
    </row>
    <row r="942" spans="2:10" ht="14.25" customHeight="1" x14ac:dyDescent="0.35">
      <c r="B942" s="41"/>
      <c r="J942" s="42"/>
    </row>
    <row r="943" spans="2:10" ht="14.25" customHeight="1" x14ac:dyDescent="0.35">
      <c r="B943" s="41"/>
      <c r="J943" s="42"/>
    </row>
    <row r="944" spans="2:10" ht="14.25" customHeight="1" x14ac:dyDescent="0.35">
      <c r="B944" s="41"/>
      <c r="J944" s="42"/>
    </row>
    <row r="945" spans="2:10" ht="14.25" customHeight="1" x14ac:dyDescent="0.35">
      <c r="B945" s="41"/>
      <c r="J945" s="42"/>
    </row>
    <row r="946" spans="2:10" ht="14.25" customHeight="1" x14ac:dyDescent="0.35">
      <c r="B946" s="41"/>
      <c r="J946" s="42"/>
    </row>
    <row r="947" spans="2:10" ht="14.25" customHeight="1" x14ac:dyDescent="0.35">
      <c r="B947" s="41"/>
      <c r="J947" s="42"/>
    </row>
    <row r="948" spans="2:10" ht="14.25" customHeight="1" x14ac:dyDescent="0.35">
      <c r="B948" s="41"/>
      <c r="J948" s="42"/>
    </row>
    <row r="949" spans="2:10" ht="14.25" customHeight="1" x14ac:dyDescent="0.35">
      <c r="B949" s="41"/>
      <c r="J949" s="42"/>
    </row>
    <row r="950" spans="2:10" ht="14.25" customHeight="1" x14ac:dyDescent="0.35">
      <c r="B950" s="41"/>
      <c r="J950" s="42"/>
    </row>
    <row r="951" spans="2:10" ht="14.25" customHeight="1" x14ac:dyDescent="0.35">
      <c r="B951" s="41"/>
      <c r="J951" s="42"/>
    </row>
    <row r="952" spans="2:10" ht="14.25" customHeight="1" x14ac:dyDescent="0.35">
      <c r="B952" s="41"/>
      <c r="J952" s="42"/>
    </row>
    <row r="953" spans="2:10" ht="14.25" customHeight="1" x14ac:dyDescent="0.35">
      <c r="B953" s="41"/>
      <c r="J953" s="42"/>
    </row>
    <row r="954" spans="2:10" ht="14.25" customHeight="1" x14ac:dyDescent="0.35">
      <c r="B954" s="41"/>
      <c r="J954" s="42"/>
    </row>
    <row r="955" spans="2:10" ht="14.25" customHeight="1" x14ac:dyDescent="0.35">
      <c r="B955" s="41"/>
      <c r="J955" s="42"/>
    </row>
    <row r="956" spans="2:10" ht="14.25" customHeight="1" x14ac:dyDescent="0.35">
      <c r="B956" s="41"/>
      <c r="J956" s="42"/>
    </row>
    <row r="957" spans="2:10" ht="14.25" customHeight="1" x14ac:dyDescent="0.35">
      <c r="B957" s="41"/>
      <c r="J957" s="42"/>
    </row>
    <row r="958" spans="2:10" ht="14.25" customHeight="1" x14ac:dyDescent="0.35">
      <c r="B958" s="41"/>
      <c r="J958" s="42"/>
    </row>
    <row r="959" spans="2:10" ht="14.25" customHeight="1" x14ac:dyDescent="0.35">
      <c r="B959" s="41"/>
      <c r="J959" s="42"/>
    </row>
    <row r="960" spans="2:10" ht="14.25" customHeight="1" x14ac:dyDescent="0.35">
      <c r="B960" s="41"/>
      <c r="J960" s="42"/>
    </row>
    <row r="961" spans="2:10" ht="14.25" customHeight="1" x14ac:dyDescent="0.35">
      <c r="B961" s="41"/>
      <c r="J961" s="42"/>
    </row>
    <row r="962" spans="2:10" ht="14.25" customHeight="1" x14ac:dyDescent="0.35">
      <c r="B962" s="41"/>
      <c r="J962" s="42"/>
    </row>
    <row r="963" spans="2:10" ht="14.25" customHeight="1" x14ac:dyDescent="0.35">
      <c r="B963" s="41"/>
      <c r="J963" s="42"/>
    </row>
    <row r="964" spans="2:10" ht="14.25" customHeight="1" x14ac:dyDescent="0.35">
      <c r="B964" s="41"/>
      <c r="J964" s="42"/>
    </row>
    <row r="965" spans="2:10" ht="14.25" customHeight="1" x14ac:dyDescent="0.35">
      <c r="B965" s="41"/>
      <c r="J965" s="42"/>
    </row>
    <row r="966" spans="2:10" ht="14.25" customHeight="1" x14ac:dyDescent="0.35">
      <c r="B966" s="41"/>
      <c r="J966" s="42"/>
    </row>
    <row r="967" spans="2:10" ht="14.25" customHeight="1" x14ac:dyDescent="0.35">
      <c r="B967" s="41"/>
      <c r="J967" s="42"/>
    </row>
    <row r="968" spans="2:10" ht="14.25" customHeight="1" x14ac:dyDescent="0.35">
      <c r="B968" s="41"/>
      <c r="J968" s="42"/>
    </row>
    <row r="969" spans="2:10" ht="14.25" customHeight="1" x14ac:dyDescent="0.35">
      <c r="B969" s="41"/>
      <c r="J969" s="42"/>
    </row>
    <row r="970" spans="2:10" ht="14.25" customHeight="1" x14ac:dyDescent="0.35">
      <c r="B970" s="41"/>
      <c r="J970" s="42"/>
    </row>
    <row r="971" spans="2:10" ht="14.25" customHeight="1" x14ac:dyDescent="0.35">
      <c r="B971" s="41"/>
      <c r="J971" s="42"/>
    </row>
    <row r="972" spans="2:10" ht="14.25" customHeight="1" x14ac:dyDescent="0.35">
      <c r="B972" s="41"/>
      <c r="J972" s="42"/>
    </row>
    <row r="973" spans="2:10" ht="14.25" customHeight="1" x14ac:dyDescent="0.35">
      <c r="B973" s="41"/>
      <c r="J973" s="42"/>
    </row>
    <row r="974" spans="2:10" ht="14.25" customHeight="1" x14ac:dyDescent="0.35">
      <c r="B974" s="41"/>
      <c r="J974" s="42"/>
    </row>
    <row r="975" spans="2:10" ht="14.25" customHeight="1" x14ac:dyDescent="0.35">
      <c r="B975" s="41"/>
      <c r="J975" s="42"/>
    </row>
    <row r="976" spans="2:10" ht="14.25" customHeight="1" x14ac:dyDescent="0.35">
      <c r="B976" s="41"/>
      <c r="J976" s="42"/>
    </row>
    <row r="977" spans="2:10" ht="14.25" customHeight="1" x14ac:dyDescent="0.35">
      <c r="B977" s="41"/>
      <c r="J977" s="42"/>
    </row>
    <row r="978" spans="2:10" ht="14.25" customHeight="1" x14ac:dyDescent="0.35">
      <c r="B978" s="41"/>
      <c r="J978" s="42"/>
    </row>
    <row r="979" spans="2:10" ht="14.25" customHeight="1" x14ac:dyDescent="0.35">
      <c r="B979" s="41"/>
      <c r="J979" s="42"/>
    </row>
    <row r="980" spans="2:10" ht="14.25" customHeight="1" x14ac:dyDescent="0.35">
      <c r="B980" s="41"/>
      <c r="J980" s="42"/>
    </row>
    <row r="981" spans="2:10" ht="14.25" customHeight="1" x14ac:dyDescent="0.35">
      <c r="B981" s="41"/>
      <c r="J981" s="42"/>
    </row>
    <row r="982" spans="2:10" ht="14.25" customHeight="1" x14ac:dyDescent="0.35">
      <c r="B982" s="41"/>
      <c r="J982" s="42"/>
    </row>
    <row r="983" spans="2:10" ht="14.25" customHeight="1" x14ac:dyDescent="0.35">
      <c r="B983" s="41"/>
      <c r="J983" s="42"/>
    </row>
    <row r="984" spans="2:10" ht="14.25" customHeight="1" x14ac:dyDescent="0.35">
      <c r="B984" s="41"/>
      <c r="J984" s="42"/>
    </row>
    <row r="985" spans="2:10" ht="14.25" customHeight="1" x14ac:dyDescent="0.35">
      <c r="B985" s="41"/>
      <c r="J985" s="42"/>
    </row>
    <row r="986" spans="2:10" ht="14.25" customHeight="1" x14ac:dyDescent="0.35">
      <c r="B986" s="41"/>
      <c r="J986" s="42"/>
    </row>
    <row r="987" spans="2:10" ht="14.25" customHeight="1" x14ac:dyDescent="0.35">
      <c r="B987" s="41"/>
      <c r="J987" s="42"/>
    </row>
    <row r="988" spans="2:10" ht="14.25" customHeight="1" x14ac:dyDescent="0.35">
      <c r="B988" s="41"/>
      <c r="J988" s="42"/>
    </row>
    <row r="989" spans="2:10" ht="14.25" customHeight="1" x14ac:dyDescent="0.35">
      <c r="B989" s="41"/>
      <c r="J989" s="42"/>
    </row>
    <row r="990" spans="2:10" ht="14.25" customHeight="1" x14ac:dyDescent="0.35">
      <c r="B990" s="41"/>
      <c r="J990" s="42"/>
    </row>
    <row r="991" spans="2:10" ht="14.25" customHeight="1" x14ac:dyDescent="0.35">
      <c r="B991" s="41"/>
      <c r="J991" s="42"/>
    </row>
    <row r="992" spans="2:10" ht="14.25" customHeight="1" x14ac:dyDescent="0.35">
      <c r="B992" s="41"/>
      <c r="J992" s="42"/>
    </row>
    <row r="993" spans="2:10" ht="14.25" customHeight="1" x14ac:dyDescent="0.35">
      <c r="B993" s="41"/>
      <c r="J993" s="42"/>
    </row>
    <row r="994" spans="2:10" ht="14.25" customHeight="1" x14ac:dyDescent="0.35">
      <c r="B994" s="41"/>
      <c r="J994" s="42"/>
    </row>
    <row r="995" spans="2:10" ht="14.25" customHeight="1" x14ac:dyDescent="0.35">
      <c r="B995" s="41"/>
      <c r="J995" s="42"/>
    </row>
    <row r="996" spans="2:10" ht="14.25" customHeight="1" x14ac:dyDescent="0.35">
      <c r="B996" s="41"/>
      <c r="J996" s="42"/>
    </row>
    <row r="997" spans="2:10" ht="14.25" customHeight="1" x14ac:dyDescent="0.35">
      <c r="B997" s="41"/>
      <c r="J997" s="42"/>
    </row>
  </sheetData>
  <mergeCells count="45">
    <mergeCell ref="C37:C38"/>
    <mergeCell ref="E37:E38"/>
    <mergeCell ref="H37:H38"/>
    <mergeCell ref="I37:I38"/>
    <mergeCell ref="J37:J38"/>
    <mergeCell ref="C41:C42"/>
    <mergeCell ref="E41:E42"/>
    <mergeCell ref="H41:H42"/>
    <mergeCell ref="I41:I42"/>
    <mergeCell ref="J41:J42"/>
    <mergeCell ref="C31:C32"/>
    <mergeCell ref="E31:E32"/>
    <mergeCell ref="H31:H32"/>
    <mergeCell ref="I31:I32"/>
    <mergeCell ref="J31:J32"/>
    <mergeCell ref="C19:C20"/>
    <mergeCell ref="E19:E20"/>
    <mergeCell ref="H19:H20"/>
    <mergeCell ref="I19:I20"/>
    <mergeCell ref="J19:J20"/>
    <mergeCell ref="C26:C27"/>
    <mergeCell ref="E26:E27"/>
    <mergeCell ref="H26:H27"/>
    <mergeCell ref="I26:I27"/>
    <mergeCell ref="J26:J27"/>
    <mergeCell ref="C11:C12"/>
    <mergeCell ref="E11:E12"/>
    <mergeCell ref="H11:H12"/>
    <mergeCell ref="I11:I12"/>
    <mergeCell ref="J11:J12"/>
    <mergeCell ref="C15:C16"/>
    <mergeCell ref="E15:E16"/>
    <mergeCell ref="H15:H16"/>
    <mergeCell ref="I15:I16"/>
    <mergeCell ref="J15:J16"/>
    <mergeCell ref="C3:C4"/>
    <mergeCell ref="E3:E4"/>
    <mergeCell ref="H3:H4"/>
    <mergeCell ref="I3:I4"/>
    <mergeCell ref="J3:J4"/>
    <mergeCell ref="C7:C8"/>
    <mergeCell ref="E7:E8"/>
    <mergeCell ref="H7:H8"/>
    <mergeCell ref="I7:I8"/>
    <mergeCell ref="J7:J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6</vt:i4>
      </vt:variant>
    </vt:vector>
  </HeadingPairs>
  <TitlesOfParts>
    <vt:vector size="24" baseType="lpstr">
      <vt:lpstr>Sheet1</vt:lpstr>
      <vt:lpstr>DASHBOARD</vt:lpstr>
      <vt:lpstr>NS</vt:lpstr>
      <vt:lpstr>KAS</vt:lpstr>
      <vt:lpstr>BANK 1</vt:lpstr>
      <vt:lpstr>BANK 2</vt:lpstr>
      <vt:lpstr>BANK 3</vt:lpstr>
      <vt:lpstr>BANK 4</vt:lpstr>
      <vt:lpstr>JURNAL PENYESUAIAN</vt:lpstr>
      <vt:lpstr>PERSEDIAAN STOK</vt:lpstr>
      <vt:lpstr>ASET</vt:lpstr>
      <vt:lpstr>LABA RUGI</vt:lpstr>
      <vt:lpstr>NERACA</vt:lpstr>
      <vt:lpstr>LPM</vt:lpstr>
      <vt:lpstr>PEREDARAN BRUTO</vt:lpstr>
      <vt:lpstr>LABA RUGI PAJAK</vt:lpstr>
      <vt:lpstr>NERACA PAJAK</vt:lpstr>
      <vt:lpstr>RASIO KEUANGAN</vt:lpstr>
      <vt:lpstr>ASET!Print_Area</vt:lpstr>
      <vt:lpstr>'LABA RUGI'!Print_Area</vt:lpstr>
      <vt:lpstr>'LABA RUGI PAJAK'!Print_Area</vt:lpstr>
      <vt:lpstr>NERACA!Print_Area</vt:lpstr>
      <vt:lpstr>'NERACA PAJAK'!Print_Area</vt:lpstr>
      <vt:lpstr>T_Akun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</dc:creator>
  <cp:lastModifiedBy>EDU CAMPUS</cp:lastModifiedBy>
  <cp:lastPrinted>2025-12-03T03:59:25Z</cp:lastPrinted>
  <dcterms:created xsi:type="dcterms:W3CDTF">2022-10-22T11:27:17Z</dcterms:created>
  <dcterms:modified xsi:type="dcterms:W3CDTF">2026-08-06T06:16:23Z</dcterms:modified>
</cp:coreProperties>
</file>